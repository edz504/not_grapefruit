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2015_16TeamFolders\MomPop\Results\"/>
    </mc:Choice>
  </mc:AlternateContent>
  <bookViews>
    <workbookView xWindow="0" yWindow="0" windowWidth="18060" windowHeight="7680" firstSheet="3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1" sheetId="18" r:id="rId8"/>
    <sheet name="P05" sheetId="17" r:id="rId9"/>
    <sheet name="P07" sheetId="16" r:id="rId10"/>
    <sheet name="S15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shipping_manufacturing!$I$16:$I$20</definedName>
    <definedName name="AddColumn3">shipping_manufacturing!$J$24:$J$30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S39" i="20" s="1"/>
  <c r="H38" i="20"/>
  <c r="H35" i="20"/>
  <c r="S42" i="20" s="1"/>
  <c r="H34" i="20"/>
  <c r="H33" i="20"/>
  <c r="S36" i="20" s="1"/>
  <c r="H30" i="20"/>
  <c r="H29" i="20"/>
  <c r="H28" i="20"/>
  <c r="H27" i="20"/>
  <c r="S37" i="20" s="1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42" i="16"/>
  <c r="AZ43" i="16"/>
  <c r="AZ53" i="16"/>
  <c r="AZ54" i="16"/>
  <c r="AZ42" i="17"/>
  <c r="AZ43" i="17"/>
  <c r="AZ53" i="17"/>
  <c r="AZ54" i="17"/>
  <c r="AZ42" i="18"/>
  <c r="AZ43" i="18"/>
  <c r="AZ53" i="18"/>
  <c r="AZ54" i="18"/>
  <c r="T25" i="20"/>
  <c r="D109" i="10"/>
  <c r="E109" i="10"/>
  <c r="F109" i="10"/>
  <c r="G109" i="10"/>
  <c r="G120" i="10" s="1"/>
  <c r="H109" i="10"/>
  <c r="I109" i="10"/>
  <c r="J109" i="10"/>
  <c r="K109" i="10"/>
  <c r="K120" i="10" s="1"/>
  <c r="L109" i="10"/>
  <c r="M109" i="10"/>
  <c r="N109" i="10"/>
  <c r="O109" i="10"/>
  <c r="D110" i="10"/>
  <c r="E110" i="10"/>
  <c r="F110" i="10"/>
  <c r="G110" i="10"/>
  <c r="G121" i="10" s="1"/>
  <c r="H110" i="10"/>
  <c r="I110" i="10"/>
  <c r="J110" i="10"/>
  <c r="K110" i="10"/>
  <c r="K121" i="10" s="1"/>
  <c r="L110" i="10"/>
  <c r="M110" i="10"/>
  <c r="N110" i="10"/>
  <c r="O110" i="10"/>
  <c r="O121" i="10" s="1"/>
  <c r="D111" i="10"/>
  <c r="E111" i="10"/>
  <c r="F111" i="10"/>
  <c r="G111" i="10"/>
  <c r="G122" i="10" s="1"/>
  <c r="H111" i="10"/>
  <c r="I111" i="10"/>
  <c r="J111" i="10"/>
  <c r="K111" i="10"/>
  <c r="K122" i="10" s="1"/>
  <c r="L111" i="10"/>
  <c r="M111" i="10"/>
  <c r="N111" i="10"/>
  <c r="O111" i="10"/>
  <c r="O122" i="10" s="1"/>
  <c r="D112" i="10"/>
  <c r="E112" i="10"/>
  <c r="F112" i="10"/>
  <c r="G112" i="10"/>
  <c r="G123" i="10" s="1"/>
  <c r="H112" i="10"/>
  <c r="I112" i="10"/>
  <c r="J112" i="10"/>
  <c r="K112" i="10"/>
  <c r="K123" i="10" s="1"/>
  <c r="L112" i="10"/>
  <c r="M112" i="10"/>
  <c r="N112" i="10"/>
  <c r="O112" i="10"/>
  <c r="O123" i="10" s="1"/>
  <c r="D113" i="10"/>
  <c r="E113" i="10"/>
  <c r="F113" i="10"/>
  <c r="G113" i="10"/>
  <c r="G124" i="10" s="1"/>
  <c r="H113" i="10"/>
  <c r="I113" i="10"/>
  <c r="J113" i="10"/>
  <c r="K113" i="10"/>
  <c r="K124" i="10" s="1"/>
  <c r="L113" i="10"/>
  <c r="M113" i="10"/>
  <c r="N113" i="10"/>
  <c r="O113" i="10"/>
  <c r="O124" i="10" s="1"/>
  <c r="D114" i="10"/>
  <c r="E114" i="10"/>
  <c r="F114" i="10"/>
  <c r="G114" i="10"/>
  <c r="G125" i="10" s="1"/>
  <c r="H114" i="10"/>
  <c r="I114" i="10"/>
  <c r="J114" i="10"/>
  <c r="K114" i="10"/>
  <c r="K125" i="10" s="1"/>
  <c r="L114" i="10"/>
  <c r="M114" i="10"/>
  <c r="N114" i="10"/>
  <c r="O114" i="10"/>
  <c r="O125" i="10" s="1"/>
  <c r="D115" i="10"/>
  <c r="E115" i="10"/>
  <c r="F115" i="10"/>
  <c r="F116" i="10" s="1"/>
  <c r="G115" i="10"/>
  <c r="G126" i="10" s="1"/>
  <c r="H115" i="10"/>
  <c r="I115" i="10"/>
  <c r="J115" i="10"/>
  <c r="K115" i="10"/>
  <c r="K126" i="10" s="1"/>
  <c r="L115" i="10"/>
  <c r="M115" i="10"/>
  <c r="N115" i="10"/>
  <c r="N116" i="10" s="1"/>
  <c r="O115" i="10"/>
  <c r="O126" i="10" s="1"/>
  <c r="D116" i="10"/>
  <c r="E116" i="10"/>
  <c r="H116" i="10"/>
  <c r="J116" i="10"/>
  <c r="L116" i="10"/>
  <c r="M116" i="10"/>
  <c r="D120" i="10"/>
  <c r="E120" i="10"/>
  <c r="F120" i="10"/>
  <c r="H120" i="10"/>
  <c r="H127" i="10" s="1"/>
  <c r="I120" i="10"/>
  <c r="I127" i="10" s="1"/>
  <c r="J120" i="10"/>
  <c r="L120" i="10"/>
  <c r="M120" i="10"/>
  <c r="N120" i="10"/>
  <c r="D121" i="10"/>
  <c r="E121" i="10"/>
  <c r="F121" i="10"/>
  <c r="H121" i="10"/>
  <c r="I121" i="10"/>
  <c r="J121" i="10"/>
  <c r="L121" i="10"/>
  <c r="M121" i="10"/>
  <c r="N121" i="10"/>
  <c r="D122" i="10"/>
  <c r="E122" i="10"/>
  <c r="F122" i="10"/>
  <c r="H122" i="10"/>
  <c r="I122" i="10"/>
  <c r="J122" i="10"/>
  <c r="L122" i="10"/>
  <c r="M122" i="10"/>
  <c r="N122" i="10"/>
  <c r="D123" i="10"/>
  <c r="E123" i="10"/>
  <c r="F123" i="10"/>
  <c r="H123" i="10"/>
  <c r="I123" i="10"/>
  <c r="J123" i="10"/>
  <c r="L123" i="10"/>
  <c r="M123" i="10"/>
  <c r="N123" i="10"/>
  <c r="D124" i="10"/>
  <c r="E124" i="10"/>
  <c r="F124" i="10"/>
  <c r="H124" i="10"/>
  <c r="I124" i="10"/>
  <c r="J124" i="10"/>
  <c r="L124" i="10"/>
  <c r="M124" i="10"/>
  <c r="N124" i="10"/>
  <c r="D125" i="10"/>
  <c r="E125" i="10"/>
  <c r="F125" i="10"/>
  <c r="H125" i="10"/>
  <c r="I125" i="10"/>
  <c r="J125" i="10"/>
  <c r="L125" i="10"/>
  <c r="M125" i="10"/>
  <c r="N125" i="10"/>
  <c r="D126" i="10"/>
  <c r="E126" i="10"/>
  <c r="F126" i="10"/>
  <c r="H126" i="10"/>
  <c r="I126" i="10"/>
  <c r="J126" i="10"/>
  <c r="L126" i="10"/>
  <c r="M126" i="10"/>
  <c r="N126" i="10"/>
  <c r="E127" i="10"/>
  <c r="F127" i="10"/>
  <c r="J127" i="10"/>
  <c r="K127" i="10"/>
  <c r="M127" i="10"/>
  <c r="N127" i="10"/>
  <c r="D131" i="10"/>
  <c r="D138" i="10" s="1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F138" i="10"/>
  <c r="G138" i="10"/>
  <c r="H138" i="10"/>
  <c r="J138" i="10"/>
  <c r="K138" i="10"/>
  <c r="L138" i="10"/>
  <c r="N138" i="10"/>
  <c r="O138" i="10"/>
  <c r="D109" i="11"/>
  <c r="D120" i="11" s="1"/>
  <c r="E109" i="11"/>
  <c r="F109" i="11"/>
  <c r="G109" i="11"/>
  <c r="G120" i="11" s="1"/>
  <c r="H109" i="11"/>
  <c r="H120" i="11" s="1"/>
  <c r="I109" i="11"/>
  <c r="J109" i="11"/>
  <c r="K109" i="11"/>
  <c r="L109" i="11"/>
  <c r="M109" i="11"/>
  <c r="N109" i="11"/>
  <c r="O109" i="11"/>
  <c r="D110" i="11"/>
  <c r="D121" i="11" s="1"/>
  <c r="E110" i="11"/>
  <c r="F110" i="11"/>
  <c r="G110" i="11"/>
  <c r="G121" i="11" s="1"/>
  <c r="H110" i="11"/>
  <c r="I110" i="11"/>
  <c r="J110" i="11"/>
  <c r="K110" i="11"/>
  <c r="K121" i="11" s="1"/>
  <c r="L110" i="11"/>
  <c r="L121" i="11" s="1"/>
  <c r="M110" i="11"/>
  <c r="N110" i="11"/>
  <c r="O110" i="11"/>
  <c r="O121" i="11" s="1"/>
  <c r="D111" i="11"/>
  <c r="D122" i="11" s="1"/>
  <c r="E111" i="11"/>
  <c r="F111" i="11"/>
  <c r="G111" i="11"/>
  <c r="G122" i="11" s="1"/>
  <c r="H111" i="11"/>
  <c r="H122" i="11" s="1"/>
  <c r="I111" i="11"/>
  <c r="J111" i="11"/>
  <c r="K111" i="11"/>
  <c r="K122" i="11" s="1"/>
  <c r="L111" i="11"/>
  <c r="L122" i="11" s="1"/>
  <c r="M111" i="11"/>
  <c r="N111" i="11"/>
  <c r="O111" i="11"/>
  <c r="O122" i="11" s="1"/>
  <c r="D112" i="11"/>
  <c r="D123" i="11" s="1"/>
  <c r="E112" i="11"/>
  <c r="F112" i="11"/>
  <c r="G112" i="11"/>
  <c r="G123" i="11" s="1"/>
  <c r="H112" i="11"/>
  <c r="H123" i="11" s="1"/>
  <c r="I112" i="11"/>
  <c r="J112" i="11"/>
  <c r="K112" i="11"/>
  <c r="K123" i="11" s="1"/>
  <c r="L112" i="11"/>
  <c r="L123" i="11" s="1"/>
  <c r="M112" i="11"/>
  <c r="N112" i="11"/>
  <c r="O112" i="11"/>
  <c r="O123" i="11" s="1"/>
  <c r="D113" i="11"/>
  <c r="D124" i="11" s="1"/>
  <c r="E113" i="11"/>
  <c r="F113" i="11"/>
  <c r="G113" i="11"/>
  <c r="G124" i="11" s="1"/>
  <c r="H113" i="11"/>
  <c r="H124" i="11" s="1"/>
  <c r="I113" i="11"/>
  <c r="J113" i="11"/>
  <c r="K113" i="11"/>
  <c r="K124" i="11" s="1"/>
  <c r="L113" i="11"/>
  <c r="L124" i="11" s="1"/>
  <c r="M113" i="11"/>
  <c r="N113" i="11"/>
  <c r="O113" i="11"/>
  <c r="O124" i="11" s="1"/>
  <c r="D114" i="11"/>
  <c r="D125" i="11" s="1"/>
  <c r="E114" i="11"/>
  <c r="F114" i="11"/>
  <c r="G114" i="11"/>
  <c r="G125" i="11" s="1"/>
  <c r="H114" i="11"/>
  <c r="H125" i="11" s="1"/>
  <c r="I114" i="11"/>
  <c r="J114" i="11"/>
  <c r="K114" i="11"/>
  <c r="K125" i="11" s="1"/>
  <c r="L114" i="11"/>
  <c r="L125" i="11" s="1"/>
  <c r="M114" i="11"/>
  <c r="N114" i="11"/>
  <c r="O114" i="11"/>
  <c r="O125" i="11" s="1"/>
  <c r="D115" i="11"/>
  <c r="D126" i="11" s="1"/>
  <c r="E115" i="11"/>
  <c r="F115" i="11"/>
  <c r="G115" i="11"/>
  <c r="G126" i="11" s="1"/>
  <c r="H115" i="11"/>
  <c r="H126" i="11" s="1"/>
  <c r="I115" i="11"/>
  <c r="J115" i="11"/>
  <c r="J116" i="11" s="1"/>
  <c r="K115" i="11"/>
  <c r="K126" i="11" s="1"/>
  <c r="L115" i="11"/>
  <c r="M115" i="11"/>
  <c r="N115" i="11"/>
  <c r="O115" i="11"/>
  <c r="O126" i="11" s="1"/>
  <c r="E116" i="11"/>
  <c r="F116" i="11"/>
  <c r="G116" i="11"/>
  <c r="H116" i="11"/>
  <c r="M116" i="11"/>
  <c r="N116" i="11"/>
  <c r="E120" i="11"/>
  <c r="F120" i="11"/>
  <c r="I120" i="11"/>
  <c r="J120" i="11"/>
  <c r="M120" i="11"/>
  <c r="N120" i="11"/>
  <c r="E121" i="11"/>
  <c r="F121" i="11"/>
  <c r="H121" i="11"/>
  <c r="I121" i="11"/>
  <c r="J121" i="11"/>
  <c r="M121" i="11"/>
  <c r="N121" i="11"/>
  <c r="E122" i="11"/>
  <c r="F122" i="11"/>
  <c r="I122" i="11"/>
  <c r="J122" i="11"/>
  <c r="M122" i="11"/>
  <c r="N122" i="11"/>
  <c r="E123" i="11"/>
  <c r="F123" i="11"/>
  <c r="I123" i="11"/>
  <c r="J123" i="11"/>
  <c r="M123" i="11"/>
  <c r="N123" i="11"/>
  <c r="E124" i="11"/>
  <c r="F124" i="11"/>
  <c r="I124" i="11"/>
  <c r="J124" i="11"/>
  <c r="M124" i="11"/>
  <c r="N124" i="11"/>
  <c r="E125" i="11"/>
  <c r="F125" i="11"/>
  <c r="I125" i="11"/>
  <c r="J125" i="11"/>
  <c r="M125" i="11"/>
  <c r="N125" i="11"/>
  <c r="E126" i="11"/>
  <c r="F126" i="11"/>
  <c r="I126" i="11"/>
  <c r="J126" i="11"/>
  <c r="L126" i="11"/>
  <c r="M126" i="11"/>
  <c r="N126" i="11"/>
  <c r="E127" i="11"/>
  <c r="F127" i="11"/>
  <c r="J127" i="11"/>
  <c r="N127" i="11"/>
  <c r="D131" i="11"/>
  <c r="E131" i="11"/>
  <c r="F131" i="11"/>
  <c r="G131" i="11"/>
  <c r="G138" i="11" s="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H138" i="11" s="1"/>
  <c r="I137" i="11"/>
  <c r="J137" i="11"/>
  <c r="J138" i="11" s="1"/>
  <c r="K137" i="11"/>
  <c r="L137" i="11"/>
  <c r="M137" i="11"/>
  <c r="N137" i="11"/>
  <c r="O137" i="11"/>
  <c r="D138" i="11"/>
  <c r="E138" i="11"/>
  <c r="F138" i="11"/>
  <c r="K138" i="11"/>
  <c r="L138" i="11"/>
  <c r="M138" i="11"/>
  <c r="N138" i="11"/>
  <c r="D109" i="12"/>
  <c r="D120" i="12" s="1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D121" i="12" s="1"/>
  <c r="E110" i="12"/>
  <c r="E121" i="12" s="1"/>
  <c r="F110" i="12"/>
  <c r="G110" i="12"/>
  <c r="H110" i="12"/>
  <c r="H121" i="12" s="1"/>
  <c r="I110" i="12"/>
  <c r="J110" i="12"/>
  <c r="K110" i="12"/>
  <c r="L110" i="12"/>
  <c r="L121" i="12" s="1"/>
  <c r="M110" i="12"/>
  <c r="N110" i="12"/>
  <c r="O110" i="12"/>
  <c r="D111" i="12"/>
  <c r="D122" i="12" s="1"/>
  <c r="E111" i="12"/>
  <c r="F111" i="12"/>
  <c r="G111" i="12"/>
  <c r="H111" i="12"/>
  <c r="H122" i="12" s="1"/>
  <c r="I111" i="12"/>
  <c r="I122" i="12" s="1"/>
  <c r="J111" i="12"/>
  <c r="K111" i="12"/>
  <c r="L111" i="12"/>
  <c r="L122" i="12" s="1"/>
  <c r="M111" i="12"/>
  <c r="N111" i="12"/>
  <c r="O111" i="12"/>
  <c r="D112" i="12"/>
  <c r="D123" i="12" s="1"/>
  <c r="E112" i="12"/>
  <c r="E123" i="12" s="1"/>
  <c r="F112" i="12"/>
  <c r="G112" i="12"/>
  <c r="H112" i="12"/>
  <c r="H123" i="12" s="1"/>
  <c r="I112" i="12"/>
  <c r="J112" i="12"/>
  <c r="K112" i="12"/>
  <c r="L112" i="12"/>
  <c r="L123" i="12" s="1"/>
  <c r="M112" i="12"/>
  <c r="N112" i="12"/>
  <c r="O112" i="12"/>
  <c r="D113" i="12"/>
  <c r="D124" i="12" s="1"/>
  <c r="E113" i="12"/>
  <c r="F113" i="12"/>
  <c r="G113" i="12"/>
  <c r="H113" i="12"/>
  <c r="H124" i="12" s="1"/>
  <c r="I113" i="12"/>
  <c r="I124" i="12" s="1"/>
  <c r="J113" i="12"/>
  <c r="K113" i="12"/>
  <c r="L113" i="12"/>
  <c r="L124" i="12" s="1"/>
  <c r="M113" i="12"/>
  <c r="N113" i="12"/>
  <c r="O113" i="12"/>
  <c r="D114" i="12"/>
  <c r="D125" i="12" s="1"/>
  <c r="E114" i="12"/>
  <c r="E125" i="12" s="1"/>
  <c r="F114" i="12"/>
  <c r="G114" i="12"/>
  <c r="H114" i="12"/>
  <c r="H125" i="12" s="1"/>
  <c r="I114" i="12"/>
  <c r="J114" i="12"/>
  <c r="K114" i="12"/>
  <c r="L114" i="12"/>
  <c r="L125" i="12" s="1"/>
  <c r="M114" i="12"/>
  <c r="M125" i="12" s="1"/>
  <c r="N114" i="12"/>
  <c r="O114" i="12"/>
  <c r="D115" i="12"/>
  <c r="D126" i="12" s="1"/>
  <c r="E115" i="12"/>
  <c r="F115" i="12"/>
  <c r="G115" i="12"/>
  <c r="H115" i="12"/>
  <c r="H126" i="12" s="1"/>
  <c r="I115" i="12"/>
  <c r="I126" i="12" s="1"/>
  <c r="J115" i="12"/>
  <c r="J116" i="12" s="1"/>
  <c r="K115" i="12"/>
  <c r="L115" i="12"/>
  <c r="L126" i="12" s="1"/>
  <c r="M115" i="12"/>
  <c r="N115" i="12"/>
  <c r="O115" i="12"/>
  <c r="D116" i="12"/>
  <c r="E116" i="12"/>
  <c r="F116" i="12"/>
  <c r="K116" i="12"/>
  <c r="N116" i="12"/>
  <c r="O116" i="12"/>
  <c r="E120" i="12"/>
  <c r="F120" i="12"/>
  <c r="G120" i="12"/>
  <c r="G127" i="12" s="1"/>
  <c r="J120" i="12"/>
  <c r="K120" i="12"/>
  <c r="M120" i="12"/>
  <c r="N120" i="12"/>
  <c r="O120" i="12"/>
  <c r="F121" i="12"/>
  <c r="G121" i="12"/>
  <c r="I121" i="12"/>
  <c r="J121" i="12"/>
  <c r="K121" i="12"/>
  <c r="N121" i="12"/>
  <c r="O121" i="12"/>
  <c r="E122" i="12"/>
  <c r="F122" i="12"/>
  <c r="G122" i="12"/>
  <c r="J122" i="12"/>
  <c r="K122" i="12"/>
  <c r="M122" i="12"/>
  <c r="N122" i="12"/>
  <c r="O122" i="12"/>
  <c r="F123" i="12"/>
  <c r="G123" i="12"/>
  <c r="I123" i="12"/>
  <c r="J123" i="12"/>
  <c r="K123" i="12"/>
  <c r="M123" i="12"/>
  <c r="N123" i="12"/>
  <c r="O123" i="12"/>
  <c r="E124" i="12"/>
  <c r="F124" i="12"/>
  <c r="G124" i="12"/>
  <c r="J124" i="12"/>
  <c r="K124" i="12"/>
  <c r="M124" i="12"/>
  <c r="N124" i="12"/>
  <c r="O124" i="12"/>
  <c r="F125" i="12"/>
  <c r="G125" i="12"/>
  <c r="I125" i="12"/>
  <c r="J125" i="12"/>
  <c r="K125" i="12"/>
  <c r="N125" i="12"/>
  <c r="O125" i="12"/>
  <c r="O127" i="12" s="1"/>
  <c r="E126" i="12"/>
  <c r="F126" i="12"/>
  <c r="G126" i="12"/>
  <c r="J126" i="12"/>
  <c r="K126" i="12"/>
  <c r="M126" i="12"/>
  <c r="N126" i="12"/>
  <c r="O126" i="12"/>
  <c r="F127" i="12"/>
  <c r="J127" i="12"/>
  <c r="N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G138" i="12" s="1"/>
  <c r="H133" i="12"/>
  <c r="H138" i="12" s="1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J138" i="12"/>
  <c r="L138" i="12"/>
  <c r="M138" i="12"/>
  <c r="N138" i="12"/>
  <c r="D109" i="13"/>
  <c r="D116" i="13" s="1"/>
  <c r="E109" i="13"/>
  <c r="F109" i="13"/>
  <c r="G109" i="13"/>
  <c r="G120" i="13" s="1"/>
  <c r="H109" i="13"/>
  <c r="H120" i="13" s="1"/>
  <c r="I109" i="13"/>
  <c r="J109" i="13"/>
  <c r="K109" i="13"/>
  <c r="L109" i="13"/>
  <c r="M109" i="13"/>
  <c r="N109" i="13"/>
  <c r="O109" i="13"/>
  <c r="O120" i="13" s="1"/>
  <c r="D110" i="13"/>
  <c r="D121" i="13" s="1"/>
  <c r="E110" i="13"/>
  <c r="F110" i="13"/>
  <c r="G110" i="13"/>
  <c r="G121" i="13" s="1"/>
  <c r="H110" i="13"/>
  <c r="H121" i="13" s="1"/>
  <c r="I110" i="13"/>
  <c r="J110" i="13"/>
  <c r="K110" i="13"/>
  <c r="K121" i="13" s="1"/>
  <c r="L110" i="13"/>
  <c r="L121" i="13" s="1"/>
  <c r="M110" i="13"/>
  <c r="N110" i="13"/>
  <c r="O110" i="13"/>
  <c r="D111" i="13"/>
  <c r="E111" i="13"/>
  <c r="F111" i="13"/>
  <c r="G111" i="13"/>
  <c r="G122" i="13" s="1"/>
  <c r="H111" i="13"/>
  <c r="H122" i="13" s="1"/>
  <c r="I111" i="13"/>
  <c r="I122" i="13" s="1"/>
  <c r="J111" i="13"/>
  <c r="K111" i="13"/>
  <c r="K122" i="13" s="1"/>
  <c r="L111" i="13"/>
  <c r="L122" i="13" s="1"/>
  <c r="M111" i="13"/>
  <c r="N111" i="13"/>
  <c r="O111" i="13"/>
  <c r="O122" i="13" s="1"/>
  <c r="D112" i="13"/>
  <c r="D123" i="13" s="1"/>
  <c r="E112" i="13"/>
  <c r="E123" i="13" s="1"/>
  <c r="F112" i="13"/>
  <c r="G112" i="13"/>
  <c r="G123" i="13" s="1"/>
  <c r="H112" i="13"/>
  <c r="H123" i="13" s="1"/>
  <c r="I112" i="13"/>
  <c r="J112" i="13"/>
  <c r="K112" i="13"/>
  <c r="K123" i="13" s="1"/>
  <c r="L112" i="13"/>
  <c r="L123" i="13" s="1"/>
  <c r="M112" i="13"/>
  <c r="M123" i="13" s="1"/>
  <c r="N112" i="13"/>
  <c r="O112" i="13"/>
  <c r="O123" i="13" s="1"/>
  <c r="D113" i="13"/>
  <c r="D124" i="13" s="1"/>
  <c r="E113" i="13"/>
  <c r="F113" i="13"/>
  <c r="G113" i="13"/>
  <c r="G124" i="13" s="1"/>
  <c r="H113" i="13"/>
  <c r="H124" i="13" s="1"/>
  <c r="I113" i="13"/>
  <c r="I124" i="13" s="1"/>
  <c r="J113" i="13"/>
  <c r="K113" i="13"/>
  <c r="K124" i="13" s="1"/>
  <c r="L113" i="13"/>
  <c r="L124" i="13" s="1"/>
  <c r="M113" i="13"/>
  <c r="N113" i="13"/>
  <c r="O113" i="13"/>
  <c r="O124" i="13" s="1"/>
  <c r="D114" i="13"/>
  <c r="D125" i="13" s="1"/>
  <c r="E114" i="13"/>
  <c r="E125" i="13" s="1"/>
  <c r="F114" i="13"/>
  <c r="G114" i="13"/>
  <c r="G125" i="13" s="1"/>
  <c r="H114" i="13"/>
  <c r="I114" i="13"/>
  <c r="J114" i="13"/>
  <c r="K114" i="13"/>
  <c r="K125" i="13" s="1"/>
  <c r="L114" i="13"/>
  <c r="L125" i="13" s="1"/>
  <c r="M114" i="13"/>
  <c r="M125" i="13" s="1"/>
  <c r="N114" i="13"/>
  <c r="O114" i="13"/>
  <c r="O125" i="13" s="1"/>
  <c r="D115" i="13"/>
  <c r="D126" i="13" s="1"/>
  <c r="E115" i="13"/>
  <c r="F115" i="13"/>
  <c r="G115" i="13"/>
  <c r="G126" i="13" s="1"/>
  <c r="H115" i="13"/>
  <c r="H126" i="13" s="1"/>
  <c r="I115" i="13"/>
  <c r="I126" i="13" s="1"/>
  <c r="J115" i="13"/>
  <c r="K115" i="13"/>
  <c r="K126" i="13" s="1"/>
  <c r="L115" i="13"/>
  <c r="L126" i="13" s="1"/>
  <c r="M115" i="13"/>
  <c r="N115" i="13"/>
  <c r="O115" i="13"/>
  <c r="O126" i="13" s="1"/>
  <c r="F116" i="13"/>
  <c r="G116" i="13"/>
  <c r="H116" i="13"/>
  <c r="J116" i="13"/>
  <c r="N116" i="13"/>
  <c r="D120" i="13"/>
  <c r="D127" i="13" s="1"/>
  <c r="E120" i="13"/>
  <c r="F120" i="13"/>
  <c r="J120" i="13"/>
  <c r="L120" i="13"/>
  <c r="L127" i="13" s="1"/>
  <c r="M120" i="13"/>
  <c r="N120" i="13"/>
  <c r="F121" i="13"/>
  <c r="I121" i="13"/>
  <c r="J121" i="13"/>
  <c r="N121" i="13"/>
  <c r="D122" i="13"/>
  <c r="E122" i="13"/>
  <c r="F122" i="13"/>
  <c r="J122" i="13"/>
  <c r="M122" i="13"/>
  <c r="N122" i="13"/>
  <c r="F123" i="13"/>
  <c r="I123" i="13"/>
  <c r="J123" i="13"/>
  <c r="N123" i="13"/>
  <c r="E124" i="13"/>
  <c r="F124" i="13"/>
  <c r="J124" i="13"/>
  <c r="M124" i="13"/>
  <c r="N124" i="13"/>
  <c r="F125" i="13"/>
  <c r="H125" i="13"/>
  <c r="I125" i="13"/>
  <c r="J125" i="13"/>
  <c r="N125" i="13"/>
  <c r="E126" i="13"/>
  <c r="F126" i="13"/>
  <c r="J126" i="13"/>
  <c r="M126" i="13"/>
  <c r="N126" i="13"/>
  <c r="F127" i="13"/>
  <c r="H127" i="13"/>
  <c r="J127" i="13"/>
  <c r="N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M138" i="13" s="1"/>
  <c r="N132" i="13"/>
  <c r="O132" i="13"/>
  <c r="D133" i="13"/>
  <c r="D138" i="13" s="1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E138" i="13"/>
  <c r="F138" i="13"/>
  <c r="H138" i="13"/>
  <c r="J138" i="13"/>
  <c r="K138" i="13"/>
  <c r="L138" i="13"/>
  <c r="N138" i="13"/>
  <c r="O138" i="13"/>
  <c r="AZ14" i="14"/>
  <c r="AY259" i="14" s="1"/>
  <c r="AY181" i="14"/>
  <c r="AY179" i="14"/>
  <c r="AY177" i="14"/>
  <c r="AY260" i="14" s="1"/>
  <c r="AY175" i="14"/>
  <c r="AX259" i="14"/>
  <c r="AY14" i="14"/>
  <c r="AX181" i="14"/>
  <c r="AX179" i="14"/>
  <c r="AX177" i="14"/>
  <c r="AX175" i="14"/>
  <c r="AX260" i="14" s="1"/>
  <c r="AX14" i="14"/>
  <c r="AW259" i="14" s="1"/>
  <c r="AW181" i="14"/>
  <c r="AW179" i="14"/>
  <c r="AW177" i="14"/>
  <c r="AW175" i="14"/>
  <c r="AW260" i="14" s="1"/>
  <c r="AW14" i="14"/>
  <c r="AV259" i="14" s="1"/>
  <c r="AV181" i="14"/>
  <c r="AV179" i="14"/>
  <c r="AV177" i="14"/>
  <c r="AV175" i="14"/>
  <c r="AV260" i="14" s="1"/>
  <c r="AU259" i="14"/>
  <c r="AV14" i="14"/>
  <c r="AU181" i="14"/>
  <c r="AU260" i="14" s="1"/>
  <c r="AU179" i="14"/>
  <c r="AU177" i="14"/>
  <c r="AU175" i="14"/>
  <c r="AU14" i="14"/>
  <c r="AT259" i="14" s="1"/>
  <c r="AT181" i="14"/>
  <c r="AT179" i="14"/>
  <c r="AT260" i="14" s="1"/>
  <c r="AT177" i="14"/>
  <c r="AT175" i="14"/>
  <c r="AS259" i="14"/>
  <c r="AT14" i="14"/>
  <c r="AS181" i="14"/>
  <c r="AS179" i="14"/>
  <c r="AS177" i="14"/>
  <c r="AS175" i="14"/>
  <c r="AS14" i="14"/>
  <c r="AR259" i="14" s="1"/>
  <c r="AR181" i="14"/>
  <c r="AR179" i="14"/>
  <c r="AR177" i="14"/>
  <c r="AR175" i="14"/>
  <c r="AQ260" i="14"/>
  <c r="AR14" i="14"/>
  <c r="AQ259" i="14" s="1"/>
  <c r="AQ181" i="14"/>
  <c r="AQ179" i="14"/>
  <c r="AQ177" i="14"/>
  <c r="AQ175" i="14"/>
  <c r="AP259" i="14"/>
  <c r="AQ14" i="14"/>
  <c r="AP181" i="14"/>
  <c r="AP179" i="14"/>
  <c r="AP260" i="14" s="1"/>
  <c r="AP177" i="14"/>
  <c r="AP175" i="14"/>
  <c r="AO259" i="14"/>
  <c r="AP14" i="14"/>
  <c r="AO181" i="14"/>
  <c r="AO179" i="14"/>
  <c r="AO177" i="14"/>
  <c r="AO175" i="14"/>
  <c r="AO14" i="14"/>
  <c r="AN259" i="14" s="1"/>
  <c r="AN181" i="14"/>
  <c r="AN179" i="14"/>
  <c r="AN177" i="14"/>
  <c r="AN175" i="14"/>
  <c r="AM260" i="14"/>
  <c r="AM259" i="14"/>
  <c r="AN14" i="14"/>
  <c r="AM181" i="14"/>
  <c r="AM179" i="14"/>
  <c r="AM177" i="14"/>
  <c r="AM175" i="14"/>
  <c r="AL259" i="14"/>
  <c r="AM14" i="14"/>
  <c r="AL181" i="14"/>
  <c r="AL179" i="14"/>
  <c r="AL177" i="14"/>
  <c r="AL260" i="14" s="1"/>
  <c r="AL175" i="14"/>
  <c r="AL14" i="14"/>
  <c r="AK259" i="14" s="1"/>
  <c r="AK181" i="14"/>
  <c r="AK179" i="14"/>
  <c r="AK177" i="14"/>
  <c r="AK175" i="14"/>
  <c r="AK14" i="14"/>
  <c r="AJ259" i="14" s="1"/>
  <c r="AJ181" i="14"/>
  <c r="AJ179" i="14"/>
  <c r="AJ177" i="14"/>
  <c r="AJ175" i="14"/>
  <c r="AI260" i="14"/>
  <c r="AJ14" i="14"/>
  <c r="AI259" i="14" s="1"/>
  <c r="AI181" i="14"/>
  <c r="AI179" i="14"/>
  <c r="AI177" i="14"/>
  <c r="AI175" i="14"/>
  <c r="AH260" i="14"/>
  <c r="AH259" i="14"/>
  <c r="AI14" i="14"/>
  <c r="AH181" i="14"/>
  <c r="AH179" i="14"/>
  <c r="AH177" i="14"/>
  <c r="AH175" i="14"/>
  <c r="AH14" i="14"/>
  <c r="AG259" i="14" s="1"/>
  <c r="AG181" i="14"/>
  <c r="AG179" i="14"/>
  <c r="AG177" i="14"/>
  <c r="AG175" i="14"/>
  <c r="AG260" i="14" s="1"/>
  <c r="AF260" i="14"/>
  <c r="AG14" i="14"/>
  <c r="AF259" i="14" s="1"/>
  <c r="AF181" i="14"/>
  <c r="AF179" i="14"/>
  <c r="AF177" i="14"/>
  <c r="AF175" i="14"/>
  <c r="AE259" i="14"/>
  <c r="AF14" i="14"/>
  <c r="AE181" i="14"/>
  <c r="AE179" i="14"/>
  <c r="AE177" i="14"/>
  <c r="AE175" i="14"/>
  <c r="AD260" i="14"/>
  <c r="AE14" i="14"/>
  <c r="AD259" i="14" s="1"/>
  <c r="AD181" i="14"/>
  <c r="AD179" i="14"/>
  <c r="AD177" i="14"/>
  <c r="AD175" i="14"/>
  <c r="AD14" i="14"/>
  <c r="AC259" i="14" s="1"/>
  <c r="AC181" i="14"/>
  <c r="AC179" i="14"/>
  <c r="AC177" i="14"/>
  <c r="AC175" i="14"/>
  <c r="AC260" i="14" s="1"/>
  <c r="AC14" i="14"/>
  <c r="AB259" i="14" s="1"/>
  <c r="AB181" i="14"/>
  <c r="AB179" i="14"/>
  <c r="AB177" i="14"/>
  <c r="AB175" i="14"/>
  <c r="AB14" i="14"/>
  <c r="AA259" i="14" s="1"/>
  <c r="AA181" i="14"/>
  <c r="AA179" i="14"/>
  <c r="AA177" i="14"/>
  <c r="AA260" i="14" s="1"/>
  <c r="AA175" i="14"/>
  <c r="Z259" i="14"/>
  <c r="AA14" i="14"/>
  <c r="Z181" i="14"/>
  <c r="Z179" i="14"/>
  <c r="Z177" i="14"/>
  <c r="Z175" i="14"/>
  <c r="Z260" i="14" s="1"/>
  <c r="Z14" i="14"/>
  <c r="Y259" i="14" s="1"/>
  <c r="Y181" i="14"/>
  <c r="Y179" i="14"/>
  <c r="Y177" i="14"/>
  <c r="Y175" i="14"/>
  <c r="Y260" i="14" s="1"/>
  <c r="Y14" i="14"/>
  <c r="X259" i="14" s="1"/>
  <c r="X181" i="14"/>
  <c r="X179" i="14"/>
  <c r="X177" i="14"/>
  <c r="X175" i="14"/>
  <c r="X260" i="14" s="1"/>
  <c r="W259" i="14"/>
  <c r="X14" i="14"/>
  <c r="W181" i="14"/>
  <c r="W260" i="14" s="1"/>
  <c r="W179" i="14"/>
  <c r="W177" i="14"/>
  <c r="W175" i="14"/>
  <c r="V259" i="14"/>
  <c r="W14" i="14"/>
  <c r="V181" i="14"/>
  <c r="V179" i="14"/>
  <c r="V177" i="14"/>
  <c r="V175" i="14"/>
  <c r="V14" i="14"/>
  <c r="U259" i="14" s="1"/>
  <c r="U181" i="14"/>
  <c r="U179" i="14"/>
  <c r="U177" i="14"/>
  <c r="U175" i="14"/>
  <c r="U14" i="14"/>
  <c r="T259" i="14" s="1"/>
  <c r="T181" i="14"/>
  <c r="T179" i="14"/>
  <c r="T177" i="14"/>
  <c r="T175" i="14"/>
  <c r="T14" i="14"/>
  <c r="S259" i="14" s="1"/>
  <c r="S181" i="14"/>
  <c r="S179" i="14"/>
  <c r="S177" i="14"/>
  <c r="S260" i="14" s="1"/>
  <c r="S175" i="14"/>
  <c r="R259" i="14"/>
  <c r="S14" i="14"/>
  <c r="R181" i="14"/>
  <c r="R179" i="14"/>
  <c r="R177" i="14"/>
  <c r="R175" i="14"/>
  <c r="R260" i="14" s="1"/>
  <c r="R14" i="14"/>
  <c r="Q259" i="14" s="1"/>
  <c r="Q181" i="14"/>
  <c r="Q179" i="14"/>
  <c r="Q177" i="14"/>
  <c r="Q175" i="14"/>
  <c r="Q260" i="14" s="1"/>
  <c r="P260" i="14"/>
  <c r="Q14" i="14"/>
  <c r="P259" i="14" s="1"/>
  <c r="P181" i="14"/>
  <c r="P179" i="14"/>
  <c r="P177" i="14"/>
  <c r="P175" i="14"/>
  <c r="O259" i="14"/>
  <c r="P14" i="14"/>
  <c r="O181" i="14"/>
  <c r="O260" i="14" s="1"/>
  <c r="O179" i="14"/>
  <c r="O177" i="14"/>
  <c r="O175" i="14"/>
  <c r="O14" i="14"/>
  <c r="N259" i="14" s="1"/>
  <c r="N181" i="14"/>
  <c r="N179" i="14"/>
  <c r="N260" i="14" s="1"/>
  <c r="N177" i="14"/>
  <c r="N175" i="14"/>
  <c r="M259" i="14"/>
  <c r="N14" i="14"/>
  <c r="M181" i="14"/>
  <c r="M179" i="14"/>
  <c r="M177" i="14"/>
  <c r="M175" i="14"/>
  <c r="M260" i="14" s="1"/>
  <c r="M14" i="14"/>
  <c r="L259" i="14" s="1"/>
  <c r="L181" i="14"/>
  <c r="L179" i="14"/>
  <c r="L177" i="14"/>
  <c r="L175" i="14"/>
  <c r="L14" i="14"/>
  <c r="K259" i="14" s="1"/>
  <c r="K181" i="14"/>
  <c r="K260" i="14" s="1"/>
  <c r="K179" i="14"/>
  <c r="K177" i="14"/>
  <c r="K175" i="14"/>
  <c r="J259" i="14"/>
  <c r="K14" i="14"/>
  <c r="J181" i="14"/>
  <c r="J179" i="14"/>
  <c r="J260" i="14" s="1"/>
  <c r="J177" i="14"/>
  <c r="J175" i="14"/>
  <c r="J14" i="14"/>
  <c r="I259" i="14" s="1"/>
  <c r="I181" i="14"/>
  <c r="I179" i="14"/>
  <c r="I177" i="14"/>
  <c r="I175" i="14"/>
  <c r="I260" i="14" s="1"/>
  <c r="I14" i="14"/>
  <c r="H259" i="14" s="1"/>
  <c r="H181" i="14"/>
  <c r="H179" i="14"/>
  <c r="H177" i="14"/>
  <c r="H175" i="14"/>
  <c r="H260" i="14" s="1"/>
  <c r="G260" i="14"/>
  <c r="G259" i="14"/>
  <c r="H14" i="14"/>
  <c r="G181" i="14"/>
  <c r="G179" i="14"/>
  <c r="G177" i="14"/>
  <c r="G175" i="14"/>
  <c r="F260" i="14"/>
  <c r="G14" i="14"/>
  <c r="F259" i="14" s="1"/>
  <c r="F181" i="14"/>
  <c r="F179" i="14"/>
  <c r="F177" i="14"/>
  <c r="F175" i="14"/>
  <c r="F14" i="14"/>
  <c r="E259" i="14" s="1"/>
  <c r="E181" i="14"/>
  <c r="E179" i="14"/>
  <c r="E177" i="14"/>
  <c r="E175" i="14"/>
  <c r="E14" i="14"/>
  <c r="D181" i="14"/>
  <c r="D179" i="14"/>
  <c r="D177" i="14"/>
  <c r="D175" i="14"/>
  <c r="D260" i="14" s="1"/>
  <c r="AZ14" i="15"/>
  <c r="AY259" i="15" s="1"/>
  <c r="AY181" i="15"/>
  <c r="AY179" i="15"/>
  <c r="AY260" i="15" s="1"/>
  <c r="AY177" i="15"/>
  <c r="AY175" i="15"/>
  <c r="AX259" i="15"/>
  <c r="AY14" i="15"/>
  <c r="AX181" i="15"/>
  <c r="AX179" i="15"/>
  <c r="AX177" i="15"/>
  <c r="AX260" i="15" s="1"/>
  <c r="AX175" i="15"/>
  <c r="AX14" i="15"/>
  <c r="AW259" i="15" s="1"/>
  <c r="AW181" i="15"/>
  <c r="AW179" i="15"/>
  <c r="AW177" i="15"/>
  <c r="AW175" i="15"/>
  <c r="AW260" i="15" s="1"/>
  <c r="AW14" i="15"/>
  <c r="AV259" i="15" s="1"/>
  <c r="AV181" i="15"/>
  <c r="AV179" i="15"/>
  <c r="AV177" i="15"/>
  <c r="AV175" i="15"/>
  <c r="AV260" i="15" s="1"/>
  <c r="AU259" i="15"/>
  <c r="AV14" i="15"/>
  <c r="AU181" i="15"/>
  <c r="AU179" i="15"/>
  <c r="AU260" i="15" s="1"/>
  <c r="AU177" i="15"/>
  <c r="AU175" i="15"/>
  <c r="AT260" i="15"/>
  <c r="AU14" i="15"/>
  <c r="AT259" i="15" s="1"/>
  <c r="AT181" i="15"/>
  <c r="AT179" i="15"/>
  <c r="AT177" i="15"/>
  <c r="AT175" i="15"/>
  <c r="AT14" i="15"/>
  <c r="AS259" i="15" s="1"/>
  <c r="AS181" i="15"/>
  <c r="AS179" i="15"/>
  <c r="AS177" i="15"/>
  <c r="AS175" i="15"/>
  <c r="AS260" i="15" s="1"/>
  <c r="AS14" i="15"/>
  <c r="AR259" i="15" s="1"/>
  <c r="AR181" i="15"/>
  <c r="AR179" i="15"/>
  <c r="AR177" i="15"/>
  <c r="AR175" i="15"/>
  <c r="AR14" i="15"/>
  <c r="AQ259" i="15" s="1"/>
  <c r="AQ181" i="15"/>
  <c r="AQ179" i="15"/>
  <c r="AQ177" i="15"/>
  <c r="AQ260" i="15" s="1"/>
  <c r="AQ175" i="15"/>
  <c r="AP259" i="15"/>
  <c r="AQ14" i="15"/>
  <c r="AP181" i="15"/>
  <c r="AP179" i="15"/>
  <c r="AP177" i="15"/>
  <c r="AP175" i="15"/>
  <c r="AP260" i="15" s="1"/>
  <c r="AO259" i="15"/>
  <c r="AP14" i="15"/>
  <c r="AO181" i="15"/>
  <c r="AO179" i="15"/>
  <c r="AO177" i="15"/>
  <c r="AO175" i="15"/>
  <c r="AO14" i="15"/>
  <c r="AN259" i="15" s="1"/>
  <c r="AN181" i="15"/>
  <c r="AN179" i="15"/>
  <c r="AN177" i="15"/>
  <c r="AN175" i="15"/>
  <c r="AN260" i="15" s="1"/>
  <c r="AM259" i="15"/>
  <c r="AN14" i="15"/>
  <c r="AM181" i="15"/>
  <c r="AM179" i="15"/>
  <c r="AM260" i="15" s="1"/>
  <c r="AM177" i="15"/>
  <c r="AM175" i="15"/>
  <c r="AL259" i="15"/>
  <c r="AM14" i="15"/>
  <c r="AL181" i="15"/>
  <c r="AL179" i="15"/>
  <c r="AL177" i="15"/>
  <c r="AL260" i="15" s="1"/>
  <c r="AL175" i="15"/>
  <c r="AL14" i="15"/>
  <c r="AK259" i="15" s="1"/>
  <c r="AK181" i="15"/>
  <c r="AK179" i="15"/>
  <c r="AK177" i="15"/>
  <c r="AK175" i="15"/>
  <c r="AK260" i="15" s="1"/>
  <c r="AK14" i="15"/>
  <c r="AJ259" i="15" s="1"/>
  <c r="AJ181" i="15"/>
  <c r="AJ179" i="15"/>
  <c r="AJ177" i="15"/>
  <c r="AJ175" i="15"/>
  <c r="AI260" i="15"/>
  <c r="AJ14" i="15"/>
  <c r="AI259" i="15" s="1"/>
  <c r="AI181" i="15"/>
  <c r="AI179" i="15"/>
  <c r="AI177" i="15"/>
  <c r="AI175" i="15"/>
  <c r="AH259" i="15"/>
  <c r="AI14" i="15"/>
  <c r="AH181" i="15"/>
  <c r="AH179" i="15"/>
  <c r="AH177" i="15"/>
  <c r="AH175" i="15"/>
  <c r="AH14" i="15"/>
  <c r="AG259" i="15" s="1"/>
  <c r="AG181" i="15"/>
  <c r="AG179" i="15"/>
  <c r="AG177" i="15"/>
  <c r="AG175" i="15"/>
  <c r="AG260" i="15" s="1"/>
  <c r="AF260" i="15"/>
  <c r="AG14" i="15"/>
  <c r="AF259" i="15" s="1"/>
  <c r="AF181" i="15"/>
  <c r="AF179" i="15"/>
  <c r="AF177" i="15"/>
  <c r="AF175" i="15"/>
  <c r="AE259" i="15"/>
  <c r="AF14" i="15"/>
  <c r="AE181" i="15"/>
  <c r="AE260" i="15" s="1"/>
  <c r="AE179" i="15"/>
  <c r="AE177" i="15"/>
  <c r="AE175" i="15"/>
  <c r="AE14" i="15"/>
  <c r="AD259" i="15" s="1"/>
  <c r="AD181" i="15"/>
  <c r="AD179" i="15"/>
  <c r="AD260" i="15" s="1"/>
  <c r="AD177" i="15"/>
  <c r="AD175" i="15"/>
  <c r="AD14" i="15"/>
  <c r="AC259" i="15" s="1"/>
  <c r="AC181" i="15"/>
  <c r="AC179" i="15"/>
  <c r="AC177" i="15"/>
  <c r="AC175" i="15"/>
  <c r="AC260" i="15" s="1"/>
  <c r="AC14" i="15"/>
  <c r="AB259" i="15" s="1"/>
  <c r="AB181" i="15"/>
  <c r="AB179" i="15"/>
  <c r="AB177" i="15"/>
  <c r="AB175" i="15"/>
  <c r="AA260" i="15"/>
  <c r="AB14" i="15"/>
  <c r="AA259" i="15" s="1"/>
  <c r="AA181" i="15"/>
  <c r="AA179" i="15"/>
  <c r="AA177" i="15"/>
  <c r="AA175" i="15"/>
  <c r="Z259" i="15"/>
  <c r="AA14" i="15"/>
  <c r="Z181" i="15"/>
  <c r="Z179" i="15"/>
  <c r="Z260" i="15" s="1"/>
  <c r="Z177" i="15"/>
  <c r="Z175" i="15"/>
  <c r="Z14" i="15"/>
  <c r="Y259" i="15" s="1"/>
  <c r="Y181" i="15"/>
  <c r="Y179" i="15"/>
  <c r="Y177" i="15"/>
  <c r="Y175" i="15"/>
  <c r="Y260" i="15" s="1"/>
  <c r="Y14" i="15"/>
  <c r="X259" i="15" s="1"/>
  <c r="X181" i="15"/>
  <c r="X179" i="15"/>
  <c r="X177" i="15"/>
  <c r="X175" i="15"/>
  <c r="X260" i="15" s="1"/>
  <c r="W260" i="15"/>
  <c r="W259" i="15"/>
  <c r="X14" i="15"/>
  <c r="W181" i="15"/>
  <c r="W179" i="15"/>
  <c r="W177" i="15"/>
  <c r="W175" i="15"/>
  <c r="V260" i="15"/>
  <c r="V259" i="15"/>
  <c r="W14" i="15"/>
  <c r="V181" i="15"/>
  <c r="V179" i="15"/>
  <c r="V177" i="15"/>
  <c r="V175" i="15"/>
  <c r="V14" i="15"/>
  <c r="U259" i="15" s="1"/>
  <c r="U181" i="15"/>
  <c r="U179" i="15"/>
  <c r="U177" i="15"/>
  <c r="U175" i="15"/>
  <c r="U14" i="15"/>
  <c r="T259" i="15" s="1"/>
  <c r="T181" i="15"/>
  <c r="T179" i="15"/>
  <c r="T177" i="15"/>
  <c r="T175" i="15"/>
  <c r="T260" i="15" s="1"/>
  <c r="T14" i="15"/>
  <c r="S259" i="15" s="1"/>
  <c r="S181" i="15"/>
  <c r="S179" i="15"/>
  <c r="S260" i="15" s="1"/>
  <c r="S177" i="15"/>
  <c r="S175" i="15"/>
  <c r="R259" i="15"/>
  <c r="S14" i="15"/>
  <c r="R181" i="15"/>
  <c r="R179" i="15"/>
  <c r="R177" i="15"/>
  <c r="R175" i="15"/>
  <c r="R14" i="15"/>
  <c r="Q259" i="15" s="1"/>
  <c r="Q181" i="15"/>
  <c r="Q179" i="15"/>
  <c r="Q177" i="15"/>
  <c r="Q175" i="15"/>
  <c r="Q260" i="15" s="1"/>
  <c r="Q14" i="15"/>
  <c r="P259" i="15" s="1"/>
  <c r="P181" i="15"/>
  <c r="P179" i="15"/>
  <c r="P177" i="15"/>
  <c r="P175" i="15"/>
  <c r="P260" i="15" s="1"/>
  <c r="O259" i="15"/>
  <c r="P14" i="15"/>
  <c r="O181" i="15"/>
  <c r="O179" i="15"/>
  <c r="O260" i="15" s="1"/>
  <c r="O177" i="15"/>
  <c r="O175" i="15"/>
  <c r="N260" i="15"/>
  <c r="O14" i="15"/>
  <c r="N259" i="15" s="1"/>
  <c r="N181" i="15"/>
  <c r="N179" i="15"/>
  <c r="N177" i="15"/>
  <c r="N175" i="15"/>
  <c r="M259" i="15"/>
  <c r="N14" i="15"/>
  <c r="M181" i="15"/>
  <c r="M179" i="15"/>
  <c r="M177" i="15"/>
  <c r="M175" i="15"/>
  <c r="M14" i="15"/>
  <c r="L259" i="15" s="1"/>
  <c r="L181" i="15"/>
  <c r="L179" i="15"/>
  <c r="L177" i="15"/>
  <c r="L175" i="15"/>
  <c r="L14" i="15"/>
  <c r="K259" i="15" s="1"/>
  <c r="K181" i="15"/>
  <c r="K179" i="15"/>
  <c r="K177" i="15"/>
  <c r="K175" i="15"/>
  <c r="J260" i="15"/>
  <c r="J259" i="15"/>
  <c r="K14" i="15"/>
  <c r="J181" i="15"/>
  <c r="J179" i="15"/>
  <c r="J177" i="15"/>
  <c r="J175" i="15"/>
  <c r="J14" i="15"/>
  <c r="I259" i="15" s="1"/>
  <c r="I181" i="15"/>
  <c r="I179" i="15"/>
  <c r="I177" i="15"/>
  <c r="I175" i="15"/>
  <c r="I260" i="15" s="1"/>
  <c r="I14" i="15"/>
  <c r="H259" i="15" s="1"/>
  <c r="H181" i="15"/>
  <c r="H179" i="15"/>
  <c r="H177" i="15"/>
  <c r="H175" i="15"/>
  <c r="G259" i="15"/>
  <c r="H14" i="15"/>
  <c r="G181" i="15"/>
  <c r="G179" i="15"/>
  <c r="G260" i="15" s="1"/>
  <c r="G177" i="15"/>
  <c r="G175" i="15"/>
  <c r="G14" i="15"/>
  <c r="F259" i="15" s="1"/>
  <c r="F181" i="15"/>
  <c r="F179" i="15"/>
  <c r="F177" i="15"/>
  <c r="F260" i="15" s="1"/>
  <c r="F175" i="15"/>
  <c r="F14" i="15"/>
  <c r="E259" i="15" s="1"/>
  <c r="E181" i="15"/>
  <c r="E179" i="15"/>
  <c r="E177" i="15"/>
  <c r="E175" i="15"/>
  <c r="E260" i="15" s="1"/>
  <c r="E14" i="15"/>
  <c r="D259" i="15" s="1"/>
  <c r="D181" i="15"/>
  <c r="D179" i="15"/>
  <c r="D177" i="15"/>
  <c r="D175" i="15"/>
  <c r="AY14" i="16"/>
  <c r="AY10" i="16" s="1"/>
  <c r="AY13" i="16" s="1"/>
  <c r="AY15" i="16"/>
  <c r="AY16" i="16"/>
  <c r="AY17" i="16"/>
  <c r="AY29" i="16"/>
  <c r="AX14" i="16"/>
  <c r="AX10" i="16" s="1"/>
  <c r="AX13" i="16" s="1"/>
  <c r="AX15" i="16"/>
  <c r="AX16" i="16"/>
  <c r="AX17" i="16"/>
  <c r="AX29" i="16"/>
  <c r="AW14" i="16"/>
  <c r="AW15" i="16"/>
  <c r="AW16" i="16"/>
  <c r="AW17" i="16"/>
  <c r="AW29" i="16"/>
  <c r="AV14" i="16"/>
  <c r="AV15" i="16"/>
  <c r="AV16" i="16"/>
  <c r="AV10" i="16"/>
  <c r="AV13" i="16" s="1"/>
  <c r="AV17" i="16"/>
  <c r="AV29" i="16"/>
  <c r="AU14" i="16"/>
  <c r="AU15" i="16"/>
  <c r="AU10" i="16" s="1"/>
  <c r="AU13" i="16" s="1"/>
  <c r="AU16" i="16"/>
  <c r="AU17" i="16"/>
  <c r="AU29" i="16"/>
  <c r="AT14" i="16"/>
  <c r="AT15" i="16"/>
  <c r="AT16" i="16"/>
  <c r="AT17" i="16"/>
  <c r="AT29" i="16"/>
  <c r="AS14" i="16"/>
  <c r="AS15" i="16"/>
  <c r="AS16" i="16"/>
  <c r="AS17" i="16"/>
  <c r="AS29" i="16"/>
  <c r="AR14" i="16"/>
  <c r="AR15" i="16"/>
  <c r="AR16" i="16"/>
  <c r="AR10" i="16" s="1"/>
  <c r="AR13" i="16" s="1"/>
  <c r="AR17" i="16"/>
  <c r="AR29" i="16"/>
  <c r="AQ14" i="16"/>
  <c r="AQ10" i="16" s="1"/>
  <c r="AQ13" i="16" s="1"/>
  <c r="AQ15" i="16"/>
  <c r="AQ16" i="16"/>
  <c r="AQ17" i="16"/>
  <c r="AQ29" i="16"/>
  <c r="AP15" i="16"/>
  <c r="AP21" i="16"/>
  <c r="AP44" i="16" s="1"/>
  <c r="AP46" i="16" s="1"/>
  <c r="AP22" i="16"/>
  <c r="AP23" i="16"/>
  <c r="AP24" i="16"/>
  <c r="AP29" i="16"/>
  <c r="AP33" i="16"/>
  <c r="AP34" i="16"/>
  <c r="AP40" i="16"/>
  <c r="AP45" i="16"/>
  <c r="AP50" i="16"/>
  <c r="AP51" i="16"/>
  <c r="AO14" i="16"/>
  <c r="AO15" i="16"/>
  <c r="AO16" i="16"/>
  <c r="AP17" i="16" s="1"/>
  <c r="AO17" i="16"/>
  <c r="AO29" i="16"/>
  <c r="AN14" i="16"/>
  <c r="AN10" i="16" s="1"/>
  <c r="AN13" i="16" s="1"/>
  <c r="AN15" i="16"/>
  <c r="AN16" i="16"/>
  <c r="AN17" i="16"/>
  <c r="AN29" i="16"/>
  <c r="AM14" i="16"/>
  <c r="AM15" i="16"/>
  <c r="AM16" i="16"/>
  <c r="AM10" i="16"/>
  <c r="AM13" i="16" s="1"/>
  <c r="AM17" i="16"/>
  <c r="AM29" i="16"/>
  <c r="AL14" i="16"/>
  <c r="AL15" i="16"/>
  <c r="AL16" i="16"/>
  <c r="AL17" i="16"/>
  <c r="AL29" i="16"/>
  <c r="AK14" i="16"/>
  <c r="AK15" i="16"/>
  <c r="AK16" i="16"/>
  <c r="AK10" i="16"/>
  <c r="AK13" i="16" s="1"/>
  <c r="AK17" i="16"/>
  <c r="AK29" i="16"/>
  <c r="AJ14" i="16"/>
  <c r="AJ15" i="16"/>
  <c r="AJ16" i="16"/>
  <c r="AJ10" i="16" s="1"/>
  <c r="AJ13" i="16" s="1"/>
  <c r="AJ17" i="16"/>
  <c r="AJ29" i="16"/>
  <c r="AI14" i="16"/>
  <c r="AI15" i="16"/>
  <c r="AI16" i="16"/>
  <c r="AI10" i="16"/>
  <c r="AI13" i="16" s="1"/>
  <c r="AJ22" i="16" s="1"/>
  <c r="AI17" i="16"/>
  <c r="AI29" i="16"/>
  <c r="AH14" i="16"/>
  <c r="AH15" i="16"/>
  <c r="AH16" i="16"/>
  <c r="AH17" i="16"/>
  <c r="AH29" i="16"/>
  <c r="AG14" i="16"/>
  <c r="AG15" i="16"/>
  <c r="AG10" i="16" s="1"/>
  <c r="AG13" i="16" s="1"/>
  <c r="AG16" i="16"/>
  <c r="AG17" i="16"/>
  <c r="AG29" i="16"/>
  <c r="AF14" i="16"/>
  <c r="AF15" i="16"/>
  <c r="AF16" i="16"/>
  <c r="AF10" i="16"/>
  <c r="AF13" i="16" s="1"/>
  <c r="AF17" i="16"/>
  <c r="AF29" i="16"/>
  <c r="AE14" i="16"/>
  <c r="AE15" i="16"/>
  <c r="AE16" i="16"/>
  <c r="AE17" i="16"/>
  <c r="AE29" i="16"/>
  <c r="AD14" i="16"/>
  <c r="AD10" i="16" s="1"/>
  <c r="AD13" i="16" s="1"/>
  <c r="AD15" i="16"/>
  <c r="AD16" i="16"/>
  <c r="AD17" i="16"/>
  <c r="AD29" i="16"/>
  <c r="AC14" i="16"/>
  <c r="AC10" i="16" s="1"/>
  <c r="AC13" i="16" s="1"/>
  <c r="AC15" i="16"/>
  <c r="AC16" i="16"/>
  <c r="AC17" i="16"/>
  <c r="AC29" i="16"/>
  <c r="AB14" i="16"/>
  <c r="AB15" i="16"/>
  <c r="AB16" i="16"/>
  <c r="AB17" i="16"/>
  <c r="AB29" i="16"/>
  <c r="AA15" i="16"/>
  <c r="AA16" i="16"/>
  <c r="AA21" i="16"/>
  <c r="AA22" i="16"/>
  <c r="AA24" i="16" s="1"/>
  <c r="AA29" i="16"/>
  <c r="AA45" i="16"/>
  <c r="AA51" i="16" s="1"/>
  <c r="Z14" i="16"/>
  <c r="Z15" i="16"/>
  <c r="Z16" i="16"/>
  <c r="AA17" i="16" s="1"/>
  <c r="Z17" i="16"/>
  <c r="Z29" i="16"/>
  <c r="Y14" i="16"/>
  <c r="Y15" i="16"/>
  <c r="Y10" i="16" s="1"/>
  <c r="Y13" i="16" s="1"/>
  <c r="Y16" i="16"/>
  <c r="Y17" i="16"/>
  <c r="Y29" i="16"/>
  <c r="X14" i="16"/>
  <c r="X15" i="16"/>
  <c r="X16" i="16"/>
  <c r="X17" i="16"/>
  <c r="X29" i="16"/>
  <c r="W14" i="16"/>
  <c r="W10" i="16" s="1"/>
  <c r="W13" i="16" s="1"/>
  <c r="W15" i="16"/>
  <c r="W16" i="16"/>
  <c r="W17" i="16"/>
  <c r="W29" i="16"/>
  <c r="V14" i="16"/>
  <c r="V15" i="16"/>
  <c r="V16" i="16"/>
  <c r="V17" i="16"/>
  <c r="V29" i="16"/>
  <c r="U14" i="16"/>
  <c r="U15" i="16"/>
  <c r="U16" i="16"/>
  <c r="U10" i="16"/>
  <c r="U13" i="16" s="1"/>
  <c r="U17" i="16"/>
  <c r="U29" i="16"/>
  <c r="T14" i="16"/>
  <c r="T10" i="16" s="1"/>
  <c r="T13" i="16" s="1"/>
  <c r="T15" i="16"/>
  <c r="T16" i="16"/>
  <c r="T17" i="16"/>
  <c r="T29" i="16"/>
  <c r="S14" i="16"/>
  <c r="S10" i="16" s="1"/>
  <c r="S13" i="16" s="1"/>
  <c r="S15" i="16"/>
  <c r="S16" i="16"/>
  <c r="S17" i="16"/>
  <c r="S29" i="16"/>
  <c r="R14" i="16"/>
  <c r="R15" i="16"/>
  <c r="R16" i="16"/>
  <c r="R17" i="16"/>
  <c r="R29" i="16"/>
  <c r="Q14" i="16"/>
  <c r="Q15" i="16"/>
  <c r="Q16" i="16"/>
  <c r="Q10" i="16" s="1"/>
  <c r="Q13" i="16" s="1"/>
  <c r="Q17" i="16"/>
  <c r="Q29" i="16"/>
  <c r="P14" i="16"/>
  <c r="P15" i="16"/>
  <c r="P16" i="16"/>
  <c r="P10" i="16"/>
  <c r="P13" i="16" s="1"/>
  <c r="P17" i="16"/>
  <c r="P29" i="16"/>
  <c r="O14" i="16"/>
  <c r="O15" i="16"/>
  <c r="O10" i="16" s="1"/>
  <c r="O13" i="16" s="1"/>
  <c r="O16" i="16"/>
  <c r="O17" i="16"/>
  <c r="O29" i="16"/>
  <c r="N14" i="16"/>
  <c r="N10" i="16" s="1"/>
  <c r="N13" i="16" s="1"/>
  <c r="N15" i="16"/>
  <c r="N16" i="16"/>
  <c r="N17" i="16"/>
  <c r="N29" i="16"/>
  <c r="M14" i="16"/>
  <c r="M15" i="16"/>
  <c r="M16" i="16"/>
  <c r="M17" i="16"/>
  <c r="M29" i="16"/>
  <c r="L14" i="16"/>
  <c r="L15" i="16"/>
  <c r="L16" i="16"/>
  <c r="L10" i="16"/>
  <c r="L13" i="16" s="1"/>
  <c r="L17" i="16"/>
  <c r="L29" i="16"/>
  <c r="K15" i="16"/>
  <c r="K21" i="16"/>
  <c r="K22" i="16"/>
  <c r="K34" i="16" s="1"/>
  <c r="K23" i="16"/>
  <c r="K24" i="16"/>
  <c r="K29" i="16"/>
  <c r="K33" i="16"/>
  <c r="K35" i="16"/>
  <c r="K39" i="16"/>
  <c r="K40" i="16"/>
  <c r="K44" i="16"/>
  <c r="K45" i="16"/>
  <c r="K50" i="16"/>
  <c r="J14" i="16"/>
  <c r="J15" i="16"/>
  <c r="K16" i="16" s="1"/>
  <c r="J16" i="16"/>
  <c r="K17" i="16" s="1"/>
  <c r="J17" i="16"/>
  <c r="J29" i="16"/>
  <c r="I14" i="16"/>
  <c r="I15" i="16"/>
  <c r="I16" i="16"/>
  <c r="I10" i="16"/>
  <c r="I13" i="16" s="1"/>
  <c r="I17" i="16"/>
  <c r="I29" i="16"/>
  <c r="H14" i="16"/>
  <c r="H10" i="16" s="1"/>
  <c r="H15" i="16"/>
  <c r="H16" i="16"/>
  <c r="H13" i="16"/>
  <c r="H17" i="16"/>
  <c r="H29" i="16"/>
  <c r="G14" i="16"/>
  <c r="G15" i="16"/>
  <c r="G16" i="16"/>
  <c r="G17" i="16"/>
  <c r="G29" i="16"/>
  <c r="F14" i="16"/>
  <c r="F10" i="16" s="1"/>
  <c r="F13" i="16" s="1"/>
  <c r="F15" i="16"/>
  <c r="F16" i="16"/>
  <c r="F17" i="16"/>
  <c r="F29" i="16"/>
  <c r="E14" i="16"/>
  <c r="E15" i="16"/>
  <c r="E10" i="16" s="1"/>
  <c r="E13" i="16" s="1"/>
  <c r="E16" i="16"/>
  <c r="E17" i="16"/>
  <c r="E29" i="16"/>
  <c r="D14" i="16"/>
  <c r="D15" i="16"/>
  <c r="D16" i="16"/>
  <c r="D10" i="16" s="1"/>
  <c r="D17" i="16"/>
  <c r="D27" i="16"/>
  <c r="D29" i="16"/>
  <c r="E27" i="16" s="1"/>
  <c r="D30" i="16"/>
  <c r="AY17" i="17"/>
  <c r="AY21" i="17"/>
  <c r="AY22" i="17"/>
  <c r="AY34" i="17" s="1"/>
  <c r="AY23" i="17"/>
  <c r="AY24" i="17"/>
  <c r="AY29" i="17"/>
  <c r="AY33" i="17"/>
  <c r="AY40" i="17"/>
  <c r="AY44" i="17"/>
  <c r="AY45" i="17"/>
  <c r="AY50" i="17"/>
  <c r="AX14" i="17"/>
  <c r="AX15" i="17"/>
  <c r="AY16" i="17" s="1"/>
  <c r="AX16" i="17"/>
  <c r="AX17" i="17"/>
  <c r="AX29" i="17"/>
  <c r="AW14" i="17"/>
  <c r="AW15" i="17"/>
  <c r="AW16" i="17"/>
  <c r="AW17" i="17"/>
  <c r="AW29" i="17"/>
  <c r="AV14" i="17"/>
  <c r="AV15" i="17"/>
  <c r="AV16" i="17"/>
  <c r="AV10" i="17"/>
  <c r="AV13" i="17" s="1"/>
  <c r="AW21" i="17" s="1"/>
  <c r="AW23" i="17" s="1"/>
  <c r="AV17" i="17"/>
  <c r="AV29" i="17"/>
  <c r="AU14" i="17"/>
  <c r="AU15" i="17"/>
  <c r="AU16" i="17"/>
  <c r="AU10" i="17"/>
  <c r="AU13" i="17" s="1"/>
  <c r="AU17" i="17"/>
  <c r="AU29" i="17"/>
  <c r="AT14" i="17"/>
  <c r="AT10" i="17" s="1"/>
  <c r="AT13" i="17" s="1"/>
  <c r="AT15" i="17"/>
  <c r="AT16" i="17"/>
  <c r="AT17" i="17"/>
  <c r="AT29" i="17"/>
  <c r="AS14" i="17"/>
  <c r="AS15" i="17"/>
  <c r="AS16" i="17"/>
  <c r="AS10" i="17"/>
  <c r="AS13" i="17" s="1"/>
  <c r="AS17" i="17"/>
  <c r="AS29" i="17"/>
  <c r="AR14" i="17"/>
  <c r="AR10" i="17" s="1"/>
  <c r="AR13" i="17" s="1"/>
  <c r="AR15" i="17"/>
  <c r="AR16" i="17"/>
  <c r="AR17" i="17"/>
  <c r="AR21" i="17"/>
  <c r="AR29" i="17"/>
  <c r="AQ14" i="17"/>
  <c r="AQ10" i="17" s="1"/>
  <c r="AQ13" i="17" s="1"/>
  <c r="AQ15" i="17"/>
  <c r="AQ16" i="17"/>
  <c r="AQ17" i="17"/>
  <c r="AQ29" i="17"/>
  <c r="AP14" i="17"/>
  <c r="AP10" i="17" s="1"/>
  <c r="AP13" i="17" s="1"/>
  <c r="AP15" i="17"/>
  <c r="AP16" i="17"/>
  <c r="AP17" i="17"/>
  <c r="AP29" i="17"/>
  <c r="AO14" i="17"/>
  <c r="AO15" i="17"/>
  <c r="AO16" i="17"/>
  <c r="AO17" i="17"/>
  <c r="AO29" i="17"/>
  <c r="AN14" i="17"/>
  <c r="AN15" i="17"/>
  <c r="AN16" i="17"/>
  <c r="AN10" i="17" s="1"/>
  <c r="AN13" i="17" s="1"/>
  <c r="AO21" i="17" s="1"/>
  <c r="AO44" i="17" s="1"/>
  <c r="AN17" i="17"/>
  <c r="AN29" i="17"/>
  <c r="AM14" i="17"/>
  <c r="AM15" i="17"/>
  <c r="AM16" i="17"/>
  <c r="AM10" i="17"/>
  <c r="AM13" i="17" s="1"/>
  <c r="AN21" i="17" s="1"/>
  <c r="AM17" i="17"/>
  <c r="AM29" i="17"/>
  <c r="AL14" i="17"/>
  <c r="AL10" i="17" s="1"/>
  <c r="AL13" i="17" s="1"/>
  <c r="AL15" i="17"/>
  <c r="AL16" i="17"/>
  <c r="AL17" i="17"/>
  <c r="AL29" i="17"/>
  <c r="AK14" i="17"/>
  <c r="AK10" i="17" s="1"/>
  <c r="AK15" i="17"/>
  <c r="AK16" i="17"/>
  <c r="AK13" i="17"/>
  <c r="AL21" i="17" s="1"/>
  <c r="AK17" i="17"/>
  <c r="AK29" i="17"/>
  <c r="AJ14" i="17"/>
  <c r="AJ15" i="17"/>
  <c r="AJ16" i="17"/>
  <c r="AJ17" i="17"/>
  <c r="AJ21" i="17"/>
  <c r="AJ29" i="17"/>
  <c r="AJ33" i="17"/>
  <c r="AJ39" i="17" s="1"/>
  <c r="AI14" i="17"/>
  <c r="AI10" i="17" s="1"/>
  <c r="AI13" i="17" s="1"/>
  <c r="AI15" i="17"/>
  <c r="AI16" i="17"/>
  <c r="AI17" i="17"/>
  <c r="AI29" i="17"/>
  <c r="AH14" i="17"/>
  <c r="AH15" i="17"/>
  <c r="AH16" i="17"/>
  <c r="AH10" i="17"/>
  <c r="AH13" i="17"/>
  <c r="AI21" i="17" s="1"/>
  <c r="AH17" i="17"/>
  <c r="AH29" i="17"/>
  <c r="AG14" i="17"/>
  <c r="AG10" i="17" s="1"/>
  <c r="AG13" i="17" s="1"/>
  <c r="AH21" i="17" s="1"/>
  <c r="AG15" i="17"/>
  <c r="AG16" i="17"/>
  <c r="AG17" i="17"/>
  <c r="AG29" i="17"/>
  <c r="AF14" i="17"/>
  <c r="AF15" i="17"/>
  <c r="AF16" i="17"/>
  <c r="AF10" i="17" s="1"/>
  <c r="AF13" i="17" s="1"/>
  <c r="AF17" i="17"/>
  <c r="AF29" i="17"/>
  <c r="AE14" i="17"/>
  <c r="AE15" i="17"/>
  <c r="AE10" i="17" s="1"/>
  <c r="AE16" i="17"/>
  <c r="AE13" i="17"/>
  <c r="AE17" i="17"/>
  <c r="AE29" i="17"/>
  <c r="AD14" i="17"/>
  <c r="AD10" i="17" s="1"/>
  <c r="AD13" i="17" s="1"/>
  <c r="AE21" i="17" s="1"/>
  <c r="AD15" i="17"/>
  <c r="AD16" i="17"/>
  <c r="AD17" i="17"/>
  <c r="AD29" i="17"/>
  <c r="AC14" i="17"/>
  <c r="AC15" i="17"/>
  <c r="AC16" i="17"/>
  <c r="AC10" i="17"/>
  <c r="AC13" i="17" s="1"/>
  <c r="AC17" i="17"/>
  <c r="AC29" i="17"/>
  <c r="AB14" i="17"/>
  <c r="AB15" i="17"/>
  <c r="AB16" i="17"/>
  <c r="AB17" i="17"/>
  <c r="AB21" i="17"/>
  <c r="AB44" i="17" s="1"/>
  <c r="AB29" i="17"/>
  <c r="AA14" i="17"/>
  <c r="AA10" i="17" s="1"/>
  <c r="AA13" i="17" s="1"/>
  <c r="AA15" i="17"/>
  <c r="AA16" i="17"/>
  <c r="AA17" i="17"/>
  <c r="AA29" i="17"/>
  <c r="Z14" i="17"/>
  <c r="Z15" i="17"/>
  <c r="Z16" i="17"/>
  <c r="Z10" i="17"/>
  <c r="Z13" i="17" s="1"/>
  <c r="Z17" i="17"/>
  <c r="Z29" i="17"/>
  <c r="Y14" i="17"/>
  <c r="Y10" i="17" s="1"/>
  <c r="Y13" i="17" s="1"/>
  <c r="Y15" i="17"/>
  <c r="Y16" i="17"/>
  <c r="Y17" i="17"/>
  <c r="Y29" i="17"/>
  <c r="X14" i="17"/>
  <c r="X15" i="17"/>
  <c r="X16" i="17"/>
  <c r="X10" i="17" s="1"/>
  <c r="X13" i="17" s="1"/>
  <c r="X17" i="17"/>
  <c r="X29" i="17"/>
  <c r="W14" i="17"/>
  <c r="W15" i="17"/>
  <c r="W16" i="17"/>
  <c r="W10" i="17"/>
  <c r="W13" i="17"/>
  <c r="W17" i="17"/>
  <c r="W29" i="17"/>
  <c r="V14" i="17"/>
  <c r="V15" i="17"/>
  <c r="V16" i="17"/>
  <c r="V17" i="17"/>
  <c r="V29" i="17"/>
  <c r="U14" i="17"/>
  <c r="U10" i="17" s="1"/>
  <c r="U13" i="17" s="1"/>
  <c r="V21" i="17" s="1"/>
  <c r="U15" i="17"/>
  <c r="U16" i="17"/>
  <c r="U17" i="17"/>
  <c r="U29" i="17"/>
  <c r="T15" i="17"/>
  <c r="T16" i="17"/>
  <c r="T17" i="17"/>
  <c r="T21" i="17"/>
  <c r="T22" i="17"/>
  <c r="T29" i="17"/>
  <c r="T34" i="17"/>
  <c r="T40" i="17" s="1"/>
  <c r="S14" i="17"/>
  <c r="S15" i="17"/>
  <c r="S16" i="17"/>
  <c r="S10" i="17"/>
  <c r="S13" i="17" s="1"/>
  <c r="T14" i="17" s="1"/>
  <c r="S17" i="17"/>
  <c r="S29" i="17"/>
  <c r="R14" i="17"/>
  <c r="R15" i="17"/>
  <c r="R16" i="17"/>
  <c r="R17" i="17"/>
  <c r="R29" i="17"/>
  <c r="Q15" i="17"/>
  <c r="Q21" i="17"/>
  <c r="Q22" i="17"/>
  <c r="Q23" i="17"/>
  <c r="Q29" i="17"/>
  <c r="Q33" i="17"/>
  <c r="Q39" i="17"/>
  <c r="Q44" i="17"/>
  <c r="Q50" i="17"/>
  <c r="P14" i="17"/>
  <c r="P15" i="17"/>
  <c r="P16" i="17"/>
  <c r="Q17" i="17" s="1"/>
  <c r="P17" i="17"/>
  <c r="P29" i="17"/>
  <c r="O14" i="17"/>
  <c r="O15" i="17"/>
  <c r="O10" i="17" s="1"/>
  <c r="O13" i="17" s="1"/>
  <c r="O16" i="17"/>
  <c r="O17" i="17"/>
  <c r="O29" i="17"/>
  <c r="N14" i="17"/>
  <c r="N15" i="17"/>
  <c r="N16" i="17"/>
  <c r="N17" i="17"/>
  <c r="N29" i="17"/>
  <c r="M14" i="17"/>
  <c r="M15" i="17"/>
  <c r="M16" i="17"/>
  <c r="M10" i="17"/>
  <c r="M13" i="17" s="1"/>
  <c r="M17" i="17"/>
  <c r="M29" i="17"/>
  <c r="L14" i="17"/>
  <c r="L15" i="17"/>
  <c r="L16" i="17"/>
  <c r="L17" i="17"/>
  <c r="L29" i="17"/>
  <c r="K14" i="17"/>
  <c r="K10" i="17" s="1"/>
  <c r="K13" i="17" s="1"/>
  <c r="L21" i="17" s="1"/>
  <c r="K15" i="17"/>
  <c r="K16" i="17"/>
  <c r="K17" i="17"/>
  <c r="K29" i="17"/>
  <c r="J14" i="17"/>
  <c r="J15" i="17"/>
  <c r="J16" i="17"/>
  <c r="J17" i="17"/>
  <c r="J29" i="17"/>
  <c r="I14" i="17"/>
  <c r="I15" i="17"/>
  <c r="I16" i="17"/>
  <c r="I17" i="17"/>
  <c r="I29" i="17"/>
  <c r="H14" i="17"/>
  <c r="H10" i="17" s="1"/>
  <c r="H13" i="17" s="1"/>
  <c r="H15" i="17"/>
  <c r="H16" i="17"/>
  <c r="H17" i="17"/>
  <c r="H29" i="17"/>
  <c r="G14" i="17"/>
  <c r="G15" i="17"/>
  <c r="G16" i="17"/>
  <c r="G10" i="17"/>
  <c r="G13" i="17"/>
  <c r="G17" i="17"/>
  <c r="G29" i="17"/>
  <c r="F14" i="17"/>
  <c r="F15" i="17"/>
  <c r="F16" i="17"/>
  <c r="F10" i="17" s="1"/>
  <c r="F13" i="17" s="1"/>
  <c r="F17" i="17"/>
  <c r="F29" i="17"/>
  <c r="E14" i="17"/>
  <c r="E10" i="17" s="1"/>
  <c r="E15" i="17"/>
  <c r="E16" i="17"/>
  <c r="E17" i="17"/>
  <c r="E29" i="17"/>
  <c r="D14" i="17"/>
  <c r="D10" i="17" s="1"/>
  <c r="D15" i="17"/>
  <c r="D16" i="17"/>
  <c r="D13" i="17"/>
  <c r="E21" i="17" s="1"/>
  <c r="D17" i="17"/>
  <c r="D27" i="17"/>
  <c r="D29" i="17"/>
  <c r="D30" i="17"/>
  <c r="AY14" i="18"/>
  <c r="AY15" i="18"/>
  <c r="AY16" i="18"/>
  <c r="AY17" i="18"/>
  <c r="AY21" i="18"/>
  <c r="AY33" i="18" s="1"/>
  <c r="AY23" i="18"/>
  <c r="AY29" i="18"/>
  <c r="AX14" i="18"/>
  <c r="AX15" i="18"/>
  <c r="AX10" i="18" s="1"/>
  <c r="AX13" i="18" s="1"/>
  <c r="AX16" i="18"/>
  <c r="AX17" i="18"/>
  <c r="AX21" i="18"/>
  <c r="AX29" i="18"/>
  <c r="AW14" i="18"/>
  <c r="AW15" i="18"/>
  <c r="AW16" i="18"/>
  <c r="AW10" i="18" s="1"/>
  <c r="AW13" i="18"/>
  <c r="AX22" i="18" s="1"/>
  <c r="AW17" i="18"/>
  <c r="AW29" i="18"/>
  <c r="AV14" i="18"/>
  <c r="AV15" i="18"/>
  <c r="AV10" i="18" s="1"/>
  <c r="AV13" i="18" s="1"/>
  <c r="AV16" i="18"/>
  <c r="AV17" i="18"/>
  <c r="AV29" i="18"/>
  <c r="AU14" i="18"/>
  <c r="AU15" i="18"/>
  <c r="AU16" i="18"/>
  <c r="AU17" i="18"/>
  <c r="AU29" i="18"/>
  <c r="AT16" i="18"/>
  <c r="AT10" i="18"/>
  <c r="AT13" i="18" s="1"/>
  <c r="AT17" i="18"/>
  <c r="AT21" i="18"/>
  <c r="AT22" i="18"/>
  <c r="AT24" i="18" s="1"/>
  <c r="AT29" i="18"/>
  <c r="AT34" i="18"/>
  <c r="AT40" i="18" s="1"/>
  <c r="AT45" i="18"/>
  <c r="AT51" i="18" s="1"/>
  <c r="AS14" i="18"/>
  <c r="AT15" i="18" s="1"/>
  <c r="AS15" i="18"/>
  <c r="AS16" i="18"/>
  <c r="AS10" i="18"/>
  <c r="AS13" i="18" s="1"/>
  <c r="AT14" i="18" s="1"/>
  <c r="AS17" i="18"/>
  <c r="AS29" i="18"/>
  <c r="AR14" i="18"/>
  <c r="AR15" i="18"/>
  <c r="AR16" i="18"/>
  <c r="AR17" i="18"/>
  <c r="AR29" i="18"/>
  <c r="AQ14" i="18"/>
  <c r="AQ15" i="18"/>
  <c r="AQ16" i="18"/>
  <c r="AQ17" i="18"/>
  <c r="AQ21" i="18"/>
  <c r="AQ33" i="18" s="1"/>
  <c r="AQ23" i="18"/>
  <c r="AQ29" i="18"/>
  <c r="AP14" i="18"/>
  <c r="AP15" i="18"/>
  <c r="AP10" i="18" s="1"/>
  <c r="AP13" i="18" s="1"/>
  <c r="AP16" i="18"/>
  <c r="AP17" i="18"/>
  <c r="AP21" i="18"/>
  <c r="AP29" i="18"/>
  <c r="AO14" i="18"/>
  <c r="AO15" i="18"/>
  <c r="AO16" i="18"/>
  <c r="AO10" i="18" s="1"/>
  <c r="AO13" i="18"/>
  <c r="AP22" i="18" s="1"/>
  <c r="AO17" i="18"/>
  <c r="AO29" i="18"/>
  <c r="AN14" i="18"/>
  <c r="AN15" i="18"/>
  <c r="AN10" i="18" s="1"/>
  <c r="AN13" i="18" s="1"/>
  <c r="AN16" i="18"/>
  <c r="AN17" i="18"/>
  <c r="AN29" i="18"/>
  <c r="AM14" i="18"/>
  <c r="AM15" i="18"/>
  <c r="AM16" i="18"/>
  <c r="AM17" i="18"/>
  <c r="AM21" i="18"/>
  <c r="AM23" i="18" s="1"/>
  <c r="AM29" i="18"/>
  <c r="AM44" i="18"/>
  <c r="AM50" i="18" s="1"/>
  <c r="AL14" i="18"/>
  <c r="AL15" i="18"/>
  <c r="AL16" i="18"/>
  <c r="AL10" i="18"/>
  <c r="AL13" i="18" s="1"/>
  <c r="AL17" i="18"/>
  <c r="AL29" i="18"/>
  <c r="AK14" i="18"/>
  <c r="AK15" i="18"/>
  <c r="AK16" i="18"/>
  <c r="AK10" i="18"/>
  <c r="AK13" i="18" s="1"/>
  <c r="AK17" i="18"/>
  <c r="AK29" i="18"/>
  <c r="AJ14" i="18"/>
  <c r="AJ10" i="18" s="1"/>
  <c r="AJ15" i="18"/>
  <c r="AJ16" i="18"/>
  <c r="AJ13" i="18"/>
  <c r="AJ17" i="18"/>
  <c r="AJ29" i="18"/>
  <c r="AI14" i="18"/>
  <c r="AI10" i="18" s="1"/>
  <c r="AI13" i="18" s="1"/>
  <c r="AI15" i="18"/>
  <c r="AI16" i="18"/>
  <c r="AI17" i="18"/>
  <c r="AI21" i="18"/>
  <c r="AI29" i="18"/>
  <c r="AH14" i="18"/>
  <c r="AH15" i="18"/>
  <c r="AH16" i="18"/>
  <c r="AH10" i="18"/>
  <c r="AH13" i="18" s="1"/>
  <c r="AH17" i="18"/>
  <c r="AH29" i="18"/>
  <c r="AG14" i="18"/>
  <c r="AG10" i="18" s="1"/>
  <c r="AG13" i="18" s="1"/>
  <c r="AG15" i="18"/>
  <c r="AG16" i="18"/>
  <c r="AG17" i="18"/>
  <c r="AG29" i="18"/>
  <c r="AF14" i="18"/>
  <c r="AF15" i="18"/>
  <c r="AF16" i="18"/>
  <c r="AF17" i="18"/>
  <c r="AF29" i="18"/>
  <c r="AE14" i="18"/>
  <c r="AE15" i="18"/>
  <c r="AE16" i="18"/>
  <c r="AE17" i="18"/>
  <c r="AE21" i="18"/>
  <c r="AE33" i="18" s="1"/>
  <c r="AE23" i="18"/>
  <c r="AE29" i="18"/>
  <c r="AE44" i="18"/>
  <c r="AD14" i="18"/>
  <c r="AD15" i="18"/>
  <c r="AD16" i="18"/>
  <c r="AD10" i="18"/>
  <c r="AD13" i="18" s="1"/>
  <c r="AD17" i="18"/>
  <c r="AD29" i="18"/>
  <c r="AC14" i="18"/>
  <c r="AC15" i="18"/>
  <c r="AC16" i="18"/>
  <c r="AC17" i="18"/>
  <c r="AC29" i="18"/>
  <c r="AB14" i="18"/>
  <c r="AB10" i="18" s="1"/>
  <c r="AB13" i="18" s="1"/>
  <c r="AB15" i="18"/>
  <c r="AB16" i="18"/>
  <c r="AB17" i="18"/>
  <c r="AB29" i="18"/>
  <c r="AA14" i="18"/>
  <c r="AA15" i="18"/>
  <c r="AA16" i="18"/>
  <c r="AA10" i="18"/>
  <c r="AA13" i="18" s="1"/>
  <c r="AA17" i="18"/>
  <c r="AA29" i="18"/>
  <c r="Z14" i="18"/>
  <c r="Z15" i="18"/>
  <c r="Z10" i="18" s="1"/>
  <c r="Z13" i="18" s="1"/>
  <c r="Z16" i="18"/>
  <c r="Z17" i="18"/>
  <c r="Z29" i="18"/>
  <c r="Y14" i="18"/>
  <c r="Y15" i="18"/>
  <c r="Y16" i="18"/>
  <c r="Y10" i="18" s="1"/>
  <c r="Y13" i="18"/>
  <c r="Z21" i="18" s="1"/>
  <c r="Y17" i="18"/>
  <c r="Y29" i="18"/>
  <c r="X14" i="18"/>
  <c r="X15" i="18"/>
  <c r="X16" i="18"/>
  <c r="X17" i="18"/>
  <c r="X29" i="18"/>
  <c r="W14" i="18"/>
  <c r="W15" i="18"/>
  <c r="W16" i="18"/>
  <c r="W17" i="18"/>
  <c r="W29" i="18"/>
  <c r="V14" i="18"/>
  <c r="V15" i="18"/>
  <c r="V16" i="18"/>
  <c r="V10" i="18"/>
  <c r="V13" i="18" s="1"/>
  <c r="V17" i="18"/>
  <c r="V21" i="18"/>
  <c r="V44" i="18" s="1"/>
  <c r="V23" i="18"/>
  <c r="V29" i="18"/>
  <c r="V50" i="18"/>
  <c r="U14" i="18"/>
  <c r="U15" i="18"/>
  <c r="U16" i="18"/>
  <c r="U10" i="18"/>
  <c r="U13" i="18" s="1"/>
  <c r="U17" i="18"/>
  <c r="U29" i="18"/>
  <c r="T14" i="18"/>
  <c r="T15" i="18"/>
  <c r="T10" i="18" s="1"/>
  <c r="T13" i="18" s="1"/>
  <c r="T16" i="18"/>
  <c r="T17" i="18"/>
  <c r="T29" i="18"/>
  <c r="T33" i="18"/>
  <c r="T39" i="18" s="1"/>
  <c r="S14" i="18"/>
  <c r="S10" i="18" s="1"/>
  <c r="S13" i="18" s="1"/>
  <c r="T21" i="18" s="1"/>
  <c r="S15" i="18"/>
  <c r="S16" i="18"/>
  <c r="S17" i="18"/>
  <c r="S29" i="18"/>
  <c r="R14" i="18"/>
  <c r="R15" i="18"/>
  <c r="R16" i="18"/>
  <c r="R10" i="18"/>
  <c r="R13" i="18" s="1"/>
  <c r="R17" i="18"/>
  <c r="R29" i="18"/>
  <c r="Q14" i="18"/>
  <c r="Q15" i="18"/>
  <c r="Q16" i="18"/>
  <c r="Q10" i="18"/>
  <c r="Q13" i="18" s="1"/>
  <c r="Q17" i="18"/>
  <c r="Q29" i="18"/>
  <c r="P14" i="18"/>
  <c r="P15" i="18"/>
  <c r="P10" i="18" s="1"/>
  <c r="P13" i="18" s="1"/>
  <c r="P16" i="18"/>
  <c r="P17" i="18"/>
  <c r="P29" i="18"/>
  <c r="O14" i="18"/>
  <c r="O15" i="18"/>
  <c r="O16" i="18"/>
  <c r="O10" i="18" s="1"/>
  <c r="O13" i="18" s="1"/>
  <c r="O17" i="18"/>
  <c r="O29" i="18"/>
  <c r="N14" i="18"/>
  <c r="N15" i="18"/>
  <c r="N10" i="18" s="1"/>
  <c r="N13" i="18" s="1"/>
  <c r="N16" i="18"/>
  <c r="N17" i="18"/>
  <c r="N29" i="18"/>
  <c r="M14" i="18"/>
  <c r="M15" i="18"/>
  <c r="M16" i="18"/>
  <c r="M17" i="18"/>
  <c r="M21" i="18"/>
  <c r="M23" i="18" s="1"/>
  <c r="M29" i="18"/>
  <c r="L14" i="18"/>
  <c r="L15" i="18"/>
  <c r="L16" i="18"/>
  <c r="L10" i="18"/>
  <c r="L13" i="18" s="1"/>
  <c r="L17" i="18"/>
  <c r="L21" i="18"/>
  <c r="L23" i="18" s="1"/>
  <c r="L29" i="18"/>
  <c r="K14" i="18"/>
  <c r="K15" i="18"/>
  <c r="K16" i="18"/>
  <c r="K10" i="18"/>
  <c r="K13" i="18"/>
  <c r="L22" i="18" s="1"/>
  <c r="K17" i="18"/>
  <c r="K29" i="18"/>
  <c r="J14" i="18"/>
  <c r="J10" i="18" s="1"/>
  <c r="J15" i="18"/>
  <c r="J16" i="18"/>
  <c r="J13" i="18"/>
  <c r="K21" i="18" s="1"/>
  <c r="J17" i="18"/>
  <c r="J29" i="18"/>
  <c r="I14" i="18"/>
  <c r="I10" i="18" s="1"/>
  <c r="I13" i="18" s="1"/>
  <c r="J21" i="18" s="1"/>
  <c r="J44" i="18" s="1"/>
  <c r="I15" i="18"/>
  <c r="I16" i="18"/>
  <c r="I17" i="18"/>
  <c r="I21" i="18"/>
  <c r="I23" i="18" s="1"/>
  <c r="I29" i="18"/>
  <c r="H14" i="18"/>
  <c r="H15" i="18"/>
  <c r="H16" i="18"/>
  <c r="H10" i="18"/>
  <c r="H13" i="18" s="1"/>
  <c r="H17" i="18"/>
  <c r="H29" i="18"/>
  <c r="G14" i="18"/>
  <c r="G15" i="18"/>
  <c r="G16" i="18"/>
  <c r="G10" i="18"/>
  <c r="G13" i="18"/>
  <c r="H21" i="18" s="1"/>
  <c r="G17" i="18"/>
  <c r="G29" i="18"/>
  <c r="F14" i="18"/>
  <c r="F15" i="18"/>
  <c r="F16" i="18"/>
  <c r="F10" i="18"/>
  <c r="F13" i="18"/>
  <c r="G21" i="18" s="1"/>
  <c r="G33" i="18" s="1"/>
  <c r="F17" i="18"/>
  <c r="F29" i="18"/>
  <c r="E14" i="18"/>
  <c r="E15" i="18"/>
  <c r="E16" i="18"/>
  <c r="E17" i="18"/>
  <c r="E29" i="18"/>
  <c r="D14" i="18"/>
  <c r="D15" i="18"/>
  <c r="D16" i="18"/>
  <c r="D10" i="18"/>
  <c r="D17" i="18"/>
  <c r="D21" i="18"/>
  <c r="D27" i="18"/>
  <c r="D30" i="18" s="1"/>
  <c r="D29" i="18"/>
  <c r="D33" i="18"/>
  <c r="D39" i="18" s="1"/>
  <c r="D44" i="18"/>
  <c r="D50" i="18"/>
  <c r="B21" i="16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 s="1"/>
  <c r="D19" i="19"/>
  <c r="D28" i="19" s="1"/>
  <c r="E19" i="19"/>
  <c r="E28" i="19" s="1"/>
  <c r="F19" i="19"/>
  <c r="F28" i="19" s="1"/>
  <c r="G19" i="19"/>
  <c r="G28" i="19" s="1"/>
  <c r="H19" i="19"/>
  <c r="H28" i="19" s="1"/>
  <c r="I19" i="19"/>
  <c r="I28" i="19" s="1"/>
  <c r="J19" i="19"/>
  <c r="J28" i="19" s="1"/>
  <c r="K19" i="19"/>
  <c r="K28" i="19" s="1"/>
  <c r="L19" i="19"/>
  <c r="L28" i="19" s="1"/>
  <c r="M19" i="19"/>
  <c r="M28" i="19" s="1"/>
  <c r="N19" i="19"/>
  <c r="N28" i="19" s="1"/>
  <c r="C20" i="19"/>
  <c r="C29" i="19" s="1"/>
  <c r="D20" i="19"/>
  <c r="D29" i="19" s="1"/>
  <c r="E20" i="19"/>
  <c r="E29" i="19" s="1"/>
  <c r="F20" i="19"/>
  <c r="F29" i="19" s="1"/>
  <c r="G20" i="19"/>
  <c r="G29" i="19" s="1"/>
  <c r="H20" i="19"/>
  <c r="H29" i="19" s="1"/>
  <c r="I20" i="19"/>
  <c r="I29" i="19" s="1"/>
  <c r="J20" i="19"/>
  <c r="J29" i="19" s="1"/>
  <c r="K20" i="19"/>
  <c r="K29" i="19" s="1"/>
  <c r="L20" i="19"/>
  <c r="L29" i="19" s="1"/>
  <c r="M20" i="19"/>
  <c r="M29" i="19" s="1"/>
  <c r="N20" i="19"/>
  <c r="N29" i="19" s="1"/>
  <c r="C21" i="19"/>
  <c r="C30" i="19" s="1"/>
  <c r="D21" i="19"/>
  <c r="D30" i="19" s="1"/>
  <c r="E21" i="19"/>
  <c r="E30" i="19" s="1"/>
  <c r="F21" i="19"/>
  <c r="F30" i="19" s="1"/>
  <c r="G21" i="19"/>
  <c r="G30" i="19" s="1"/>
  <c r="H21" i="19"/>
  <c r="H30" i="19" s="1"/>
  <c r="I21" i="19"/>
  <c r="I30" i="19" s="1"/>
  <c r="J21" i="19"/>
  <c r="J30" i="19" s="1"/>
  <c r="K21" i="19"/>
  <c r="K30" i="19" s="1"/>
  <c r="L21" i="19"/>
  <c r="L30" i="19" s="1"/>
  <c r="M21" i="19"/>
  <c r="M30" i="19" s="1"/>
  <c r="N21" i="19"/>
  <c r="N30" i="19" s="1"/>
  <c r="C22" i="19"/>
  <c r="C31" i="19" s="1"/>
  <c r="D22" i="19"/>
  <c r="D31" i="19" s="1"/>
  <c r="E22" i="19"/>
  <c r="E31" i="19" s="1"/>
  <c r="F22" i="19"/>
  <c r="F31" i="19" s="1"/>
  <c r="G22" i="19"/>
  <c r="G31" i="19" s="1"/>
  <c r="H22" i="19"/>
  <c r="H31" i="19" s="1"/>
  <c r="I22" i="19"/>
  <c r="I31" i="19" s="1"/>
  <c r="J22" i="19"/>
  <c r="J31" i="19" s="1"/>
  <c r="K22" i="19"/>
  <c r="K31" i="19" s="1"/>
  <c r="L22" i="19"/>
  <c r="L31" i="19" s="1"/>
  <c r="M22" i="19"/>
  <c r="M31" i="19" s="1"/>
  <c r="N22" i="19"/>
  <c r="N31" i="19" s="1"/>
  <c r="C23" i="19"/>
  <c r="C32" i="19" s="1"/>
  <c r="D23" i="19"/>
  <c r="D32" i="19" s="1"/>
  <c r="E23" i="19"/>
  <c r="E32" i="19" s="1"/>
  <c r="F23" i="19"/>
  <c r="F32" i="19" s="1"/>
  <c r="G23" i="19"/>
  <c r="G32" i="19" s="1"/>
  <c r="H23" i="19"/>
  <c r="H32" i="19" s="1"/>
  <c r="I23" i="19"/>
  <c r="I32" i="19" s="1"/>
  <c r="J23" i="19"/>
  <c r="J32" i="19" s="1"/>
  <c r="K23" i="19"/>
  <c r="K32" i="19" s="1"/>
  <c r="L23" i="19"/>
  <c r="L32" i="19" s="1"/>
  <c r="M23" i="19"/>
  <c r="M32" i="19" s="1"/>
  <c r="N23" i="19"/>
  <c r="N32" i="19" s="1"/>
  <c r="C24" i="19"/>
  <c r="C33" i="19" s="1"/>
  <c r="D24" i="19"/>
  <c r="D33" i="19" s="1"/>
  <c r="E24" i="19"/>
  <c r="E33" i="19" s="1"/>
  <c r="F24" i="19"/>
  <c r="F33" i="19" s="1"/>
  <c r="G24" i="19"/>
  <c r="G33" i="19" s="1"/>
  <c r="H24" i="19"/>
  <c r="H33" i="19" s="1"/>
  <c r="I24" i="19"/>
  <c r="I33" i="19" s="1"/>
  <c r="J24" i="19"/>
  <c r="J33" i="19" s="1"/>
  <c r="K24" i="19"/>
  <c r="K33" i="19" s="1"/>
  <c r="L24" i="19"/>
  <c r="L33" i="19" s="1"/>
  <c r="M24" i="19"/>
  <c r="M33" i="19" s="1"/>
  <c r="N24" i="19"/>
  <c r="N33" i="19" s="1"/>
  <c r="B22" i="18"/>
  <c r="D22" i="18" s="1"/>
  <c r="B22" i="16"/>
  <c r="D22" i="16" s="1"/>
  <c r="P21" i="18" l="1"/>
  <c r="P22" i="18"/>
  <c r="AS22" i="16"/>
  <c r="AS21" i="16"/>
  <c r="U21" i="18"/>
  <c r="U22" i="18"/>
  <c r="AB21" i="18"/>
  <c r="AB22" i="18"/>
  <c r="AC21" i="18"/>
  <c r="AC22" i="18"/>
  <c r="I21" i="17"/>
  <c r="I22" i="17"/>
  <c r="U22" i="16"/>
  <c r="U21" i="16"/>
  <c r="X21" i="16"/>
  <c r="X22" i="16"/>
  <c r="H33" i="18"/>
  <c r="H23" i="18"/>
  <c r="H44" i="18"/>
  <c r="Q22" i="18"/>
  <c r="Q21" i="18"/>
  <c r="L24" i="18"/>
  <c r="L34" i="18"/>
  <c r="L40" i="18" s="1"/>
  <c r="L45" i="18"/>
  <c r="L51" i="18" s="1"/>
  <c r="AL22" i="18"/>
  <c r="AL21" i="18"/>
  <c r="AP24" i="18"/>
  <c r="AP45" i="18"/>
  <c r="AP51" i="18" s="1"/>
  <c r="AP34" i="18"/>
  <c r="AP40" i="18" s="1"/>
  <c r="AX24" i="18"/>
  <c r="AX45" i="18"/>
  <c r="AX51" i="18" s="1"/>
  <c r="AX34" i="18"/>
  <c r="AX40" i="18" s="1"/>
  <c r="G21" i="17"/>
  <c r="G22" i="17"/>
  <c r="AA21" i="17"/>
  <c r="AO50" i="17"/>
  <c r="S22" i="18"/>
  <c r="S21" i="18"/>
  <c r="AD21" i="17"/>
  <c r="AD22" i="17"/>
  <c r="AH44" i="17"/>
  <c r="AH33" i="17"/>
  <c r="AH23" i="17"/>
  <c r="K44" i="18"/>
  <c r="K33" i="18"/>
  <c r="K23" i="18"/>
  <c r="AA22" i="18"/>
  <c r="AA21" i="18"/>
  <c r="AB50" i="17"/>
  <c r="AN23" i="17"/>
  <c r="AN33" i="17"/>
  <c r="AN44" i="17"/>
  <c r="AT21" i="17"/>
  <c r="AU21" i="17"/>
  <c r="R21" i="18"/>
  <c r="R22" i="18"/>
  <c r="Z23" i="18"/>
  <c r="Z33" i="18"/>
  <c r="Z44" i="18"/>
  <c r="AH21" i="18"/>
  <c r="AH22" i="18"/>
  <c r="AO21" i="18"/>
  <c r="AO22" i="18"/>
  <c r="AQ39" i="18"/>
  <c r="AW21" i="18"/>
  <c r="AW22" i="18"/>
  <c r="AY39" i="18"/>
  <c r="AI23" i="17"/>
  <c r="AI44" i="17"/>
  <c r="AI33" i="17"/>
  <c r="AQ22" i="17"/>
  <c r="AQ21" i="17"/>
  <c r="G21" i="16"/>
  <c r="G22" i="16"/>
  <c r="T21" i="16"/>
  <c r="T22" i="16"/>
  <c r="D24" i="18"/>
  <c r="D34" i="18"/>
  <c r="D45" i="18"/>
  <c r="D51" i="18" s="1"/>
  <c r="AG21" i="17"/>
  <c r="AG22" i="17"/>
  <c r="O21" i="18"/>
  <c r="O22" i="18"/>
  <c r="AE39" i="18"/>
  <c r="E44" i="17"/>
  <c r="E23" i="17"/>
  <c r="E33" i="17"/>
  <c r="L44" i="17"/>
  <c r="L33" i="17"/>
  <c r="L23" i="17"/>
  <c r="D13" i="18"/>
  <c r="G39" i="18"/>
  <c r="N21" i="17"/>
  <c r="N22" i="17"/>
  <c r="AE33" i="17"/>
  <c r="AE23" i="17"/>
  <c r="J22" i="16"/>
  <c r="J21" i="16"/>
  <c r="AJ24" i="16"/>
  <c r="AJ34" i="16"/>
  <c r="AJ40" i="16" s="1"/>
  <c r="AU22" i="18"/>
  <c r="Q45" i="17"/>
  <c r="Q34" i="17"/>
  <c r="Q40" i="17" s="1"/>
  <c r="Q24" i="17"/>
  <c r="Y21" i="17"/>
  <c r="Y22" i="17"/>
  <c r="AB22" i="17"/>
  <c r="AF21" i="17"/>
  <c r="AJ10" i="17"/>
  <c r="AJ13" i="17" s="1"/>
  <c r="AL22" i="17"/>
  <c r="AR22" i="17"/>
  <c r="AY39" i="17"/>
  <c r="AY35" i="17"/>
  <c r="R22" i="16"/>
  <c r="R21" i="16"/>
  <c r="J33" i="18"/>
  <c r="M22" i="18"/>
  <c r="AI22" i="18"/>
  <c r="AQ44" i="18"/>
  <c r="AU21" i="18"/>
  <c r="AY44" i="18"/>
  <c r="H22" i="17"/>
  <c r="H21" i="17"/>
  <c r="AE44" i="17"/>
  <c r="AI22" i="17"/>
  <c r="G10" i="16"/>
  <c r="G13" i="16" s="1"/>
  <c r="P21" i="16"/>
  <c r="P22" i="16"/>
  <c r="AN21" i="16"/>
  <c r="AN22" i="16"/>
  <c r="AK21" i="16"/>
  <c r="D21" i="16"/>
  <c r="E10" i="18"/>
  <c r="E13" i="18" s="1"/>
  <c r="I33" i="18"/>
  <c r="AF10" i="18"/>
  <c r="AF13" i="18" s="1"/>
  <c r="AG21" i="16"/>
  <c r="AG22" i="16"/>
  <c r="AO22" i="16"/>
  <c r="AO21" i="16"/>
  <c r="AK21" i="18"/>
  <c r="AK22" i="18"/>
  <c r="T23" i="17"/>
  <c r="T44" i="17"/>
  <c r="T33" i="17"/>
  <c r="AL33" i="17"/>
  <c r="AL23" i="17"/>
  <c r="AW22" i="17"/>
  <c r="I21" i="16"/>
  <c r="I22" i="16"/>
  <c r="AW21" i="16"/>
  <c r="AW22" i="16"/>
  <c r="L44" i="18"/>
  <c r="M44" i="18"/>
  <c r="V22" i="18"/>
  <c r="AC10" i="18"/>
  <c r="AC13" i="18" s="1"/>
  <c r="M33" i="18"/>
  <c r="T23" i="18"/>
  <c r="T44" i="18"/>
  <c r="W21" i="18"/>
  <c r="W22" i="18"/>
  <c r="Z22" i="18"/>
  <c r="AE22" i="18"/>
  <c r="AP33" i="18"/>
  <c r="AP23" i="18"/>
  <c r="AX33" i="18"/>
  <c r="AX23" i="18"/>
  <c r="AS21" i="17"/>
  <c r="AX10" i="17"/>
  <c r="AX13" i="17" s="1"/>
  <c r="AY14" i="17" s="1"/>
  <c r="AY10" i="17" s="1"/>
  <c r="AY13" i="17" s="1"/>
  <c r="AY15" i="17"/>
  <c r="AJ45" i="16"/>
  <c r="AJ51" i="16" s="1"/>
  <c r="J50" i="18"/>
  <c r="X10" i="18"/>
  <c r="X13" i="18" s="1"/>
  <c r="E13" i="17"/>
  <c r="V33" i="17"/>
  <c r="V23" i="17"/>
  <c r="AJ23" i="17"/>
  <c r="AJ44" i="17"/>
  <c r="AM21" i="17"/>
  <c r="AM22" i="17"/>
  <c r="AW44" i="17"/>
  <c r="M121" i="12"/>
  <c r="M127" i="12" s="1"/>
  <c r="M116" i="12"/>
  <c r="E127" i="12"/>
  <c r="I116" i="12"/>
  <c r="I120" i="12"/>
  <c r="I127" i="12" s="1"/>
  <c r="D23" i="18"/>
  <c r="G22" i="18"/>
  <c r="H22" i="18"/>
  <c r="J23" i="18"/>
  <c r="K22" i="18"/>
  <c r="V33" i="18"/>
  <c r="W10" i="18"/>
  <c r="W13" i="18" s="1"/>
  <c r="AM33" i="18"/>
  <c r="P22" i="17"/>
  <c r="P21" i="17"/>
  <c r="R10" i="17"/>
  <c r="R13" i="17" s="1"/>
  <c r="AW33" i="17"/>
  <c r="K51" i="16"/>
  <c r="K46" i="16"/>
  <c r="AJ21" i="16"/>
  <c r="AJ21" i="18"/>
  <c r="AJ22" i="18"/>
  <c r="Q16" i="17"/>
  <c r="P10" i="17"/>
  <c r="P13" i="17" s="1"/>
  <c r="Q14" i="17" s="1"/>
  <c r="AB23" i="17"/>
  <c r="AB33" i="17"/>
  <c r="AO33" i="17"/>
  <c r="AO23" i="17"/>
  <c r="AR23" i="17"/>
  <c r="AR33" i="17"/>
  <c r="AR44" i="17"/>
  <c r="M21" i="16"/>
  <c r="M22" i="16"/>
  <c r="Q21" i="16"/>
  <c r="Q22" i="16"/>
  <c r="I22" i="18"/>
  <c r="AE50" i="18"/>
  <c r="E22" i="17"/>
  <c r="L33" i="18"/>
  <c r="T22" i="18"/>
  <c r="AI23" i="18"/>
  <c r="AI44" i="18"/>
  <c r="AI33" i="18"/>
  <c r="E30" i="16"/>
  <c r="F27" i="16"/>
  <c r="E27" i="18"/>
  <c r="G23" i="18"/>
  <c r="M10" i="18"/>
  <c r="M13" i="18" s="1"/>
  <c r="T10" i="17"/>
  <c r="T13" i="17" s="1"/>
  <c r="X22" i="17"/>
  <c r="AL44" i="17"/>
  <c r="AN22" i="17"/>
  <c r="D24" i="16"/>
  <c r="D45" i="16"/>
  <c r="D51" i="16" s="1"/>
  <c r="D34" i="16"/>
  <c r="D40" i="16" s="1"/>
  <c r="D46" i="18"/>
  <c r="AZ17" i="18"/>
  <c r="G44" i="18"/>
  <c r="I44" i="18"/>
  <c r="J22" i="18"/>
  <c r="AM22" i="18"/>
  <c r="AP44" i="18"/>
  <c r="AQ22" i="18"/>
  <c r="AT23" i="18"/>
  <c r="AT33" i="18"/>
  <c r="AT44" i="18"/>
  <c r="AX44" i="18"/>
  <c r="AY22" i="18"/>
  <c r="J10" i="17"/>
  <c r="J13" i="17" s="1"/>
  <c r="V44" i="17"/>
  <c r="X21" i="17"/>
  <c r="AE22" i="17"/>
  <c r="AJ22" i="17"/>
  <c r="D13" i="16"/>
  <c r="O22" i="16"/>
  <c r="Z22" i="16"/>
  <c r="Z21" i="16"/>
  <c r="AE22" i="16"/>
  <c r="AE21" i="16"/>
  <c r="AY21" i="16"/>
  <c r="AY22" i="16"/>
  <c r="M116" i="13"/>
  <c r="M121" i="13"/>
  <c r="M127" i="13" s="1"/>
  <c r="E121" i="13"/>
  <c r="E127" i="13" s="1"/>
  <c r="E116" i="13"/>
  <c r="I116" i="13"/>
  <c r="I120" i="13"/>
  <c r="I127" i="13" s="1"/>
  <c r="AZ17" i="17"/>
  <c r="I10" i="17"/>
  <c r="I13" i="17" s="1"/>
  <c r="N10" i="17"/>
  <c r="N13" i="17" s="1"/>
  <c r="M10" i="16"/>
  <c r="M13" i="16" s="1"/>
  <c r="G127" i="13"/>
  <c r="K138" i="12"/>
  <c r="D116" i="11"/>
  <c r="H9" i="20" s="1"/>
  <c r="H127" i="11"/>
  <c r="AM10" i="18"/>
  <c r="AM13" i="18" s="1"/>
  <c r="AQ10" i="18"/>
  <c r="AQ13" i="18" s="1"/>
  <c r="AR10" i="18"/>
  <c r="AR13" i="18" s="1"/>
  <c r="AU10" i="18"/>
  <c r="AU13" i="18" s="1"/>
  <c r="AY10" i="18"/>
  <c r="AY13" i="18" s="1"/>
  <c r="V10" i="17"/>
  <c r="V13" i="17" s="1"/>
  <c r="AB10" i="17"/>
  <c r="AB13" i="17" s="1"/>
  <c r="AO10" i="17"/>
  <c r="AO13" i="17" s="1"/>
  <c r="O21" i="16"/>
  <c r="V22" i="16"/>
  <c r="V21" i="16"/>
  <c r="AP35" i="16"/>
  <c r="AP39" i="16"/>
  <c r="M138" i="10"/>
  <c r="E138" i="10"/>
  <c r="I138" i="10"/>
  <c r="B22" i="17"/>
  <c r="AA22" i="17" s="1"/>
  <c r="D21" i="17"/>
  <c r="AE10" i="18"/>
  <c r="AE13" i="18" s="1"/>
  <c r="T45" i="17"/>
  <c r="T51" i="17" s="1"/>
  <c r="T24" i="17"/>
  <c r="Z21" i="17"/>
  <c r="Z22" i="17"/>
  <c r="AV21" i="17"/>
  <c r="R10" i="16"/>
  <c r="R13" i="16" s="1"/>
  <c r="R260" i="15"/>
  <c r="O138" i="12"/>
  <c r="L116" i="11"/>
  <c r="L120" i="11"/>
  <c r="L127" i="11" s="1"/>
  <c r="D127" i="11"/>
  <c r="AR21" i="16"/>
  <c r="AR22" i="16"/>
  <c r="AV21" i="16"/>
  <c r="AV22" i="16"/>
  <c r="AW10" i="17"/>
  <c r="AW13" i="17" s="1"/>
  <c r="AY51" i="17"/>
  <c r="AY46" i="17"/>
  <c r="F22" i="16"/>
  <c r="F21" i="16"/>
  <c r="AD21" i="16"/>
  <c r="AD22" i="16"/>
  <c r="AH22" i="16"/>
  <c r="AH21" i="16"/>
  <c r="D259" i="14"/>
  <c r="AZ259" i="14" s="1"/>
  <c r="BA14" i="14"/>
  <c r="H120" i="12"/>
  <c r="H127" i="12" s="1"/>
  <c r="H116" i="12"/>
  <c r="M127" i="11"/>
  <c r="K116" i="11"/>
  <c r="K120" i="11"/>
  <c r="K127" i="11" s="1"/>
  <c r="D127" i="10"/>
  <c r="E27" i="17"/>
  <c r="L10" i="17"/>
  <c r="L13" i="17" s="1"/>
  <c r="X10" i="16"/>
  <c r="X13" i="16" s="1"/>
  <c r="AK22" i="16"/>
  <c r="AL21" i="16"/>
  <c r="AL22" i="16"/>
  <c r="V260" i="14"/>
  <c r="AA34" i="16"/>
  <c r="AA40" i="16" s="1"/>
  <c r="J10" i="16"/>
  <c r="J13" i="16" s="1"/>
  <c r="K14" i="16" s="1"/>
  <c r="K10" i="16" s="1"/>
  <c r="K13" i="16" s="1"/>
  <c r="V10" i="16"/>
  <c r="V13" i="16" s="1"/>
  <c r="Z10" i="16"/>
  <c r="Z13" i="16" s="1"/>
  <c r="AA14" i="16" s="1"/>
  <c r="AA10" i="16" s="1"/>
  <c r="AA13" i="16" s="1"/>
  <c r="AE10" i="16"/>
  <c r="AE13" i="16" s="1"/>
  <c r="AS10" i="16"/>
  <c r="AS13" i="16" s="1"/>
  <c r="K260" i="15"/>
  <c r="G138" i="13"/>
  <c r="S31" i="20" s="1"/>
  <c r="T32" i="20" s="1"/>
  <c r="K127" i="12"/>
  <c r="K116" i="10"/>
  <c r="T43" i="20"/>
  <c r="AA23" i="16"/>
  <c r="AA44" i="16"/>
  <c r="AA33" i="16"/>
  <c r="AL10" i="16"/>
  <c r="AL13" i="16" s="1"/>
  <c r="AO260" i="14"/>
  <c r="AS260" i="14"/>
  <c r="L116" i="13"/>
  <c r="AZ17" i="16"/>
  <c r="AB10" i="16"/>
  <c r="AB13" i="16" s="1"/>
  <c r="AZ259" i="15"/>
  <c r="M260" i="15"/>
  <c r="AJ260" i="15"/>
  <c r="U260" i="14"/>
  <c r="AJ260" i="14"/>
  <c r="AN260" i="14"/>
  <c r="G116" i="12"/>
  <c r="H8" i="20" s="1"/>
  <c r="I127" i="11"/>
  <c r="G116" i="10"/>
  <c r="H10" i="20" s="1"/>
  <c r="T260" i="14"/>
  <c r="O116" i="13"/>
  <c r="O121" i="13"/>
  <c r="O127" i="13" s="1"/>
  <c r="K116" i="13"/>
  <c r="K120" i="13"/>
  <c r="K127" i="13" s="1"/>
  <c r="L120" i="12"/>
  <c r="L127" i="12" s="1"/>
  <c r="L116" i="12"/>
  <c r="D127" i="12"/>
  <c r="O120" i="11"/>
  <c r="O127" i="11" s="1"/>
  <c r="O116" i="11"/>
  <c r="G127" i="11"/>
  <c r="O116" i="10"/>
  <c r="O120" i="10"/>
  <c r="O127" i="10" s="1"/>
  <c r="G127" i="10"/>
  <c r="D260" i="15"/>
  <c r="H260" i="15"/>
  <c r="AH260" i="15"/>
  <c r="AO260" i="15"/>
  <c r="AE260" i="14"/>
  <c r="O138" i="11"/>
  <c r="L127" i="10"/>
  <c r="BA14" i="15"/>
  <c r="AT10" i="16"/>
  <c r="AT13" i="16" s="1"/>
  <c r="AW10" i="16"/>
  <c r="AW13" i="16" s="1"/>
  <c r="AB260" i="15"/>
  <c r="L260" i="14"/>
  <c r="AR260" i="14"/>
  <c r="I138" i="12"/>
  <c r="I116" i="11"/>
  <c r="T19" i="20"/>
  <c r="U260" i="15"/>
  <c r="E260" i="14"/>
  <c r="AZ260" i="14" s="1"/>
  <c r="AK260" i="14"/>
  <c r="I138" i="13"/>
  <c r="I138" i="11"/>
  <c r="I116" i="10"/>
  <c r="S40" i="20"/>
  <c r="AH10" i="16"/>
  <c r="AH13" i="16" s="1"/>
  <c r="AP16" i="16"/>
  <c r="AO10" i="16"/>
  <c r="AO13" i="16" s="1"/>
  <c r="AP14" i="16" s="1"/>
  <c r="L260" i="15"/>
  <c r="AR260" i="15"/>
  <c r="AB260" i="14"/>
  <c r="I29" i="7"/>
  <c r="H29" i="7"/>
  <c r="G29" i="7"/>
  <c r="F29" i="7"/>
  <c r="E29" i="7"/>
  <c r="D29" i="7"/>
  <c r="C29" i="7"/>
  <c r="H19" i="7"/>
  <c r="F19" i="7"/>
  <c r="D19" i="7"/>
  <c r="H11" i="7"/>
  <c r="H10" i="7"/>
  <c r="H9" i="7"/>
  <c r="H8" i="7"/>
  <c r="H7" i="7"/>
  <c r="H6" i="7"/>
  <c r="AA24" i="17" l="1"/>
  <c r="AA45" i="17"/>
  <c r="AA51" i="17" s="1"/>
  <c r="AA34" i="17"/>
  <c r="AA40" i="17" s="1"/>
  <c r="S7" i="20"/>
  <c r="AB21" i="16"/>
  <c r="AB22" i="16"/>
  <c r="F23" i="16"/>
  <c r="F44" i="16"/>
  <c r="F33" i="16"/>
  <c r="Z24" i="17"/>
  <c r="Z34" i="17"/>
  <c r="Z40" i="17" s="1"/>
  <c r="Z45" i="17"/>
  <c r="Z51" i="17" s="1"/>
  <c r="J22" i="17"/>
  <c r="J21" i="17"/>
  <c r="G50" i="18"/>
  <c r="P33" i="17"/>
  <c r="P23" i="17"/>
  <c r="P44" i="17"/>
  <c r="AW50" i="17"/>
  <c r="AG21" i="18"/>
  <c r="AG22" i="18"/>
  <c r="E50" i="17"/>
  <c r="K50" i="18"/>
  <c r="W21" i="16"/>
  <c r="W22" i="16"/>
  <c r="Z44" i="17"/>
  <c r="Z33" i="17"/>
  <c r="Z23" i="17"/>
  <c r="AY44" i="16"/>
  <c r="AY23" i="16"/>
  <c r="AY33" i="16"/>
  <c r="AT39" i="18"/>
  <c r="AT35" i="18"/>
  <c r="AI39" i="18"/>
  <c r="AK44" i="18"/>
  <c r="AK33" i="18"/>
  <c r="AK23" i="18"/>
  <c r="AQ50" i="18"/>
  <c r="J44" i="16"/>
  <c r="J33" i="16"/>
  <c r="J23" i="16"/>
  <c r="AB23" i="18"/>
  <c r="AB33" i="18"/>
  <c r="AB44" i="18"/>
  <c r="L21" i="16"/>
  <c r="L22" i="16"/>
  <c r="E30" i="17"/>
  <c r="F27" i="17"/>
  <c r="W21" i="17"/>
  <c r="W22" i="17"/>
  <c r="AE23" i="16"/>
  <c r="AE33" i="16"/>
  <c r="AE44" i="16"/>
  <c r="AE34" i="17"/>
  <c r="AE40" i="17" s="1"/>
  <c r="AE45" i="17"/>
  <c r="AE51" i="17" s="1"/>
  <c r="AE24" i="17"/>
  <c r="X24" i="17"/>
  <c r="X34" i="17"/>
  <c r="X40" i="17" s="1"/>
  <c r="X45" i="17"/>
  <c r="X51" i="17" s="1"/>
  <c r="AI50" i="18"/>
  <c r="I45" i="18"/>
  <c r="I51" i="18" s="1"/>
  <c r="I24" i="18"/>
  <c r="I34" i="18"/>
  <c r="I40" i="18" s="1"/>
  <c r="AJ23" i="16"/>
  <c r="AJ33" i="16"/>
  <c r="AJ44" i="16"/>
  <c r="AM39" i="18"/>
  <c r="AM33" i="17"/>
  <c r="AM23" i="17"/>
  <c r="AM44" i="17"/>
  <c r="AP39" i="18"/>
  <c r="AP35" i="18"/>
  <c r="AD21" i="18"/>
  <c r="AD22" i="18"/>
  <c r="AW24" i="17"/>
  <c r="AW45" i="17"/>
  <c r="AW51" i="17" s="1"/>
  <c r="AW34" i="17"/>
  <c r="AW40" i="17" s="1"/>
  <c r="F21" i="18"/>
  <c r="F22" i="18"/>
  <c r="AI24" i="17"/>
  <c r="AI34" i="17"/>
  <c r="AI40" i="17" s="1"/>
  <c r="AI45" i="17"/>
  <c r="AI51" i="17" s="1"/>
  <c r="AI45" i="18"/>
  <c r="AI51" i="18" s="1"/>
  <c r="AI24" i="18"/>
  <c r="AI34" i="18"/>
  <c r="AI40" i="18" s="1"/>
  <c r="AR45" i="17"/>
  <c r="AR51" i="17" s="1"/>
  <c r="AR24" i="17"/>
  <c r="AR34" i="17"/>
  <c r="AR40" i="17" s="1"/>
  <c r="Y33" i="17"/>
  <c r="Y23" i="17"/>
  <c r="Y44" i="17"/>
  <c r="J45" i="16"/>
  <c r="J51" i="16" s="1"/>
  <c r="J24" i="16"/>
  <c r="J34" i="16"/>
  <c r="J40" i="16" s="1"/>
  <c r="AI46" i="17"/>
  <c r="AI50" i="17"/>
  <c r="AO34" i="18"/>
  <c r="AO40" i="18" s="1"/>
  <c r="AO24" i="18"/>
  <c r="AO45" i="18"/>
  <c r="AO51" i="18" s="1"/>
  <c r="R23" i="18"/>
  <c r="R33" i="18"/>
  <c r="R44" i="18"/>
  <c r="AH39" i="17"/>
  <c r="AA23" i="17"/>
  <c r="AA44" i="17"/>
  <c r="AA33" i="17"/>
  <c r="Q23" i="18"/>
  <c r="Q33" i="18"/>
  <c r="Q44" i="18"/>
  <c r="U23" i="16"/>
  <c r="U44" i="16"/>
  <c r="U33" i="16"/>
  <c r="U34" i="18"/>
  <c r="U40" i="18" s="1"/>
  <c r="U24" i="18"/>
  <c r="U45" i="18"/>
  <c r="U51" i="18" s="1"/>
  <c r="S10" i="20"/>
  <c r="AE34" i="16"/>
  <c r="AE40" i="16" s="1"/>
  <c r="AE24" i="16"/>
  <c r="AE45" i="16"/>
  <c r="AE51" i="16" s="1"/>
  <c r="X44" i="17"/>
  <c r="X33" i="17"/>
  <c r="X23" i="17"/>
  <c r="AQ45" i="18"/>
  <c r="AQ51" i="18" s="1"/>
  <c r="AQ24" i="18"/>
  <c r="AQ34" i="18"/>
  <c r="U22" i="17"/>
  <c r="U21" i="17"/>
  <c r="Q45" i="16"/>
  <c r="Q51" i="16" s="1"/>
  <c r="Q34" i="16"/>
  <c r="Q40" i="16" s="1"/>
  <c r="Q24" i="16"/>
  <c r="AO39" i="17"/>
  <c r="X21" i="18"/>
  <c r="X22" i="18"/>
  <c r="AJ50" i="17"/>
  <c r="AE45" i="18"/>
  <c r="AE34" i="18"/>
  <c r="AE24" i="18"/>
  <c r="V24" i="18"/>
  <c r="V45" i="18"/>
  <c r="V34" i="18"/>
  <c r="V40" i="18" s="1"/>
  <c r="AO23" i="16"/>
  <c r="AO33" i="16"/>
  <c r="AO44" i="16"/>
  <c r="D33" i="16"/>
  <c r="D23" i="16"/>
  <c r="D44" i="16"/>
  <c r="AE50" i="17"/>
  <c r="AE46" i="17"/>
  <c r="AO22" i="17"/>
  <c r="L39" i="17"/>
  <c r="O34" i="18"/>
  <c r="O40" i="18" s="1"/>
  <c r="O24" i="18"/>
  <c r="O45" i="18"/>
  <c r="O51" i="18" s="1"/>
  <c r="T24" i="16"/>
  <c r="T45" i="16"/>
  <c r="T51" i="16" s="1"/>
  <c r="T34" i="16"/>
  <c r="T40" i="16" s="1"/>
  <c r="AO33" i="18"/>
  <c r="AO23" i="18"/>
  <c r="AO44" i="18"/>
  <c r="AU22" i="17"/>
  <c r="AH50" i="17"/>
  <c r="Q24" i="18"/>
  <c r="Q45" i="18"/>
  <c r="Q51" i="18" s="1"/>
  <c r="Q34" i="18"/>
  <c r="Q40" i="18" s="1"/>
  <c r="U24" i="16"/>
  <c r="U34" i="16"/>
  <c r="U40" i="16" s="1"/>
  <c r="U45" i="16"/>
  <c r="U51" i="16" s="1"/>
  <c r="U33" i="18"/>
  <c r="U23" i="18"/>
  <c r="U44" i="18"/>
  <c r="AZ260" i="15"/>
  <c r="AC22" i="16"/>
  <c r="AC21" i="16"/>
  <c r="AR23" i="16"/>
  <c r="AR33" i="16"/>
  <c r="AR44" i="16"/>
  <c r="AY24" i="16"/>
  <c r="AY34" i="16"/>
  <c r="AY40" i="16" s="1"/>
  <c r="AY45" i="16"/>
  <c r="AY51" i="16" s="1"/>
  <c r="AT46" i="18"/>
  <c r="AT50" i="18"/>
  <c r="AN34" i="17"/>
  <c r="AN40" i="17" s="1"/>
  <c r="AN24" i="17"/>
  <c r="AN45" i="17"/>
  <c r="AN51" i="17" s="1"/>
  <c r="AR39" i="17"/>
  <c r="AR35" i="17"/>
  <c r="G34" i="18"/>
  <c r="G24" i="18"/>
  <c r="G45" i="18"/>
  <c r="G51" i="18" s="1"/>
  <c r="AX39" i="18"/>
  <c r="AX35" i="18"/>
  <c r="I24" i="16"/>
  <c r="I34" i="16"/>
  <c r="I40" i="16" s="1"/>
  <c r="I45" i="16"/>
  <c r="I51" i="16" s="1"/>
  <c r="P33" i="16"/>
  <c r="P44" i="16"/>
  <c r="P23" i="16"/>
  <c r="AB45" i="17"/>
  <c r="AB34" i="17"/>
  <c r="AB40" i="17" s="1"/>
  <c r="AB24" i="17"/>
  <c r="E22" i="18"/>
  <c r="E21" i="18"/>
  <c r="AQ24" i="17"/>
  <c r="AQ45" i="17"/>
  <c r="AQ51" i="17" s="1"/>
  <c r="AQ34" i="17"/>
  <c r="AQ40" i="17" s="1"/>
  <c r="AB34" i="18"/>
  <c r="AB40" i="18" s="1"/>
  <c r="AB45" i="18"/>
  <c r="AB51" i="18" s="1"/>
  <c r="AB24" i="18"/>
  <c r="AI21" i="16"/>
  <c r="AI22" i="16"/>
  <c r="F45" i="16"/>
  <c r="F51" i="16" s="1"/>
  <c r="F34" i="16"/>
  <c r="F40" i="16" s="1"/>
  <c r="F24" i="16"/>
  <c r="AJ45" i="17"/>
  <c r="AJ51" i="17" s="1"/>
  <c r="AJ24" i="17"/>
  <c r="AJ34" i="17"/>
  <c r="AL46" i="17"/>
  <c r="AL50" i="17"/>
  <c r="AJ44" i="18"/>
  <c r="AJ23" i="18"/>
  <c r="AJ33" i="18"/>
  <c r="AM45" i="17"/>
  <c r="AM51" i="17" s="1"/>
  <c r="AM34" i="17"/>
  <c r="AM40" i="17" s="1"/>
  <c r="AM24" i="17"/>
  <c r="M35" i="18"/>
  <c r="M39" i="18"/>
  <c r="H21" i="16"/>
  <c r="H22" i="16"/>
  <c r="AZ10" i="18"/>
  <c r="AI35" i="17"/>
  <c r="AI39" i="17"/>
  <c r="AX22" i="17"/>
  <c r="AX21" i="17"/>
  <c r="AF21" i="18"/>
  <c r="AF22" i="18"/>
  <c r="Z33" i="16"/>
  <c r="Z44" i="16"/>
  <c r="Z23" i="16"/>
  <c r="AP46" i="18"/>
  <c r="AP50" i="18"/>
  <c r="N21" i="18"/>
  <c r="N22" i="18"/>
  <c r="AB39" i="17"/>
  <c r="AB35" i="17"/>
  <c r="M50" i="18"/>
  <c r="AO45" i="16"/>
  <c r="AO51" i="16" s="1"/>
  <c r="AO24" i="16"/>
  <c r="AO34" i="16"/>
  <c r="AO40" i="16" s="1"/>
  <c r="H23" i="17"/>
  <c r="H33" i="17"/>
  <c r="H44" i="17"/>
  <c r="AL34" i="17"/>
  <c r="AL40" i="17" s="1"/>
  <c r="AL24" i="17"/>
  <c r="AL45" i="17"/>
  <c r="AL51" i="17" s="1"/>
  <c r="AE39" i="17"/>
  <c r="O33" i="18"/>
  <c r="O23" i="18"/>
  <c r="O44" i="18"/>
  <c r="AU44" i="17"/>
  <c r="AU23" i="17"/>
  <c r="AU33" i="17"/>
  <c r="AD34" i="17"/>
  <c r="AD40" i="17" s="1"/>
  <c r="AD24" i="17"/>
  <c r="AD45" i="17"/>
  <c r="AD51" i="17" s="1"/>
  <c r="G45" i="17"/>
  <c r="G51" i="17" s="1"/>
  <c r="G34" i="17"/>
  <c r="G40" i="17" s="1"/>
  <c r="G24" i="17"/>
  <c r="I34" i="17"/>
  <c r="I40" i="17" s="1"/>
  <c r="I45" i="17"/>
  <c r="I51" i="17" s="1"/>
  <c r="I24" i="17"/>
  <c r="AM21" i="16"/>
  <c r="AM22" i="16"/>
  <c r="AL34" i="16"/>
  <c r="AL40" i="16" s="1"/>
  <c r="AL45" i="16"/>
  <c r="AL51" i="16" s="1"/>
  <c r="AL24" i="16"/>
  <c r="AH45" i="16"/>
  <c r="AH51" i="16" s="1"/>
  <c r="AH24" i="16"/>
  <c r="AH34" i="16"/>
  <c r="AH40" i="16" s="1"/>
  <c r="AS22" i="18"/>
  <c r="AS21" i="18"/>
  <c r="K22" i="17"/>
  <c r="K21" i="17"/>
  <c r="AM45" i="18"/>
  <c r="AM34" i="18"/>
  <c r="AM40" i="18" s="1"/>
  <c r="AM24" i="18"/>
  <c r="L39" i="18"/>
  <c r="L35" i="18"/>
  <c r="AW39" i="17"/>
  <c r="AW35" i="17"/>
  <c r="K24" i="18"/>
  <c r="K45" i="18"/>
  <c r="K51" i="18" s="1"/>
  <c r="K34" i="18"/>
  <c r="K40" i="18" s="1"/>
  <c r="AS44" i="17"/>
  <c r="AS23" i="17"/>
  <c r="AS33" i="17"/>
  <c r="W45" i="18"/>
  <c r="W51" i="18" s="1"/>
  <c r="W34" i="18"/>
  <c r="W40" i="18" s="1"/>
  <c r="W24" i="18"/>
  <c r="L46" i="18"/>
  <c r="L50" i="18"/>
  <c r="T39" i="17"/>
  <c r="T35" i="17"/>
  <c r="AG45" i="16"/>
  <c r="AG51" i="16" s="1"/>
  <c r="AG24" i="16"/>
  <c r="AG34" i="16"/>
  <c r="AG40" i="16" s="1"/>
  <c r="AN24" i="16"/>
  <c r="AN45" i="16"/>
  <c r="AN51" i="16" s="1"/>
  <c r="AN34" i="16"/>
  <c r="AN40" i="16" s="1"/>
  <c r="H24" i="17"/>
  <c r="H45" i="17"/>
  <c r="H51" i="17" s="1"/>
  <c r="H34" i="17"/>
  <c r="H40" i="17" s="1"/>
  <c r="J35" i="18"/>
  <c r="J39" i="18"/>
  <c r="AK22" i="17"/>
  <c r="AK21" i="17"/>
  <c r="Q51" i="17"/>
  <c r="Q46" i="17"/>
  <c r="N34" i="17"/>
  <c r="N40" i="17" s="1"/>
  <c r="N24" i="17"/>
  <c r="N45" i="17"/>
  <c r="N51" i="17" s="1"/>
  <c r="AG45" i="17"/>
  <c r="AG51" i="17" s="1"/>
  <c r="AG34" i="17"/>
  <c r="AG40" i="17" s="1"/>
  <c r="AG24" i="17"/>
  <c r="G34" i="16"/>
  <c r="G40" i="16" s="1"/>
  <c r="G45" i="16"/>
  <c r="G51" i="16" s="1"/>
  <c r="G24" i="16"/>
  <c r="AH33" i="18"/>
  <c r="AH23" i="18"/>
  <c r="AH44" i="18"/>
  <c r="AT33" i="17"/>
  <c r="AT23" i="17"/>
  <c r="AT44" i="17"/>
  <c r="AA45" i="18"/>
  <c r="AA51" i="18" s="1"/>
  <c r="AA34" i="18"/>
  <c r="AA40" i="18" s="1"/>
  <c r="AA24" i="18"/>
  <c r="AD23" i="17"/>
  <c r="AD33" i="17"/>
  <c r="AD44" i="17"/>
  <c r="G23" i="17"/>
  <c r="G44" i="17"/>
  <c r="G33" i="17"/>
  <c r="AL24" i="18"/>
  <c r="AL34" i="18"/>
  <c r="AL40" i="18" s="1"/>
  <c r="AL45" i="18"/>
  <c r="AL51" i="18" s="1"/>
  <c r="H46" i="18"/>
  <c r="H50" i="18"/>
  <c r="I44" i="17"/>
  <c r="I23" i="17"/>
  <c r="I33" i="17"/>
  <c r="AS45" i="16"/>
  <c r="AS51" i="16" s="1"/>
  <c r="AS34" i="16"/>
  <c r="AS40" i="16" s="1"/>
  <c r="AS24" i="16"/>
  <c r="AA35" i="16"/>
  <c r="AA39" i="16"/>
  <c r="AT21" i="16"/>
  <c r="AT22" i="16"/>
  <c r="AL23" i="16"/>
  <c r="AL33" i="16"/>
  <c r="AL44" i="16"/>
  <c r="AD24" i="16"/>
  <c r="AD34" i="16"/>
  <c r="AD40" i="16" s="1"/>
  <c r="AD45" i="16"/>
  <c r="AD51" i="16" s="1"/>
  <c r="AV33" i="16"/>
  <c r="AV44" i="16"/>
  <c r="AV23" i="16"/>
  <c r="S21" i="16"/>
  <c r="S22" i="16"/>
  <c r="D22" i="17"/>
  <c r="L22" i="17"/>
  <c r="AV22" i="17"/>
  <c r="AH22" i="17"/>
  <c r="V22" i="17"/>
  <c r="V45" i="16"/>
  <c r="V51" i="16" s="1"/>
  <c r="V34" i="16"/>
  <c r="V40" i="16" s="1"/>
  <c r="V24" i="16"/>
  <c r="AR21" i="18"/>
  <c r="AR22" i="18"/>
  <c r="N22" i="16"/>
  <c r="N21" i="16"/>
  <c r="O34" i="16"/>
  <c r="O40" i="16" s="1"/>
  <c r="O24" i="16"/>
  <c r="O45" i="16"/>
  <c r="O51" i="16" s="1"/>
  <c r="AY45" i="18"/>
  <c r="AY51" i="18" s="1"/>
  <c r="AY24" i="18"/>
  <c r="AY34" i="18"/>
  <c r="J45" i="18"/>
  <c r="J34" i="18"/>
  <c r="J40" i="18" s="1"/>
  <c r="J24" i="18"/>
  <c r="F27" i="18"/>
  <c r="E30" i="18"/>
  <c r="M23" i="16"/>
  <c r="M33" i="16"/>
  <c r="M44" i="16"/>
  <c r="Q10" i="17"/>
  <c r="Q13" i="17" s="1"/>
  <c r="S21" i="17"/>
  <c r="S22" i="17"/>
  <c r="V39" i="17"/>
  <c r="AS22" i="17"/>
  <c r="W44" i="18"/>
  <c r="W33" i="18"/>
  <c r="W23" i="18"/>
  <c r="AW45" i="16"/>
  <c r="AW51" i="16" s="1"/>
  <c r="AW34" i="16"/>
  <c r="AW40" i="16" s="1"/>
  <c r="AW24" i="16"/>
  <c r="T46" i="17"/>
  <c r="T50" i="17"/>
  <c r="AG23" i="16"/>
  <c r="AG44" i="16"/>
  <c r="AG33" i="16"/>
  <c r="AN33" i="16"/>
  <c r="AN44" i="16"/>
  <c r="AN23" i="16"/>
  <c r="R23" i="16"/>
  <c r="R44" i="16"/>
  <c r="R33" i="16"/>
  <c r="AF23" i="17"/>
  <c r="AF44" i="17"/>
  <c r="AF33" i="17"/>
  <c r="AU45" i="18"/>
  <c r="AU51" i="18" s="1"/>
  <c r="AU34" i="18"/>
  <c r="AU40" i="18" s="1"/>
  <c r="AU24" i="18"/>
  <c r="N23" i="17"/>
  <c r="N33" i="17"/>
  <c r="N44" i="17"/>
  <c r="E39" i="17"/>
  <c r="AG23" i="17"/>
  <c r="AG44" i="17"/>
  <c r="AG33" i="17"/>
  <c r="G44" i="16"/>
  <c r="G23" i="16"/>
  <c r="G33" i="16"/>
  <c r="AW34" i="18"/>
  <c r="AW40" i="18" s="1"/>
  <c r="AW24" i="18"/>
  <c r="AW45" i="18"/>
  <c r="AW51" i="18" s="1"/>
  <c r="Z50" i="18"/>
  <c r="AT22" i="17"/>
  <c r="S33" i="18"/>
  <c r="S23" i="18"/>
  <c r="S44" i="18"/>
  <c r="AC45" i="18"/>
  <c r="AC51" i="18" s="1"/>
  <c r="AC34" i="18"/>
  <c r="AC40" i="18" s="1"/>
  <c r="AC24" i="18"/>
  <c r="P24" i="18"/>
  <c r="P45" i="18"/>
  <c r="P51" i="18" s="1"/>
  <c r="P34" i="18"/>
  <c r="P40" i="18" s="1"/>
  <c r="AU21" i="16"/>
  <c r="AU22" i="16"/>
  <c r="Y21" i="16"/>
  <c r="Y22" i="16"/>
  <c r="AP21" i="17"/>
  <c r="AP22" i="17"/>
  <c r="AJ45" i="18"/>
  <c r="AJ51" i="18" s="1"/>
  <c r="AJ34" i="18"/>
  <c r="AJ40" i="18" s="1"/>
  <c r="AJ24" i="18"/>
  <c r="Y22" i="18"/>
  <c r="Y21" i="18"/>
  <c r="AK24" i="18"/>
  <c r="AK45" i="18"/>
  <c r="AK51" i="18" s="1"/>
  <c r="AK34" i="18"/>
  <c r="AK40" i="18" s="1"/>
  <c r="AU23" i="18"/>
  <c r="AU44" i="18"/>
  <c r="AU33" i="18"/>
  <c r="D40" i="18"/>
  <c r="D35" i="18"/>
  <c r="AN39" i="17"/>
  <c r="X34" i="16"/>
  <c r="X40" i="16" s="1"/>
  <c r="X24" i="16"/>
  <c r="X45" i="16"/>
  <c r="X51" i="16" s="1"/>
  <c r="M21" i="17"/>
  <c r="M22" i="17"/>
  <c r="S9" i="20"/>
  <c r="AC22" i="17"/>
  <c r="AC21" i="17"/>
  <c r="P45" i="17"/>
  <c r="P51" i="17" s="1"/>
  <c r="P24" i="17"/>
  <c r="P34" i="17"/>
  <c r="P40" i="17" s="1"/>
  <c r="I23" i="16"/>
  <c r="I33" i="16"/>
  <c r="I44" i="16"/>
  <c r="I39" i="18"/>
  <c r="Y45" i="17"/>
  <c r="Y51" i="17" s="1"/>
  <c r="Y34" i="17"/>
  <c r="Y40" i="17" s="1"/>
  <c r="Y24" i="17"/>
  <c r="R34" i="18"/>
  <c r="R40" i="18" s="1"/>
  <c r="R24" i="18"/>
  <c r="R45" i="18"/>
  <c r="R51" i="18" s="1"/>
  <c r="X33" i="16"/>
  <c r="X23" i="16"/>
  <c r="X44" i="16"/>
  <c r="AH44" i="16"/>
  <c r="AH23" i="16"/>
  <c r="AH33" i="16"/>
  <c r="AV21" i="18"/>
  <c r="AV22" i="18"/>
  <c r="H7" i="20"/>
  <c r="V50" i="17"/>
  <c r="T34" i="18"/>
  <c r="T24" i="18"/>
  <c r="T45" i="18"/>
  <c r="T51" i="18" s="1"/>
  <c r="Q33" i="16"/>
  <c r="Q23" i="16"/>
  <c r="Q44" i="16"/>
  <c r="V39" i="18"/>
  <c r="Z34" i="18"/>
  <c r="Z40" i="18" s="1"/>
  <c r="Z24" i="18"/>
  <c r="Z45" i="18"/>
  <c r="Z51" i="18" s="1"/>
  <c r="AL35" i="17"/>
  <c r="AL39" i="17"/>
  <c r="AK23" i="16"/>
  <c r="AK33" i="16"/>
  <c r="AK44" i="16"/>
  <c r="M45" i="18"/>
  <c r="M51" i="18" s="1"/>
  <c r="M24" i="18"/>
  <c r="M34" i="18"/>
  <c r="M40" i="18" s="1"/>
  <c r="L50" i="17"/>
  <c r="T44" i="16"/>
  <c r="T33" i="16"/>
  <c r="T23" i="16"/>
  <c r="AH45" i="18"/>
  <c r="AH51" i="18" s="1"/>
  <c r="AH34" i="18"/>
  <c r="AH40" i="18" s="1"/>
  <c r="AH24" i="18"/>
  <c r="AA44" i="18"/>
  <c r="AA23" i="18"/>
  <c r="AA33" i="18"/>
  <c r="AL23" i="18"/>
  <c r="AL33" i="18"/>
  <c r="AL44" i="18"/>
  <c r="AS23" i="16"/>
  <c r="AS44" i="16"/>
  <c r="AS33" i="16"/>
  <c r="AV24" i="16"/>
  <c r="AV34" i="16"/>
  <c r="AV40" i="16" s="1"/>
  <c r="AV45" i="16"/>
  <c r="AV51" i="16" s="1"/>
  <c r="D44" i="17"/>
  <c r="D23" i="17"/>
  <c r="D33" i="17"/>
  <c r="V23" i="16"/>
  <c r="V44" i="16"/>
  <c r="V33" i="16"/>
  <c r="Z45" i="16"/>
  <c r="Z51" i="16" s="1"/>
  <c r="Z34" i="16"/>
  <c r="Z40" i="16" s="1"/>
  <c r="Z24" i="16"/>
  <c r="M24" i="16"/>
  <c r="M45" i="16"/>
  <c r="M51" i="16" s="1"/>
  <c r="M34" i="16"/>
  <c r="M40" i="16" s="1"/>
  <c r="AP10" i="16"/>
  <c r="AP13" i="16" s="1"/>
  <c r="AX22" i="16"/>
  <c r="AX21" i="16"/>
  <c r="S8" i="20"/>
  <c r="AA46" i="16"/>
  <c r="AA50" i="16"/>
  <c r="AF22" i="16"/>
  <c r="AF21" i="16"/>
  <c r="AK24" i="16"/>
  <c r="AK34" i="16"/>
  <c r="AK40" i="16" s="1"/>
  <c r="AK45" i="16"/>
  <c r="AK51" i="16" s="1"/>
  <c r="AD44" i="16"/>
  <c r="AD23" i="16"/>
  <c r="AD33" i="16"/>
  <c r="AR24" i="16"/>
  <c r="AR45" i="16"/>
  <c r="AR51" i="16" s="1"/>
  <c r="AR34" i="16"/>
  <c r="AR40" i="16" s="1"/>
  <c r="AV44" i="17"/>
  <c r="AV33" i="17"/>
  <c r="AV23" i="17"/>
  <c r="O44" i="16"/>
  <c r="O23" i="16"/>
  <c r="O33" i="16"/>
  <c r="AN21" i="18"/>
  <c r="AN22" i="18"/>
  <c r="O21" i="17"/>
  <c r="O22" i="17"/>
  <c r="E22" i="16"/>
  <c r="E21" i="16"/>
  <c r="AX46" i="18"/>
  <c r="AX50" i="18"/>
  <c r="I50" i="18"/>
  <c r="G27" i="16"/>
  <c r="F30" i="16"/>
  <c r="E24" i="17"/>
  <c r="E45" i="17"/>
  <c r="E51" i="17" s="1"/>
  <c r="E34" i="17"/>
  <c r="E40" i="17" s="1"/>
  <c r="AR46" i="17"/>
  <c r="AR50" i="17"/>
  <c r="Q35" i="17"/>
  <c r="H24" i="18"/>
  <c r="H45" i="18"/>
  <c r="H51" i="18" s="1"/>
  <c r="H34" i="18"/>
  <c r="H40" i="18" s="1"/>
  <c r="F21" i="17"/>
  <c r="F22" i="17"/>
  <c r="T50" i="18"/>
  <c r="T46" i="18"/>
  <c r="AW23" i="16"/>
  <c r="AW44" i="16"/>
  <c r="AW33" i="16"/>
  <c r="P34" i="16"/>
  <c r="P40" i="16" s="1"/>
  <c r="P24" i="16"/>
  <c r="P45" i="16"/>
  <c r="P51" i="16" s="1"/>
  <c r="AY46" i="18"/>
  <c r="AY50" i="18"/>
  <c r="R45" i="16"/>
  <c r="R51" i="16" s="1"/>
  <c r="R24" i="16"/>
  <c r="R34" i="16"/>
  <c r="R40" i="16" s="1"/>
  <c r="AF22" i="17"/>
  <c r="AQ23" i="17"/>
  <c r="AQ44" i="17"/>
  <c r="AQ33" i="17"/>
  <c r="AW33" i="18"/>
  <c r="AW23" i="18"/>
  <c r="AW44" i="18"/>
  <c r="Z39" i="18"/>
  <c r="AN46" i="17"/>
  <c r="AN50" i="17"/>
  <c r="K35" i="18"/>
  <c r="K39" i="18"/>
  <c r="S24" i="18"/>
  <c r="S34" i="18"/>
  <c r="S40" i="18" s="1"/>
  <c r="S45" i="18"/>
  <c r="S51" i="18" s="1"/>
  <c r="H39" i="18"/>
  <c r="H35" i="18"/>
  <c r="AC33" i="18"/>
  <c r="AC44" i="18"/>
  <c r="AC23" i="18"/>
  <c r="P33" i="18"/>
  <c r="P23" i="18"/>
  <c r="P44" i="18"/>
  <c r="G12" i="5"/>
  <c r="G9" i="5"/>
  <c r="D16" i="5"/>
  <c r="F33" i="17" l="1"/>
  <c r="F23" i="17"/>
  <c r="F44" i="17"/>
  <c r="O46" i="16"/>
  <c r="O50" i="16"/>
  <c r="D50" i="17"/>
  <c r="AH46" i="16"/>
  <c r="AH50" i="16"/>
  <c r="AU34" i="16"/>
  <c r="AU40" i="16" s="1"/>
  <c r="AU24" i="16"/>
  <c r="AU45" i="16"/>
  <c r="AU51" i="16" s="1"/>
  <c r="AV24" i="17"/>
  <c r="AV34" i="17"/>
  <c r="AV40" i="17" s="1"/>
  <c r="AV45" i="17"/>
  <c r="AV51" i="17" s="1"/>
  <c r="AT39" i="17"/>
  <c r="AT35" i="17"/>
  <c r="AM39" i="17"/>
  <c r="AM35" i="17"/>
  <c r="AW35" i="18"/>
  <c r="AW39" i="18"/>
  <c r="I46" i="18"/>
  <c r="AN44" i="18"/>
  <c r="AN23" i="18"/>
  <c r="AN33" i="18"/>
  <c r="AF44" i="16"/>
  <c r="AF33" i="16"/>
  <c r="AF23" i="16"/>
  <c r="AS35" i="16"/>
  <c r="AS39" i="16"/>
  <c r="AA46" i="18"/>
  <c r="AA50" i="18"/>
  <c r="Q39" i="16"/>
  <c r="Q35" i="16"/>
  <c r="AV44" i="18"/>
  <c r="AV23" i="18"/>
  <c r="AV33" i="18"/>
  <c r="I46" i="16"/>
  <c r="I50" i="16"/>
  <c r="Y23" i="18"/>
  <c r="Y44" i="18"/>
  <c r="Y33" i="18"/>
  <c r="AP44" i="17"/>
  <c r="AP33" i="17"/>
  <c r="AP23" i="17"/>
  <c r="AG46" i="17"/>
  <c r="AG50" i="17"/>
  <c r="G27" i="18"/>
  <c r="F30" i="18"/>
  <c r="I39" i="17"/>
  <c r="I35" i="17"/>
  <c r="G39" i="17"/>
  <c r="G35" i="17"/>
  <c r="AS24" i="18"/>
  <c r="AS34" i="18"/>
  <c r="AS40" i="18" s="1"/>
  <c r="AS45" i="18"/>
  <c r="AS51" i="18" s="1"/>
  <c r="AM33" i="16"/>
  <c r="AM44" i="16"/>
  <c r="AM23" i="16"/>
  <c r="AE35" i="17"/>
  <c r="N44" i="18"/>
  <c r="N23" i="18"/>
  <c r="N33" i="18"/>
  <c r="AX33" i="17"/>
  <c r="AX23" i="17"/>
  <c r="AX44" i="17"/>
  <c r="AI44" i="16"/>
  <c r="AI23" i="16"/>
  <c r="AI33" i="16"/>
  <c r="E45" i="18"/>
  <c r="E51" i="18" s="1"/>
  <c r="E24" i="18"/>
  <c r="E34" i="18"/>
  <c r="E40" i="18" s="1"/>
  <c r="AZ22" i="18"/>
  <c r="X24" i="18"/>
  <c r="X34" i="18"/>
  <c r="X40" i="18" s="1"/>
  <c r="X45" i="18"/>
  <c r="X51" i="18" s="1"/>
  <c r="U34" i="17"/>
  <c r="U40" i="17" s="1"/>
  <c r="U45" i="17"/>
  <c r="U51" i="17" s="1"/>
  <c r="U24" i="17"/>
  <c r="F34" i="18"/>
  <c r="F40" i="18" s="1"/>
  <c r="F45" i="18"/>
  <c r="F51" i="18" s="1"/>
  <c r="F24" i="18"/>
  <c r="W33" i="17"/>
  <c r="W23" i="17"/>
  <c r="W44" i="17"/>
  <c r="G46" i="18"/>
  <c r="F50" i="16"/>
  <c r="F46" i="16"/>
  <c r="AC50" i="18"/>
  <c r="AC46" i="18"/>
  <c r="AQ39" i="17"/>
  <c r="AQ35" i="17"/>
  <c r="O35" i="16"/>
  <c r="O39" i="16"/>
  <c r="AF24" i="16"/>
  <c r="AF45" i="16"/>
  <c r="AF51" i="16" s="1"/>
  <c r="AF34" i="16"/>
  <c r="AF40" i="16" s="1"/>
  <c r="D35" i="17"/>
  <c r="D39" i="17"/>
  <c r="AS46" i="16"/>
  <c r="AS50" i="16"/>
  <c r="AH35" i="16"/>
  <c r="AH39" i="16"/>
  <c r="I39" i="16"/>
  <c r="I35" i="16"/>
  <c r="M34" i="17"/>
  <c r="M40" i="17" s="1"/>
  <c r="M24" i="17"/>
  <c r="M45" i="17"/>
  <c r="M51" i="17" s="1"/>
  <c r="Y24" i="18"/>
  <c r="Y45" i="18"/>
  <c r="Y51" i="18" s="1"/>
  <c r="Y34" i="18"/>
  <c r="Y40" i="18" s="1"/>
  <c r="Y24" i="16"/>
  <c r="Y34" i="16"/>
  <c r="Y40" i="16" s="1"/>
  <c r="Y45" i="16"/>
  <c r="Y51" i="16" s="1"/>
  <c r="AN46" i="16"/>
  <c r="AN50" i="16"/>
  <c r="S24" i="17"/>
  <c r="S34" i="17"/>
  <c r="S40" i="17" s="1"/>
  <c r="S45" i="17"/>
  <c r="S51" i="17" s="1"/>
  <c r="V34" i="17"/>
  <c r="V24" i="17"/>
  <c r="V45" i="17"/>
  <c r="AV46" i="16"/>
  <c r="AV50" i="16"/>
  <c r="AT34" i="16"/>
  <c r="AT40" i="16" s="1"/>
  <c r="AT45" i="16"/>
  <c r="AT51" i="16" s="1"/>
  <c r="AT24" i="16"/>
  <c r="G46" i="17"/>
  <c r="G50" i="17"/>
  <c r="AT50" i="17"/>
  <c r="AS50" i="17"/>
  <c r="AX45" i="17"/>
  <c r="AX51" i="17" s="1"/>
  <c r="AX24" i="17"/>
  <c r="AX34" i="17"/>
  <c r="AX40" i="17" s="1"/>
  <c r="AJ40" i="17"/>
  <c r="AJ35" i="17"/>
  <c r="AR50" i="16"/>
  <c r="AR46" i="16"/>
  <c r="U35" i="18"/>
  <c r="U39" i="18"/>
  <c r="D50" i="16"/>
  <c r="D46" i="16"/>
  <c r="V51" i="18"/>
  <c r="V46" i="18"/>
  <c r="X44" i="18"/>
  <c r="X23" i="18"/>
  <c r="X33" i="18"/>
  <c r="AQ40" i="18"/>
  <c r="AQ35" i="18"/>
  <c r="Q46" i="18"/>
  <c r="Q50" i="18"/>
  <c r="R46" i="18"/>
  <c r="R50" i="18"/>
  <c r="F44" i="18"/>
  <c r="F23" i="18"/>
  <c r="F33" i="18"/>
  <c r="AM50" i="17"/>
  <c r="AM46" i="17"/>
  <c r="G27" i="17"/>
  <c r="F30" i="17"/>
  <c r="J35" i="16"/>
  <c r="J39" i="16"/>
  <c r="Z35" i="17"/>
  <c r="Z39" i="17"/>
  <c r="AG24" i="18"/>
  <c r="AG34" i="18"/>
  <c r="AG40" i="18" s="1"/>
  <c r="AG45" i="18"/>
  <c r="AG51" i="18" s="1"/>
  <c r="AC35" i="18"/>
  <c r="AC39" i="18"/>
  <c r="AQ46" i="17"/>
  <c r="AQ50" i="17"/>
  <c r="F24" i="17"/>
  <c r="F34" i="17"/>
  <c r="F40" i="17" s="1"/>
  <c r="F45" i="17"/>
  <c r="F51" i="17" s="1"/>
  <c r="AD35" i="16"/>
  <c r="AD39" i="16"/>
  <c r="M44" i="17"/>
  <c r="M23" i="17"/>
  <c r="M33" i="17"/>
  <c r="AU35" i="18"/>
  <c r="AU39" i="18"/>
  <c r="Y33" i="16"/>
  <c r="Y23" i="16"/>
  <c r="Y44" i="16"/>
  <c r="E35" i="17"/>
  <c r="AF39" i="17"/>
  <c r="AN35" i="16"/>
  <c r="AN39" i="16"/>
  <c r="S33" i="17"/>
  <c r="S23" i="17"/>
  <c r="S44" i="17"/>
  <c r="N33" i="16"/>
  <c r="N23" i="16"/>
  <c r="N44" i="16"/>
  <c r="AH24" i="17"/>
  <c r="AH45" i="17"/>
  <c r="AH34" i="17"/>
  <c r="AV39" i="16"/>
  <c r="AV35" i="16"/>
  <c r="AT33" i="16"/>
  <c r="AT23" i="16"/>
  <c r="AT44" i="16"/>
  <c r="I46" i="17"/>
  <c r="I50" i="17"/>
  <c r="AU35" i="17"/>
  <c r="AU39" i="17"/>
  <c r="AR39" i="16"/>
  <c r="AR35" i="16"/>
  <c r="AU24" i="17"/>
  <c r="AU45" i="17"/>
  <c r="AU51" i="17" s="1"/>
  <c r="AU34" i="17"/>
  <c r="AU40" i="17" s="1"/>
  <c r="Q35" i="18"/>
  <c r="Q39" i="18"/>
  <c r="R39" i="18"/>
  <c r="R35" i="18"/>
  <c r="J46" i="16"/>
  <c r="J50" i="16"/>
  <c r="AI35" i="18"/>
  <c r="Z50" i="17"/>
  <c r="Z46" i="17"/>
  <c r="AG33" i="18"/>
  <c r="AG44" i="18"/>
  <c r="AG23" i="18"/>
  <c r="J33" i="17"/>
  <c r="J23" i="17"/>
  <c r="J44" i="17"/>
  <c r="AB45" i="16"/>
  <c r="AB51" i="16" s="1"/>
  <c r="AB34" i="16"/>
  <c r="AB40" i="16" s="1"/>
  <c r="AB24" i="16"/>
  <c r="T40" i="18"/>
  <c r="T35" i="18"/>
  <c r="AU50" i="18"/>
  <c r="AU46" i="18"/>
  <c r="S50" i="18"/>
  <c r="S46" i="18"/>
  <c r="R21" i="17"/>
  <c r="R22" i="17"/>
  <c r="N45" i="16"/>
  <c r="N51" i="16" s="1"/>
  <c r="N24" i="16"/>
  <c r="N34" i="16"/>
  <c r="N40" i="16" s="1"/>
  <c r="AD46" i="17"/>
  <c r="AD50" i="17"/>
  <c r="AK44" i="17"/>
  <c r="AK33" i="17"/>
  <c r="AK23" i="17"/>
  <c r="L24" i="16"/>
  <c r="L45" i="16"/>
  <c r="L51" i="16" s="1"/>
  <c r="L34" i="16"/>
  <c r="L40" i="16" s="1"/>
  <c r="J34" i="17"/>
  <c r="J40" i="17" s="1"/>
  <c r="J45" i="17"/>
  <c r="J51" i="17" s="1"/>
  <c r="J24" i="17"/>
  <c r="Z35" i="18"/>
  <c r="E34" i="16"/>
  <c r="E40" i="16" s="1"/>
  <c r="E24" i="16"/>
  <c r="E45" i="16"/>
  <c r="E51" i="16" s="1"/>
  <c r="AZ22" i="16"/>
  <c r="AK46" i="16"/>
  <c r="AK50" i="16"/>
  <c r="N46" i="17"/>
  <c r="N50" i="17"/>
  <c r="AG46" i="16"/>
  <c r="AG50" i="16"/>
  <c r="M46" i="16"/>
  <c r="M50" i="16"/>
  <c r="AY40" i="18"/>
  <c r="AY35" i="18"/>
  <c r="L45" i="17"/>
  <c r="L24" i="17"/>
  <c r="L34" i="17"/>
  <c r="AH46" i="18"/>
  <c r="AH50" i="18"/>
  <c r="AK34" i="17"/>
  <c r="AK40" i="17" s="1"/>
  <c r="AK24" i="17"/>
  <c r="AK45" i="17"/>
  <c r="AK51" i="17" s="1"/>
  <c r="AA39" i="17"/>
  <c r="AA35" i="17"/>
  <c r="L33" i="16"/>
  <c r="L44" i="16"/>
  <c r="L23" i="16"/>
  <c r="AQ46" i="18"/>
  <c r="W44" i="16"/>
  <c r="W23" i="16"/>
  <c r="W33" i="16"/>
  <c r="AW46" i="17"/>
  <c r="P46" i="18"/>
  <c r="P50" i="18"/>
  <c r="AW39" i="16"/>
  <c r="AW35" i="16"/>
  <c r="O24" i="17"/>
  <c r="O45" i="17"/>
  <c r="O51" i="17" s="1"/>
  <c r="O34" i="17"/>
  <c r="O40" i="17" s="1"/>
  <c r="AK35" i="16"/>
  <c r="AK39" i="16"/>
  <c r="S35" i="18"/>
  <c r="S39" i="18"/>
  <c r="N35" i="17"/>
  <c r="N39" i="17"/>
  <c r="M39" i="16"/>
  <c r="M35" i="16"/>
  <c r="AR44" i="18"/>
  <c r="AR23" i="18"/>
  <c r="AR33" i="18"/>
  <c r="AZ10" i="17"/>
  <c r="O50" i="18"/>
  <c r="O46" i="18"/>
  <c r="H24" i="16"/>
  <c r="H34" i="16"/>
  <c r="H40" i="16" s="1"/>
  <c r="H45" i="16"/>
  <c r="H51" i="16" s="1"/>
  <c r="P50" i="16"/>
  <c r="P46" i="16"/>
  <c r="AO46" i="16"/>
  <c r="AO50" i="16"/>
  <c r="X35" i="17"/>
  <c r="X39" i="17"/>
  <c r="AA46" i="17"/>
  <c r="AA50" i="17"/>
  <c r="AD34" i="18"/>
  <c r="AD40" i="18" s="1"/>
  <c r="AD45" i="18"/>
  <c r="AD51" i="18" s="1"/>
  <c r="AD24" i="18"/>
  <c r="AM35" i="18"/>
  <c r="AI46" i="18"/>
  <c r="AE39" i="16"/>
  <c r="AE35" i="16"/>
  <c r="AB46" i="18"/>
  <c r="AB50" i="18"/>
  <c r="AY39" i="16"/>
  <c r="AY35" i="16"/>
  <c r="K46" i="18"/>
  <c r="P46" i="17"/>
  <c r="P50" i="17"/>
  <c r="AW50" i="18"/>
  <c r="AW46" i="18"/>
  <c r="AW46" i="16"/>
  <c r="AW50" i="16"/>
  <c r="H27" i="16"/>
  <c r="G30" i="16"/>
  <c r="O33" i="17"/>
  <c r="O23" i="17"/>
  <c r="O44" i="17"/>
  <c r="AV46" i="17"/>
  <c r="AV50" i="17"/>
  <c r="AX45" i="16"/>
  <c r="AX51" i="16" s="1"/>
  <c r="AX34" i="16"/>
  <c r="AX40" i="16" s="1"/>
  <c r="AX24" i="16"/>
  <c r="V35" i="16"/>
  <c r="V39" i="16"/>
  <c r="AA35" i="18"/>
  <c r="AA39" i="18"/>
  <c r="T50" i="16"/>
  <c r="T46" i="16"/>
  <c r="Q46" i="16"/>
  <c r="Q50" i="16"/>
  <c r="X35" i="16"/>
  <c r="X39" i="16"/>
  <c r="AC44" i="17"/>
  <c r="AC23" i="17"/>
  <c r="AC33" i="17"/>
  <c r="AZ10" i="16"/>
  <c r="AT45" i="17"/>
  <c r="AT51" i="17" s="1"/>
  <c r="AT24" i="17"/>
  <c r="AT34" i="17"/>
  <c r="AT40" i="17" s="1"/>
  <c r="G46" i="16"/>
  <c r="G50" i="16"/>
  <c r="R46" i="16"/>
  <c r="R50" i="16"/>
  <c r="AS34" i="17"/>
  <c r="AS40" i="17" s="1"/>
  <c r="AS45" i="17"/>
  <c r="AS51" i="17" s="1"/>
  <c r="AS24" i="17"/>
  <c r="S45" i="16"/>
  <c r="S51" i="16" s="1"/>
  <c r="S34" i="16"/>
  <c r="S40" i="16" s="1"/>
  <c r="S24" i="16"/>
  <c r="AL46" i="16"/>
  <c r="AL50" i="16"/>
  <c r="AH39" i="18"/>
  <c r="AH35" i="18"/>
  <c r="K34" i="17"/>
  <c r="K40" i="17" s="1"/>
  <c r="K24" i="17"/>
  <c r="K45" i="17"/>
  <c r="K51" i="17" s="1"/>
  <c r="H35" i="17"/>
  <c r="H39" i="17"/>
  <c r="AF34" i="18"/>
  <c r="AF40" i="18" s="1"/>
  <c r="AF24" i="18"/>
  <c r="AF45" i="18"/>
  <c r="AF51" i="18" s="1"/>
  <c r="H33" i="16"/>
  <c r="H23" i="16"/>
  <c r="H44" i="16"/>
  <c r="AJ46" i="18"/>
  <c r="AJ50" i="18"/>
  <c r="P35" i="16"/>
  <c r="P39" i="16"/>
  <c r="G40" i="18"/>
  <c r="G35" i="18"/>
  <c r="AO45" i="17"/>
  <c r="AO34" i="17"/>
  <c r="AO24" i="17"/>
  <c r="AO39" i="16"/>
  <c r="AO35" i="16"/>
  <c r="X46" i="17"/>
  <c r="X50" i="17"/>
  <c r="U39" i="16"/>
  <c r="U35" i="16"/>
  <c r="Y35" i="17"/>
  <c r="Y39" i="17"/>
  <c r="AD23" i="18"/>
  <c r="AD33" i="18"/>
  <c r="AD44" i="18"/>
  <c r="AJ50" i="16"/>
  <c r="AJ46" i="16"/>
  <c r="AB35" i="18"/>
  <c r="AB39" i="18"/>
  <c r="AK35" i="18"/>
  <c r="AK39" i="18"/>
  <c r="E23" i="16"/>
  <c r="E33" i="16"/>
  <c r="E44" i="16"/>
  <c r="AL46" i="18"/>
  <c r="AL50" i="18"/>
  <c r="AF50" i="17"/>
  <c r="AG39" i="16"/>
  <c r="AG35" i="16"/>
  <c r="J51" i="18"/>
  <c r="J46" i="18"/>
  <c r="M46" i="18"/>
  <c r="AB51" i="17"/>
  <c r="AB46" i="17"/>
  <c r="AO50" i="18"/>
  <c r="AO46" i="18"/>
  <c r="D39" i="16"/>
  <c r="D35" i="16"/>
  <c r="W34" i="16"/>
  <c r="W40" i="16" s="1"/>
  <c r="W24" i="16"/>
  <c r="W45" i="16"/>
  <c r="W51" i="16" s="1"/>
  <c r="AB33" i="16"/>
  <c r="AB23" i="16"/>
  <c r="AB44" i="16"/>
  <c r="AF24" i="17"/>
  <c r="AF34" i="17"/>
  <c r="AF40" i="17" s="1"/>
  <c r="AF45" i="17"/>
  <c r="AF51" i="17" s="1"/>
  <c r="AD46" i="16"/>
  <c r="AD50" i="16"/>
  <c r="AL39" i="18"/>
  <c r="AL35" i="18"/>
  <c r="X50" i="16"/>
  <c r="X46" i="16"/>
  <c r="AU33" i="16"/>
  <c r="AU44" i="16"/>
  <c r="AU23" i="16"/>
  <c r="G35" i="16"/>
  <c r="G39" i="16"/>
  <c r="W35" i="18"/>
  <c r="W39" i="18"/>
  <c r="AR45" i="18"/>
  <c r="AR51" i="18" s="1"/>
  <c r="AR34" i="18"/>
  <c r="AR40" i="18" s="1"/>
  <c r="AR24" i="18"/>
  <c r="AD39" i="17"/>
  <c r="AD35" i="17"/>
  <c r="AM51" i="18"/>
  <c r="AM46" i="18"/>
  <c r="AU46" i="17"/>
  <c r="AU50" i="17"/>
  <c r="Z46" i="16"/>
  <c r="Z50" i="16"/>
  <c r="AJ35" i="18"/>
  <c r="AJ39" i="18"/>
  <c r="AC44" i="16"/>
  <c r="AC33" i="16"/>
  <c r="AC23" i="16"/>
  <c r="AE40" i="18"/>
  <c r="AE35" i="18"/>
  <c r="Y50" i="17"/>
  <c r="Y46" i="17"/>
  <c r="AE50" i="16"/>
  <c r="AE46" i="16"/>
  <c r="T11" i="20"/>
  <c r="T45" i="20" s="1"/>
  <c r="AV35" i="17"/>
  <c r="AV39" i="17"/>
  <c r="AX44" i="16"/>
  <c r="AX23" i="16"/>
  <c r="AX33" i="16"/>
  <c r="T39" i="16"/>
  <c r="T35" i="16"/>
  <c r="V35" i="18"/>
  <c r="R35" i="16"/>
  <c r="R39" i="16"/>
  <c r="W50" i="18"/>
  <c r="W46" i="18"/>
  <c r="D45" i="17"/>
  <c r="D51" i="17" s="1"/>
  <c r="D34" i="17"/>
  <c r="D40" i="17" s="1"/>
  <c r="D24" i="17"/>
  <c r="K33" i="17"/>
  <c r="K23" i="17"/>
  <c r="K44" i="17"/>
  <c r="H46" i="17"/>
  <c r="H50" i="17"/>
  <c r="Z35" i="16"/>
  <c r="Z39" i="16"/>
  <c r="AC24" i="16"/>
  <c r="AC45" i="16"/>
  <c r="AC51" i="16" s="1"/>
  <c r="AC34" i="16"/>
  <c r="AC40" i="16" s="1"/>
  <c r="AO35" i="18"/>
  <c r="AO39" i="18"/>
  <c r="AE51" i="18"/>
  <c r="AE46" i="18"/>
  <c r="P39" i="18"/>
  <c r="P35" i="18"/>
  <c r="AN34" i="18"/>
  <c r="AN40" i="18" s="1"/>
  <c r="AN24" i="18"/>
  <c r="AN45" i="18"/>
  <c r="AN51" i="18" s="1"/>
  <c r="AQ21" i="16"/>
  <c r="AQ22" i="16"/>
  <c r="V50" i="16"/>
  <c r="V46" i="16"/>
  <c r="AV34" i="18"/>
  <c r="AV40" i="18" s="1"/>
  <c r="AV24" i="18"/>
  <c r="AV45" i="18"/>
  <c r="AV51" i="18" s="1"/>
  <c r="I35" i="18"/>
  <c r="AC24" i="17"/>
  <c r="AC34" i="17"/>
  <c r="AC40" i="17" s="1"/>
  <c r="AC45" i="17"/>
  <c r="AC51" i="17" s="1"/>
  <c r="AN35" i="17"/>
  <c r="AP24" i="17"/>
  <c r="AP45" i="17"/>
  <c r="AP51" i="17" s="1"/>
  <c r="AP34" i="17"/>
  <c r="AP40" i="17" s="1"/>
  <c r="Z46" i="18"/>
  <c r="AG39" i="17"/>
  <c r="AG35" i="17"/>
  <c r="S44" i="16"/>
  <c r="S23" i="16"/>
  <c r="S33" i="16"/>
  <c r="AL35" i="16"/>
  <c r="AL39" i="16"/>
  <c r="AS35" i="17"/>
  <c r="AS39" i="17"/>
  <c r="AS44" i="18"/>
  <c r="AS33" i="18"/>
  <c r="AS23" i="18"/>
  <c r="AM34" i="16"/>
  <c r="AM40" i="16" s="1"/>
  <c r="AM45" i="16"/>
  <c r="AM51" i="16" s="1"/>
  <c r="AM24" i="16"/>
  <c r="O35" i="18"/>
  <c r="O39" i="18"/>
  <c r="N34" i="18"/>
  <c r="N40" i="18" s="1"/>
  <c r="N24" i="18"/>
  <c r="N45" i="18"/>
  <c r="N51" i="18" s="1"/>
  <c r="AF44" i="18"/>
  <c r="AF33" i="18"/>
  <c r="AF23" i="18"/>
  <c r="AI24" i="16"/>
  <c r="AI34" i="16"/>
  <c r="AI40" i="16" s="1"/>
  <c r="AI45" i="16"/>
  <c r="AI51" i="16" s="1"/>
  <c r="E23" i="18"/>
  <c r="E44" i="18"/>
  <c r="E33" i="18"/>
  <c r="AZ21" i="18"/>
  <c r="U50" i="18"/>
  <c r="U46" i="18"/>
  <c r="AJ46" i="17"/>
  <c r="U44" i="17"/>
  <c r="U23" i="17"/>
  <c r="U33" i="17"/>
  <c r="U46" i="16"/>
  <c r="U50" i="16"/>
  <c r="AJ39" i="16"/>
  <c r="AJ35" i="16"/>
  <c r="W24" i="17"/>
  <c r="W45" i="17"/>
  <c r="W51" i="17" s="1"/>
  <c r="W34" i="17"/>
  <c r="W40" i="17" s="1"/>
  <c r="AK50" i="18"/>
  <c r="AK46" i="18"/>
  <c r="AY50" i="16"/>
  <c r="AY46" i="16"/>
  <c r="E46" i="17"/>
  <c r="P35" i="17"/>
  <c r="P39" i="17"/>
  <c r="F35" i="16"/>
  <c r="F39" i="16"/>
  <c r="P36" i="6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AQ44" i="16" l="1"/>
  <c r="AQ23" i="16"/>
  <c r="AZ23" i="16" s="1"/>
  <c r="AQ33" i="16"/>
  <c r="AU50" i="16"/>
  <c r="AU46" i="16"/>
  <c r="E46" i="16"/>
  <c r="E50" i="16"/>
  <c r="H30" i="16"/>
  <c r="I27" i="16"/>
  <c r="J39" i="17"/>
  <c r="J35" i="17"/>
  <c r="AT50" i="16"/>
  <c r="AT46" i="16"/>
  <c r="N46" i="16"/>
  <c r="N50" i="16"/>
  <c r="M35" i="17"/>
  <c r="M39" i="17"/>
  <c r="F35" i="18"/>
  <c r="F39" i="18"/>
  <c r="K46" i="17"/>
  <c r="K50" i="17"/>
  <c r="AX46" i="16"/>
  <c r="AX50" i="16"/>
  <c r="AU39" i="16"/>
  <c r="AU35" i="16"/>
  <c r="E39" i="16"/>
  <c r="E35" i="16"/>
  <c r="AD46" i="18"/>
  <c r="AD50" i="18"/>
  <c r="AR35" i="18"/>
  <c r="AR39" i="18"/>
  <c r="L50" i="16"/>
  <c r="L46" i="16"/>
  <c r="AF35" i="17"/>
  <c r="X35" i="18"/>
  <c r="X39" i="18"/>
  <c r="AS46" i="17"/>
  <c r="W50" i="17"/>
  <c r="W46" i="17"/>
  <c r="AI35" i="16"/>
  <c r="AI39" i="16"/>
  <c r="N50" i="18"/>
  <c r="N46" i="18"/>
  <c r="AV35" i="18"/>
  <c r="AV39" i="18"/>
  <c r="AF35" i="18"/>
  <c r="AF39" i="18"/>
  <c r="AD39" i="18"/>
  <c r="AD35" i="18"/>
  <c r="AC35" i="17"/>
  <c r="AC39" i="17"/>
  <c r="L35" i="16"/>
  <c r="L39" i="16"/>
  <c r="L40" i="17"/>
  <c r="L35" i="17"/>
  <c r="AG50" i="18"/>
  <c r="AG46" i="18"/>
  <c r="AT35" i="16"/>
  <c r="AT39" i="16"/>
  <c r="N35" i="16"/>
  <c r="N39" i="16"/>
  <c r="M50" i="17"/>
  <c r="M46" i="17"/>
  <c r="F46" i="18"/>
  <c r="F50" i="18"/>
  <c r="AP35" i="17"/>
  <c r="AP39" i="17"/>
  <c r="K35" i="17"/>
  <c r="K39" i="17"/>
  <c r="R45" i="17"/>
  <c r="R51" i="17" s="1"/>
  <c r="R24" i="17"/>
  <c r="R34" i="17"/>
  <c r="R40" i="17" s="1"/>
  <c r="AG35" i="18"/>
  <c r="AG39" i="18"/>
  <c r="Y46" i="16"/>
  <c r="Y50" i="16"/>
  <c r="AP50" i="17"/>
  <c r="AP46" i="17"/>
  <c r="AF35" i="16"/>
  <c r="AF39" i="16"/>
  <c r="F46" i="17"/>
  <c r="F50" i="17"/>
  <c r="E46" i="18"/>
  <c r="E50" i="18"/>
  <c r="AK35" i="17"/>
  <c r="AK39" i="17"/>
  <c r="AT46" i="17"/>
  <c r="AX50" i="17"/>
  <c r="AX46" i="17"/>
  <c r="AF46" i="16"/>
  <c r="AF50" i="16"/>
  <c r="AS35" i="18"/>
  <c r="AS39" i="18"/>
  <c r="AC46" i="16"/>
  <c r="AC50" i="16"/>
  <c r="AB35" i="16"/>
  <c r="AB39" i="16"/>
  <c r="AF46" i="17"/>
  <c r="H50" i="16"/>
  <c r="H46" i="16"/>
  <c r="AK50" i="17"/>
  <c r="AK46" i="17"/>
  <c r="AH40" i="17"/>
  <c r="AH35" i="17"/>
  <c r="S35" i="17"/>
  <c r="S39" i="17"/>
  <c r="Y39" i="16"/>
  <c r="Y35" i="16"/>
  <c r="H27" i="17"/>
  <c r="G30" i="17"/>
  <c r="AM39" i="16"/>
  <c r="AM35" i="16"/>
  <c r="Y50" i="18"/>
  <c r="Y46" i="18"/>
  <c r="AN35" i="18"/>
  <c r="AN39" i="18"/>
  <c r="F35" i="17"/>
  <c r="F39" i="17"/>
  <c r="U50" i="17"/>
  <c r="U46" i="17"/>
  <c r="AS50" i="18"/>
  <c r="AS46" i="18"/>
  <c r="AO51" i="17"/>
  <c r="AO46" i="17"/>
  <c r="O39" i="17"/>
  <c r="O35" i="17"/>
  <c r="W50" i="16"/>
  <c r="W46" i="16"/>
  <c r="J50" i="17"/>
  <c r="J46" i="17"/>
  <c r="AH51" i="17"/>
  <c r="AH46" i="17"/>
  <c r="V40" i="17"/>
  <c r="V35" i="17"/>
  <c r="AX35" i="17"/>
  <c r="AX39" i="17"/>
  <c r="H27" i="18"/>
  <c r="G30" i="18"/>
  <c r="E35" i="18"/>
  <c r="E39" i="18"/>
  <c r="AF50" i="18"/>
  <c r="AF46" i="18"/>
  <c r="S35" i="16"/>
  <c r="S39" i="16"/>
  <c r="AB50" i="16"/>
  <c r="AB46" i="16"/>
  <c r="AR50" i="18"/>
  <c r="AR46" i="18"/>
  <c r="S46" i="17"/>
  <c r="S50" i="17"/>
  <c r="X46" i="18"/>
  <c r="X50" i="18"/>
  <c r="W39" i="17"/>
  <c r="W35" i="17"/>
  <c r="AI46" i="16"/>
  <c r="AI50" i="16"/>
  <c r="AV50" i="18"/>
  <c r="AV46" i="18"/>
  <c r="U35" i="17"/>
  <c r="U39" i="17"/>
  <c r="AZ24" i="17"/>
  <c r="AC35" i="16"/>
  <c r="AC39" i="16"/>
  <c r="AC50" i="17"/>
  <c r="AC46" i="17"/>
  <c r="O50" i="17"/>
  <c r="O46" i="17"/>
  <c r="W35" i="16"/>
  <c r="W39" i="16"/>
  <c r="L51" i="17"/>
  <c r="L46" i="17"/>
  <c r="R44" i="17"/>
  <c r="R33" i="17"/>
  <c r="R23" i="17"/>
  <c r="AZ23" i="17" s="1"/>
  <c r="V51" i="17"/>
  <c r="V46" i="17"/>
  <c r="AM50" i="16"/>
  <c r="AM46" i="16"/>
  <c r="Y39" i="18"/>
  <c r="Y35" i="18"/>
  <c r="AZ23" i="18"/>
  <c r="S46" i="16"/>
  <c r="S50" i="16"/>
  <c r="AO40" i="17"/>
  <c r="AO35" i="17"/>
  <c r="AQ24" i="16"/>
  <c r="AZ24" i="16" s="1"/>
  <c r="AQ34" i="16"/>
  <c r="AQ40" i="16" s="1"/>
  <c r="AQ45" i="16"/>
  <c r="AQ51" i="16" s="1"/>
  <c r="AZ22" i="17"/>
  <c r="AX35" i="16"/>
  <c r="AX39" i="16"/>
  <c r="H39" i="16"/>
  <c r="H35" i="16"/>
  <c r="AZ21" i="17"/>
  <c r="AZ24" i="18"/>
  <c r="N35" i="18"/>
  <c r="N39" i="18"/>
  <c r="AN50" i="18"/>
  <c r="AN46" i="18"/>
  <c r="D46" i="17"/>
  <c r="AZ21" i="16"/>
  <c r="G107" i="5"/>
  <c r="H36" i="5"/>
  <c r="H6" i="5"/>
  <c r="G16" i="5"/>
  <c r="H30" i="18" l="1"/>
  <c r="I27" i="18"/>
  <c r="I30" i="16"/>
  <c r="J27" i="16"/>
  <c r="AQ50" i="16"/>
  <c r="AQ46" i="16"/>
  <c r="I27" i="17"/>
  <c r="H30" i="17"/>
  <c r="AQ35" i="16"/>
  <c r="AQ39" i="16"/>
  <c r="R39" i="17"/>
  <c r="R35" i="17"/>
  <c r="R50" i="17"/>
  <c r="R46" i="17"/>
  <c r="I30" i="17" l="1"/>
  <c r="J27" i="17"/>
  <c r="K27" i="16"/>
  <c r="J30" i="16"/>
  <c r="J27" i="18"/>
  <c r="I30" i="18"/>
  <c r="K27" i="18" l="1"/>
  <c r="J30" i="18"/>
  <c r="K30" i="16"/>
  <c r="L27" i="16"/>
  <c r="K27" i="17"/>
  <c r="J30" i="17"/>
  <c r="K30" i="17" l="1"/>
  <c r="L27" i="17"/>
  <c r="M27" i="16"/>
  <c r="L30" i="16"/>
  <c r="L27" i="18"/>
  <c r="K30" i="18"/>
  <c r="M30" i="16" l="1"/>
  <c r="N27" i="16"/>
  <c r="L30" i="18"/>
  <c r="M27" i="18"/>
  <c r="M27" i="17"/>
  <c r="L30" i="17"/>
  <c r="N27" i="17" l="1"/>
  <c r="M30" i="17"/>
  <c r="N27" i="18"/>
  <c r="M30" i="18"/>
  <c r="O27" i="16"/>
  <c r="N30" i="16"/>
  <c r="P27" i="16" l="1"/>
  <c r="O30" i="16"/>
  <c r="O27" i="18"/>
  <c r="N30" i="18"/>
  <c r="N30" i="17"/>
  <c r="O27" i="17"/>
  <c r="O30" i="17" l="1"/>
  <c r="P27" i="17"/>
  <c r="P27" i="18"/>
  <c r="O30" i="18"/>
  <c r="P30" i="16"/>
  <c r="Q27" i="16"/>
  <c r="Q30" i="16" l="1"/>
  <c r="R27" i="16"/>
  <c r="Q27" i="18"/>
  <c r="P30" i="18"/>
  <c r="P30" i="17"/>
  <c r="Q27" i="17"/>
  <c r="R27" i="17" l="1"/>
  <c r="Q30" i="17"/>
  <c r="Q30" i="18"/>
  <c r="R27" i="18"/>
  <c r="S27" i="16"/>
  <c r="R30" i="16"/>
  <c r="T27" i="16" l="1"/>
  <c r="S30" i="16"/>
  <c r="S27" i="18"/>
  <c r="R30" i="18"/>
  <c r="R30" i="17"/>
  <c r="S27" i="17"/>
  <c r="U27" i="16" l="1"/>
  <c r="T30" i="16"/>
  <c r="S30" i="17"/>
  <c r="T27" i="17"/>
  <c r="S30" i="18"/>
  <c r="T27" i="18"/>
  <c r="U30" i="16" l="1"/>
  <c r="V27" i="16"/>
  <c r="T30" i="18"/>
  <c r="U27" i="18"/>
  <c r="U27" i="17"/>
  <c r="T30" i="17"/>
  <c r="U30" i="17" l="1"/>
  <c r="V27" i="17"/>
  <c r="U30" i="18"/>
  <c r="V27" i="18"/>
  <c r="W27" i="16"/>
  <c r="V30" i="16"/>
  <c r="X27" i="16" l="1"/>
  <c r="W30" i="16"/>
  <c r="V30" i="18"/>
  <c r="W27" i="18"/>
  <c r="V30" i="17"/>
  <c r="W27" i="17"/>
  <c r="Y27" i="16" l="1"/>
  <c r="X30" i="16"/>
  <c r="X27" i="17"/>
  <c r="W30" i="17"/>
  <c r="X27" i="18"/>
  <c r="W30" i="18"/>
  <c r="Y30" i="16" l="1"/>
  <c r="Z27" i="16"/>
  <c r="X30" i="18"/>
  <c r="Y27" i="18"/>
  <c r="X30" i="17"/>
  <c r="Y27" i="17"/>
  <c r="Z27" i="17" l="1"/>
  <c r="Y30" i="17"/>
  <c r="Y30" i="18"/>
  <c r="Z27" i="18"/>
  <c r="Z30" i="16"/>
  <c r="AA27" i="16"/>
  <c r="AA27" i="17" l="1"/>
  <c r="Z30" i="17"/>
  <c r="AA30" i="16"/>
  <c r="AB27" i="16"/>
  <c r="AA27" i="18"/>
  <c r="Z30" i="18"/>
  <c r="AA30" i="17" l="1"/>
  <c r="AB27" i="17"/>
  <c r="AB27" i="18"/>
  <c r="AA30" i="18"/>
  <c r="AC27" i="16"/>
  <c r="AB30" i="16"/>
  <c r="AD27" i="16" l="1"/>
  <c r="AC30" i="16"/>
  <c r="AC27" i="18"/>
  <c r="AB30" i="18"/>
  <c r="AC27" i="17"/>
  <c r="AB30" i="17"/>
  <c r="AD30" i="16" l="1"/>
  <c r="AE27" i="16"/>
  <c r="AD27" i="17"/>
  <c r="AC30" i="17"/>
  <c r="AC30" i="18"/>
  <c r="AD27" i="18"/>
  <c r="AD30" i="18" l="1"/>
  <c r="AE27" i="18"/>
  <c r="AE27" i="17"/>
  <c r="AD30" i="17"/>
  <c r="AE30" i="16"/>
  <c r="AF27" i="16"/>
  <c r="AG27" i="16" l="1"/>
  <c r="AF30" i="16"/>
  <c r="AE30" i="17"/>
  <c r="AF27" i="17"/>
  <c r="AF27" i="18"/>
  <c r="AE30" i="18"/>
  <c r="AF30" i="18" l="1"/>
  <c r="AG27" i="18"/>
  <c r="AH27" i="16"/>
  <c r="AG30" i="16"/>
  <c r="AF30" i="17"/>
  <c r="AG27" i="17"/>
  <c r="AH27" i="17" l="1"/>
  <c r="AG30" i="17"/>
  <c r="AI27" i="16"/>
  <c r="AH30" i="16"/>
  <c r="AH27" i="18"/>
  <c r="AG30" i="18"/>
  <c r="AH30" i="18" l="1"/>
  <c r="AI27" i="18"/>
  <c r="AJ27" i="16"/>
  <c r="AI30" i="16"/>
  <c r="AI27" i="17"/>
  <c r="AH30" i="17"/>
  <c r="AI30" i="17" l="1"/>
  <c r="AJ27" i="17"/>
  <c r="AK27" i="16"/>
  <c r="AJ30" i="16"/>
  <c r="AJ27" i="18"/>
  <c r="AI30" i="18"/>
  <c r="AK27" i="18" l="1"/>
  <c r="AJ30" i="18"/>
  <c r="AK30" i="16"/>
  <c r="AL27" i="16"/>
  <c r="AK27" i="17"/>
  <c r="AJ30" i="17"/>
  <c r="AK30" i="17" l="1"/>
  <c r="AL27" i="17"/>
  <c r="AM27" i="16"/>
  <c r="AL30" i="16"/>
  <c r="AL27" i="18"/>
  <c r="AK30" i="18"/>
  <c r="AL30" i="18" l="1"/>
  <c r="AM27" i="18"/>
  <c r="AM30" i="16"/>
  <c r="AN27" i="16"/>
  <c r="AL30" i="17"/>
  <c r="AM27" i="17"/>
  <c r="AN27" i="17" l="1"/>
  <c r="AM30" i="17"/>
  <c r="AN30" i="16"/>
  <c r="AO27" i="16"/>
  <c r="AN27" i="18"/>
  <c r="AM30" i="18"/>
  <c r="AO27" i="18" l="1"/>
  <c r="AN30" i="18"/>
  <c r="AP27" i="16"/>
  <c r="AO30" i="16"/>
  <c r="AN30" i="17"/>
  <c r="AO27" i="17"/>
  <c r="AP27" i="17" l="1"/>
  <c r="AO30" i="17"/>
  <c r="AQ27" i="16"/>
  <c r="AP30" i="16"/>
  <c r="AP27" i="18"/>
  <c r="AO30" i="18"/>
  <c r="AP30" i="18" l="1"/>
  <c r="AQ27" i="18"/>
  <c r="AR27" i="16"/>
  <c r="AQ30" i="16"/>
  <c r="AQ27" i="17"/>
  <c r="AP30" i="17"/>
  <c r="AQ30" i="17" l="1"/>
  <c r="AR27" i="17"/>
  <c r="AS27" i="16"/>
  <c r="AR30" i="16"/>
  <c r="AR27" i="18"/>
  <c r="AQ30" i="18"/>
  <c r="AS27" i="18" l="1"/>
  <c r="AR30" i="18"/>
  <c r="AS30" i="16"/>
  <c r="AT27" i="16"/>
  <c r="AS27" i="17"/>
  <c r="AR30" i="17"/>
  <c r="AS30" i="17" l="1"/>
  <c r="AT27" i="17"/>
  <c r="AU27" i="16"/>
  <c r="AT30" i="16"/>
  <c r="AT27" i="18"/>
  <c r="AS30" i="18"/>
  <c r="AT30" i="18" l="1"/>
  <c r="AU27" i="18"/>
  <c r="AV27" i="16"/>
  <c r="AU30" i="16"/>
  <c r="AU27" i="17"/>
  <c r="AT30" i="17"/>
  <c r="AV27" i="17" l="1"/>
  <c r="AU30" i="17"/>
  <c r="AV30" i="16"/>
  <c r="AW27" i="16"/>
  <c r="AV27" i="18"/>
  <c r="AU30" i="18"/>
  <c r="AW27" i="18" l="1"/>
  <c r="AV30" i="18"/>
  <c r="AX27" i="16"/>
  <c r="AW30" i="16"/>
  <c r="AW27" i="17"/>
  <c r="AV30" i="17"/>
  <c r="AW30" i="17" l="1"/>
  <c r="AX27" i="17"/>
  <c r="AY27" i="16"/>
  <c r="AY30" i="16" s="1"/>
  <c r="AZ30" i="16" s="1"/>
  <c r="AX30" i="16"/>
  <c r="AX27" i="18"/>
  <c r="AW30" i="18"/>
  <c r="AX30" i="18" l="1"/>
  <c r="AY27" i="18"/>
  <c r="AY30" i="18" s="1"/>
  <c r="AZ30" i="18" s="1"/>
  <c r="AY27" i="17"/>
  <c r="AY30" i="17" s="1"/>
  <c r="AX30" i="17"/>
  <c r="AZ30" i="17" l="1"/>
</calcChain>
</file>

<file path=xl/sharedStrings.xml><?xml version="1.0" encoding="utf-8"?>
<sst xmlns="http://schemas.openxmlformats.org/spreadsheetml/2006/main" count="2449" uniqueCount="413">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</sst>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 applyAlignment="1">
      <alignment horizontal="center"/>
    </xf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12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2005</v>
      </c>
      <c r="E5" s="103"/>
      <c r="F5" s="104"/>
    </row>
    <row r="6" spans="2:6" x14ac:dyDescent="0.2">
      <c r="B6" s="3"/>
      <c r="C6" s="3"/>
      <c r="D6" s="3"/>
      <c r="E6" s="3"/>
      <c r="F6" s="3"/>
    </row>
    <row r="8" spans="2:6" x14ac:dyDescent="0.2">
      <c r="B8">
        <v>3</v>
      </c>
      <c r="C8" t="s">
        <v>336</v>
      </c>
      <c r="D8">
        <v>2</v>
      </c>
      <c r="E8" t="s">
        <v>337</v>
      </c>
    </row>
    <row r="10" spans="2:6" x14ac:dyDescent="0.2">
      <c r="C10" t="s">
        <v>5</v>
      </c>
      <c r="E10" t="s">
        <v>22</v>
      </c>
    </row>
    <row r="11" spans="2:6" x14ac:dyDescent="0.2">
      <c r="C11" t="s">
        <v>10</v>
      </c>
      <c r="E11" t="s">
        <v>59</v>
      </c>
    </row>
    <row r="12" spans="2:6" x14ac:dyDescent="0.2">
      <c r="C12" t="s">
        <v>12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/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>
        <v>-786</v>
      </c>
      <c r="D6" s="15">
        <v>2043</v>
      </c>
      <c r="E6" s="15"/>
      <c r="F6" s="15" t="s">
        <v>6</v>
      </c>
      <c r="G6" s="15">
        <f t="shared" ref="G6:G15" si="0">$D6+$C6</f>
        <v>1257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/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/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/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>
        <v>-1541</v>
      </c>
      <c r="D10" s="15">
        <v>2454</v>
      </c>
      <c r="E10" s="15"/>
      <c r="F10" s="15" t="s">
        <v>6</v>
      </c>
      <c r="G10" s="15">
        <f t="shared" si="0"/>
        <v>913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/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>
        <v>-292</v>
      </c>
      <c r="D12" s="15">
        <v>5273</v>
      </c>
      <c r="E12" s="15"/>
      <c r="F12" s="15" t="s">
        <v>6</v>
      </c>
      <c r="G12" s="15">
        <f t="shared" si="0"/>
        <v>4981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/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/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/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>
        <v>-39</v>
      </c>
      <c r="D21" s="15">
        <v>61</v>
      </c>
      <c r="E21" s="15"/>
      <c r="F21" s="15" t="s">
        <v>6</v>
      </c>
      <c r="G21" s="15">
        <f t="shared" ref="G21:G30" si="2">$D21+$C21</f>
        <v>22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>
        <v>-62</v>
      </c>
      <c r="D25" s="15">
        <v>91</v>
      </c>
      <c r="E25" s="15"/>
      <c r="F25" s="15" t="s">
        <v>6</v>
      </c>
      <c r="G25" s="15">
        <f t="shared" si="2"/>
        <v>29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>
        <v>-43</v>
      </c>
      <c r="D27" s="15">
        <v>155</v>
      </c>
      <c r="E27" s="15"/>
      <c r="F27" s="15" t="s">
        <v>6</v>
      </c>
      <c r="G27" s="15">
        <f t="shared" si="2"/>
        <v>112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307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/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/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/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40000</v>
      </c>
      <c r="E39" s="15"/>
      <c r="F39" s="15" t="s">
        <v>6</v>
      </c>
      <c r="G39" s="15">
        <f t="shared" si="3"/>
        <v>40000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/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/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/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/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/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/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/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/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/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/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/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/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/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/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/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/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/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/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/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/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/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/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/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/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/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/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/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/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/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/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/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/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/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/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/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/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43000</v>
      </c>
      <c r="E76" s="15"/>
      <c r="F76" s="15" t="s">
        <v>6</v>
      </c>
      <c r="G76" s="15">
        <f t="shared" si="5"/>
        <v>43000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/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/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/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/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/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/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/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/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/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/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/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/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/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/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/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/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/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/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/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/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/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/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/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/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/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/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/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/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/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/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/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2000</v>
      </c>
      <c r="E28" s="49"/>
      <c r="F28" s="45">
        <f>basic_info!$D$5-4</f>
        <v>2001</v>
      </c>
      <c r="G28" s="49"/>
      <c r="H28" s="45">
        <f>basic_info!$D$5-3</f>
        <v>2002</v>
      </c>
      <c r="I28" s="49"/>
      <c r="J28" s="45">
        <f>basic_info!$D$5-2</f>
        <v>2003</v>
      </c>
      <c r="K28" s="49"/>
      <c r="L28" s="45">
        <f>basic_info!$D$5-1</f>
        <v>2004</v>
      </c>
      <c r="N28" s="45">
        <f>basic_info!$D$5</f>
        <v>2005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2005</v>
      </c>
      <c r="D30" s="44">
        <v>0.89613018209891793</v>
      </c>
      <c r="E30" s="35">
        <v>0</v>
      </c>
      <c r="F30" s="47">
        <v>0.89685664902276785</v>
      </c>
      <c r="G30" s="46">
        <v>200000</v>
      </c>
      <c r="H30" s="47">
        <v>0.92496783911573388</v>
      </c>
      <c r="I30" s="46">
        <v>0</v>
      </c>
      <c r="J30" s="47">
        <v>0.86281425781024335</v>
      </c>
      <c r="K30" s="46">
        <v>0</v>
      </c>
      <c r="L30" s="47">
        <v>0.80509725564657586</v>
      </c>
      <c r="M30" s="46">
        <v>0</v>
      </c>
      <c r="N30" s="60"/>
      <c r="O30" s="71" t="s">
        <v>162</v>
      </c>
      <c r="P30" s="41">
        <f>M30+K30+I30+E30+G30</f>
        <v>200000</v>
      </c>
      <c r="Q30" s="70"/>
    </row>
    <row r="31" spans="2:33" x14ac:dyDescent="0.2">
      <c r="B31" s="36"/>
      <c r="C31" s="47">
        <f>basic_info!$D$5+1</f>
        <v>2006</v>
      </c>
      <c r="D31" s="76"/>
      <c r="E31" s="75"/>
      <c r="F31" s="69">
        <v>0.87020508707976429</v>
      </c>
      <c r="G31" s="79">
        <v>0</v>
      </c>
      <c r="H31" s="61">
        <v>0.86299991590536052</v>
      </c>
      <c r="I31" s="62">
        <v>200000</v>
      </c>
      <c r="J31" s="61">
        <v>0.79485878402772314</v>
      </c>
      <c r="K31" s="62">
        <v>0</v>
      </c>
      <c r="L31" s="61">
        <v>0.74055946737908196</v>
      </c>
      <c r="M31" s="62">
        <v>0</v>
      </c>
      <c r="N31" s="63">
        <v>0.78901217047933125</v>
      </c>
      <c r="O31" s="89"/>
      <c r="P31" s="63">
        <f>O31+M31+K31+I31+G31</f>
        <v>200000</v>
      </c>
    </row>
    <row r="32" spans="2:33" x14ac:dyDescent="0.2">
      <c r="B32" s="36"/>
      <c r="C32" s="47">
        <f>basic_info!$D$5+2</f>
        <v>2007</v>
      </c>
      <c r="D32" s="76"/>
      <c r="E32" s="75"/>
      <c r="F32" s="75"/>
      <c r="G32" s="75"/>
      <c r="H32" s="69">
        <v>0.78584368908792024</v>
      </c>
      <c r="I32" s="79">
        <v>0</v>
      </c>
      <c r="J32" s="61">
        <v>0.78609720553568063</v>
      </c>
      <c r="K32" s="62">
        <v>0</v>
      </c>
      <c r="L32" s="61">
        <v>0.73078852244812054</v>
      </c>
      <c r="M32" s="62">
        <v>0</v>
      </c>
      <c r="N32" s="63">
        <v>0.79541919266908367</v>
      </c>
      <c r="O32" s="89"/>
      <c r="P32" s="63">
        <f>O32+M32+K32+I32</f>
        <v>0</v>
      </c>
    </row>
    <row r="33" spans="2:17" x14ac:dyDescent="0.2">
      <c r="B33" s="36"/>
      <c r="C33" s="47">
        <f>basic_info!$D$5+3</f>
        <v>2008</v>
      </c>
      <c r="D33" s="76"/>
      <c r="E33" s="75"/>
      <c r="F33" s="75"/>
      <c r="G33" s="75"/>
      <c r="H33" s="75"/>
      <c r="I33" s="75"/>
      <c r="J33" s="69">
        <v>0.7399849637887721</v>
      </c>
      <c r="K33" s="79">
        <v>0</v>
      </c>
      <c r="L33" s="61">
        <v>0.69782766257496576</v>
      </c>
      <c r="M33" s="62">
        <v>0</v>
      </c>
      <c r="N33" s="63">
        <v>0.7777456783815756</v>
      </c>
      <c r="O33" s="89"/>
      <c r="P33" s="63">
        <f>O33+M33+K33</f>
        <v>0</v>
      </c>
    </row>
    <row r="34" spans="2:17" x14ac:dyDescent="0.2">
      <c r="B34" s="36"/>
      <c r="C34" s="47">
        <f>basic_info!$D$5+4</f>
        <v>2009</v>
      </c>
      <c r="D34" s="76"/>
      <c r="E34" s="75"/>
      <c r="F34" s="75"/>
      <c r="G34" s="75"/>
      <c r="H34" s="75"/>
      <c r="I34" s="75"/>
      <c r="J34" s="75"/>
      <c r="K34" s="75"/>
      <c r="L34" s="69">
        <v>0.64606856993436812</v>
      </c>
      <c r="M34" s="79">
        <v>0</v>
      </c>
      <c r="N34" s="63">
        <v>0.72055098531842476</v>
      </c>
      <c r="O34" s="89">
        <v>400000</v>
      </c>
      <c r="P34" s="63">
        <f>O34+M34</f>
        <v>400000</v>
      </c>
    </row>
    <row r="35" spans="2:17" x14ac:dyDescent="0.2">
      <c r="B35" s="37"/>
      <c r="C35" s="72">
        <f>basic_info!$D$5+5</f>
        <v>2010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0.6808876388132572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2005</v>
      </c>
      <c r="D36" s="44">
        <v>0.98237584286493185</v>
      </c>
      <c r="E36" s="35">
        <v>0</v>
      </c>
      <c r="F36" s="73">
        <v>1.1615220810181899</v>
      </c>
      <c r="G36" s="74">
        <v>0</v>
      </c>
      <c r="H36" s="73">
        <v>1.1557062872353714</v>
      </c>
      <c r="I36" s="74">
        <v>0</v>
      </c>
      <c r="J36" s="73">
        <v>1.1782387321890069</v>
      </c>
      <c r="K36" s="74">
        <v>0</v>
      </c>
      <c r="L36" s="66">
        <v>1.2236057377959293</v>
      </c>
      <c r="M36" s="67">
        <v>0</v>
      </c>
      <c r="N36" s="68"/>
      <c r="O36" s="71" t="s">
        <v>162</v>
      </c>
      <c r="P36" s="41">
        <f>M36+K36+I36+E36+G36</f>
        <v>0</v>
      </c>
      <c r="Q36" s="70"/>
    </row>
    <row r="37" spans="2:17" x14ac:dyDescent="0.2">
      <c r="B37" s="36"/>
      <c r="C37" s="47">
        <f>basic_info!$D$5+1</f>
        <v>2006</v>
      </c>
      <c r="D37" s="76"/>
      <c r="E37" s="75"/>
      <c r="F37" s="69">
        <v>1.0710118786053693</v>
      </c>
      <c r="G37" s="79">
        <v>0</v>
      </c>
      <c r="H37" s="61">
        <v>1.0946334830229054</v>
      </c>
      <c r="I37" s="62">
        <v>200000</v>
      </c>
      <c r="J37" s="61">
        <v>1.0994159571183295</v>
      </c>
      <c r="K37" s="62">
        <v>0</v>
      </c>
      <c r="L37" s="61">
        <v>1.1916827819048752</v>
      </c>
      <c r="M37" s="62">
        <v>300000</v>
      </c>
      <c r="N37" s="61">
        <v>1.1318170427930718</v>
      </c>
      <c r="O37" s="89">
        <v>600000</v>
      </c>
      <c r="P37" s="63">
        <f>O37+M37+K37+I37+G37</f>
        <v>1100000</v>
      </c>
    </row>
    <row r="38" spans="2:17" x14ac:dyDescent="0.2">
      <c r="B38" s="36"/>
      <c r="C38" s="47">
        <f>basic_info!$D$5+2</f>
        <v>2007</v>
      </c>
      <c r="D38" s="76"/>
      <c r="E38" s="75"/>
      <c r="F38" s="75"/>
      <c r="G38" s="75"/>
      <c r="H38" s="69">
        <v>1.0290085296932949</v>
      </c>
      <c r="I38" s="79">
        <v>0</v>
      </c>
      <c r="J38" s="61">
        <v>1.1054417090410307</v>
      </c>
      <c r="K38" s="62">
        <v>0</v>
      </c>
      <c r="L38" s="61">
        <v>1.1101569663340529</v>
      </c>
      <c r="M38" s="62">
        <v>0</v>
      </c>
      <c r="N38" s="61">
        <v>1.0946302598191511</v>
      </c>
      <c r="O38" s="89">
        <v>300000</v>
      </c>
      <c r="P38" s="63">
        <f>O38+M38+K38+I38</f>
        <v>300000</v>
      </c>
    </row>
    <row r="39" spans="2:17" x14ac:dyDescent="0.2">
      <c r="B39" s="36"/>
      <c r="C39" s="47">
        <f>basic_info!$D$5+3</f>
        <v>2008</v>
      </c>
      <c r="D39" s="76"/>
      <c r="E39" s="75"/>
      <c r="F39" s="75"/>
      <c r="G39" s="75"/>
      <c r="H39" s="75"/>
      <c r="I39" s="75"/>
      <c r="J39" s="69">
        <v>1.0257547201122916</v>
      </c>
      <c r="K39" s="79">
        <v>0</v>
      </c>
      <c r="L39" s="61">
        <v>1.1300023102276531</v>
      </c>
      <c r="M39" s="62">
        <v>0</v>
      </c>
      <c r="N39" s="61">
        <v>1.0547878477209383</v>
      </c>
      <c r="O39" s="89">
        <v>300000</v>
      </c>
      <c r="P39" s="63">
        <f>O39+M39+K39</f>
        <v>300000</v>
      </c>
    </row>
    <row r="40" spans="2:17" x14ac:dyDescent="0.2">
      <c r="B40" s="36"/>
      <c r="C40" s="47">
        <f>basic_info!$D$5+4</f>
        <v>2009</v>
      </c>
      <c r="D40" s="76"/>
      <c r="E40" s="75"/>
      <c r="F40" s="75"/>
      <c r="G40" s="75"/>
      <c r="H40" s="75"/>
      <c r="I40" s="75"/>
      <c r="J40" s="75"/>
      <c r="K40" s="75"/>
      <c r="L40" s="69">
        <v>1.051191025570035</v>
      </c>
      <c r="M40" s="79">
        <v>0</v>
      </c>
      <c r="N40" s="61">
        <v>1.0390313119782215</v>
      </c>
      <c r="O40" s="89">
        <v>300000</v>
      </c>
      <c r="P40" s="63">
        <f>O40+M40</f>
        <v>300000</v>
      </c>
    </row>
    <row r="41" spans="2:17" x14ac:dyDescent="0.2">
      <c r="B41" s="37"/>
      <c r="C41" s="72">
        <f>basic_info!$D$5+5</f>
        <v>2010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0.95771333889663224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topLeftCell="A8" workbookViewId="0">
      <selection activeCell="B34" sqref="B34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7" x14ac:dyDescent="0.2">
      <c r="B2" s="28" t="s">
        <v>114</v>
      </c>
    </row>
    <row r="3" spans="2:17" x14ac:dyDescent="0.2">
      <c r="B3" s="30" t="s">
        <v>144</v>
      </c>
    </row>
    <row r="4" spans="2:17" x14ac:dyDescent="0.2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 x14ac:dyDescent="0.2">
      <c r="B6" s="45" t="s">
        <v>163</v>
      </c>
      <c r="C6" s="93">
        <v>6.083281169442694</v>
      </c>
      <c r="D6" s="93"/>
      <c r="E6" s="93">
        <v>21.322558656143194</v>
      </c>
      <c r="F6" s="93">
        <v>43.576000000000001</v>
      </c>
      <c r="G6" s="93">
        <v>29.018160174414106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 x14ac:dyDescent="0.2">
      <c r="B7" s="45" t="s">
        <v>105</v>
      </c>
      <c r="C7" s="93"/>
      <c r="D7" s="93">
        <v>29.273302900011473</v>
      </c>
      <c r="E7" s="93"/>
      <c r="F7" s="93">
        <v>5.2536970999885284</v>
      </c>
      <c r="G7" s="93">
        <v>65.472999999999999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 x14ac:dyDescent="0.2">
      <c r="B8" s="45" t="s">
        <v>106</v>
      </c>
      <c r="C8" s="93"/>
      <c r="D8" s="93">
        <v>13.311643831050283</v>
      </c>
      <c r="E8" s="93"/>
      <c r="F8" s="93">
        <v>41.02235616894972</v>
      </c>
      <c r="G8" s="93">
        <v>45.665999999999997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 x14ac:dyDescent="0.2">
      <c r="B9" s="45" t="s">
        <v>107</v>
      </c>
      <c r="C9" s="93">
        <v>100</v>
      </c>
      <c r="D9" s="93"/>
      <c r="E9" s="93"/>
      <c r="F9" s="93"/>
      <c r="G9" s="93"/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 x14ac:dyDescent="0.2">
      <c r="B10" s="45" t="s">
        <v>108</v>
      </c>
      <c r="C10" s="93">
        <v>100</v>
      </c>
      <c r="D10" s="93"/>
      <c r="E10" s="93"/>
      <c r="F10" s="93"/>
      <c r="G10" s="93"/>
      <c r="H10" s="97">
        <f>SUM($C$10:$G$10)</f>
        <v>100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 x14ac:dyDescent="0.2">
      <c r="B11" s="45" t="s">
        <v>109</v>
      </c>
      <c r="C11" s="94">
        <v>100</v>
      </c>
      <c r="D11" s="94"/>
      <c r="E11" s="94"/>
      <c r="F11" s="94"/>
      <c r="G11" s="94"/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 x14ac:dyDescent="0.2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7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44">
        <f>100-$E$19</f>
        <v>0</v>
      </c>
      <c r="G19" s="94">
        <v>100</v>
      </c>
      <c r="H19" s="33">
        <f>100-$G$19</f>
        <v>0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3">
        <v>100</v>
      </c>
      <c r="H27" s="93"/>
      <c r="I27" s="95">
        <v>100</v>
      </c>
      <c r="P27" s="50"/>
      <c r="Q27" s="50"/>
      <c r="R27" s="50"/>
    </row>
    <row r="28" spans="2:18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3"/>
      <c r="H28" s="93">
        <v>100</v>
      </c>
      <c r="I28" s="95"/>
      <c r="P28" s="50"/>
      <c r="Q28" s="50"/>
      <c r="R28" s="50"/>
    </row>
    <row r="29" spans="2:18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8">
        <f>SUM($G$27:$G$28)</f>
        <v>100</v>
      </c>
      <c r="H29" s="98">
        <f>SUM($H$27:$H$28)</f>
        <v>100</v>
      </c>
      <c r="I29" s="96">
        <f>SUM($I$27:$I$28)</f>
        <v>100</v>
      </c>
      <c r="P29" s="50"/>
      <c r="Q29" s="50"/>
      <c r="R29" s="50"/>
    </row>
    <row r="30" spans="2:18" x14ac:dyDescent="0.2">
      <c r="B30" s="54"/>
      <c r="C30" s="54"/>
      <c r="D30" s="54"/>
      <c r="E30" s="54"/>
      <c r="F30" s="54"/>
      <c r="G30" s="54"/>
      <c r="H30" s="54"/>
      <c r="I30" s="54"/>
      <c r="P30" s="50"/>
      <c r="Q30" s="50"/>
      <c r="R30" s="50"/>
    </row>
    <row r="31" spans="2:18" x14ac:dyDescent="0.2">
      <c r="I31" s="50"/>
      <c r="J31" s="50"/>
      <c r="K31" s="50"/>
    </row>
    <row r="32" spans="2:18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G19 C27:I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/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defaultRowHeight="12.75" x14ac:dyDescent="0.2"/>
  <cols>
    <col min="1" max="1" width="4.7109375" style="106" customWidth="1"/>
    <col min="2" max="6" width="9.140625" style="106"/>
    <col min="7" max="7" width="2.7109375" style="106" customWidth="1"/>
    <col min="8" max="8" width="11.140625" style="106" customWidth="1"/>
    <col min="9" max="10" width="9.140625" style="106"/>
    <col min="11" max="12" width="4.7109375" style="106" customWidth="1"/>
    <col min="13" max="17" width="9.140625" style="106"/>
    <col min="18" max="18" width="2.7109375" style="106" customWidth="1"/>
    <col min="19" max="19" width="14.7109375" style="106" customWidth="1"/>
    <col min="20" max="20" width="16.7109375" style="106" customWidth="1"/>
    <col min="21" max="21" width="4.7109375" style="106" customWidth="1"/>
    <col min="22" max="16384" width="9.140625" style="106"/>
  </cols>
  <sheetData>
    <row r="1" spans="1:20" x14ac:dyDescent="0.2">
      <c r="A1" s="185"/>
    </row>
    <row r="2" spans="1:20" ht="15.75" x14ac:dyDescent="0.25">
      <c r="C2" s="186" t="s">
        <v>165</v>
      </c>
      <c r="D2" s="186"/>
      <c r="E2" s="186"/>
      <c r="F2" s="186"/>
      <c r="G2" s="186"/>
      <c r="H2" s="186"/>
    </row>
    <row r="3" spans="1:20" ht="18.75" x14ac:dyDescent="0.25">
      <c r="C3" s="187" t="s">
        <v>412</v>
      </c>
      <c r="D3" s="187"/>
      <c r="E3" s="187"/>
      <c r="F3" s="187"/>
      <c r="G3" s="187"/>
    </row>
    <row r="5" spans="1:20" ht="15.75" x14ac:dyDescent="0.25">
      <c r="A5" s="188" t="s">
        <v>351</v>
      </c>
      <c r="B5" s="189"/>
      <c r="G5" s="190"/>
      <c r="L5" s="188" t="s">
        <v>352</v>
      </c>
      <c r="M5" s="189"/>
      <c r="R5" s="190"/>
    </row>
    <row r="6" spans="1:20" x14ac:dyDescent="0.2">
      <c r="A6" s="191" t="s">
        <v>353</v>
      </c>
      <c r="B6" s="189"/>
      <c r="G6" s="192"/>
      <c r="H6" s="116"/>
      <c r="L6" s="191" t="s">
        <v>354</v>
      </c>
      <c r="M6" s="189"/>
      <c r="S6" s="131"/>
    </row>
    <row r="7" spans="1:20" x14ac:dyDescent="0.2">
      <c r="A7" s="189"/>
      <c r="B7" s="189" t="s">
        <v>355</v>
      </c>
      <c r="G7" s="192"/>
      <c r="H7" s="193">
        <f>SUM(ORA!$D$116:$O$116)</f>
        <v>85103</v>
      </c>
      <c r="L7" s="189"/>
      <c r="M7" s="189" t="s">
        <v>355</v>
      </c>
      <c r="S7" s="194">
        <f>SUM(ORA!$D$127:$O$127)</f>
        <v>299137862.35799074</v>
      </c>
    </row>
    <row r="8" spans="1:20" x14ac:dyDescent="0.2">
      <c r="A8" s="189"/>
      <c r="B8" s="189" t="s">
        <v>356</v>
      </c>
      <c r="G8" s="192"/>
      <c r="H8" s="195">
        <f>SUM(POJ!$D$116:$O$116)</f>
        <v>95629.97325898947</v>
      </c>
      <c r="L8" s="189"/>
      <c r="M8" s="189" t="s">
        <v>356</v>
      </c>
      <c r="S8" s="196">
        <f>SUM(POJ!$D$127:$O$127)</f>
        <v>340187011.39702439</v>
      </c>
    </row>
    <row r="9" spans="1:20" x14ac:dyDescent="0.2">
      <c r="A9" s="189"/>
      <c r="B9" s="189" t="s">
        <v>357</v>
      </c>
      <c r="G9" s="192"/>
      <c r="H9" s="195">
        <f>SUM(ROJ!$D$116:$O$116)</f>
        <v>0</v>
      </c>
      <c r="L9" s="189"/>
      <c r="M9" s="189" t="s">
        <v>357</v>
      </c>
      <c r="S9" s="196">
        <f>SUM(ROJ!$D$127:$O$127)</f>
        <v>0</v>
      </c>
    </row>
    <row r="10" spans="1:20" x14ac:dyDescent="0.2">
      <c r="A10" s="189"/>
      <c r="B10" s="189" t="s">
        <v>358</v>
      </c>
      <c r="G10" s="192"/>
      <c r="H10" s="197">
        <f>SUM(FCOJ!$D$116:$O$116)</f>
        <v>0</v>
      </c>
      <c r="L10" s="189"/>
      <c r="M10" s="189" t="s">
        <v>358</v>
      </c>
      <c r="S10" s="198">
        <f>SUM(FCOJ!$D$127:$O$127)</f>
        <v>0</v>
      </c>
    </row>
    <row r="11" spans="1:20" x14ac:dyDescent="0.2">
      <c r="A11" s="189"/>
      <c r="B11" s="189"/>
      <c r="G11" s="192"/>
      <c r="M11" s="189" t="s">
        <v>359</v>
      </c>
      <c r="T11" s="199">
        <f>SUM($S$7:$S$10)</f>
        <v>639324873.75501513</v>
      </c>
    </row>
    <row r="12" spans="1:20" x14ac:dyDescent="0.2">
      <c r="A12" s="191" t="s">
        <v>360</v>
      </c>
      <c r="B12" s="189"/>
      <c r="G12" s="192"/>
    </row>
    <row r="13" spans="1:20" x14ac:dyDescent="0.2">
      <c r="A13" s="189"/>
      <c r="B13" s="189" t="s">
        <v>361</v>
      </c>
      <c r="G13" s="192"/>
      <c r="H13" s="200">
        <f>SUM(grove!$C$48:$AX$53)</f>
        <v>288371.0857024478</v>
      </c>
      <c r="L13" s="191" t="s">
        <v>362</v>
      </c>
      <c r="M13" s="189"/>
    </row>
    <row r="14" spans="1:20" x14ac:dyDescent="0.2">
      <c r="A14" s="189"/>
      <c r="B14" s="189" t="s">
        <v>363</v>
      </c>
      <c r="G14" s="192"/>
      <c r="H14" s="193">
        <f>raw_materials!$P$30</f>
        <v>200000</v>
      </c>
      <c r="L14" s="189"/>
      <c r="M14" s="189" t="s">
        <v>364</v>
      </c>
      <c r="S14" s="194">
        <f>SUM(grove!$C$58:$AX$63)</f>
        <v>412147094.14357424</v>
      </c>
    </row>
    <row r="15" spans="1:20" x14ac:dyDescent="0.2">
      <c r="A15" s="189"/>
      <c r="B15" s="189" t="s">
        <v>365</v>
      </c>
      <c r="G15" s="192"/>
      <c r="H15" s="197">
        <f>raw_materials!$P$36</f>
        <v>0</v>
      </c>
      <c r="L15" s="189"/>
      <c r="M15" s="189" t="s">
        <v>366</v>
      </c>
      <c r="S15" s="196">
        <f>(raw_materials!D30*raw_materials!E30+raw_materials!F30*raw_materials!G30+raw_materials!H30*raw_materials!I30+raw_materials!J30*raw_materials!K30+raw_materials!L30*raw_materials!M30)*2000</f>
        <v>358742659.60910714</v>
      </c>
    </row>
    <row r="16" spans="1:20" x14ac:dyDescent="0.2">
      <c r="A16" s="189"/>
      <c r="B16" s="189" t="s">
        <v>367</v>
      </c>
      <c r="G16" s="192"/>
      <c r="H16" s="201">
        <v>112729.10894200896</v>
      </c>
      <c r="L16" s="189"/>
      <c r="M16" s="189" t="s">
        <v>368</v>
      </c>
      <c r="S16" s="196">
        <f>(raw_materials!D36*raw_materials!E36+raw_materials!F36*raw_materials!G36+raw_materials!H36*raw_materials!I36+raw_materials!J36*raw_materials!K36+raw_materials!L36*raw_materials!M36)*2000</f>
        <v>0</v>
      </c>
    </row>
    <row r="17" spans="1:21" x14ac:dyDescent="0.2">
      <c r="A17" s="189"/>
      <c r="B17" s="189" t="s">
        <v>369</v>
      </c>
      <c r="G17" s="192"/>
      <c r="H17" s="202">
        <v>0</v>
      </c>
      <c r="L17" s="189"/>
      <c r="M17" s="189" t="s">
        <v>370</v>
      </c>
      <c r="S17" s="196">
        <v>146527500.50677666</v>
      </c>
    </row>
    <row r="18" spans="1:21" x14ac:dyDescent="0.2">
      <c r="A18" s="189"/>
      <c r="B18" s="189" t="s">
        <v>371</v>
      </c>
      <c r="G18" s="192"/>
      <c r="H18" s="203">
        <v>0</v>
      </c>
      <c r="L18" s="189"/>
      <c r="M18" s="189" t="s">
        <v>372</v>
      </c>
      <c r="S18" s="198">
        <v>0</v>
      </c>
    </row>
    <row r="19" spans="1:21" x14ac:dyDescent="0.2">
      <c r="A19" s="189"/>
      <c r="B19" s="189" t="s">
        <v>373</v>
      </c>
      <c r="G19" s="192"/>
      <c r="H19" s="202">
        <v>418.0862692132323</v>
      </c>
      <c r="L19" s="189"/>
      <c r="M19" s="189" t="s">
        <v>374</v>
      </c>
      <c r="S19" s="204" t="s">
        <v>375</v>
      </c>
      <c r="T19" s="205">
        <f>SUM($S$14:$S$18)</f>
        <v>917417254.25945807</v>
      </c>
      <c r="U19" s="106" t="s">
        <v>376</v>
      </c>
    </row>
    <row r="20" spans="1:21" x14ac:dyDescent="0.2">
      <c r="A20" s="189"/>
      <c r="B20" s="189" t="s">
        <v>377</v>
      </c>
      <c r="G20" s="192"/>
      <c r="H20" s="197">
        <v>264787.50364587223</v>
      </c>
      <c r="L20" s="189"/>
      <c r="M20" s="189"/>
    </row>
    <row r="21" spans="1:21" x14ac:dyDescent="0.2">
      <c r="A21" s="189"/>
      <c r="B21" s="189"/>
      <c r="G21" s="192"/>
      <c r="L21" s="191" t="s">
        <v>378</v>
      </c>
      <c r="M21" s="189"/>
      <c r="S21" s="131"/>
    </row>
    <row r="22" spans="1:21" x14ac:dyDescent="0.2">
      <c r="A22" s="191" t="s">
        <v>379</v>
      </c>
      <c r="B22" s="189"/>
      <c r="G22" s="192"/>
      <c r="L22" s="189"/>
      <c r="M22" s="189" t="s">
        <v>380</v>
      </c>
      <c r="S22" s="196">
        <v>225458217.88401791</v>
      </c>
    </row>
    <row r="23" spans="1:21" x14ac:dyDescent="0.2">
      <c r="A23" s="189"/>
      <c r="B23" s="189" t="s">
        <v>381</v>
      </c>
      <c r="G23" s="192"/>
      <c r="H23" s="193">
        <f>SUM(raw_materials!$O$31:$O$35)</f>
        <v>800000</v>
      </c>
      <c r="L23" s="189"/>
      <c r="M23" s="189" t="s">
        <v>382</v>
      </c>
      <c r="S23" s="196">
        <v>0</v>
      </c>
    </row>
    <row r="24" spans="1:21" x14ac:dyDescent="0.2">
      <c r="A24" s="189"/>
      <c r="B24" s="189" t="s">
        <v>383</v>
      </c>
      <c r="G24" s="192"/>
      <c r="H24" s="197">
        <f>SUM(raw_materials!$O$37:$O$41)</f>
        <v>1800000</v>
      </c>
      <c r="L24" s="189"/>
      <c r="M24" s="189" t="s">
        <v>384</v>
      </c>
      <c r="S24" s="198">
        <v>0</v>
      </c>
    </row>
    <row r="25" spans="1:21" x14ac:dyDescent="0.2">
      <c r="A25" s="189"/>
      <c r="B25" s="189"/>
      <c r="G25" s="192"/>
      <c r="L25" s="189"/>
      <c r="M25" s="189" t="s">
        <v>385</v>
      </c>
      <c r="S25" s="204" t="s">
        <v>375</v>
      </c>
      <c r="T25" s="205">
        <f>SUM($S$22:$S$24)</f>
        <v>225458217.88401791</v>
      </c>
      <c r="U25" s="106" t="s">
        <v>376</v>
      </c>
    </row>
    <row r="26" spans="1:21" x14ac:dyDescent="0.2">
      <c r="A26" s="191" t="s">
        <v>386</v>
      </c>
      <c r="B26" s="189"/>
      <c r="G26" s="192"/>
      <c r="L26" s="189"/>
      <c r="M26" s="189"/>
    </row>
    <row r="27" spans="1:21" x14ac:dyDescent="0.2">
      <c r="A27" s="189"/>
      <c r="B27" s="189" t="s">
        <v>387</v>
      </c>
      <c r="G27" s="192"/>
      <c r="H27" s="193">
        <f>SUMIF(facilities!$C$6:$C$15,"&gt;0",facilities!$C$6:$C$15)</f>
        <v>0</v>
      </c>
      <c r="L27" s="191" t="s">
        <v>388</v>
      </c>
      <c r="M27" s="189"/>
    </row>
    <row r="28" spans="1:21" x14ac:dyDescent="0.2">
      <c r="A28" s="189"/>
      <c r="B28" s="189" t="s">
        <v>389</v>
      </c>
      <c r="G28" s="192"/>
      <c r="H28" s="195">
        <f>SUMIF(facilities!$C$36:$C$106,"&gt;0",facilities!$C$36:$C$106)</f>
        <v>0</v>
      </c>
      <c r="L28" s="189"/>
      <c r="M28" s="189" t="s">
        <v>390</v>
      </c>
      <c r="S28" s="194">
        <v>210019644</v>
      </c>
    </row>
    <row r="29" spans="1:21" x14ac:dyDescent="0.2">
      <c r="A29" s="189"/>
      <c r="B29" s="189" t="s">
        <v>391</v>
      </c>
      <c r="G29" s="192"/>
      <c r="H29" s="195">
        <f>SUMIF(facilities!$C$6:$C$15,"&lt;0",facilities!$C$6:$C$15)</f>
        <v>-2619</v>
      </c>
      <c r="L29" s="189"/>
      <c r="M29" s="189" t="s">
        <v>392</v>
      </c>
      <c r="S29" s="196">
        <v>2085410.2201326184</v>
      </c>
    </row>
    <row r="30" spans="1:21" x14ac:dyDescent="0.2">
      <c r="A30" s="189"/>
      <c r="B30" s="189" t="s">
        <v>393</v>
      </c>
      <c r="G30" s="192"/>
      <c r="H30" s="197">
        <f>SUMIF(facilities!$C$36:$C$106,"&lt;0",facilities!$C$36:$C$106)</f>
        <v>0</v>
      </c>
      <c r="L30" s="189"/>
      <c r="M30" s="189" t="s">
        <v>394</v>
      </c>
      <c r="S30" s="196">
        <v>111724672.45292217</v>
      </c>
    </row>
    <row r="31" spans="1:21" x14ac:dyDescent="0.2">
      <c r="L31" s="189"/>
      <c r="M31" s="189" t="s">
        <v>395</v>
      </c>
      <c r="S31" s="198">
        <f>SUM(ORA!D138:O138)+SUM(POJ!D138:O138)+SUM(ROJ!D138:O138)+SUM(FCOJ!D138:O138)</f>
        <v>136940006.05137992</v>
      </c>
    </row>
    <row r="32" spans="1:21" x14ac:dyDescent="0.2">
      <c r="A32" s="191" t="s">
        <v>396</v>
      </c>
      <c r="B32" s="189"/>
      <c r="G32" s="192"/>
      <c r="L32" s="189"/>
      <c r="M32" s="189" t="s">
        <v>397</v>
      </c>
      <c r="S32" s="119" t="s">
        <v>375</v>
      </c>
      <c r="T32" s="205">
        <f>SUM($S$28:$S$31)</f>
        <v>460769732.72443473</v>
      </c>
      <c r="U32" s="106" t="s">
        <v>376</v>
      </c>
    </row>
    <row r="33" spans="1:21" x14ac:dyDescent="0.2">
      <c r="A33" s="189"/>
      <c r="B33" s="189" t="s">
        <v>398</v>
      </c>
      <c r="G33" s="192"/>
      <c r="H33" s="193">
        <f>COUNTIF(facilities!$H$6:$H$15,"=new")</f>
        <v>0</v>
      </c>
      <c r="M33" s="189"/>
    </row>
    <row r="34" spans="1:21" x14ac:dyDescent="0.2">
      <c r="A34" s="189"/>
      <c r="B34" s="189" t="s">
        <v>399</v>
      </c>
      <c r="G34" s="192"/>
      <c r="H34" s="195">
        <f>COUNTIF(facilities!$H$36:$H$106,"=new")</f>
        <v>0</v>
      </c>
      <c r="L34" s="191" t="s">
        <v>400</v>
      </c>
      <c r="M34" s="189"/>
    </row>
    <row r="35" spans="1:21" x14ac:dyDescent="0.2">
      <c r="B35" s="189" t="s">
        <v>18</v>
      </c>
      <c r="H35" s="197">
        <f>SUMIF(facilities!$C$21:$C$30,"&gt;0",facilities!$C$21:$C$30)</f>
        <v>0</v>
      </c>
      <c r="L35" s="189"/>
      <c r="M35" s="189" t="s">
        <v>401</v>
      </c>
      <c r="S35" s="194">
        <v>48425000</v>
      </c>
    </row>
    <row r="36" spans="1:21" x14ac:dyDescent="0.2">
      <c r="L36" s="189"/>
      <c r="M36" s="189" t="s">
        <v>402</v>
      </c>
      <c r="S36" s="196">
        <f>H33*12000000-H38*70/100*12000000</f>
        <v>0</v>
      </c>
    </row>
    <row r="37" spans="1:21" x14ac:dyDescent="0.2">
      <c r="A37" s="191" t="s">
        <v>403</v>
      </c>
      <c r="L37" s="189"/>
      <c r="M37" s="189" t="s">
        <v>404</v>
      </c>
      <c r="S37" s="196">
        <f>H27*8000+H29*70/100*8000</f>
        <v>-14666400</v>
      </c>
    </row>
    <row r="38" spans="1:21" x14ac:dyDescent="0.2">
      <c r="B38" s="189" t="s">
        <v>398</v>
      </c>
      <c r="H38" s="193">
        <f>COUNTIF(facilities!$H$6:$H$15,"=sold")</f>
        <v>0</v>
      </c>
      <c r="L38" s="189"/>
      <c r="M38" s="189" t="s">
        <v>405</v>
      </c>
      <c r="S38" s="196">
        <v>68950000</v>
      </c>
    </row>
    <row r="39" spans="1:21" x14ac:dyDescent="0.2">
      <c r="B39" s="189" t="s">
        <v>399</v>
      </c>
      <c r="H39" s="195">
        <f>COUNTIF(facilities!$H$36:$H$106,"=sold")</f>
        <v>0</v>
      </c>
      <c r="L39" s="189"/>
      <c r="M39" s="189" t="s">
        <v>406</v>
      </c>
      <c r="S39" s="196">
        <f>H34*9000000-H39*80/100*9000000</f>
        <v>0</v>
      </c>
    </row>
    <row r="40" spans="1:21" x14ac:dyDescent="0.2">
      <c r="B40" s="189" t="s">
        <v>18</v>
      </c>
      <c r="H40" s="197">
        <f>-SUMIF(facilities!$C$21:$C$30,"&lt;0",facilities!$C$21:$C$30)</f>
        <v>144</v>
      </c>
      <c r="L40" s="189"/>
      <c r="M40" s="189" t="s">
        <v>407</v>
      </c>
      <c r="S40" s="196">
        <f>H28*6000+H30*80/100*6000</f>
        <v>0</v>
      </c>
    </row>
    <row r="41" spans="1:21" x14ac:dyDescent="0.2">
      <c r="L41" s="189"/>
      <c r="M41" s="189" t="s">
        <v>408</v>
      </c>
      <c r="S41" s="196">
        <v>109810</v>
      </c>
    </row>
    <row r="42" spans="1:21" x14ac:dyDescent="0.2">
      <c r="L42" s="189"/>
      <c r="M42" s="189" t="s">
        <v>409</v>
      </c>
      <c r="S42" s="198">
        <f>H35*100000-H40*60/100*100000</f>
        <v>-8640000</v>
      </c>
    </row>
    <row r="43" spans="1:21" x14ac:dyDescent="0.2">
      <c r="L43" s="189"/>
      <c r="M43" s="189" t="s">
        <v>410</v>
      </c>
      <c r="S43" s="183" t="s">
        <v>375</v>
      </c>
      <c r="T43" s="205">
        <f>SUM($S$35:$S$42)</f>
        <v>94178410</v>
      </c>
      <c r="U43" s="106" t="s">
        <v>376</v>
      </c>
    </row>
    <row r="44" spans="1:21" x14ac:dyDescent="0.2">
      <c r="L44" s="189"/>
      <c r="S44" s="116"/>
    </row>
    <row r="45" spans="1:21" ht="14.25" thickBot="1" x14ac:dyDescent="0.3">
      <c r="L45" s="206" t="s">
        <v>411</v>
      </c>
      <c r="M45" s="189"/>
      <c r="T45" s="207">
        <f>$T$11-$T$19-$T$25-$T$32-$T$43</f>
        <v>-1058498741.1128956</v>
      </c>
    </row>
    <row r="46" spans="1:21" ht="13.5" thickTop="1" x14ac:dyDescent="0.2">
      <c r="M46" s="189"/>
    </row>
    <row r="316" spans="1:1" x14ac:dyDescent="0.2">
      <c r="A316" s="185"/>
    </row>
    <row r="317" spans="1:1" x14ac:dyDescent="0.2">
      <c r="A317" s="185"/>
    </row>
    <row r="318" spans="1:1" x14ac:dyDescent="0.2">
      <c r="A318" s="185"/>
    </row>
    <row r="319" spans="1:1" x14ac:dyDescent="0.2">
      <c r="A319" s="185"/>
    </row>
    <row r="320" spans="1:1" x14ac:dyDescent="0.2">
      <c r="A320" s="185"/>
    </row>
    <row r="321" spans="1:1" x14ac:dyDescent="0.2">
      <c r="A321" s="185"/>
    </row>
    <row r="322" spans="1:1" x14ac:dyDescent="0.2">
      <c r="A322" s="185"/>
    </row>
    <row r="323" spans="1:1" x14ac:dyDescent="0.2">
      <c r="A323" s="185"/>
    </row>
    <row r="325" spans="1:1" x14ac:dyDescent="0.2">
      <c r="A325" s="185"/>
    </row>
    <row r="326" spans="1:1" x14ac:dyDescent="0.2">
      <c r="A326" s="185"/>
    </row>
    <row r="327" spans="1:1" x14ac:dyDescent="0.2">
      <c r="A327" s="185"/>
    </row>
    <row r="328" spans="1:1" x14ac:dyDescent="0.2">
      <c r="A328" s="185"/>
    </row>
    <row r="329" spans="1:1" x14ac:dyDescent="0.2">
      <c r="A329" s="185"/>
    </row>
    <row r="330" spans="1:1" x14ac:dyDescent="0.2">
      <c r="A330" s="185"/>
    </row>
    <row r="331" spans="1:1" x14ac:dyDescent="0.2">
      <c r="A331" s="185"/>
    </row>
    <row r="332" spans="1:1" x14ac:dyDescent="0.2">
      <c r="A332" s="185"/>
    </row>
    <row r="334" spans="1:1" x14ac:dyDescent="0.2">
      <c r="A334" s="185"/>
    </row>
    <row r="335" spans="1:1" x14ac:dyDescent="0.2">
      <c r="A335" s="185"/>
    </row>
    <row r="336" spans="1:1" x14ac:dyDescent="0.2">
      <c r="A336" s="185"/>
    </row>
    <row r="337" spans="1:1" x14ac:dyDescent="0.2">
      <c r="A337" s="185"/>
    </row>
    <row r="338" spans="1:1" x14ac:dyDescent="0.2">
      <c r="A338" s="185"/>
    </row>
    <row r="339" spans="1:1" x14ac:dyDescent="0.2">
      <c r="A339" s="185"/>
    </row>
    <row r="340" spans="1:1" x14ac:dyDescent="0.2">
      <c r="A340" s="185"/>
    </row>
    <row r="341" spans="1:1" x14ac:dyDescent="0.2">
      <c r="A341" s="185"/>
    </row>
    <row r="343" spans="1:1" x14ac:dyDescent="0.2">
      <c r="A343" s="185"/>
    </row>
    <row r="344" spans="1:1" x14ac:dyDescent="0.2">
      <c r="A344" s="185"/>
    </row>
    <row r="345" spans="1:1" x14ac:dyDescent="0.2">
      <c r="A345" s="185"/>
    </row>
    <row r="346" spans="1:1" x14ac:dyDescent="0.2">
      <c r="A346" s="185"/>
    </row>
    <row r="347" spans="1:1" x14ac:dyDescent="0.2">
      <c r="A347" s="185"/>
    </row>
    <row r="348" spans="1:1" x14ac:dyDescent="0.2">
      <c r="A348" s="185"/>
    </row>
    <row r="349" spans="1:1" x14ac:dyDescent="0.2">
      <c r="A349" s="185"/>
    </row>
    <row r="350" spans="1:1" x14ac:dyDescent="0.2">
      <c r="A350" s="185"/>
    </row>
  </sheetData>
  <mergeCells count="1">
    <mergeCell ref="C2:H2"/>
  </mergeCell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topLeftCell="A25" workbookViewId="0">
      <selection activeCell="C38" sqref="C38:AX43"/>
    </sheetView>
  </sheetViews>
  <sheetFormatPr defaultRowHeight="12.75" x14ac:dyDescent="0.2"/>
  <cols>
    <col min="1" max="1" width="4.7109375" style="106" customWidth="1"/>
    <col min="2" max="2" width="15.7109375" style="106" customWidth="1"/>
    <col min="3" max="16384" width="9.140625" style="106"/>
  </cols>
  <sheetData>
    <row r="2" spans="2:14" x14ac:dyDescent="0.2">
      <c r="B2" s="108" t="s">
        <v>312</v>
      </c>
    </row>
    <row r="3" spans="2:14" x14ac:dyDescent="0.2">
      <c r="B3" s="109" t="s">
        <v>313</v>
      </c>
    </row>
    <row r="4" spans="2:14" x14ac:dyDescent="0.2">
      <c r="B4" s="176" t="s">
        <v>91</v>
      </c>
      <c r="C4" s="176" t="s">
        <v>92</v>
      </c>
      <c r="D4" s="176" t="s">
        <v>93</v>
      </c>
      <c r="E4" s="176" t="s">
        <v>94</v>
      </c>
      <c r="F4" s="176" t="s">
        <v>95</v>
      </c>
      <c r="G4" s="176" t="s">
        <v>96</v>
      </c>
      <c r="H4" s="176" t="s">
        <v>97</v>
      </c>
      <c r="I4" s="176" t="s">
        <v>98</v>
      </c>
      <c r="J4" s="176" t="s">
        <v>99</v>
      </c>
      <c r="K4" s="176" t="s">
        <v>100</v>
      </c>
      <c r="L4" s="176" t="s">
        <v>101</v>
      </c>
      <c r="M4" s="176" t="s">
        <v>102</v>
      </c>
      <c r="N4" s="176" t="s">
        <v>103</v>
      </c>
    </row>
    <row r="5" spans="2:14" x14ac:dyDescent="0.2">
      <c r="B5" s="177" t="s">
        <v>104</v>
      </c>
      <c r="C5" s="106">
        <v>0.68236926813453413</v>
      </c>
      <c r="D5" s="106">
        <v>0.55883064269624938</v>
      </c>
      <c r="E5" s="106">
        <v>0.72509090954170297</v>
      </c>
      <c r="F5" s="106">
        <v>0.63141545491056772</v>
      </c>
      <c r="G5" s="106">
        <v>0.74011528273950866</v>
      </c>
      <c r="H5" s="106">
        <v>0.65086773044611435</v>
      </c>
      <c r="I5" s="106">
        <v>0.68243208246490594</v>
      </c>
      <c r="J5" s="106">
        <v>0.57013453678458514</v>
      </c>
      <c r="K5" s="106">
        <v>0.57476145212569585</v>
      </c>
      <c r="L5" s="106">
        <v>0.74609287452562012</v>
      </c>
      <c r="M5" s="106">
        <v>0.67444914730155048</v>
      </c>
      <c r="N5" s="106">
        <v>0.63260760112795011</v>
      </c>
    </row>
    <row r="6" spans="2:14" x14ac:dyDescent="0.2">
      <c r="B6" s="177" t="s">
        <v>105</v>
      </c>
      <c r="C6" s="106">
        <v>0.64756963841245696</v>
      </c>
      <c r="D6" s="106">
        <v>0.65755533464464333</v>
      </c>
      <c r="E6" s="106">
        <v>0.67582956243488979</v>
      </c>
      <c r="F6" s="106">
        <v>0.72270078271330884</v>
      </c>
      <c r="G6" s="106">
        <v>1.1000000000000001</v>
      </c>
      <c r="H6" s="106">
        <v>0.69778428606132503</v>
      </c>
      <c r="I6" s="106">
        <v>0.63888548303095549</v>
      </c>
      <c r="J6" s="106">
        <v>0.70016449726294339</v>
      </c>
      <c r="K6" s="106">
        <v>0.66180170696454133</v>
      </c>
      <c r="L6" s="106">
        <v>0.60317926490533069</v>
      </c>
      <c r="M6" s="106">
        <v>0.62397728198149804</v>
      </c>
      <c r="N6" s="106">
        <v>0.62989884669285967</v>
      </c>
    </row>
    <row r="7" spans="2:14" x14ac:dyDescent="0.2">
      <c r="B7" s="177" t="s">
        <v>106</v>
      </c>
      <c r="C7" s="106">
        <v>0.72891206380032159</v>
      </c>
      <c r="D7" s="106">
        <v>0.77401606423700109</v>
      </c>
      <c r="E7" s="106">
        <v>0.81885174901887647</v>
      </c>
      <c r="F7" s="106">
        <v>0.72229876061310394</v>
      </c>
      <c r="G7" s="106">
        <v>0.72361621388499109</v>
      </c>
      <c r="H7" s="106">
        <v>0.70765956084832538</v>
      </c>
      <c r="I7" s="106">
        <v>0.84242715952291458</v>
      </c>
      <c r="J7" s="106">
        <v>0.74511425316444657</v>
      </c>
      <c r="K7" s="106">
        <v>0.73744444436613799</v>
      </c>
      <c r="L7" s="106">
        <v>0.73573133416686831</v>
      </c>
      <c r="M7" s="106">
        <v>0.71587493301755079</v>
      </c>
      <c r="N7" s="106">
        <v>0.72510931421438596</v>
      </c>
    </row>
    <row r="8" spans="2:14" x14ac:dyDescent="0.2">
      <c r="B8" s="177" t="s">
        <v>107</v>
      </c>
      <c r="C8" s="106">
        <v>0.70878689716367316</v>
      </c>
      <c r="D8" s="106">
        <v>0.78278540084212167</v>
      </c>
      <c r="E8" s="106">
        <v>0.78212412592086411</v>
      </c>
      <c r="F8" s="106">
        <v>0.73749816823254999</v>
      </c>
      <c r="G8" s="106">
        <v>0.71729448137767771</v>
      </c>
      <c r="H8" s="106">
        <v>0.69171213308986113</v>
      </c>
      <c r="I8" s="106">
        <v>0.70268313433658425</v>
      </c>
      <c r="J8" s="106">
        <v>0.69237133001869267</v>
      </c>
      <c r="K8" s="106">
        <v>0.69718048224498663</v>
      </c>
      <c r="L8" s="106">
        <v>0.69926188569305137</v>
      </c>
      <c r="M8" s="106">
        <v>0.71813212805058513</v>
      </c>
      <c r="N8" s="106">
        <v>0.67738240315060783</v>
      </c>
    </row>
    <row r="9" spans="2:14" x14ac:dyDescent="0.2">
      <c r="B9" s="177" t="s">
        <v>108</v>
      </c>
      <c r="C9" s="106">
        <v>2.0318102216720582</v>
      </c>
      <c r="D9" s="106">
        <v>2.0292598283290864</v>
      </c>
      <c r="E9" s="106">
        <v>2.0673980689048768</v>
      </c>
      <c r="F9" s="106">
        <v>2.0802721655368805</v>
      </c>
      <c r="G9" s="106">
        <v>2.1035334205627443</v>
      </c>
      <c r="H9" s="106">
        <v>2.0168490207195284</v>
      </c>
      <c r="I9" s="106">
        <v>2.0213541245460509</v>
      </c>
      <c r="J9" s="106">
        <v>2.0932331001758575</v>
      </c>
      <c r="K9" s="106">
        <v>2.065163311958313</v>
      </c>
      <c r="L9" s="106">
        <v>2.0554212605953217</v>
      </c>
      <c r="M9" s="106">
        <v>2.0602516627311709</v>
      </c>
      <c r="N9" s="106">
        <v>2.0376977121829989</v>
      </c>
    </row>
    <row r="10" spans="2:14" x14ac:dyDescent="0.2">
      <c r="B10" s="177" t="s">
        <v>109</v>
      </c>
      <c r="C10" s="106">
        <v>0.66329779624938967</v>
      </c>
      <c r="D10" s="106">
        <v>0.62143284678459165</v>
      </c>
      <c r="E10" s="106">
        <v>0.64597178697586066</v>
      </c>
      <c r="F10" s="106">
        <v>0.69427269101142886</v>
      </c>
      <c r="G10" s="106">
        <v>0.62736680507659914</v>
      </c>
      <c r="H10" s="106">
        <v>0.66284398436546332</v>
      </c>
      <c r="I10" s="106">
        <v>0.64588388204574587</v>
      </c>
      <c r="J10" s="106">
        <v>0.64709988236427307</v>
      </c>
      <c r="K10" s="106">
        <v>0.63619480133056638</v>
      </c>
      <c r="L10" s="106">
        <v>0.65943128466606138</v>
      </c>
      <c r="M10" s="106">
        <v>0.61190811395645139</v>
      </c>
      <c r="N10" s="106">
        <v>0.60666878819465642</v>
      </c>
    </row>
    <row r="11" spans="2:14" x14ac:dyDescent="0.2">
      <c r="B11" s="178"/>
      <c r="C11" s="107"/>
      <c r="D11" s="107"/>
      <c r="E11" s="107"/>
      <c r="F11" s="107"/>
      <c r="G11" s="107"/>
    </row>
    <row r="12" spans="2:14" x14ac:dyDescent="0.2">
      <c r="B12" s="110" t="s">
        <v>314</v>
      </c>
      <c r="C12" s="107"/>
      <c r="D12" s="107"/>
      <c r="E12" s="107"/>
      <c r="F12" s="107"/>
      <c r="G12" s="107"/>
    </row>
    <row r="13" spans="2:14" x14ac:dyDescent="0.2">
      <c r="B13" s="177" t="s">
        <v>315</v>
      </c>
      <c r="C13" s="177" t="s">
        <v>92</v>
      </c>
      <c r="D13" s="177" t="s">
        <v>93</v>
      </c>
      <c r="E13" s="176" t="s">
        <v>94</v>
      </c>
      <c r="F13" s="176" t="s">
        <v>95</v>
      </c>
      <c r="G13" s="176" t="s">
        <v>96</v>
      </c>
      <c r="H13" s="176" t="s">
        <v>97</v>
      </c>
      <c r="I13" s="176" t="s">
        <v>98</v>
      </c>
      <c r="J13" s="176" t="s">
        <v>99</v>
      </c>
      <c r="K13" s="176" t="s">
        <v>100</v>
      </c>
      <c r="L13" s="176" t="s">
        <v>101</v>
      </c>
      <c r="M13" s="176" t="s">
        <v>102</v>
      </c>
      <c r="N13" s="176" t="s">
        <v>103</v>
      </c>
    </row>
    <row r="14" spans="2:14" x14ac:dyDescent="0.2">
      <c r="B14" s="176" t="s">
        <v>316</v>
      </c>
      <c r="C14" s="107">
        <v>0.3237163478378654</v>
      </c>
      <c r="D14" s="107">
        <v>0.32491794200423402</v>
      </c>
      <c r="E14" s="107">
        <v>0.32611615510417563</v>
      </c>
      <c r="F14" s="107">
        <v>0.32730761558496635</v>
      </c>
      <c r="G14" s="107">
        <v>0.32848897089451878</v>
      </c>
      <c r="H14" s="106">
        <v>0.32965689691485095</v>
      </c>
      <c r="I14" s="106">
        <v>0.33080810731554677</v>
      </c>
      <c r="J14" s="106">
        <v>0.33193936280088987</v>
      </c>
      <c r="K14" s="106">
        <v>0.33304748022464914</v>
      </c>
      <c r="L14" s="106">
        <v>0.33412934154687096</v>
      </c>
      <c r="M14" s="106">
        <v>0.33518190260747421</v>
      </c>
      <c r="N14" s="106">
        <v>0.33620220169195975</v>
      </c>
    </row>
    <row r="15" spans="2:14" x14ac:dyDescent="0.2">
      <c r="B15" s="176" t="s">
        <v>317</v>
      </c>
      <c r="C15" s="106">
        <v>1.0013000186987806</v>
      </c>
      <c r="D15" s="106">
        <v>1.0039548037759216</v>
      </c>
      <c r="E15" s="106">
        <v>1.0066021187729424</v>
      </c>
      <c r="F15" s="106">
        <v>1.0092345146291621</v>
      </c>
      <c r="G15" s="106">
        <v>1.0118445842636372</v>
      </c>
      <c r="H15" s="106">
        <v>1.0144249834173324</v>
      </c>
      <c r="I15" s="106">
        <v>1.0169684513185238</v>
      </c>
      <c r="J15" s="106">
        <v>1.0194678311132834</v>
      </c>
      <c r="K15" s="106">
        <v>1.0219160900035595</v>
      </c>
      <c r="L15" s="106">
        <v>1.0243063390361851</v>
      </c>
      <c r="M15" s="106">
        <v>1.0266318524871316</v>
      </c>
      <c r="N15" s="106">
        <v>1.0288860867864702</v>
      </c>
    </row>
    <row r="16" spans="2:14" x14ac:dyDescent="0.2">
      <c r="B16" s="107"/>
    </row>
    <row r="17" spans="2:14" x14ac:dyDescent="0.2">
      <c r="B17" s="109" t="s">
        <v>318</v>
      </c>
    </row>
    <row r="18" spans="2:14" x14ac:dyDescent="0.2">
      <c r="B18" s="105" t="s">
        <v>91</v>
      </c>
      <c r="C18" s="105" t="s">
        <v>92</v>
      </c>
      <c r="D18" s="105" t="s">
        <v>93</v>
      </c>
      <c r="E18" s="105" t="s">
        <v>94</v>
      </c>
      <c r="F18" s="105" t="s">
        <v>95</v>
      </c>
      <c r="G18" s="105" t="s">
        <v>96</v>
      </c>
      <c r="H18" s="105" t="s">
        <v>97</v>
      </c>
      <c r="I18" s="105" t="s">
        <v>98</v>
      </c>
      <c r="J18" s="105" t="s">
        <v>99</v>
      </c>
      <c r="K18" s="105" t="s">
        <v>100</v>
      </c>
      <c r="L18" s="105" t="s">
        <v>101</v>
      </c>
      <c r="M18" s="105" t="s">
        <v>102</v>
      </c>
      <c r="N18" s="105" t="s">
        <v>103</v>
      </c>
    </row>
    <row r="19" spans="2:14" x14ac:dyDescent="0.2">
      <c r="B19" s="179" t="s">
        <v>104</v>
      </c>
      <c r="C19" s="106">
        <f>C5</f>
        <v>0.68236926813453413</v>
      </c>
      <c r="D19" s="106">
        <f t="shared" ref="D19:N20" si="0">D5</f>
        <v>0.55883064269624938</v>
      </c>
      <c r="E19" s="106">
        <f t="shared" si="0"/>
        <v>0.72509090954170297</v>
      </c>
      <c r="F19" s="106">
        <f t="shared" si="0"/>
        <v>0.63141545491056772</v>
      </c>
      <c r="G19" s="106">
        <f t="shared" si="0"/>
        <v>0.74011528273950866</v>
      </c>
      <c r="H19" s="106">
        <f t="shared" si="0"/>
        <v>0.65086773044611435</v>
      </c>
      <c r="I19" s="106">
        <f t="shared" si="0"/>
        <v>0.68243208246490594</v>
      </c>
      <c r="J19" s="106">
        <f t="shared" si="0"/>
        <v>0.57013453678458514</v>
      </c>
      <c r="K19" s="106">
        <f t="shared" si="0"/>
        <v>0.57476145212569585</v>
      </c>
      <c r="L19" s="106">
        <f t="shared" si="0"/>
        <v>0.74609287452562012</v>
      </c>
      <c r="M19" s="106">
        <f t="shared" si="0"/>
        <v>0.67444914730155048</v>
      </c>
      <c r="N19" s="106">
        <f t="shared" si="0"/>
        <v>0.63260760112795011</v>
      </c>
    </row>
    <row r="20" spans="2:14" x14ac:dyDescent="0.2">
      <c r="B20" s="179" t="s">
        <v>105</v>
      </c>
      <c r="C20" s="106">
        <f>C6</f>
        <v>0.64756963841245696</v>
      </c>
      <c r="D20" s="106">
        <f t="shared" si="0"/>
        <v>0.65755533464464333</v>
      </c>
      <c r="E20" s="106">
        <f t="shared" si="0"/>
        <v>0.67582956243488979</v>
      </c>
      <c r="F20" s="106">
        <f t="shared" si="0"/>
        <v>0.72270078271330884</v>
      </c>
      <c r="G20" s="106">
        <f t="shared" si="0"/>
        <v>1.1000000000000001</v>
      </c>
      <c r="H20" s="106">
        <f t="shared" si="0"/>
        <v>0.69778428606132503</v>
      </c>
      <c r="I20" s="106">
        <f t="shared" si="0"/>
        <v>0.63888548303095549</v>
      </c>
      <c r="J20" s="106">
        <f t="shared" si="0"/>
        <v>0.70016449726294339</v>
      </c>
      <c r="K20" s="106">
        <f t="shared" si="0"/>
        <v>0.66180170696454133</v>
      </c>
      <c r="L20" s="106">
        <f t="shared" si="0"/>
        <v>0.60317926490533069</v>
      </c>
      <c r="M20" s="106">
        <f t="shared" si="0"/>
        <v>0.62397728198149804</v>
      </c>
      <c r="N20" s="106">
        <f t="shared" si="0"/>
        <v>0.62989884669285967</v>
      </c>
    </row>
    <row r="21" spans="2:14" x14ac:dyDescent="0.2">
      <c r="B21" s="179" t="s">
        <v>106</v>
      </c>
      <c r="C21" s="106">
        <f t="shared" ref="C21:N22" si="1">C7</f>
        <v>0.72891206380032159</v>
      </c>
      <c r="D21" s="106">
        <f t="shared" si="1"/>
        <v>0.77401606423700109</v>
      </c>
      <c r="E21" s="106">
        <f t="shared" si="1"/>
        <v>0.81885174901887647</v>
      </c>
      <c r="F21" s="106">
        <f t="shared" si="1"/>
        <v>0.72229876061310394</v>
      </c>
      <c r="G21" s="106">
        <f t="shared" si="1"/>
        <v>0.72361621388499109</v>
      </c>
      <c r="H21" s="106">
        <f t="shared" si="1"/>
        <v>0.70765956084832538</v>
      </c>
      <c r="I21" s="106">
        <f t="shared" si="1"/>
        <v>0.84242715952291458</v>
      </c>
      <c r="J21" s="106">
        <f t="shared" si="1"/>
        <v>0.74511425316444657</v>
      </c>
      <c r="K21" s="106">
        <f t="shared" si="1"/>
        <v>0.73744444436613799</v>
      </c>
      <c r="L21" s="106">
        <f t="shared" si="1"/>
        <v>0.73573133416686831</v>
      </c>
      <c r="M21" s="106">
        <f t="shared" si="1"/>
        <v>0.71587493301755079</v>
      </c>
      <c r="N21" s="106">
        <f t="shared" si="1"/>
        <v>0.72510931421438596</v>
      </c>
    </row>
    <row r="22" spans="2:14" x14ac:dyDescent="0.2">
      <c r="B22" s="179" t="s">
        <v>107</v>
      </c>
      <c r="C22" s="106">
        <f t="shared" si="1"/>
        <v>0.70878689716367316</v>
      </c>
      <c r="D22" s="106">
        <f t="shared" si="1"/>
        <v>0.78278540084212167</v>
      </c>
      <c r="E22" s="106">
        <f t="shared" si="1"/>
        <v>0.78212412592086411</v>
      </c>
      <c r="F22" s="106">
        <f t="shared" si="1"/>
        <v>0.73749816823254999</v>
      </c>
      <c r="G22" s="106">
        <f t="shared" si="1"/>
        <v>0.71729448137767771</v>
      </c>
      <c r="H22" s="106">
        <f t="shared" si="1"/>
        <v>0.69171213308986113</v>
      </c>
      <c r="I22" s="106">
        <f t="shared" si="1"/>
        <v>0.70268313433658425</v>
      </c>
      <c r="J22" s="106">
        <f t="shared" si="1"/>
        <v>0.69237133001869267</v>
      </c>
      <c r="K22" s="106">
        <f t="shared" si="1"/>
        <v>0.69718048224498663</v>
      </c>
      <c r="L22" s="106">
        <f t="shared" si="1"/>
        <v>0.69926188569305137</v>
      </c>
      <c r="M22" s="106">
        <f t="shared" si="1"/>
        <v>0.71813212805058513</v>
      </c>
      <c r="N22" s="106">
        <f t="shared" si="1"/>
        <v>0.67738240315060783</v>
      </c>
    </row>
    <row r="23" spans="2:14" x14ac:dyDescent="0.2">
      <c r="B23" s="179" t="s">
        <v>108</v>
      </c>
      <c r="C23" s="106">
        <f>C9*C14</f>
        <v>0.65773018445932241</v>
      </c>
      <c r="D23" s="106">
        <f t="shared" ref="D23:N24" si="2">D9*D14</f>
        <v>0.65934292721255194</v>
      </c>
      <c r="E23" s="106">
        <f t="shared" si="2"/>
        <v>0.67421190930105601</v>
      </c>
      <c r="F23" s="106">
        <f t="shared" si="2"/>
        <v>0.68088892226965081</v>
      </c>
      <c r="G23" s="106">
        <f t="shared" si="2"/>
        <v>0.69098752856288281</v>
      </c>
      <c r="H23" s="106">
        <f t="shared" si="2"/>
        <v>0.66486818971615569</v>
      </c>
      <c r="I23" s="106">
        <f t="shared" si="2"/>
        <v>0.66868033215555311</v>
      </c>
      <c r="J23" s="106">
        <f t="shared" si="2"/>
        <v>0.69482646146610538</v>
      </c>
      <c r="K23" s="106">
        <f t="shared" si="2"/>
        <v>0.68779743730010723</v>
      </c>
      <c r="L23" s="106">
        <f t="shared" si="2"/>
        <v>0.68677655240415436</v>
      </c>
      <c r="M23" s="106">
        <f t="shared" si="2"/>
        <v>0.69055907216444612</v>
      </c>
      <c r="N23" s="106">
        <f t="shared" si="2"/>
        <v>0.68507845721859351</v>
      </c>
    </row>
    <row r="24" spans="2:14" x14ac:dyDescent="0.2">
      <c r="B24" s="179" t="s">
        <v>109</v>
      </c>
      <c r="C24" s="106">
        <f>C10*C15</f>
        <v>0.66416009578737389</v>
      </c>
      <c r="D24" s="106">
        <f t="shared" si="2"/>
        <v>0.62389049175353706</v>
      </c>
      <c r="E24" s="106">
        <f t="shared" si="2"/>
        <v>0.65023656943744512</v>
      </c>
      <c r="F24" s="106">
        <f t="shared" si="2"/>
        <v>0.70068396233320163</v>
      </c>
      <c r="G24" s="106">
        <f t="shared" si="2"/>
        <v>0.63479770406353775</v>
      </c>
      <c r="H24" s="106">
        <f t="shared" si="2"/>
        <v>0.67240549784821368</v>
      </c>
      <c r="I24" s="106">
        <f t="shared" si="2"/>
        <v>0.6568435312556582</v>
      </c>
      <c r="J24" s="106">
        <f t="shared" si="2"/>
        <v>0.65969751358756634</v>
      </c>
      <c r="K24" s="106">
        <f t="shared" si="2"/>
        <v>0.65013770385632375</v>
      </c>
      <c r="L24" s="106">
        <f t="shared" si="2"/>
        <v>0.67545964504222178</v>
      </c>
      <c r="M24" s="106">
        <f t="shared" si="2"/>
        <v>0.62820436058301854</v>
      </c>
      <c r="N24" s="106">
        <f t="shared" si="2"/>
        <v>0.62419307546108993</v>
      </c>
    </row>
    <row r="25" spans="2:14" x14ac:dyDescent="0.2">
      <c r="B25" s="178"/>
    </row>
    <row r="26" spans="2:14" x14ac:dyDescent="0.2">
      <c r="B26" s="110" t="s">
        <v>319</v>
      </c>
    </row>
    <row r="27" spans="2:14" x14ac:dyDescent="0.2">
      <c r="B27" s="105" t="s">
        <v>320</v>
      </c>
      <c r="C27" s="105" t="s">
        <v>92</v>
      </c>
      <c r="D27" s="105" t="s">
        <v>93</v>
      </c>
      <c r="E27" s="105" t="s">
        <v>94</v>
      </c>
      <c r="F27" s="105" t="s">
        <v>95</v>
      </c>
      <c r="G27" s="105" t="s">
        <v>96</v>
      </c>
      <c r="H27" s="105" t="s">
        <v>97</v>
      </c>
      <c r="I27" s="105" t="s">
        <v>98</v>
      </c>
      <c r="J27" s="105" t="s">
        <v>99</v>
      </c>
      <c r="K27" s="105" t="s">
        <v>100</v>
      </c>
      <c r="L27" s="105" t="s">
        <v>101</v>
      </c>
      <c r="M27" s="105" t="s">
        <v>102</v>
      </c>
      <c r="N27" s="105" t="s">
        <v>103</v>
      </c>
    </row>
    <row r="28" spans="2:14" x14ac:dyDescent="0.2">
      <c r="B28" s="105" t="s">
        <v>104</v>
      </c>
      <c r="C28" s="106">
        <f>IF(C19&lt;=raw_materials!$D17,raw_materials!$C17,IF(C19&lt;=raw_materials!$F17,raw_materials!$E17,IF(C19&lt;=raw_materials!$H17,raw_materials!$G17,0)))</f>
        <v>1</v>
      </c>
      <c r="D28" s="106">
        <f>IF(D19&lt;=raw_materials!$D17,raw_materials!$C17,IF(D19&lt;=raw_materials!$F17,raw_materials!$E17,IF(D19&lt;=raw_materials!$H17,raw_materials!$G17,0)))</f>
        <v>1</v>
      </c>
      <c r="E28" s="106">
        <f>IF(E19&lt;=raw_materials!$D17,raw_materials!$C17,IF(E19&lt;=raw_materials!$F17,raw_materials!$E17,IF(E19&lt;=raw_materials!$H17,raw_materials!$G17,0)))</f>
        <v>1</v>
      </c>
      <c r="F28" s="106">
        <f>IF(F19&lt;=raw_materials!$D17,raw_materials!$C17,IF(F19&lt;=raw_materials!$F17,raw_materials!$E17,IF(F19&lt;=raw_materials!$H17,raw_materials!$G17,0)))</f>
        <v>1</v>
      </c>
      <c r="G28" s="106">
        <f>IF(G19&lt;=raw_materials!$D17,raw_materials!$C17,IF(G19&lt;=raw_materials!$F17,raw_materials!$E17,IF(G19&lt;=raw_materials!$H17,raw_materials!$G17,0)))</f>
        <v>1</v>
      </c>
      <c r="H28" s="106">
        <f>IF(H19&lt;=raw_materials!$D17,raw_materials!$C17,IF(H19&lt;=raw_materials!$F17,raw_materials!$E17,IF(H19&lt;=raw_materials!$H17,raw_materials!$G17,0)))</f>
        <v>1</v>
      </c>
      <c r="I28" s="106">
        <f>IF(I19&lt;=raw_materials!$D17,raw_materials!$C17,IF(I19&lt;=raw_materials!$F17,raw_materials!$E17,IF(I19&lt;=raw_materials!$H17,raw_materials!$G17,0)))</f>
        <v>1</v>
      </c>
      <c r="J28" s="106">
        <f>IF(J19&lt;=raw_materials!$D17,raw_materials!$C17,IF(J19&lt;=raw_materials!$F17,raw_materials!$E17,IF(J19&lt;=raw_materials!$H17,raw_materials!$G17,0)))</f>
        <v>1</v>
      </c>
      <c r="K28" s="106">
        <f>IF(K19&lt;=raw_materials!$D17,raw_materials!$C17,IF(K19&lt;=raw_materials!$F17,raw_materials!$E17,IF(K19&lt;=raw_materials!$H17,raw_materials!$G17,0)))</f>
        <v>1</v>
      </c>
      <c r="L28" s="106">
        <f>IF(L19&lt;=raw_materials!$D17,raw_materials!$C17,IF(L19&lt;=raw_materials!$F17,raw_materials!$E17,IF(L19&lt;=raw_materials!$H17,raw_materials!$G17,0)))</f>
        <v>1</v>
      </c>
      <c r="M28" s="106">
        <f>IF(M19&lt;=raw_materials!$D17,raw_materials!$C17,IF(M19&lt;=raw_materials!$F17,raw_materials!$E17,IF(M19&lt;=raw_materials!$H17,raw_materials!$G17,0)))</f>
        <v>1</v>
      </c>
      <c r="N28" s="106">
        <f>IF(N19&lt;=raw_materials!$D17,raw_materials!$C17,IF(N19&lt;=raw_materials!$F17,raw_materials!$E17,IF(N19&lt;=raw_materials!$H17,raw_materials!$G17,0)))</f>
        <v>1</v>
      </c>
    </row>
    <row r="29" spans="2:14" x14ac:dyDescent="0.2">
      <c r="B29" s="105" t="s">
        <v>105</v>
      </c>
      <c r="C29" s="106">
        <f>IF(C20&lt;=raw_materials!$D18,raw_materials!$C18,IF(C20&lt;=raw_materials!$F18,raw_materials!$E18,IF(C20&lt;=raw_materials!$H18,raw_materials!$G18,0)))</f>
        <v>1</v>
      </c>
      <c r="D29" s="106">
        <f>IF(D20&lt;=raw_materials!$D18,raw_materials!$C18,IF(D20&lt;=raw_materials!$F18,raw_materials!$E18,IF(D20&lt;=raw_materials!$H18,raw_materials!$G18,0)))</f>
        <v>1</v>
      </c>
      <c r="E29" s="106">
        <f>IF(E20&lt;=raw_materials!$D18,raw_materials!$C18,IF(E20&lt;=raw_materials!$F18,raw_materials!$E18,IF(E20&lt;=raw_materials!$H18,raw_materials!$G18,0)))</f>
        <v>1</v>
      </c>
      <c r="F29" s="106">
        <f>IF(F20&lt;=raw_materials!$D18,raw_materials!$C18,IF(F20&lt;=raw_materials!$F18,raw_materials!$E18,IF(F20&lt;=raw_materials!$H18,raw_materials!$G18,0)))</f>
        <v>1</v>
      </c>
      <c r="G29" s="106">
        <f>IF(G20&lt;=raw_materials!$D18,raw_materials!$C18,IF(G20&lt;=raw_materials!$F18,raw_materials!$E18,IF(G20&lt;=raw_materials!$H18,raw_materials!$G18,0)))</f>
        <v>1</v>
      </c>
      <c r="H29" s="106">
        <f>IF(H20&lt;=raw_materials!$D18,raw_materials!$C18,IF(H20&lt;=raw_materials!$F18,raw_materials!$E18,IF(H20&lt;=raw_materials!$H18,raw_materials!$G18,0)))</f>
        <v>1</v>
      </c>
      <c r="I29" s="106">
        <f>IF(I20&lt;=raw_materials!$D18,raw_materials!$C18,IF(I20&lt;=raw_materials!$F18,raw_materials!$E18,IF(I20&lt;=raw_materials!$H18,raw_materials!$G18,0)))</f>
        <v>1</v>
      </c>
      <c r="J29" s="106">
        <f>IF(J20&lt;=raw_materials!$D18,raw_materials!$C18,IF(J20&lt;=raw_materials!$F18,raw_materials!$E18,IF(J20&lt;=raw_materials!$H18,raw_materials!$G18,0)))</f>
        <v>1</v>
      </c>
      <c r="K29" s="106">
        <f>IF(K20&lt;=raw_materials!$D18,raw_materials!$C18,IF(K20&lt;=raw_materials!$F18,raw_materials!$E18,IF(K20&lt;=raw_materials!$H18,raw_materials!$G18,0)))</f>
        <v>1</v>
      </c>
      <c r="L29" s="106">
        <f>IF(L20&lt;=raw_materials!$D18,raw_materials!$C18,IF(L20&lt;=raw_materials!$F18,raw_materials!$E18,IF(L20&lt;=raw_materials!$H18,raw_materials!$G18,0)))</f>
        <v>1</v>
      </c>
      <c r="M29" s="106">
        <f>IF(M20&lt;=raw_materials!$D18,raw_materials!$C18,IF(M20&lt;=raw_materials!$F18,raw_materials!$E18,IF(M20&lt;=raw_materials!$H18,raw_materials!$G18,0)))</f>
        <v>1</v>
      </c>
      <c r="N29" s="106">
        <f>IF(N20&lt;=raw_materials!$D18,raw_materials!$C18,IF(N20&lt;=raw_materials!$F18,raw_materials!$E18,IF(N20&lt;=raw_materials!$H18,raw_materials!$G18,0)))</f>
        <v>1</v>
      </c>
    </row>
    <row r="30" spans="2:14" x14ac:dyDescent="0.2">
      <c r="B30" s="105" t="s">
        <v>106</v>
      </c>
      <c r="C30" s="106">
        <f>IF(C21&lt;=raw_materials!$D19,raw_materials!$C19,IF(C21&lt;=raw_materials!$F19,raw_materials!$E19,IF(C21&lt;=raw_materials!$H19,raw_materials!$G19,0)))</f>
        <v>1</v>
      </c>
      <c r="D30" s="106">
        <f>IF(D21&lt;=raw_materials!$D19,raw_materials!$C19,IF(D21&lt;=raw_materials!$F19,raw_materials!$E19,IF(D21&lt;=raw_materials!$H19,raw_materials!$G19,0)))</f>
        <v>1</v>
      </c>
      <c r="E30" s="106">
        <f>IF(E21&lt;=raw_materials!$D19,raw_materials!$C19,IF(E21&lt;=raw_materials!$F19,raw_materials!$E19,IF(E21&lt;=raw_materials!$H19,raw_materials!$G19,0)))</f>
        <v>1</v>
      </c>
      <c r="F30" s="106">
        <f>IF(F21&lt;=raw_materials!$D19,raw_materials!$C19,IF(F21&lt;=raw_materials!$F19,raw_materials!$E19,IF(F21&lt;=raw_materials!$H19,raw_materials!$G19,0)))</f>
        <v>1</v>
      </c>
      <c r="G30" s="106">
        <f>IF(G21&lt;=raw_materials!$D19,raw_materials!$C19,IF(G21&lt;=raw_materials!$F19,raw_materials!$E19,IF(G21&lt;=raw_materials!$H19,raw_materials!$G19,0)))</f>
        <v>1</v>
      </c>
      <c r="H30" s="106">
        <f>IF(H21&lt;=raw_materials!$D19,raw_materials!$C19,IF(H21&lt;=raw_materials!$F19,raw_materials!$E19,IF(H21&lt;=raw_materials!$H19,raw_materials!$G19,0)))</f>
        <v>1</v>
      </c>
      <c r="I30" s="106">
        <f>IF(I21&lt;=raw_materials!$D19,raw_materials!$C19,IF(I21&lt;=raw_materials!$F19,raw_materials!$E19,IF(I21&lt;=raw_materials!$H19,raw_materials!$G19,0)))</f>
        <v>1</v>
      </c>
      <c r="J30" s="106">
        <f>IF(J21&lt;=raw_materials!$D19,raw_materials!$C19,IF(J21&lt;=raw_materials!$F19,raw_materials!$E19,IF(J21&lt;=raw_materials!$H19,raw_materials!$G19,0)))</f>
        <v>1</v>
      </c>
      <c r="K30" s="106">
        <f>IF(K21&lt;=raw_materials!$D19,raw_materials!$C19,IF(K21&lt;=raw_materials!$F19,raw_materials!$E19,IF(K21&lt;=raw_materials!$H19,raw_materials!$G19,0)))</f>
        <v>1</v>
      </c>
      <c r="L30" s="106">
        <f>IF(L21&lt;=raw_materials!$D19,raw_materials!$C19,IF(L21&lt;=raw_materials!$F19,raw_materials!$E19,IF(L21&lt;=raw_materials!$H19,raw_materials!$G19,0)))</f>
        <v>1</v>
      </c>
      <c r="M30" s="106">
        <f>IF(M21&lt;=raw_materials!$D19,raw_materials!$C19,IF(M21&lt;=raw_materials!$F19,raw_materials!$E19,IF(M21&lt;=raw_materials!$H19,raw_materials!$G19,0)))</f>
        <v>1</v>
      </c>
      <c r="N30" s="106">
        <f>IF(N21&lt;=raw_materials!$D19,raw_materials!$C19,IF(N21&lt;=raw_materials!$F19,raw_materials!$E19,IF(N21&lt;=raw_materials!$H19,raw_materials!$G19,0)))</f>
        <v>1</v>
      </c>
    </row>
    <row r="31" spans="2:14" x14ac:dyDescent="0.2">
      <c r="B31" s="105" t="s">
        <v>107</v>
      </c>
      <c r="C31" s="106">
        <f>IF(C22&lt;=raw_materials!$D20,raw_materials!$C20,IF(C22&lt;=raw_materials!$F20,raw_materials!$E20,IF(C22&lt;=raw_materials!$H20,raw_materials!$G20,0)))</f>
        <v>1</v>
      </c>
      <c r="D31" s="106">
        <f>IF(D22&lt;=raw_materials!$D20,raw_materials!$C20,IF(D22&lt;=raw_materials!$F20,raw_materials!$E20,IF(D22&lt;=raw_materials!$H20,raw_materials!$G20,0)))</f>
        <v>1</v>
      </c>
      <c r="E31" s="106">
        <f>IF(E22&lt;=raw_materials!$D20,raw_materials!$C20,IF(E22&lt;=raw_materials!$F20,raw_materials!$E20,IF(E22&lt;=raw_materials!$H20,raw_materials!$G20,0)))</f>
        <v>1</v>
      </c>
      <c r="F31" s="106">
        <f>IF(F22&lt;=raw_materials!$D20,raw_materials!$C20,IF(F22&lt;=raw_materials!$F20,raw_materials!$E20,IF(F22&lt;=raw_materials!$H20,raw_materials!$G20,0)))</f>
        <v>1</v>
      </c>
      <c r="G31" s="106">
        <f>IF(G22&lt;=raw_materials!$D20,raw_materials!$C20,IF(G22&lt;=raw_materials!$F20,raw_materials!$E20,IF(G22&lt;=raw_materials!$H20,raw_materials!$G20,0)))</f>
        <v>1</v>
      </c>
      <c r="H31" s="106">
        <f>IF(H22&lt;=raw_materials!$D20,raw_materials!$C20,IF(H22&lt;=raw_materials!$F20,raw_materials!$E20,IF(H22&lt;=raw_materials!$H20,raw_materials!$G20,0)))</f>
        <v>1</v>
      </c>
      <c r="I31" s="106">
        <f>IF(I22&lt;=raw_materials!$D20,raw_materials!$C20,IF(I22&lt;=raw_materials!$F20,raw_materials!$E20,IF(I22&lt;=raw_materials!$H20,raw_materials!$G20,0)))</f>
        <v>1</v>
      </c>
      <c r="J31" s="106">
        <f>IF(J22&lt;=raw_materials!$D20,raw_materials!$C20,IF(J22&lt;=raw_materials!$F20,raw_materials!$E20,IF(J22&lt;=raw_materials!$H20,raw_materials!$G20,0)))</f>
        <v>1</v>
      </c>
      <c r="K31" s="106">
        <f>IF(K22&lt;=raw_materials!$D20,raw_materials!$C20,IF(K22&lt;=raw_materials!$F20,raw_materials!$E20,IF(K22&lt;=raw_materials!$H20,raw_materials!$G20,0)))</f>
        <v>1</v>
      </c>
      <c r="L31" s="106">
        <f>IF(L22&lt;=raw_materials!$D20,raw_materials!$C20,IF(L22&lt;=raw_materials!$F20,raw_materials!$E20,IF(L22&lt;=raw_materials!$H20,raw_materials!$G20,0)))</f>
        <v>1</v>
      </c>
      <c r="M31" s="106">
        <f>IF(M22&lt;=raw_materials!$D20,raw_materials!$C20,IF(M22&lt;=raw_materials!$F20,raw_materials!$E20,IF(M22&lt;=raw_materials!$H20,raw_materials!$G20,0)))</f>
        <v>1</v>
      </c>
      <c r="N31" s="106">
        <f>IF(N22&lt;=raw_materials!$D20,raw_materials!$C20,IF(N22&lt;=raw_materials!$F20,raw_materials!$E20,IF(N22&lt;=raw_materials!$H20,raw_materials!$G20,0)))</f>
        <v>1</v>
      </c>
    </row>
    <row r="32" spans="2:14" x14ac:dyDescent="0.2">
      <c r="B32" s="105" t="s">
        <v>108</v>
      </c>
      <c r="C32" s="106">
        <f>IF(C23&lt;=raw_materials!$D21,raw_materials!$C21,IF(C23&lt;=raw_materials!$F21,raw_materials!$E21,IF(C23&lt;=raw_materials!$H21,raw_materials!$G21,0)))</f>
        <v>1</v>
      </c>
      <c r="D32" s="106">
        <f>IF(D23&lt;=raw_materials!$D21,raw_materials!$C21,IF(D23&lt;=raw_materials!$F21,raw_materials!$E21,IF(D23&lt;=raw_materials!$H21,raw_materials!$G21,0)))</f>
        <v>1</v>
      </c>
      <c r="E32" s="106">
        <f>IF(E23&lt;=raw_materials!$D21,raw_materials!$C21,IF(E23&lt;=raw_materials!$F21,raw_materials!$E21,IF(E23&lt;=raw_materials!$H21,raw_materials!$G21,0)))</f>
        <v>1</v>
      </c>
      <c r="F32" s="106">
        <f>IF(F23&lt;=raw_materials!$D21,raw_materials!$C21,IF(F23&lt;=raw_materials!$F21,raw_materials!$E21,IF(F23&lt;=raw_materials!$H21,raw_materials!$G21,0)))</f>
        <v>1</v>
      </c>
      <c r="G32" s="106">
        <f>IF(G23&lt;=raw_materials!$D21,raw_materials!$C21,IF(G23&lt;=raw_materials!$F21,raw_materials!$E21,IF(G23&lt;=raw_materials!$H21,raw_materials!$G21,0)))</f>
        <v>1</v>
      </c>
      <c r="H32" s="106">
        <f>IF(H23&lt;=raw_materials!$D21,raw_materials!$C21,IF(H23&lt;=raw_materials!$F21,raw_materials!$E21,IF(H23&lt;=raw_materials!$H21,raw_materials!$G21,0)))</f>
        <v>1</v>
      </c>
      <c r="I32" s="106">
        <f>IF(I23&lt;=raw_materials!$D21,raw_materials!$C21,IF(I23&lt;=raw_materials!$F21,raw_materials!$E21,IF(I23&lt;=raw_materials!$H21,raw_materials!$G21,0)))</f>
        <v>1</v>
      </c>
      <c r="J32" s="106">
        <f>IF(J23&lt;=raw_materials!$D21,raw_materials!$C21,IF(J23&lt;=raw_materials!$F21,raw_materials!$E21,IF(J23&lt;=raw_materials!$H21,raw_materials!$G21,0)))</f>
        <v>1</v>
      </c>
      <c r="K32" s="106">
        <f>IF(K23&lt;=raw_materials!$D21,raw_materials!$C21,IF(K23&lt;=raw_materials!$F21,raw_materials!$E21,IF(K23&lt;=raw_materials!$H21,raw_materials!$G21,0)))</f>
        <v>1</v>
      </c>
      <c r="L32" s="106">
        <f>IF(L23&lt;=raw_materials!$D21,raw_materials!$C21,IF(L23&lt;=raw_materials!$F21,raw_materials!$E21,IF(L23&lt;=raw_materials!$H21,raw_materials!$G21,0)))</f>
        <v>1</v>
      </c>
      <c r="M32" s="106">
        <f>IF(M23&lt;=raw_materials!$D21,raw_materials!$C21,IF(M23&lt;=raw_materials!$F21,raw_materials!$E21,IF(M23&lt;=raw_materials!$H21,raw_materials!$G21,0)))</f>
        <v>1</v>
      </c>
      <c r="N32" s="106">
        <f>IF(N23&lt;=raw_materials!$D21,raw_materials!$C21,IF(N23&lt;=raw_materials!$F21,raw_materials!$E21,IF(N23&lt;=raw_materials!$H21,raw_materials!$G21,0)))</f>
        <v>1</v>
      </c>
    </row>
    <row r="33" spans="2:50" x14ac:dyDescent="0.2">
      <c r="B33" s="105" t="s">
        <v>109</v>
      </c>
      <c r="C33" s="106">
        <f>IF(C24&lt;=raw_materials!$D22,raw_materials!$C22,IF(C24&lt;=raw_materials!$F22,raw_materials!$E22,IF(C24&lt;=raw_materials!$H22,raw_materials!$G22,0)))</f>
        <v>1</v>
      </c>
      <c r="D33" s="106">
        <f>IF(D24&lt;=raw_materials!$D22,raw_materials!$C22,IF(D24&lt;=raw_materials!$F22,raw_materials!$E22,IF(D24&lt;=raw_materials!$H22,raw_materials!$G22,0)))</f>
        <v>1</v>
      </c>
      <c r="E33" s="106">
        <f>IF(E24&lt;=raw_materials!$D22,raw_materials!$C22,IF(E24&lt;=raw_materials!$F22,raw_materials!$E22,IF(E24&lt;=raw_materials!$H22,raw_materials!$G22,0)))</f>
        <v>1</v>
      </c>
      <c r="F33" s="106">
        <f>IF(F24&lt;=raw_materials!$D22,raw_materials!$C22,IF(F24&lt;=raw_materials!$F22,raw_materials!$E22,IF(F24&lt;=raw_materials!$H22,raw_materials!$G22,0)))</f>
        <v>1</v>
      </c>
      <c r="G33" s="106">
        <f>IF(G24&lt;=raw_materials!$D22,raw_materials!$C22,IF(G24&lt;=raw_materials!$F22,raw_materials!$E22,IF(G24&lt;=raw_materials!$H22,raw_materials!$G22,0)))</f>
        <v>1</v>
      </c>
      <c r="H33" s="106">
        <f>IF(H24&lt;=raw_materials!$D22,raw_materials!$C22,IF(H24&lt;=raw_materials!$F22,raw_materials!$E22,IF(H24&lt;=raw_materials!$H22,raw_materials!$G22,0)))</f>
        <v>1</v>
      </c>
      <c r="I33" s="106">
        <f>IF(I24&lt;=raw_materials!$D22,raw_materials!$C22,IF(I24&lt;=raw_materials!$F22,raw_materials!$E22,IF(I24&lt;=raw_materials!$H22,raw_materials!$G22,0)))</f>
        <v>1</v>
      </c>
      <c r="J33" s="106">
        <f>IF(J24&lt;=raw_materials!$D22,raw_materials!$C22,IF(J24&lt;=raw_materials!$F22,raw_materials!$E22,IF(J24&lt;=raw_materials!$H22,raw_materials!$G22,0)))</f>
        <v>1</v>
      </c>
      <c r="K33" s="106">
        <f>IF(K24&lt;=raw_materials!$D22,raw_materials!$C22,IF(K24&lt;=raw_materials!$F22,raw_materials!$E22,IF(K24&lt;=raw_materials!$H22,raw_materials!$G22,0)))</f>
        <v>1</v>
      </c>
      <c r="L33" s="106">
        <f>IF(L24&lt;=raw_materials!$D22,raw_materials!$C22,IF(L24&lt;=raw_materials!$F22,raw_materials!$E22,IF(L24&lt;=raw_materials!$H22,raw_materials!$G22,0)))</f>
        <v>1</v>
      </c>
      <c r="M33" s="106">
        <f>IF(M24&lt;=raw_materials!$D22,raw_materials!$C22,IF(M24&lt;=raw_materials!$F22,raw_materials!$E22,IF(M24&lt;=raw_materials!$H22,raw_materials!$G22,0)))</f>
        <v>1</v>
      </c>
      <c r="N33" s="106">
        <f>IF(N24&lt;=raw_materials!$D22,raw_materials!$C22,IF(N24&lt;=raw_materials!$F22,raw_materials!$E22,IF(N24&lt;=raw_materials!$H22,raw_materials!$G22,0)))</f>
        <v>1</v>
      </c>
    </row>
    <row r="35" spans="2:50" x14ac:dyDescent="0.2">
      <c r="B35" s="109" t="s">
        <v>321</v>
      </c>
    </row>
    <row r="36" spans="2:50" x14ac:dyDescent="0.2">
      <c r="B36" s="176" t="s">
        <v>273</v>
      </c>
      <c r="C36" s="176" t="s">
        <v>92</v>
      </c>
      <c r="D36" s="107"/>
      <c r="E36" s="107"/>
      <c r="F36" s="107"/>
      <c r="G36" s="176" t="s">
        <v>93</v>
      </c>
      <c r="H36" s="107"/>
      <c r="I36" s="107"/>
      <c r="J36" s="107"/>
      <c r="K36" s="176" t="s">
        <v>94</v>
      </c>
      <c r="L36" s="107"/>
      <c r="M36" s="107"/>
      <c r="N36" s="107"/>
      <c r="O36" s="176" t="s">
        <v>95</v>
      </c>
      <c r="P36" s="107"/>
      <c r="Q36" s="107"/>
      <c r="R36" s="107"/>
      <c r="S36" s="176" t="s">
        <v>96</v>
      </c>
      <c r="T36" s="107"/>
      <c r="U36" s="107"/>
      <c r="V36" s="107"/>
      <c r="W36" s="176" t="s">
        <v>97</v>
      </c>
      <c r="X36" s="107"/>
      <c r="Y36" s="107"/>
      <c r="Z36" s="107"/>
      <c r="AA36" s="176" t="s">
        <v>98</v>
      </c>
      <c r="AB36" s="107"/>
      <c r="AC36" s="107"/>
      <c r="AD36" s="107"/>
      <c r="AE36" s="176" t="s">
        <v>99</v>
      </c>
      <c r="AF36" s="107"/>
      <c r="AG36" s="107"/>
      <c r="AH36" s="107"/>
      <c r="AI36" s="176" t="s">
        <v>100</v>
      </c>
      <c r="AJ36" s="107"/>
      <c r="AK36" s="107"/>
      <c r="AL36" s="107"/>
      <c r="AM36" s="176" t="s">
        <v>101</v>
      </c>
      <c r="AN36" s="107"/>
      <c r="AO36" s="107"/>
      <c r="AP36" s="107"/>
      <c r="AQ36" s="176" t="s">
        <v>102</v>
      </c>
      <c r="AR36" s="107"/>
      <c r="AS36" s="107"/>
      <c r="AT36" s="107"/>
      <c r="AU36" s="176" t="s">
        <v>103</v>
      </c>
      <c r="AV36" s="107"/>
      <c r="AW36" s="107"/>
      <c r="AX36" s="107"/>
    </row>
    <row r="37" spans="2:50" x14ac:dyDescent="0.2">
      <c r="B37" s="176" t="s">
        <v>322</v>
      </c>
      <c r="C37" s="176">
        <v>1</v>
      </c>
      <c r="D37" s="176">
        <v>2</v>
      </c>
      <c r="E37" s="176">
        <v>3</v>
      </c>
      <c r="F37" s="176">
        <v>4</v>
      </c>
      <c r="G37" s="176">
        <v>1</v>
      </c>
      <c r="H37" s="176">
        <v>2</v>
      </c>
      <c r="I37" s="176">
        <v>3</v>
      </c>
      <c r="J37" s="176">
        <v>4</v>
      </c>
      <c r="K37" s="176">
        <v>1</v>
      </c>
      <c r="L37" s="176">
        <v>2</v>
      </c>
      <c r="M37" s="176">
        <v>3</v>
      </c>
      <c r="N37" s="176">
        <v>4</v>
      </c>
      <c r="O37" s="176">
        <v>1</v>
      </c>
      <c r="P37" s="176">
        <v>2</v>
      </c>
      <c r="Q37" s="176">
        <v>3</v>
      </c>
      <c r="R37" s="176">
        <v>4</v>
      </c>
      <c r="S37" s="176">
        <v>1</v>
      </c>
      <c r="T37" s="176">
        <v>2</v>
      </c>
      <c r="U37" s="176">
        <v>3</v>
      </c>
      <c r="V37" s="176">
        <v>4</v>
      </c>
      <c r="W37" s="176">
        <v>1</v>
      </c>
      <c r="X37" s="176">
        <v>2</v>
      </c>
      <c r="Y37" s="176">
        <v>3</v>
      </c>
      <c r="Z37" s="176">
        <v>4</v>
      </c>
      <c r="AA37" s="176">
        <v>1</v>
      </c>
      <c r="AB37" s="176">
        <v>2</v>
      </c>
      <c r="AC37" s="176">
        <v>3</v>
      </c>
      <c r="AD37" s="176">
        <v>4</v>
      </c>
      <c r="AE37" s="176">
        <v>1</v>
      </c>
      <c r="AF37" s="176">
        <v>2</v>
      </c>
      <c r="AG37" s="176">
        <v>3</v>
      </c>
      <c r="AH37" s="176">
        <v>4</v>
      </c>
      <c r="AI37" s="176">
        <v>1</v>
      </c>
      <c r="AJ37" s="176">
        <v>2</v>
      </c>
      <c r="AK37" s="176">
        <v>3</v>
      </c>
      <c r="AL37" s="176">
        <v>4</v>
      </c>
      <c r="AM37" s="176">
        <v>1</v>
      </c>
      <c r="AN37" s="176">
        <v>2</v>
      </c>
      <c r="AO37" s="176">
        <v>3</v>
      </c>
      <c r="AP37" s="176">
        <v>4</v>
      </c>
      <c r="AQ37" s="176">
        <v>1</v>
      </c>
      <c r="AR37" s="176">
        <v>2</v>
      </c>
      <c r="AS37" s="176">
        <v>3</v>
      </c>
      <c r="AT37" s="176">
        <v>4</v>
      </c>
      <c r="AU37" s="176">
        <v>1</v>
      </c>
      <c r="AV37" s="176">
        <v>2</v>
      </c>
      <c r="AW37" s="176">
        <v>3</v>
      </c>
      <c r="AX37" s="176">
        <v>4</v>
      </c>
    </row>
    <row r="38" spans="2:50" x14ac:dyDescent="0.2">
      <c r="B38" s="176" t="s">
        <v>104</v>
      </c>
      <c r="C38" s="106">
        <v>25054.902514011505</v>
      </c>
      <c r="D38" s="106">
        <v>25109.81675262624</v>
      </c>
      <c r="E38" s="106">
        <v>25164.733912812586</v>
      </c>
      <c r="F38" s="106">
        <v>25219.64518704552</v>
      </c>
      <c r="G38" s="106">
        <v>25274.541764850626</v>
      </c>
      <c r="H38" s="106">
        <v>25329.41483434946</v>
      </c>
      <c r="I38" s="106">
        <v>25384.255583806131</v>
      </c>
      <c r="J38" s="106">
        <v>25439.055203174696</v>
      </c>
      <c r="K38" s="106">
        <v>25493.804885647136</v>
      </c>
      <c r="L38" s="106">
        <v>25548.495829201689</v>
      </c>
      <c r="M38" s="106">
        <v>25603.119238151201</v>
      </c>
      <c r="N38" s="106">
        <v>25657.666324691218</v>
      </c>
      <c r="O38" s="106">
        <v>25712.128310447646</v>
      </c>
      <c r="P38" s="106">
        <v>25766.496428023554</v>
      </c>
      <c r="Q38" s="106">
        <v>25820.761922544945</v>
      </c>
      <c r="R38" s="106">
        <v>25874.916053205223</v>
      </c>
      <c r="S38" s="106">
        <v>25928.950094808049</v>
      </c>
      <c r="T38" s="106">
        <v>25982.855339308269</v>
      </c>
      <c r="U38" s="106">
        <v>26036.623097350748</v>
      </c>
      <c r="V38" s="106">
        <v>26090.24469980675</v>
      </c>
      <c r="W38" s="106">
        <v>26143.711499307632</v>
      </c>
      <c r="X38" s="106">
        <v>26197.014871775551</v>
      </c>
      <c r="Y38" s="106">
        <v>26250.146217950878</v>
      </c>
      <c r="Z38" s="106">
        <v>18412.167875441355</v>
      </c>
      <c r="AA38" s="106">
        <v>26355.858567616488</v>
      </c>
      <c r="AB38" s="106">
        <v>26408.422510375025</v>
      </c>
      <c r="AC38" s="106">
        <v>26460.780308405316</v>
      </c>
      <c r="AD38" s="106">
        <v>26512.923509318131</v>
      </c>
      <c r="AE38" s="106">
        <v>26564.8436946238</v>
      </c>
      <c r="AF38" s="106">
        <v>26616.532481229282</v>
      </c>
      <c r="AG38" s="106">
        <v>26667.981522929855</v>
      </c>
      <c r="AH38" s="106">
        <v>26719.182511895149</v>
      </c>
      <c r="AI38" s="106">
        <v>26770.127180149142</v>
      </c>
      <c r="AJ38" s="106">
        <v>26820.807301044035</v>
      </c>
      <c r="AK38" s="106">
        <v>26871.21469072756</v>
      </c>
      <c r="AL38" s="106">
        <v>26921.341209603564</v>
      </c>
      <c r="AM38" s="106">
        <v>26971.178763785614</v>
      </c>
      <c r="AN38" s="106">
        <v>18914.503514580269</v>
      </c>
      <c r="AO38" s="106">
        <v>18948.968387818528</v>
      </c>
      <c r="AP38" s="106">
        <v>18983.2141906877</v>
      </c>
      <c r="AQ38" s="106">
        <v>27167.47913646403</v>
      </c>
      <c r="AR38" s="106">
        <v>27215.752159530173</v>
      </c>
      <c r="AS38" s="106">
        <v>27263.688694937566</v>
      </c>
      <c r="AT38" s="106">
        <v>27311.281008823513</v>
      </c>
      <c r="AU38" s="106">
        <v>27358.521424379818</v>
      </c>
      <c r="AV38" s="106">
        <v>27405.40232323145</v>
      </c>
      <c r="AW38" s="106">
        <v>27451.916146805794</v>
      </c>
      <c r="AX38" s="106">
        <v>27498.055397691911</v>
      </c>
    </row>
    <row r="39" spans="2:50" x14ac:dyDescent="0.2">
      <c r="B39" s="176" t="s">
        <v>105</v>
      </c>
      <c r="C39" s="106">
        <v>15032.941508406904</v>
      </c>
      <c r="D39" s="106">
        <v>15065.890051575743</v>
      </c>
      <c r="E39" s="106">
        <v>15098.84034768755</v>
      </c>
      <c r="F39" s="106">
        <v>15131.787112227312</v>
      </c>
      <c r="G39" s="106">
        <v>15164.725058910377</v>
      </c>
      <c r="H39" s="106">
        <v>15197.648900609674</v>
      </c>
      <c r="I39" s="106">
        <v>15230.553350283679</v>
      </c>
      <c r="J39" s="106">
        <v>15263.433121904818</v>
      </c>
      <c r="K39" s="106">
        <v>15296.282931388283</v>
      </c>
      <c r="L39" s="106">
        <v>10730.368248264709</v>
      </c>
      <c r="M39" s="106">
        <v>15361.87154289072</v>
      </c>
      <c r="N39" s="106">
        <v>10776.21985637031</v>
      </c>
      <c r="O39" s="106">
        <v>10799.093890388011</v>
      </c>
      <c r="P39" s="106">
        <v>10821.928499769892</v>
      </c>
      <c r="Q39" s="106">
        <v>10844.720007468877</v>
      </c>
      <c r="R39" s="106">
        <v>15524.949631923135</v>
      </c>
      <c r="S39" s="106">
        <v>1555.7370056884831</v>
      </c>
      <c r="T39" s="106">
        <v>1558.9713203584963</v>
      </c>
      <c r="U39" s="106">
        <v>1562.1973858410449</v>
      </c>
      <c r="V39" s="106">
        <v>15654.14681988405</v>
      </c>
      <c r="W39" s="106">
        <v>15686.226899584581</v>
      </c>
      <c r="X39" s="106">
        <v>15718.208923065331</v>
      </c>
      <c r="Y39" s="106">
        <v>15750.087730770527</v>
      </c>
      <c r="Z39" s="106">
        <v>15781.858178949733</v>
      </c>
      <c r="AA39" s="106">
        <v>15813.515140569893</v>
      </c>
      <c r="AB39" s="106">
        <v>15845.053506225015</v>
      </c>
      <c r="AC39" s="106">
        <v>15876.468185043188</v>
      </c>
      <c r="AD39" s="106">
        <v>15907.754105590879</v>
      </c>
      <c r="AE39" s="106">
        <v>1593.890621677428</v>
      </c>
      <c r="AF39" s="106">
        <v>15969.919488737569</v>
      </c>
      <c r="AG39" s="106">
        <v>16000.788913757913</v>
      </c>
      <c r="AH39" s="106">
        <v>16031.509507137089</v>
      </c>
      <c r="AI39" s="106">
        <v>16062.076308089485</v>
      </c>
      <c r="AJ39" s="106">
        <v>11264.739066438493</v>
      </c>
      <c r="AK39" s="106">
        <v>11285.910170105573</v>
      </c>
      <c r="AL39" s="106">
        <v>16152.80472576214</v>
      </c>
      <c r="AM39" s="106">
        <v>16182.707258271368</v>
      </c>
      <c r="AN39" s="106">
        <v>16212.431583925947</v>
      </c>
      <c r="AO39" s="106">
        <v>16241.972903844453</v>
      </c>
      <c r="AP39" s="106">
        <v>16271.326449160888</v>
      </c>
      <c r="AQ39" s="106">
        <v>16300.487481878417</v>
      </c>
      <c r="AR39" s="106">
        <v>16329.451295718105</v>
      </c>
      <c r="AS39" s="106">
        <v>16358.213216962538</v>
      </c>
      <c r="AT39" s="106">
        <v>16386.768605294106</v>
      </c>
      <c r="AU39" s="106">
        <v>16415.112854627889</v>
      </c>
      <c r="AV39" s="106">
        <v>16443.241393938872</v>
      </c>
      <c r="AW39" s="106">
        <v>16471.149688083475</v>
      </c>
      <c r="AX39" s="106">
        <v>16498.833238615145</v>
      </c>
    </row>
    <row r="40" spans="2:50" x14ac:dyDescent="0.2">
      <c r="B40" s="176" t="s">
        <v>106</v>
      </c>
      <c r="C40" s="106">
        <v>5010.9805028023011</v>
      </c>
      <c r="D40" s="106">
        <v>5021.9633505252477</v>
      </c>
      <c r="E40" s="106">
        <v>5032.946782562517</v>
      </c>
      <c r="F40" s="106">
        <v>5043.9290374091042</v>
      </c>
      <c r="G40" s="106">
        <v>5054.9083529701256</v>
      </c>
      <c r="H40" s="106">
        <v>5065.8829668698918</v>
      </c>
      <c r="I40" s="106">
        <v>5076.851116761226</v>
      </c>
      <c r="J40" s="106">
        <v>5087.8110406349388</v>
      </c>
      <c r="K40" s="106">
        <v>3569.1326839905992</v>
      </c>
      <c r="L40" s="106">
        <v>3576.7894160882365</v>
      </c>
      <c r="M40" s="106">
        <v>3584.4366933411679</v>
      </c>
      <c r="N40" s="106">
        <v>5131.5332649382435</v>
      </c>
      <c r="O40" s="106">
        <v>5142.4256620895294</v>
      </c>
      <c r="P40" s="106">
        <v>5153.2992856047113</v>
      </c>
      <c r="Q40" s="106">
        <v>5164.1523845089887</v>
      </c>
      <c r="R40" s="106">
        <v>5174.9832106410449</v>
      </c>
      <c r="S40" s="106">
        <v>5185.7900189616103</v>
      </c>
      <c r="T40" s="106">
        <v>5196.5710678616542</v>
      </c>
      <c r="U40" s="106">
        <v>5207.3246194701496</v>
      </c>
      <c r="V40" s="106">
        <v>5218.0489399613498</v>
      </c>
      <c r="W40" s="106">
        <v>5228.7422998615266</v>
      </c>
      <c r="X40" s="106">
        <v>5239.40297435511</v>
      </c>
      <c r="Y40" s="106">
        <v>5250.0292435901756</v>
      </c>
      <c r="Z40" s="106">
        <v>5260.6193929832443</v>
      </c>
      <c r="AA40" s="106">
        <v>5271.1717135232975</v>
      </c>
      <c r="AB40" s="106">
        <v>5281.6845020750052</v>
      </c>
      <c r="AC40" s="106">
        <v>2116.8624246724253</v>
      </c>
      <c r="AD40" s="106">
        <v>3711.8092913045384</v>
      </c>
      <c r="AE40" s="106">
        <v>5312.9687389247601</v>
      </c>
      <c r="AF40" s="106">
        <v>5323.3064962458566</v>
      </c>
      <c r="AG40" s="106">
        <v>5333.5963045859717</v>
      </c>
      <c r="AH40" s="106">
        <v>5343.8365023790293</v>
      </c>
      <c r="AI40" s="106">
        <v>5354.0254360298286</v>
      </c>
      <c r="AJ40" s="106">
        <v>5364.1614602088066</v>
      </c>
      <c r="AK40" s="106">
        <v>5374.2429381455113</v>
      </c>
      <c r="AL40" s="106">
        <v>5384.2682419207131</v>
      </c>
      <c r="AM40" s="106">
        <v>5394.2357527571221</v>
      </c>
      <c r="AN40" s="106">
        <v>5404.1438613086484</v>
      </c>
      <c r="AO40" s="106">
        <v>5413.9909679481507</v>
      </c>
      <c r="AP40" s="106">
        <v>5423.7754830536296</v>
      </c>
      <c r="AQ40" s="106">
        <v>5433.4958272928061</v>
      </c>
      <c r="AR40" s="106">
        <v>3810.2053023342241</v>
      </c>
      <c r="AS40" s="106">
        <v>5452.7377389875128</v>
      </c>
      <c r="AT40" s="106">
        <v>5462.2562017647024</v>
      </c>
      <c r="AU40" s="106">
        <v>5471.7042848759638</v>
      </c>
      <c r="AV40" s="106">
        <v>5481.0804646462902</v>
      </c>
      <c r="AW40" s="106">
        <v>5490.3832293611586</v>
      </c>
      <c r="AX40" s="106">
        <v>5499.611079538382</v>
      </c>
    </row>
    <row r="41" spans="2:50" x14ac:dyDescent="0.2">
      <c r="B41" s="176" t="s">
        <v>107</v>
      </c>
      <c r="C41" s="106">
        <v>3006.5883016813805</v>
      </c>
      <c r="D41" s="106">
        <v>3013.1780103151486</v>
      </c>
      <c r="E41" s="106">
        <v>3019.7680695375102</v>
      </c>
      <c r="F41" s="106">
        <v>3026.3574224454624</v>
      </c>
      <c r="G41" s="106">
        <v>3032.9450117820752</v>
      </c>
      <c r="H41" s="106">
        <v>3039.5297801219349</v>
      </c>
      <c r="I41" s="106">
        <v>2132.277469039715</v>
      </c>
      <c r="J41" s="106">
        <v>3052.6866243809636</v>
      </c>
      <c r="K41" s="106">
        <v>3059.2565862776564</v>
      </c>
      <c r="L41" s="106">
        <v>3065.8194995042027</v>
      </c>
      <c r="M41" s="106">
        <v>2150.6620160047005</v>
      </c>
      <c r="N41" s="106">
        <v>3078.9199589629461</v>
      </c>
      <c r="O41" s="106">
        <v>3085.4553972537178</v>
      </c>
      <c r="P41" s="106">
        <v>3091.9795713628264</v>
      </c>
      <c r="Q41" s="106">
        <v>3098.4914307053937</v>
      </c>
      <c r="R41" s="106">
        <v>3104.9899263846269</v>
      </c>
      <c r="S41" s="106">
        <v>2178.031807963876</v>
      </c>
      <c r="T41" s="106">
        <v>3117.9426407169926</v>
      </c>
      <c r="U41" s="106">
        <v>3124.3947716820899</v>
      </c>
      <c r="V41" s="106">
        <v>3130.8293639768099</v>
      </c>
      <c r="W41" s="106">
        <v>3137.2453799169161</v>
      </c>
      <c r="X41" s="106">
        <v>3143.6417846130662</v>
      </c>
      <c r="Y41" s="106">
        <v>3150.0175461541053</v>
      </c>
      <c r="Z41" s="106">
        <v>3156.3716357899466</v>
      </c>
      <c r="AA41" s="106">
        <v>3162.7030281139782</v>
      </c>
      <c r="AB41" s="106">
        <v>3169.010701245003</v>
      </c>
      <c r="AC41" s="106">
        <v>3175.2936370086377</v>
      </c>
      <c r="AD41" s="106">
        <v>3181.5508211181759</v>
      </c>
      <c r="AE41" s="106">
        <v>3187.7812433548561</v>
      </c>
      <c r="AF41" s="106">
        <v>3193.9838977475138</v>
      </c>
      <c r="AG41" s="106">
        <v>3200.1577827515825</v>
      </c>
      <c r="AH41" s="106">
        <v>3206.3019014274178</v>
      </c>
      <c r="AI41" s="106">
        <v>3212.4152616178967</v>
      </c>
      <c r="AJ41" s="106">
        <v>3218.496876125284</v>
      </c>
      <c r="AK41" s="106">
        <v>3224.5457628873069</v>
      </c>
      <c r="AL41" s="106">
        <v>3230.5609451524278</v>
      </c>
      <c r="AM41" s="106">
        <v>3236.5414516542737</v>
      </c>
      <c r="AN41" s="106">
        <v>3242.486316785189</v>
      </c>
      <c r="AO41" s="106">
        <v>3248.3945807688906</v>
      </c>
      <c r="AP41" s="106">
        <v>3254.2652898321776</v>
      </c>
      <c r="AQ41" s="106">
        <v>3260.0974963756835</v>
      </c>
      <c r="AR41" s="106">
        <v>3265.8902591436208</v>
      </c>
      <c r="AS41" s="106">
        <v>3271.6426433925076</v>
      </c>
      <c r="AT41" s="106">
        <v>3277.3537210588215</v>
      </c>
      <c r="AU41" s="106">
        <v>3283.0225709255783</v>
      </c>
      <c r="AV41" s="106">
        <v>3288.648278787774</v>
      </c>
      <c r="AW41" s="106">
        <v>3294.2299376166952</v>
      </c>
      <c r="AX41" s="106">
        <v>3299.7666477230291</v>
      </c>
    </row>
    <row r="42" spans="2:50" x14ac:dyDescent="0.2">
      <c r="B42" s="176" t="s">
        <v>108</v>
      </c>
      <c r="C42" s="106">
        <v>10000000</v>
      </c>
      <c r="D42" s="106">
        <v>10000000</v>
      </c>
      <c r="E42" s="106">
        <v>10000000</v>
      </c>
      <c r="F42" s="106">
        <v>10000000</v>
      </c>
      <c r="G42" s="106">
        <v>10000000</v>
      </c>
      <c r="H42" s="106">
        <v>10000000</v>
      </c>
      <c r="I42" s="106">
        <v>10000000</v>
      </c>
      <c r="J42" s="106">
        <v>10000000</v>
      </c>
      <c r="K42" s="106">
        <v>10000000</v>
      </c>
      <c r="L42" s="106">
        <v>10000000</v>
      </c>
      <c r="M42" s="106">
        <v>10000000</v>
      </c>
      <c r="N42" s="106">
        <v>10000000</v>
      </c>
      <c r="O42" s="106">
        <v>10000000</v>
      </c>
      <c r="P42" s="106">
        <v>10000000</v>
      </c>
      <c r="Q42" s="106">
        <v>10000000</v>
      </c>
      <c r="R42" s="106">
        <v>10000000</v>
      </c>
      <c r="S42" s="106">
        <v>10000000</v>
      </c>
      <c r="T42" s="106">
        <v>10000000</v>
      </c>
      <c r="U42" s="106">
        <v>10000000</v>
      </c>
      <c r="V42" s="106">
        <v>10000000</v>
      </c>
      <c r="W42" s="106">
        <v>10000000</v>
      </c>
      <c r="X42" s="106">
        <v>10000000</v>
      </c>
      <c r="Y42" s="106">
        <v>10000000</v>
      </c>
      <c r="Z42" s="106">
        <v>10000000</v>
      </c>
      <c r="AA42" s="106">
        <v>10000000</v>
      </c>
      <c r="AB42" s="106">
        <v>10000000</v>
      </c>
      <c r="AC42" s="106">
        <v>10000000</v>
      </c>
      <c r="AD42" s="106">
        <v>10000000</v>
      </c>
      <c r="AE42" s="106">
        <v>10000000</v>
      </c>
      <c r="AF42" s="106">
        <v>10000000</v>
      </c>
      <c r="AG42" s="106">
        <v>10000000</v>
      </c>
      <c r="AH42" s="106">
        <v>10000000</v>
      </c>
      <c r="AI42" s="106">
        <v>10000000</v>
      </c>
      <c r="AJ42" s="106">
        <v>10000000</v>
      </c>
      <c r="AK42" s="106">
        <v>10000000</v>
      </c>
      <c r="AL42" s="106">
        <v>10000000</v>
      </c>
      <c r="AM42" s="106">
        <v>10000000</v>
      </c>
      <c r="AN42" s="106">
        <v>10000000</v>
      </c>
      <c r="AO42" s="106">
        <v>10000000</v>
      </c>
      <c r="AP42" s="106">
        <v>10000000</v>
      </c>
      <c r="AQ42" s="106">
        <v>10000000</v>
      </c>
      <c r="AR42" s="106">
        <v>10000000</v>
      </c>
      <c r="AS42" s="106">
        <v>10000000</v>
      </c>
      <c r="AT42" s="106">
        <v>10000000</v>
      </c>
      <c r="AU42" s="106">
        <v>10000000</v>
      </c>
      <c r="AV42" s="106">
        <v>10000000</v>
      </c>
      <c r="AW42" s="106">
        <v>10000000</v>
      </c>
      <c r="AX42" s="106">
        <v>10000000</v>
      </c>
    </row>
    <row r="43" spans="2:50" x14ac:dyDescent="0.2">
      <c r="B43" s="176" t="s">
        <v>109</v>
      </c>
      <c r="C43" s="106">
        <v>10000000</v>
      </c>
      <c r="D43" s="106">
        <v>10000000</v>
      </c>
      <c r="E43" s="106">
        <v>10000000</v>
      </c>
      <c r="F43" s="106">
        <v>10000000</v>
      </c>
      <c r="G43" s="106">
        <v>10000000</v>
      </c>
      <c r="H43" s="106">
        <v>10000000</v>
      </c>
      <c r="I43" s="106">
        <v>10000000</v>
      </c>
      <c r="J43" s="106">
        <v>10000000</v>
      </c>
      <c r="K43" s="106">
        <v>10000000</v>
      </c>
      <c r="L43" s="106">
        <v>10000000</v>
      </c>
      <c r="M43" s="106">
        <v>10000000</v>
      </c>
      <c r="N43" s="106">
        <v>10000000</v>
      </c>
      <c r="O43" s="106">
        <v>10000000</v>
      </c>
      <c r="P43" s="106">
        <v>10000000</v>
      </c>
      <c r="Q43" s="106">
        <v>10000000</v>
      </c>
      <c r="R43" s="106">
        <v>10000000</v>
      </c>
      <c r="S43" s="106">
        <v>10000000</v>
      </c>
      <c r="T43" s="106">
        <v>10000000</v>
      </c>
      <c r="U43" s="106">
        <v>10000000</v>
      </c>
      <c r="V43" s="106">
        <v>10000000</v>
      </c>
      <c r="W43" s="106">
        <v>10000000</v>
      </c>
      <c r="X43" s="106">
        <v>10000000</v>
      </c>
      <c r="Y43" s="106">
        <v>10000000</v>
      </c>
      <c r="Z43" s="106">
        <v>10000000</v>
      </c>
      <c r="AA43" s="106">
        <v>10000000</v>
      </c>
      <c r="AB43" s="106">
        <v>10000000</v>
      </c>
      <c r="AC43" s="106">
        <v>10000000</v>
      </c>
      <c r="AD43" s="106">
        <v>10000000</v>
      </c>
      <c r="AE43" s="106">
        <v>10000000</v>
      </c>
      <c r="AF43" s="106">
        <v>10000000</v>
      </c>
      <c r="AG43" s="106">
        <v>10000000</v>
      </c>
      <c r="AH43" s="106">
        <v>10000000</v>
      </c>
      <c r="AI43" s="106">
        <v>10000000</v>
      </c>
      <c r="AJ43" s="106">
        <v>10000000</v>
      </c>
      <c r="AK43" s="106">
        <v>10000000</v>
      </c>
      <c r="AL43" s="106">
        <v>10000000</v>
      </c>
      <c r="AM43" s="106">
        <v>10000000</v>
      </c>
      <c r="AN43" s="106">
        <v>10000000</v>
      </c>
      <c r="AO43" s="106">
        <v>10000000</v>
      </c>
      <c r="AP43" s="106">
        <v>10000000</v>
      </c>
      <c r="AQ43" s="106">
        <v>10000000</v>
      </c>
      <c r="AR43" s="106">
        <v>10000000</v>
      </c>
      <c r="AS43" s="106">
        <v>10000000</v>
      </c>
      <c r="AT43" s="106">
        <v>10000000</v>
      </c>
      <c r="AU43" s="106">
        <v>10000000</v>
      </c>
      <c r="AV43" s="106">
        <v>10000000</v>
      </c>
      <c r="AW43" s="106">
        <v>10000000</v>
      </c>
      <c r="AX43" s="106">
        <v>10000000</v>
      </c>
    </row>
    <row r="45" spans="2:50" x14ac:dyDescent="0.2">
      <c r="B45" s="109" t="s">
        <v>323</v>
      </c>
    </row>
    <row r="46" spans="2:50" x14ac:dyDescent="0.2">
      <c r="B46" s="105" t="s">
        <v>273</v>
      </c>
      <c r="C46" s="105" t="s">
        <v>92</v>
      </c>
      <c r="D46" s="107"/>
      <c r="E46" s="107"/>
      <c r="F46" s="107"/>
      <c r="G46" s="105" t="s">
        <v>93</v>
      </c>
      <c r="H46" s="107"/>
      <c r="I46" s="107"/>
      <c r="J46" s="107"/>
      <c r="K46" s="105" t="s">
        <v>94</v>
      </c>
      <c r="L46" s="107"/>
      <c r="M46" s="107"/>
      <c r="N46" s="107"/>
      <c r="O46" s="105" t="s">
        <v>95</v>
      </c>
      <c r="P46" s="107"/>
      <c r="Q46" s="107"/>
      <c r="R46" s="107"/>
      <c r="S46" s="105" t="s">
        <v>96</v>
      </c>
      <c r="T46" s="107"/>
      <c r="U46" s="107"/>
      <c r="V46" s="107"/>
      <c r="W46" s="105" t="s">
        <v>97</v>
      </c>
      <c r="X46" s="107"/>
      <c r="Y46" s="107"/>
      <c r="Z46" s="107"/>
      <c r="AA46" s="105" t="s">
        <v>98</v>
      </c>
      <c r="AB46" s="107"/>
      <c r="AC46" s="107"/>
      <c r="AD46" s="107"/>
      <c r="AE46" s="105" t="s">
        <v>99</v>
      </c>
      <c r="AF46" s="107"/>
      <c r="AG46" s="107"/>
      <c r="AH46" s="107"/>
      <c r="AI46" s="105" t="s">
        <v>100</v>
      </c>
      <c r="AJ46" s="107"/>
      <c r="AK46" s="107"/>
      <c r="AL46" s="107"/>
      <c r="AM46" s="105" t="s">
        <v>101</v>
      </c>
      <c r="AN46" s="107"/>
      <c r="AO46" s="107"/>
      <c r="AP46" s="107"/>
      <c r="AQ46" s="105" t="s">
        <v>102</v>
      </c>
      <c r="AR46" s="107"/>
      <c r="AS46" s="107"/>
      <c r="AT46" s="107"/>
      <c r="AU46" s="105" t="s">
        <v>103</v>
      </c>
      <c r="AV46" s="107"/>
      <c r="AW46" s="107"/>
    </row>
    <row r="47" spans="2:50" x14ac:dyDescent="0.2">
      <c r="B47" s="105" t="s">
        <v>324</v>
      </c>
      <c r="C47" s="105">
        <v>1</v>
      </c>
      <c r="D47" s="105">
        <v>2</v>
      </c>
      <c r="E47" s="105">
        <v>3</v>
      </c>
      <c r="F47" s="105">
        <v>4</v>
      </c>
      <c r="G47" s="105">
        <v>1</v>
      </c>
      <c r="H47" s="105">
        <v>2</v>
      </c>
      <c r="I47" s="105">
        <v>3</v>
      </c>
      <c r="J47" s="105">
        <v>4</v>
      </c>
      <c r="K47" s="105">
        <v>1</v>
      </c>
      <c r="L47" s="105">
        <v>2</v>
      </c>
      <c r="M47" s="105">
        <v>3</v>
      </c>
      <c r="N47" s="105">
        <v>4</v>
      </c>
      <c r="O47" s="105">
        <v>1</v>
      </c>
      <c r="P47" s="105">
        <v>2</v>
      </c>
      <c r="Q47" s="105">
        <v>3</v>
      </c>
      <c r="R47" s="105">
        <v>4</v>
      </c>
      <c r="S47" s="105">
        <v>1</v>
      </c>
      <c r="T47" s="105">
        <v>2</v>
      </c>
      <c r="U47" s="105">
        <v>3</v>
      </c>
      <c r="V47" s="105">
        <v>4</v>
      </c>
      <c r="W47" s="105">
        <v>1</v>
      </c>
      <c r="X47" s="105">
        <v>2</v>
      </c>
      <c r="Y47" s="105">
        <v>3</v>
      </c>
      <c r="Z47" s="105">
        <v>4</v>
      </c>
      <c r="AA47" s="105">
        <v>1</v>
      </c>
      <c r="AB47" s="105">
        <v>2</v>
      </c>
      <c r="AC47" s="105">
        <v>3</v>
      </c>
      <c r="AD47" s="105">
        <v>4</v>
      </c>
      <c r="AE47" s="105">
        <v>1</v>
      </c>
      <c r="AF47" s="105">
        <v>2</v>
      </c>
      <c r="AG47" s="105">
        <v>3</v>
      </c>
      <c r="AH47" s="105">
        <v>4</v>
      </c>
      <c r="AI47" s="105">
        <v>1</v>
      </c>
      <c r="AJ47" s="105">
        <v>2</v>
      </c>
      <c r="AK47" s="105">
        <v>3</v>
      </c>
      <c r="AL47" s="105">
        <v>4</v>
      </c>
      <c r="AM47" s="105">
        <v>1</v>
      </c>
      <c r="AN47" s="105">
        <v>2</v>
      </c>
      <c r="AO47" s="105">
        <v>3</v>
      </c>
      <c r="AP47" s="105">
        <v>4</v>
      </c>
      <c r="AQ47" s="105">
        <v>1</v>
      </c>
      <c r="AR47" s="105">
        <v>2</v>
      </c>
      <c r="AS47" s="105">
        <v>3</v>
      </c>
      <c r="AT47" s="105">
        <v>4</v>
      </c>
      <c r="AU47" s="105">
        <v>1</v>
      </c>
      <c r="AV47" s="105">
        <v>2</v>
      </c>
      <c r="AW47" s="105">
        <v>3</v>
      </c>
      <c r="AX47" s="105">
        <v>4</v>
      </c>
    </row>
    <row r="48" spans="2:50" x14ac:dyDescent="0.2">
      <c r="B48" s="105" t="s">
        <v>104</v>
      </c>
      <c r="C48" s="106">
        <v>0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</row>
    <row r="49" spans="2:51" x14ac:dyDescent="0.2">
      <c r="B49" s="105" t="s">
        <v>105</v>
      </c>
      <c r="C49" s="106">
        <v>3203.3999387586405</v>
      </c>
      <c r="D49" s="106">
        <v>3203.3999387586405</v>
      </c>
      <c r="E49" s="106">
        <v>3203.3999387586405</v>
      </c>
      <c r="F49" s="106">
        <v>3203.3999387586405</v>
      </c>
      <c r="G49" s="106">
        <v>3203.3999387586405</v>
      </c>
      <c r="H49" s="106">
        <v>3203.3999387586405</v>
      </c>
      <c r="I49" s="106">
        <v>3203.3999387586405</v>
      </c>
      <c r="J49" s="106">
        <v>3203.3999387586405</v>
      </c>
      <c r="K49" s="106">
        <v>3203.3999387586405</v>
      </c>
      <c r="L49" s="106">
        <v>3203.3999387586405</v>
      </c>
      <c r="M49" s="106">
        <v>3203.3999387586405</v>
      </c>
      <c r="N49" s="106">
        <v>3203.3999387586405</v>
      </c>
      <c r="O49" s="106">
        <v>3203.3999387586405</v>
      </c>
      <c r="P49" s="106">
        <v>3203.3999387586405</v>
      </c>
      <c r="Q49" s="106">
        <v>3203.3999387586405</v>
      </c>
      <c r="R49" s="106">
        <v>3203.3999387586405</v>
      </c>
      <c r="S49" s="106">
        <v>1555.7370056884831</v>
      </c>
      <c r="T49" s="106">
        <v>1558.9713203584963</v>
      </c>
      <c r="U49" s="106">
        <v>1562.1973858410449</v>
      </c>
      <c r="V49" s="106">
        <v>3203.3999387586405</v>
      </c>
      <c r="W49" s="106">
        <v>3203.3999387586405</v>
      </c>
      <c r="X49" s="106">
        <v>3203.3999387586405</v>
      </c>
      <c r="Y49" s="106">
        <v>3203.3999387586405</v>
      </c>
      <c r="Z49" s="106">
        <v>3203.3999387586405</v>
      </c>
      <c r="AA49" s="106">
        <v>3203.3999387586405</v>
      </c>
      <c r="AB49" s="106">
        <v>3203.3999387586405</v>
      </c>
      <c r="AC49" s="106">
        <v>3203.3999387586405</v>
      </c>
      <c r="AD49" s="106">
        <v>3203.3999387586405</v>
      </c>
      <c r="AE49" s="106">
        <v>1593.890621677428</v>
      </c>
      <c r="AF49" s="106">
        <v>3203.3999387586405</v>
      </c>
      <c r="AG49" s="106">
        <v>3203.3999387586405</v>
      </c>
      <c r="AH49" s="106">
        <v>3203.3999387586405</v>
      </c>
      <c r="AI49" s="106">
        <v>3203.3999387586405</v>
      </c>
      <c r="AJ49" s="106">
        <v>3203.3999387586405</v>
      </c>
      <c r="AK49" s="106">
        <v>3203.3999387586405</v>
      </c>
      <c r="AL49" s="106">
        <v>3203.3999387586405</v>
      </c>
      <c r="AM49" s="106">
        <v>3203.3999387586405</v>
      </c>
      <c r="AN49" s="106">
        <v>3203.3999387586405</v>
      </c>
      <c r="AO49" s="106">
        <v>3203.3999387586405</v>
      </c>
      <c r="AP49" s="106">
        <v>3203.3999387586405</v>
      </c>
      <c r="AQ49" s="106">
        <v>3203.3999387586405</v>
      </c>
      <c r="AR49" s="106">
        <v>3203.3999387586405</v>
      </c>
      <c r="AS49" s="106">
        <v>3203.3999387586405</v>
      </c>
      <c r="AT49" s="106">
        <v>3203.3999387586405</v>
      </c>
      <c r="AU49" s="106">
        <v>3203.3999387586405</v>
      </c>
      <c r="AV49" s="106">
        <v>3203.3999387586405</v>
      </c>
      <c r="AW49" s="106">
        <v>3203.3999387586405</v>
      </c>
      <c r="AX49" s="106">
        <v>3203.3999387586405</v>
      </c>
    </row>
    <row r="50" spans="2:51" x14ac:dyDescent="0.2">
      <c r="B50" s="105" t="s">
        <v>106</v>
      </c>
      <c r="C50" s="106">
        <v>2958.1665880602222</v>
      </c>
      <c r="D50" s="106">
        <v>2958.1665880602222</v>
      </c>
      <c r="E50" s="106">
        <v>2958.1665880602222</v>
      </c>
      <c r="F50" s="106">
        <v>2958.1665880602222</v>
      </c>
      <c r="G50" s="106">
        <v>2958.1665880602222</v>
      </c>
      <c r="H50" s="106">
        <v>2958.1665880602222</v>
      </c>
      <c r="I50" s="106">
        <v>2958.1665880602222</v>
      </c>
      <c r="J50" s="106">
        <v>2958.1665880602222</v>
      </c>
      <c r="K50" s="106">
        <v>2958.1665880602222</v>
      </c>
      <c r="L50" s="106">
        <v>2958.1665880602222</v>
      </c>
      <c r="M50" s="106">
        <v>2958.1665880602222</v>
      </c>
      <c r="N50" s="106">
        <v>2958.1665880602222</v>
      </c>
      <c r="O50" s="106">
        <v>2958.1665880602222</v>
      </c>
      <c r="P50" s="106">
        <v>2958.1665880602222</v>
      </c>
      <c r="Q50" s="106">
        <v>2958.1665880602222</v>
      </c>
      <c r="R50" s="106">
        <v>2958.1665880602222</v>
      </c>
      <c r="S50" s="106">
        <v>2958.1665880602222</v>
      </c>
      <c r="T50" s="106">
        <v>2958.1665880602222</v>
      </c>
      <c r="U50" s="106">
        <v>2958.1665880602222</v>
      </c>
      <c r="V50" s="106">
        <v>2958.1665880602222</v>
      </c>
      <c r="W50" s="106">
        <v>2958.1665880602222</v>
      </c>
      <c r="X50" s="106">
        <v>2958.1665880602222</v>
      </c>
      <c r="Y50" s="106">
        <v>2958.1665880602222</v>
      </c>
      <c r="Z50" s="106">
        <v>2958.1665880602222</v>
      </c>
      <c r="AA50" s="106">
        <v>2958.1665880602222</v>
      </c>
      <c r="AB50" s="106">
        <v>2958.1665880602222</v>
      </c>
      <c r="AC50" s="106">
        <v>2116.8624246724253</v>
      </c>
      <c r="AD50" s="106">
        <v>2958.1665880602222</v>
      </c>
      <c r="AE50" s="106">
        <v>2958.1665880602222</v>
      </c>
      <c r="AF50" s="106">
        <v>2958.1665880602222</v>
      </c>
      <c r="AG50" s="106">
        <v>2958.1665880602222</v>
      </c>
      <c r="AH50" s="106">
        <v>2958.1665880602222</v>
      </c>
      <c r="AI50" s="106">
        <v>2958.1665880602222</v>
      </c>
      <c r="AJ50" s="106">
        <v>2958.1665880602222</v>
      </c>
      <c r="AK50" s="106">
        <v>2958.1665880602222</v>
      </c>
      <c r="AL50" s="106">
        <v>2958.1665880602222</v>
      </c>
      <c r="AM50" s="106">
        <v>2958.1665880602222</v>
      </c>
      <c r="AN50" s="106">
        <v>2958.1665880602222</v>
      </c>
      <c r="AO50" s="106">
        <v>2958.1665880602222</v>
      </c>
      <c r="AP50" s="106">
        <v>2958.1665880602222</v>
      </c>
      <c r="AQ50" s="106">
        <v>2958.1665880602222</v>
      </c>
      <c r="AR50" s="106">
        <v>2958.1665880602222</v>
      </c>
      <c r="AS50" s="106">
        <v>2958.1665880602222</v>
      </c>
      <c r="AT50" s="106">
        <v>2958.1665880602222</v>
      </c>
      <c r="AU50" s="106">
        <v>2958.1665880602222</v>
      </c>
      <c r="AV50" s="106">
        <v>2958.1665880602222</v>
      </c>
      <c r="AW50" s="106">
        <v>2958.1665880602222</v>
      </c>
      <c r="AX50" s="106">
        <v>2958.1665880602222</v>
      </c>
      <c r="AY50" s="118"/>
    </row>
    <row r="51" spans="2:51" x14ac:dyDescent="0.2">
      <c r="B51" s="105" t="s">
        <v>107</v>
      </c>
      <c r="C51" s="106">
        <v>0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17"/>
    </row>
    <row r="52" spans="2:51" x14ac:dyDescent="0.2">
      <c r="B52" s="105" t="s">
        <v>108</v>
      </c>
      <c r="C52" s="106">
        <v>0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</row>
    <row r="53" spans="2:51" x14ac:dyDescent="0.2">
      <c r="B53" s="105" t="s">
        <v>109</v>
      </c>
      <c r="C53" s="106">
        <v>0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</row>
    <row r="55" spans="2:51" x14ac:dyDescent="0.2">
      <c r="B55" s="180" t="s">
        <v>325</v>
      </c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  <c r="AA55" s="181"/>
      <c r="AB55" s="181"/>
      <c r="AC55" s="181"/>
      <c r="AD55" s="181"/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1"/>
      <c r="AR55" s="181"/>
      <c r="AS55" s="181"/>
      <c r="AT55" s="181"/>
      <c r="AU55" s="181"/>
      <c r="AV55" s="181"/>
      <c r="AW55" s="181"/>
      <c r="AX55" s="181"/>
    </row>
    <row r="56" spans="2:51" x14ac:dyDescent="0.2">
      <c r="B56" s="111" t="s">
        <v>273</v>
      </c>
      <c r="C56" s="111" t="s">
        <v>92</v>
      </c>
      <c r="D56" s="107"/>
      <c r="E56" s="107"/>
      <c r="F56" s="107"/>
      <c r="G56" s="111" t="s">
        <v>93</v>
      </c>
      <c r="H56" s="107"/>
      <c r="I56" s="107"/>
      <c r="J56" s="107"/>
      <c r="K56" s="111" t="s">
        <v>94</v>
      </c>
      <c r="L56" s="107"/>
      <c r="M56" s="107"/>
      <c r="N56" s="107"/>
      <c r="O56" s="111" t="s">
        <v>95</v>
      </c>
      <c r="P56" s="107"/>
      <c r="Q56" s="107"/>
      <c r="R56" s="107"/>
      <c r="S56" s="111" t="s">
        <v>96</v>
      </c>
      <c r="T56" s="107"/>
      <c r="U56" s="107"/>
      <c r="V56" s="107"/>
      <c r="W56" s="111" t="s">
        <v>97</v>
      </c>
      <c r="X56" s="107"/>
      <c r="Y56" s="107"/>
      <c r="Z56" s="107"/>
      <c r="AA56" s="111" t="s">
        <v>98</v>
      </c>
      <c r="AB56" s="107"/>
      <c r="AC56" s="107"/>
      <c r="AD56" s="107"/>
      <c r="AE56" s="111" t="s">
        <v>99</v>
      </c>
      <c r="AF56" s="107"/>
      <c r="AG56" s="107"/>
      <c r="AH56" s="107"/>
      <c r="AI56" s="111" t="s">
        <v>100</v>
      </c>
      <c r="AJ56" s="107"/>
      <c r="AK56" s="107"/>
      <c r="AL56" s="107"/>
      <c r="AM56" s="111" t="s">
        <v>101</v>
      </c>
      <c r="AN56" s="107"/>
      <c r="AO56" s="107"/>
      <c r="AP56" s="107"/>
      <c r="AQ56" s="111" t="s">
        <v>102</v>
      </c>
      <c r="AR56" s="107"/>
      <c r="AS56" s="107"/>
      <c r="AT56" s="107"/>
      <c r="AU56" s="111" t="s">
        <v>103</v>
      </c>
      <c r="AV56" s="107"/>
      <c r="AW56" s="107"/>
    </row>
    <row r="57" spans="2:51" x14ac:dyDescent="0.2">
      <c r="B57" s="111" t="s">
        <v>324</v>
      </c>
      <c r="C57" s="111">
        <v>1</v>
      </c>
      <c r="D57" s="111">
        <v>2</v>
      </c>
      <c r="E57" s="111">
        <v>3</v>
      </c>
      <c r="F57" s="111">
        <v>4</v>
      </c>
      <c r="G57" s="111">
        <v>1</v>
      </c>
      <c r="H57" s="111">
        <v>2</v>
      </c>
      <c r="I57" s="111">
        <v>3</v>
      </c>
      <c r="J57" s="111">
        <v>4</v>
      </c>
      <c r="K57" s="111">
        <v>1</v>
      </c>
      <c r="L57" s="111">
        <v>2</v>
      </c>
      <c r="M57" s="111">
        <v>3</v>
      </c>
      <c r="N57" s="111">
        <v>4</v>
      </c>
      <c r="O57" s="111">
        <v>1</v>
      </c>
      <c r="P57" s="111">
        <v>2</v>
      </c>
      <c r="Q57" s="111">
        <v>3</v>
      </c>
      <c r="R57" s="111">
        <v>4</v>
      </c>
      <c r="S57" s="111">
        <v>1</v>
      </c>
      <c r="T57" s="111">
        <v>2</v>
      </c>
      <c r="U57" s="111">
        <v>3</v>
      </c>
      <c r="V57" s="111">
        <v>4</v>
      </c>
      <c r="W57" s="111">
        <v>1</v>
      </c>
      <c r="X57" s="111">
        <v>2</v>
      </c>
      <c r="Y57" s="111">
        <v>3</v>
      </c>
      <c r="Z57" s="111">
        <v>4</v>
      </c>
      <c r="AA57" s="111">
        <v>1</v>
      </c>
      <c r="AB57" s="111">
        <v>2</v>
      </c>
      <c r="AC57" s="111">
        <v>3</v>
      </c>
      <c r="AD57" s="111">
        <v>4</v>
      </c>
      <c r="AE57" s="111">
        <v>1</v>
      </c>
      <c r="AF57" s="111">
        <v>2</v>
      </c>
      <c r="AG57" s="111">
        <v>3</v>
      </c>
      <c r="AH57" s="111">
        <v>4</v>
      </c>
      <c r="AI57" s="111">
        <v>1</v>
      </c>
      <c r="AJ57" s="111">
        <v>2</v>
      </c>
      <c r="AK57" s="111">
        <v>3</v>
      </c>
      <c r="AL57" s="111">
        <v>4</v>
      </c>
      <c r="AM57" s="111">
        <v>1</v>
      </c>
      <c r="AN57" s="111">
        <v>2</v>
      </c>
      <c r="AO57" s="111">
        <v>3</v>
      </c>
      <c r="AP57" s="111">
        <v>4</v>
      </c>
      <c r="AQ57" s="111">
        <v>1</v>
      </c>
      <c r="AR57" s="111">
        <v>2</v>
      </c>
      <c r="AS57" s="111">
        <v>3</v>
      </c>
      <c r="AT57" s="111">
        <v>4</v>
      </c>
      <c r="AU57" s="111">
        <v>1</v>
      </c>
      <c r="AV57" s="111">
        <v>2</v>
      </c>
      <c r="AW57" s="111">
        <v>3</v>
      </c>
      <c r="AX57" s="111">
        <v>4</v>
      </c>
    </row>
    <row r="58" spans="2:51" x14ac:dyDescent="0.2">
      <c r="B58" s="111" t="s">
        <v>104</v>
      </c>
      <c r="C58" s="106">
        <v>0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</row>
    <row r="59" spans="2:51" x14ac:dyDescent="0.2">
      <c r="B59" s="111" t="s">
        <v>105</v>
      </c>
      <c r="C59" s="106">
        <v>4148849.0800648388</v>
      </c>
      <c r="D59" s="106">
        <v>4148849.0800648388</v>
      </c>
      <c r="E59" s="106">
        <v>4148849.0800648388</v>
      </c>
      <c r="F59" s="106">
        <v>4148849.0800648388</v>
      </c>
      <c r="G59" s="106">
        <v>4212825.4374621352</v>
      </c>
      <c r="H59" s="106">
        <v>4212825.4374621352</v>
      </c>
      <c r="I59" s="106">
        <v>4212825.4374621352</v>
      </c>
      <c r="J59" s="106">
        <v>4212825.4374621352</v>
      </c>
      <c r="K59" s="106">
        <v>4329904.7578304103</v>
      </c>
      <c r="L59" s="106">
        <v>4329904.7578304103</v>
      </c>
      <c r="M59" s="106">
        <v>4329904.7578304103</v>
      </c>
      <c r="N59" s="106">
        <v>4329904.7578304103</v>
      </c>
      <c r="O59" s="106">
        <v>4630199.2861692701</v>
      </c>
      <c r="P59" s="106">
        <v>4630199.2861692701</v>
      </c>
      <c r="Q59" s="106">
        <v>4630199.2861692701</v>
      </c>
      <c r="R59" s="106">
        <v>4630199.2861692701</v>
      </c>
      <c r="S59" s="106">
        <v>3422621.4125146628</v>
      </c>
      <c r="T59" s="106">
        <v>3429736.9047886925</v>
      </c>
      <c r="U59" s="106">
        <v>3436834.248850299</v>
      </c>
      <c r="V59" s="106">
        <v>7047479.86526901</v>
      </c>
      <c r="W59" s="106">
        <v>4470564.2784711812</v>
      </c>
      <c r="X59" s="106">
        <v>4470564.2784711812</v>
      </c>
      <c r="Y59" s="106">
        <v>4470564.2784711812</v>
      </c>
      <c r="Z59" s="106">
        <v>4470564.2784711812</v>
      </c>
      <c r="AA59" s="106">
        <v>4093211.4344302947</v>
      </c>
      <c r="AB59" s="106">
        <v>4093211.4344302947</v>
      </c>
      <c r="AC59" s="106">
        <v>4093211.4344302947</v>
      </c>
      <c r="AD59" s="106">
        <v>4093211.4344302947</v>
      </c>
      <c r="AE59" s="106">
        <v>2231971.2516377936</v>
      </c>
      <c r="AF59" s="106">
        <v>4485813.8153061746</v>
      </c>
      <c r="AG59" s="106">
        <v>4485813.8153061746</v>
      </c>
      <c r="AH59" s="106">
        <v>4485813.8153061746</v>
      </c>
      <c r="AI59" s="106">
        <v>4240031.0951211508</v>
      </c>
      <c r="AJ59" s="106">
        <v>4240031.0951211508</v>
      </c>
      <c r="AK59" s="106">
        <v>4240031.0951211508</v>
      </c>
      <c r="AL59" s="106">
        <v>4240031.0951211508</v>
      </c>
      <c r="AM59" s="106">
        <v>3864448.8405164359</v>
      </c>
      <c r="AN59" s="106">
        <v>3864448.8405164359</v>
      </c>
      <c r="AO59" s="106">
        <v>3864448.8405164359</v>
      </c>
      <c r="AP59" s="106">
        <v>3864448.8405164359</v>
      </c>
      <c r="AQ59" s="106">
        <v>3997697.5737726274</v>
      </c>
      <c r="AR59" s="106">
        <v>3997697.5737726274</v>
      </c>
      <c r="AS59" s="106">
        <v>3997697.5737726274</v>
      </c>
      <c r="AT59" s="106">
        <v>3997697.5737726274</v>
      </c>
      <c r="AU59" s="106">
        <v>4035635.8538400899</v>
      </c>
      <c r="AV59" s="106">
        <v>4035635.8538400899</v>
      </c>
      <c r="AW59" s="106">
        <v>4035635.8538400899</v>
      </c>
      <c r="AX59" s="106">
        <v>4035635.8538400899</v>
      </c>
    </row>
    <row r="60" spans="2:51" x14ac:dyDescent="0.2">
      <c r="B60" s="111" t="s">
        <v>106</v>
      </c>
      <c r="C60" s="106">
        <v>4312486.6255362649</v>
      </c>
      <c r="D60" s="106">
        <v>4312486.6255362649</v>
      </c>
      <c r="E60" s="106">
        <v>4312486.6255362649</v>
      </c>
      <c r="F60" s="106">
        <v>4312486.6255362649</v>
      </c>
      <c r="G60" s="106">
        <v>4579336.9196955431</v>
      </c>
      <c r="H60" s="106">
        <v>4579336.9196955431</v>
      </c>
      <c r="I60" s="106">
        <v>4579336.9196955431</v>
      </c>
      <c r="J60" s="106">
        <v>4579336.9196955431</v>
      </c>
      <c r="K60" s="106">
        <v>4844599.7690446302</v>
      </c>
      <c r="L60" s="106">
        <v>4844599.7690446302</v>
      </c>
      <c r="M60" s="106">
        <v>4844599.7690446302</v>
      </c>
      <c r="N60" s="106">
        <v>4844599.7690446302</v>
      </c>
      <c r="O60" s="106">
        <v>4273360.1204859857</v>
      </c>
      <c r="P60" s="106">
        <v>4273360.1204859857</v>
      </c>
      <c r="Q60" s="106">
        <v>4273360.1204859857</v>
      </c>
      <c r="R60" s="106">
        <v>4273360.1204859857</v>
      </c>
      <c r="S60" s="106">
        <v>4281154.6129864398</v>
      </c>
      <c r="T60" s="106">
        <v>4281154.6129864398</v>
      </c>
      <c r="U60" s="106">
        <v>4281154.6129864398</v>
      </c>
      <c r="V60" s="106">
        <v>4281154.6129864398</v>
      </c>
      <c r="W60" s="106">
        <v>4186749.737245772</v>
      </c>
      <c r="X60" s="106">
        <v>4186749.737245772</v>
      </c>
      <c r="Y60" s="106">
        <v>4186749.737245772</v>
      </c>
      <c r="Z60" s="106">
        <v>4186749.737245772</v>
      </c>
      <c r="AA60" s="106">
        <v>4984079.7523503294</v>
      </c>
      <c r="AB60" s="106">
        <v>4984079.7523503294</v>
      </c>
      <c r="AC60" s="106">
        <v>3566604.7990351617</v>
      </c>
      <c r="AD60" s="106">
        <v>4984079.7523503294</v>
      </c>
      <c r="AE60" s="106">
        <v>4408344.1759970225</v>
      </c>
      <c r="AF60" s="106">
        <v>4408344.1759970225</v>
      </c>
      <c r="AG60" s="106">
        <v>4408344.1759970225</v>
      </c>
      <c r="AH60" s="106">
        <v>4408344.1759970225</v>
      </c>
      <c r="AI60" s="106">
        <v>4362967.0317490902</v>
      </c>
      <c r="AJ60" s="106">
        <v>4362967.0317490902</v>
      </c>
      <c r="AK60" s="106">
        <v>4362967.0317490902</v>
      </c>
      <c r="AL60" s="106">
        <v>4362967.0317490902</v>
      </c>
      <c r="AM60" s="106">
        <v>4352831.7010428002</v>
      </c>
      <c r="AN60" s="106">
        <v>4352831.7010428002</v>
      </c>
      <c r="AO60" s="106">
        <v>4352831.7010428002</v>
      </c>
      <c r="AP60" s="106">
        <v>4352831.7010428002</v>
      </c>
      <c r="AQ60" s="106">
        <v>4235354.6161647364</v>
      </c>
      <c r="AR60" s="106">
        <v>4235354.6161647364</v>
      </c>
      <c r="AS60" s="106">
        <v>4235354.6161647364</v>
      </c>
      <c r="AT60" s="106">
        <v>4235354.6161647364</v>
      </c>
      <c r="AU60" s="106">
        <v>4289988.2920005154</v>
      </c>
      <c r="AV60" s="106">
        <v>4289988.2920005154</v>
      </c>
      <c r="AW60" s="106">
        <v>4289988.2920005154</v>
      </c>
      <c r="AX60" s="106">
        <v>4289988.2920005154</v>
      </c>
    </row>
    <row r="61" spans="2:51" x14ac:dyDescent="0.2">
      <c r="B61" s="111" t="s">
        <v>107</v>
      </c>
      <c r="C61" s="106">
        <v>0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</row>
    <row r="62" spans="2:51" x14ac:dyDescent="0.2">
      <c r="B62" s="111" t="s">
        <v>108</v>
      </c>
      <c r="C62" s="106">
        <v>0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</row>
    <row r="63" spans="2:51" x14ac:dyDescent="0.2">
      <c r="B63" s="111" t="s">
        <v>109</v>
      </c>
      <c r="C63" s="106">
        <v>0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</row>
    <row r="64" spans="2:51" x14ac:dyDescent="0.2">
      <c r="B64" s="107"/>
    </row>
    <row r="65" spans="1:14" x14ac:dyDescent="0.2">
      <c r="B65" s="110" t="s">
        <v>326</v>
      </c>
    </row>
    <row r="66" spans="1:14" x14ac:dyDescent="0.2">
      <c r="B66" s="105" t="s">
        <v>327</v>
      </c>
      <c r="C66" s="105" t="s">
        <v>92</v>
      </c>
      <c r="D66" s="105" t="s">
        <v>93</v>
      </c>
      <c r="E66" s="105" t="s">
        <v>94</v>
      </c>
      <c r="F66" s="105" t="s">
        <v>95</v>
      </c>
      <c r="G66" s="105" t="s">
        <v>96</v>
      </c>
      <c r="H66" s="105" t="s">
        <v>97</v>
      </c>
      <c r="I66" s="105" t="s">
        <v>98</v>
      </c>
      <c r="J66" s="105" t="s">
        <v>99</v>
      </c>
      <c r="K66" s="105" t="s">
        <v>100</v>
      </c>
      <c r="L66" s="105" t="s">
        <v>101</v>
      </c>
      <c r="M66" s="105" t="s">
        <v>102</v>
      </c>
      <c r="N66" s="105" t="s">
        <v>103</v>
      </c>
    </row>
    <row r="67" spans="1:14" x14ac:dyDescent="0.2">
      <c r="B67" s="105" t="s">
        <v>328</v>
      </c>
      <c r="C67" s="106">
        <v>18000</v>
      </c>
      <c r="D67" s="106">
        <v>16000</v>
      </c>
      <c r="E67" s="106">
        <v>16000</v>
      </c>
      <c r="F67" s="106">
        <v>18000</v>
      </c>
      <c r="G67" s="106">
        <v>16000</v>
      </c>
      <c r="H67" s="106">
        <v>16000</v>
      </c>
      <c r="I67" s="106">
        <v>18000</v>
      </c>
      <c r="J67" s="106">
        <v>16000</v>
      </c>
      <c r="K67" s="106">
        <v>16000</v>
      </c>
      <c r="L67" s="106">
        <v>18000</v>
      </c>
      <c r="M67" s="106">
        <v>16000</v>
      </c>
      <c r="N67" s="106">
        <v>16000</v>
      </c>
    </row>
    <row r="68" spans="1:14" x14ac:dyDescent="0.2">
      <c r="B68" s="105" t="s">
        <v>329</v>
      </c>
      <c r="C68" s="106">
        <v>0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</row>
    <row r="70" spans="1:14" x14ac:dyDescent="0.2">
      <c r="B70" s="110" t="s">
        <v>330</v>
      </c>
    </row>
    <row r="71" spans="1:14" x14ac:dyDescent="0.2">
      <c r="A71" s="111" t="s">
        <v>121</v>
      </c>
      <c r="B71" s="111" t="s">
        <v>331</v>
      </c>
      <c r="C71" s="111" t="s">
        <v>22</v>
      </c>
      <c r="D71" s="111" t="s">
        <v>59</v>
      </c>
    </row>
    <row r="72" spans="1:14" x14ac:dyDescent="0.2">
      <c r="A72" s="111" t="s">
        <v>104</v>
      </c>
      <c r="B72" s="111" t="s">
        <v>92</v>
      </c>
      <c r="C72" s="106">
        <v>0</v>
      </c>
      <c r="D72" s="106">
        <v>0</v>
      </c>
    </row>
    <row r="73" spans="1:14" x14ac:dyDescent="0.2">
      <c r="B73" s="111" t="s">
        <v>93</v>
      </c>
      <c r="C73" s="106">
        <v>0</v>
      </c>
      <c r="D73" s="106">
        <v>0</v>
      </c>
    </row>
    <row r="74" spans="1:14" x14ac:dyDescent="0.2">
      <c r="B74" s="111" t="s">
        <v>94</v>
      </c>
      <c r="C74" s="106">
        <v>0</v>
      </c>
      <c r="D74" s="106">
        <v>0</v>
      </c>
    </row>
    <row r="75" spans="1:14" x14ac:dyDescent="0.2">
      <c r="B75" s="111" t="s">
        <v>95</v>
      </c>
      <c r="C75" s="106">
        <v>0</v>
      </c>
      <c r="D75" s="106">
        <v>0</v>
      </c>
    </row>
    <row r="76" spans="1:14" x14ac:dyDescent="0.2">
      <c r="B76" s="111" t="s">
        <v>96</v>
      </c>
      <c r="C76" s="106">
        <v>0</v>
      </c>
      <c r="D76" s="106">
        <v>0</v>
      </c>
    </row>
    <row r="77" spans="1:14" x14ac:dyDescent="0.2">
      <c r="B77" s="111" t="s">
        <v>97</v>
      </c>
      <c r="C77" s="106">
        <v>0</v>
      </c>
      <c r="D77" s="106">
        <v>0</v>
      </c>
    </row>
    <row r="78" spans="1:14" x14ac:dyDescent="0.2">
      <c r="B78" s="111" t="s">
        <v>98</v>
      </c>
      <c r="C78" s="106">
        <v>0</v>
      </c>
      <c r="D78" s="106">
        <v>0</v>
      </c>
    </row>
    <row r="79" spans="1:14" x14ac:dyDescent="0.2">
      <c r="B79" s="111" t="s">
        <v>99</v>
      </c>
      <c r="C79" s="106">
        <v>0</v>
      </c>
      <c r="D79" s="106">
        <v>0</v>
      </c>
    </row>
    <row r="80" spans="1:14" x14ac:dyDescent="0.2">
      <c r="B80" s="111" t="s">
        <v>100</v>
      </c>
      <c r="C80" s="106">
        <v>0</v>
      </c>
      <c r="D80" s="106">
        <v>0</v>
      </c>
    </row>
    <row r="81" spans="2:50" x14ac:dyDescent="0.2">
      <c r="B81" s="111" t="s">
        <v>101</v>
      </c>
      <c r="C81" s="106">
        <v>0</v>
      </c>
      <c r="D81" s="106">
        <v>0</v>
      </c>
    </row>
    <row r="82" spans="2:50" x14ac:dyDescent="0.2">
      <c r="B82" s="111" t="s">
        <v>102</v>
      </c>
      <c r="C82" s="106">
        <v>0</v>
      </c>
      <c r="D82" s="106">
        <v>0</v>
      </c>
    </row>
    <row r="83" spans="2:50" x14ac:dyDescent="0.2">
      <c r="B83" s="111" t="s">
        <v>103</v>
      </c>
      <c r="C83" s="106">
        <v>0</v>
      </c>
      <c r="D83" s="106">
        <v>0</v>
      </c>
    </row>
    <row r="85" spans="2:50" x14ac:dyDescent="0.2">
      <c r="B85" s="109" t="s">
        <v>332</v>
      </c>
    </row>
    <row r="86" spans="2:50" x14ac:dyDescent="0.2">
      <c r="B86" s="105" t="s">
        <v>273</v>
      </c>
      <c r="C86" s="105" t="s">
        <v>92</v>
      </c>
      <c r="D86" s="107"/>
      <c r="E86" s="107"/>
      <c r="F86" s="107"/>
      <c r="G86" s="105" t="s">
        <v>93</v>
      </c>
      <c r="H86" s="107"/>
      <c r="I86" s="107"/>
      <c r="J86" s="107"/>
      <c r="K86" s="105" t="s">
        <v>94</v>
      </c>
      <c r="L86" s="107"/>
      <c r="M86" s="107"/>
      <c r="N86" s="107"/>
      <c r="O86" s="105" t="s">
        <v>95</v>
      </c>
      <c r="P86" s="107"/>
      <c r="Q86" s="107"/>
      <c r="R86" s="107"/>
      <c r="S86" s="105" t="s">
        <v>96</v>
      </c>
      <c r="T86" s="107"/>
      <c r="U86" s="107"/>
      <c r="V86" s="107"/>
      <c r="W86" s="105" t="s">
        <v>97</v>
      </c>
      <c r="X86" s="107"/>
      <c r="Y86" s="107"/>
      <c r="Z86" s="107"/>
      <c r="AA86" s="105" t="s">
        <v>98</v>
      </c>
      <c r="AB86" s="107"/>
      <c r="AC86" s="107"/>
      <c r="AD86" s="107"/>
      <c r="AE86" s="105" t="s">
        <v>99</v>
      </c>
      <c r="AF86" s="107"/>
      <c r="AG86" s="107"/>
      <c r="AH86" s="107"/>
      <c r="AI86" s="105" t="s">
        <v>100</v>
      </c>
      <c r="AJ86" s="107"/>
      <c r="AK86" s="107"/>
      <c r="AL86" s="107"/>
      <c r="AM86" s="105" t="s">
        <v>101</v>
      </c>
      <c r="AN86" s="107"/>
      <c r="AO86" s="107"/>
      <c r="AP86" s="107"/>
      <c r="AQ86" s="105" t="s">
        <v>102</v>
      </c>
      <c r="AR86" s="107"/>
      <c r="AS86" s="107"/>
      <c r="AT86" s="107"/>
      <c r="AU86" s="105" t="s">
        <v>103</v>
      </c>
      <c r="AV86" s="107"/>
      <c r="AW86" s="107"/>
    </row>
    <row r="87" spans="2:50" x14ac:dyDescent="0.2">
      <c r="B87" s="105" t="s">
        <v>333</v>
      </c>
      <c r="C87" s="105">
        <v>1</v>
      </c>
      <c r="D87" s="105">
        <v>2</v>
      </c>
      <c r="E87" s="105">
        <v>3</v>
      </c>
      <c r="F87" s="105">
        <v>4</v>
      </c>
      <c r="G87" s="105">
        <v>1</v>
      </c>
      <c r="H87" s="105">
        <v>2</v>
      </c>
      <c r="I87" s="105">
        <v>3</v>
      </c>
      <c r="J87" s="105">
        <v>4</v>
      </c>
      <c r="K87" s="105">
        <v>1</v>
      </c>
      <c r="L87" s="105">
        <v>2</v>
      </c>
      <c r="M87" s="105">
        <v>3</v>
      </c>
      <c r="N87" s="105">
        <v>4</v>
      </c>
      <c r="O87" s="105">
        <v>1</v>
      </c>
      <c r="P87" s="105">
        <v>2</v>
      </c>
      <c r="Q87" s="105">
        <v>3</v>
      </c>
      <c r="R87" s="105">
        <v>4</v>
      </c>
      <c r="S87" s="105">
        <v>1</v>
      </c>
      <c r="T87" s="105">
        <v>2</v>
      </c>
      <c r="U87" s="105">
        <v>3</v>
      </c>
      <c r="V87" s="105">
        <v>4</v>
      </c>
      <c r="W87" s="105">
        <v>1</v>
      </c>
      <c r="X87" s="105">
        <v>2</v>
      </c>
      <c r="Y87" s="105">
        <v>3</v>
      </c>
      <c r="Z87" s="105">
        <v>4</v>
      </c>
      <c r="AA87" s="105">
        <v>1</v>
      </c>
      <c r="AB87" s="105">
        <v>2</v>
      </c>
      <c r="AC87" s="105">
        <v>3</v>
      </c>
      <c r="AD87" s="105">
        <v>4</v>
      </c>
      <c r="AE87" s="105">
        <v>1</v>
      </c>
      <c r="AF87" s="105">
        <v>2</v>
      </c>
      <c r="AG87" s="105">
        <v>3</v>
      </c>
      <c r="AH87" s="105">
        <v>4</v>
      </c>
      <c r="AI87" s="105">
        <v>1</v>
      </c>
      <c r="AJ87" s="105">
        <v>2</v>
      </c>
      <c r="AK87" s="105">
        <v>3</v>
      </c>
      <c r="AL87" s="105">
        <v>4</v>
      </c>
      <c r="AM87" s="105">
        <v>1</v>
      </c>
      <c r="AN87" s="105">
        <v>2</v>
      </c>
      <c r="AO87" s="105">
        <v>3</v>
      </c>
      <c r="AP87" s="105">
        <v>4</v>
      </c>
      <c r="AQ87" s="105">
        <v>1</v>
      </c>
      <c r="AR87" s="105">
        <v>2</v>
      </c>
      <c r="AS87" s="105">
        <v>3</v>
      </c>
      <c r="AT87" s="105">
        <v>4</v>
      </c>
      <c r="AU87" s="105">
        <v>1</v>
      </c>
      <c r="AV87" s="105">
        <v>2</v>
      </c>
      <c r="AW87" s="105">
        <v>3</v>
      </c>
      <c r="AX87" s="105">
        <v>4</v>
      </c>
    </row>
    <row r="88" spans="2:50" x14ac:dyDescent="0.2">
      <c r="B88" s="105" t="s">
        <v>104</v>
      </c>
      <c r="C88" s="106">
        <f>C48+$C$67/4</f>
        <v>4500</v>
      </c>
      <c r="D88" s="106">
        <f>D48+$C$67/4</f>
        <v>4500</v>
      </c>
      <c r="E88" s="106">
        <f>E48+$C$67/4</f>
        <v>4500</v>
      </c>
      <c r="F88" s="106">
        <f>F48+$C$67/4</f>
        <v>4500</v>
      </c>
      <c r="G88" s="106">
        <f>G48+$D$67/4</f>
        <v>4000</v>
      </c>
      <c r="H88" s="106">
        <f>H48+$D$67/4</f>
        <v>4000</v>
      </c>
      <c r="I88" s="106">
        <f>I48+$D$67/4</f>
        <v>4000</v>
      </c>
      <c r="J88" s="106">
        <f>J48+$D$67/4</f>
        <v>4000</v>
      </c>
      <c r="K88" s="106">
        <f>K48+$E$67/4</f>
        <v>4000</v>
      </c>
      <c r="L88" s="106">
        <f>L48+$E$67/4</f>
        <v>4000</v>
      </c>
      <c r="M88" s="106">
        <f>M48+$E$67/4</f>
        <v>4000</v>
      </c>
      <c r="N88" s="106">
        <f>N48+$E$67/4</f>
        <v>4000</v>
      </c>
      <c r="O88" s="106">
        <f>O48+$F$67/4</f>
        <v>4500</v>
      </c>
      <c r="P88" s="106">
        <f>P48+$F$67/4</f>
        <v>4500</v>
      </c>
      <c r="Q88" s="106">
        <f>Q48+$F$67/4</f>
        <v>4500</v>
      </c>
      <c r="R88" s="106">
        <f>R48+$F$67/4</f>
        <v>4500</v>
      </c>
      <c r="S88" s="106">
        <f>S48+$G$67/4</f>
        <v>4000</v>
      </c>
      <c r="T88" s="106">
        <f>T48+$G$67/4</f>
        <v>4000</v>
      </c>
      <c r="U88" s="106">
        <f>U48+$G$67/4</f>
        <v>4000</v>
      </c>
      <c r="V88" s="106">
        <f>V48+$G$67/4</f>
        <v>4000</v>
      </c>
      <c r="W88" s="106">
        <f>W48+$H$67/4</f>
        <v>4000</v>
      </c>
      <c r="X88" s="106">
        <f>X48+$H$67/4</f>
        <v>4000</v>
      </c>
      <c r="Y88" s="106">
        <f>Y48+$H$67/4</f>
        <v>4000</v>
      </c>
      <c r="Z88" s="106">
        <f>Z48+$H$67/4</f>
        <v>4000</v>
      </c>
      <c r="AA88" s="106">
        <f>AA48+$I$67/4</f>
        <v>4500</v>
      </c>
      <c r="AB88" s="106">
        <f>AB48+$I$67/4</f>
        <v>4500</v>
      </c>
      <c r="AC88" s="106">
        <f>AC48+$I$67/4</f>
        <v>4500</v>
      </c>
      <c r="AD88" s="106">
        <f>AD48+$I$67/4</f>
        <v>4500</v>
      </c>
      <c r="AE88" s="106">
        <f>AE48+$J$67/4</f>
        <v>4000</v>
      </c>
      <c r="AF88" s="106">
        <f>AF48+$J$67/4</f>
        <v>4000</v>
      </c>
      <c r="AG88" s="106">
        <f>AG48+$J$67/4</f>
        <v>4000</v>
      </c>
      <c r="AH88" s="106">
        <f>AH48+$J$67/4</f>
        <v>4000</v>
      </c>
      <c r="AI88" s="106">
        <f>AI48+$K$67/4</f>
        <v>4000</v>
      </c>
      <c r="AJ88" s="106">
        <f>AJ48+$K$67/4</f>
        <v>4000</v>
      </c>
      <c r="AK88" s="106">
        <f>AK48+$K$67/4</f>
        <v>4000</v>
      </c>
      <c r="AL88" s="106">
        <f>AL48+$K$67/4</f>
        <v>4000</v>
      </c>
      <c r="AM88" s="106">
        <f>AM48+$L$67/4</f>
        <v>4500</v>
      </c>
      <c r="AN88" s="106">
        <f>AN48+$L$67/4</f>
        <v>4500</v>
      </c>
      <c r="AO88" s="106">
        <f>AO48+$L$67/4</f>
        <v>4500</v>
      </c>
      <c r="AP88" s="106">
        <f>AP48+$L$67/4</f>
        <v>4500</v>
      </c>
      <c r="AQ88" s="106">
        <f>AQ48+$M$67/4</f>
        <v>4000</v>
      </c>
      <c r="AR88" s="106">
        <f>AR48+$M$67/4</f>
        <v>4000</v>
      </c>
      <c r="AS88" s="106">
        <f>AS48+$M$67/4</f>
        <v>4000</v>
      </c>
      <c r="AT88" s="106">
        <f>AT48+$M$67/4</f>
        <v>4000</v>
      </c>
      <c r="AU88" s="106">
        <f>AU48+$N$67/4</f>
        <v>4000</v>
      </c>
      <c r="AV88" s="106">
        <f>AV48+$N$67/4</f>
        <v>4000</v>
      </c>
      <c r="AW88" s="106">
        <f>AW48+$N$67/4</f>
        <v>4000</v>
      </c>
      <c r="AX88" s="106">
        <f>AX48+$N$67/4</f>
        <v>4000</v>
      </c>
    </row>
    <row r="89" spans="2:50" x14ac:dyDescent="0.2">
      <c r="B89" s="105" t="s">
        <v>105</v>
      </c>
      <c r="C89" s="106">
        <f>C49</f>
        <v>3203.3999387586405</v>
      </c>
      <c r="D89" s="106">
        <f t="shared" ref="D89:AX93" si="3">D49</f>
        <v>3203.3999387586405</v>
      </c>
      <c r="E89" s="106">
        <f t="shared" si="3"/>
        <v>3203.3999387586405</v>
      </c>
      <c r="F89" s="106">
        <f t="shared" si="3"/>
        <v>3203.3999387586405</v>
      </c>
      <c r="G89" s="106">
        <f t="shared" si="3"/>
        <v>3203.3999387586405</v>
      </c>
      <c r="H89" s="106">
        <f t="shared" si="3"/>
        <v>3203.3999387586405</v>
      </c>
      <c r="I89" s="106">
        <f t="shared" si="3"/>
        <v>3203.3999387586405</v>
      </c>
      <c r="J89" s="106">
        <f t="shared" si="3"/>
        <v>3203.3999387586405</v>
      </c>
      <c r="K89" s="106">
        <f t="shared" si="3"/>
        <v>3203.3999387586405</v>
      </c>
      <c r="L89" s="106">
        <f t="shared" si="3"/>
        <v>3203.3999387586405</v>
      </c>
      <c r="M89" s="106">
        <f t="shared" si="3"/>
        <v>3203.3999387586405</v>
      </c>
      <c r="N89" s="106">
        <f t="shared" si="3"/>
        <v>3203.3999387586405</v>
      </c>
      <c r="O89" s="106">
        <f t="shared" si="3"/>
        <v>3203.3999387586405</v>
      </c>
      <c r="P89" s="106">
        <f t="shared" si="3"/>
        <v>3203.3999387586405</v>
      </c>
      <c r="Q89" s="106">
        <f t="shared" si="3"/>
        <v>3203.3999387586405</v>
      </c>
      <c r="R89" s="106">
        <f t="shared" si="3"/>
        <v>3203.3999387586405</v>
      </c>
      <c r="S89" s="106">
        <f t="shared" si="3"/>
        <v>1555.7370056884831</v>
      </c>
      <c r="T89" s="106">
        <f t="shared" si="3"/>
        <v>1558.9713203584963</v>
      </c>
      <c r="U89" s="106">
        <f t="shared" si="3"/>
        <v>1562.1973858410449</v>
      </c>
      <c r="V89" s="106">
        <f t="shared" si="3"/>
        <v>3203.3999387586405</v>
      </c>
      <c r="W89" s="106">
        <f t="shared" si="3"/>
        <v>3203.3999387586405</v>
      </c>
      <c r="X89" s="106">
        <f t="shared" si="3"/>
        <v>3203.3999387586405</v>
      </c>
      <c r="Y89" s="106">
        <f t="shared" si="3"/>
        <v>3203.3999387586405</v>
      </c>
      <c r="Z89" s="106">
        <f t="shared" si="3"/>
        <v>3203.3999387586405</v>
      </c>
      <c r="AA89" s="106">
        <f t="shared" si="3"/>
        <v>3203.3999387586405</v>
      </c>
      <c r="AB89" s="106">
        <f t="shared" si="3"/>
        <v>3203.3999387586405</v>
      </c>
      <c r="AC89" s="106">
        <f t="shared" si="3"/>
        <v>3203.3999387586405</v>
      </c>
      <c r="AD89" s="106">
        <f t="shared" si="3"/>
        <v>3203.3999387586405</v>
      </c>
      <c r="AE89" s="106">
        <f t="shared" si="3"/>
        <v>1593.890621677428</v>
      </c>
      <c r="AF89" s="106">
        <f t="shared" si="3"/>
        <v>3203.3999387586405</v>
      </c>
      <c r="AG89" s="106">
        <f t="shared" si="3"/>
        <v>3203.3999387586405</v>
      </c>
      <c r="AH89" s="106">
        <f t="shared" si="3"/>
        <v>3203.3999387586405</v>
      </c>
      <c r="AI89" s="106">
        <f t="shared" si="3"/>
        <v>3203.3999387586405</v>
      </c>
      <c r="AJ89" s="106">
        <f t="shared" si="3"/>
        <v>3203.3999387586405</v>
      </c>
      <c r="AK89" s="106">
        <f t="shared" si="3"/>
        <v>3203.3999387586405</v>
      </c>
      <c r="AL89" s="106">
        <f t="shared" si="3"/>
        <v>3203.3999387586405</v>
      </c>
      <c r="AM89" s="106">
        <f t="shared" si="3"/>
        <v>3203.3999387586405</v>
      </c>
      <c r="AN89" s="106">
        <f t="shared" si="3"/>
        <v>3203.3999387586405</v>
      </c>
      <c r="AO89" s="106">
        <f t="shared" si="3"/>
        <v>3203.3999387586405</v>
      </c>
      <c r="AP89" s="106">
        <f t="shared" si="3"/>
        <v>3203.3999387586405</v>
      </c>
      <c r="AQ89" s="106">
        <f t="shared" si="3"/>
        <v>3203.3999387586405</v>
      </c>
      <c r="AR89" s="106">
        <f t="shared" si="3"/>
        <v>3203.3999387586405</v>
      </c>
      <c r="AS89" s="106">
        <f t="shared" si="3"/>
        <v>3203.3999387586405</v>
      </c>
      <c r="AT89" s="106">
        <f t="shared" si="3"/>
        <v>3203.3999387586405</v>
      </c>
      <c r="AU89" s="106">
        <f t="shared" si="3"/>
        <v>3203.3999387586405</v>
      </c>
      <c r="AV89" s="106">
        <f t="shared" si="3"/>
        <v>3203.3999387586405</v>
      </c>
      <c r="AW89" s="106">
        <f t="shared" si="3"/>
        <v>3203.3999387586405</v>
      </c>
      <c r="AX89" s="106">
        <f t="shared" si="3"/>
        <v>3203.3999387586405</v>
      </c>
    </row>
    <row r="90" spans="2:50" x14ac:dyDescent="0.2">
      <c r="B90" s="105" t="s">
        <v>106</v>
      </c>
      <c r="C90" s="106">
        <f t="shared" ref="C90:R93" si="4">C50</f>
        <v>2958.1665880602222</v>
      </c>
      <c r="D90" s="106">
        <f t="shared" si="4"/>
        <v>2958.1665880602222</v>
      </c>
      <c r="E90" s="106">
        <f t="shared" si="4"/>
        <v>2958.1665880602222</v>
      </c>
      <c r="F90" s="106">
        <f t="shared" si="4"/>
        <v>2958.1665880602222</v>
      </c>
      <c r="G90" s="106">
        <f t="shared" si="4"/>
        <v>2958.1665880602222</v>
      </c>
      <c r="H90" s="106">
        <f t="shared" si="4"/>
        <v>2958.1665880602222</v>
      </c>
      <c r="I90" s="106">
        <f t="shared" si="4"/>
        <v>2958.1665880602222</v>
      </c>
      <c r="J90" s="106">
        <f t="shared" si="4"/>
        <v>2958.1665880602222</v>
      </c>
      <c r="K90" s="106">
        <f t="shared" si="4"/>
        <v>2958.1665880602222</v>
      </c>
      <c r="L90" s="106">
        <f t="shared" si="4"/>
        <v>2958.1665880602222</v>
      </c>
      <c r="M90" s="106">
        <f t="shared" si="4"/>
        <v>2958.1665880602222</v>
      </c>
      <c r="N90" s="106">
        <f t="shared" si="4"/>
        <v>2958.1665880602222</v>
      </c>
      <c r="O90" s="106">
        <f t="shared" si="4"/>
        <v>2958.1665880602222</v>
      </c>
      <c r="P90" s="106">
        <f t="shared" si="4"/>
        <v>2958.1665880602222</v>
      </c>
      <c r="Q90" s="106">
        <f t="shared" si="4"/>
        <v>2958.1665880602222</v>
      </c>
      <c r="R90" s="106">
        <f t="shared" si="4"/>
        <v>2958.1665880602222</v>
      </c>
      <c r="S90" s="106">
        <f t="shared" si="3"/>
        <v>2958.1665880602222</v>
      </c>
      <c r="T90" s="106">
        <f t="shared" si="3"/>
        <v>2958.1665880602222</v>
      </c>
      <c r="U90" s="106">
        <f t="shared" si="3"/>
        <v>2958.1665880602222</v>
      </c>
      <c r="V90" s="106">
        <f t="shared" si="3"/>
        <v>2958.1665880602222</v>
      </c>
      <c r="W90" s="106">
        <f t="shared" si="3"/>
        <v>2958.1665880602222</v>
      </c>
      <c r="X90" s="106">
        <f t="shared" si="3"/>
        <v>2958.1665880602222</v>
      </c>
      <c r="Y90" s="106">
        <f t="shared" si="3"/>
        <v>2958.1665880602222</v>
      </c>
      <c r="Z90" s="106">
        <f t="shared" si="3"/>
        <v>2958.1665880602222</v>
      </c>
      <c r="AA90" s="106">
        <f t="shared" si="3"/>
        <v>2958.1665880602222</v>
      </c>
      <c r="AB90" s="106">
        <f t="shared" si="3"/>
        <v>2958.1665880602222</v>
      </c>
      <c r="AC90" s="106">
        <f t="shared" si="3"/>
        <v>2116.8624246724253</v>
      </c>
      <c r="AD90" s="106">
        <f t="shared" si="3"/>
        <v>2958.1665880602222</v>
      </c>
      <c r="AE90" s="106">
        <f t="shared" si="3"/>
        <v>2958.1665880602222</v>
      </c>
      <c r="AF90" s="106">
        <f t="shared" si="3"/>
        <v>2958.1665880602222</v>
      </c>
      <c r="AG90" s="106">
        <f t="shared" si="3"/>
        <v>2958.1665880602222</v>
      </c>
      <c r="AH90" s="106">
        <f t="shared" si="3"/>
        <v>2958.1665880602222</v>
      </c>
      <c r="AI90" s="106">
        <f t="shared" si="3"/>
        <v>2958.1665880602222</v>
      </c>
      <c r="AJ90" s="106">
        <f t="shared" si="3"/>
        <v>2958.1665880602222</v>
      </c>
      <c r="AK90" s="106">
        <f t="shared" si="3"/>
        <v>2958.1665880602222</v>
      </c>
      <c r="AL90" s="106">
        <f t="shared" si="3"/>
        <v>2958.1665880602222</v>
      </c>
      <c r="AM90" s="106">
        <f t="shared" si="3"/>
        <v>2958.1665880602222</v>
      </c>
      <c r="AN90" s="106">
        <f t="shared" si="3"/>
        <v>2958.1665880602222</v>
      </c>
      <c r="AO90" s="106">
        <f t="shared" si="3"/>
        <v>2958.1665880602222</v>
      </c>
      <c r="AP90" s="106">
        <f t="shared" si="3"/>
        <v>2958.1665880602222</v>
      </c>
      <c r="AQ90" s="106">
        <f t="shared" si="3"/>
        <v>2958.1665880602222</v>
      </c>
      <c r="AR90" s="106">
        <f t="shared" si="3"/>
        <v>2958.1665880602222</v>
      </c>
      <c r="AS90" s="106">
        <f t="shared" si="3"/>
        <v>2958.1665880602222</v>
      </c>
      <c r="AT90" s="106">
        <f t="shared" si="3"/>
        <v>2958.1665880602222</v>
      </c>
      <c r="AU90" s="106">
        <f t="shared" si="3"/>
        <v>2958.1665880602222</v>
      </c>
      <c r="AV90" s="106">
        <f t="shared" si="3"/>
        <v>2958.1665880602222</v>
      </c>
      <c r="AW90" s="106">
        <f t="shared" si="3"/>
        <v>2958.1665880602222</v>
      </c>
      <c r="AX90" s="106">
        <f t="shared" si="3"/>
        <v>2958.1665880602222</v>
      </c>
    </row>
    <row r="91" spans="2:50" x14ac:dyDescent="0.2">
      <c r="B91" s="105" t="s">
        <v>107</v>
      </c>
      <c r="C91" s="106">
        <f t="shared" si="4"/>
        <v>0</v>
      </c>
      <c r="D91" s="106">
        <f t="shared" si="3"/>
        <v>0</v>
      </c>
      <c r="E91" s="106">
        <f t="shared" si="3"/>
        <v>0</v>
      </c>
      <c r="F91" s="106">
        <f t="shared" si="3"/>
        <v>0</v>
      </c>
      <c r="G91" s="106">
        <f t="shared" si="3"/>
        <v>0</v>
      </c>
      <c r="H91" s="106">
        <f t="shared" si="3"/>
        <v>0</v>
      </c>
      <c r="I91" s="106">
        <f t="shared" si="3"/>
        <v>0</v>
      </c>
      <c r="J91" s="106">
        <f t="shared" si="3"/>
        <v>0</v>
      </c>
      <c r="K91" s="106">
        <f t="shared" si="3"/>
        <v>0</v>
      </c>
      <c r="L91" s="106">
        <f t="shared" si="3"/>
        <v>0</v>
      </c>
      <c r="M91" s="106">
        <f t="shared" si="3"/>
        <v>0</v>
      </c>
      <c r="N91" s="106">
        <f t="shared" si="3"/>
        <v>0</v>
      </c>
      <c r="O91" s="106">
        <f t="shared" si="3"/>
        <v>0</v>
      </c>
      <c r="P91" s="106">
        <f t="shared" si="3"/>
        <v>0</v>
      </c>
      <c r="Q91" s="106">
        <f t="shared" si="3"/>
        <v>0</v>
      </c>
      <c r="R91" s="106">
        <f t="shared" si="3"/>
        <v>0</v>
      </c>
      <c r="S91" s="106">
        <f t="shared" si="3"/>
        <v>0</v>
      </c>
      <c r="T91" s="106">
        <f t="shared" si="3"/>
        <v>0</v>
      </c>
      <c r="U91" s="106">
        <f t="shared" si="3"/>
        <v>0</v>
      </c>
      <c r="V91" s="106">
        <f t="shared" si="3"/>
        <v>0</v>
      </c>
      <c r="W91" s="106">
        <f t="shared" si="3"/>
        <v>0</v>
      </c>
      <c r="X91" s="106">
        <f t="shared" si="3"/>
        <v>0</v>
      </c>
      <c r="Y91" s="106">
        <f t="shared" si="3"/>
        <v>0</v>
      </c>
      <c r="Z91" s="106">
        <f t="shared" si="3"/>
        <v>0</v>
      </c>
      <c r="AA91" s="106">
        <f t="shared" si="3"/>
        <v>0</v>
      </c>
      <c r="AB91" s="106">
        <f t="shared" si="3"/>
        <v>0</v>
      </c>
      <c r="AC91" s="106">
        <f t="shared" si="3"/>
        <v>0</v>
      </c>
      <c r="AD91" s="106">
        <f t="shared" si="3"/>
        <v>0</v>
      </c>
      <c r="AE91" s="106">
        <f t="shared" si="3"/>
        <v>0</v>
      </c>
      <c r="AF91" s="106">
        <f t="shared" si="3"/>
        <v>0</v>
      </c>
      <c r="AG91" s="106">
        <f t="shared" si="3"/>
        <v>0</v>
      </c>
      <c r="AH91" s="106">
        <f t="shared" si="3"/>
        <v>0</v>
      </c>
      <c r="AI91" s="106">
        <f t="shared" si="3"/>
        <v>0</v>
      </c>
      <c r="AJ91" s="106">
        <f t="shared" si="3"/>
        <v>0</v>
      </c>
      <c r="AK91" s="106">
        <f t="shared" si="3"/>
        <v>0</v>
      </c>
      <c r="AL91" s="106">
        <f t="shared" si="3"/>
        <v>0</v>
      </c>
      <c r="AM91" s="106">
        <f t="shared" si="3"/>
        <v>0</v>
      </c>
      <c r="AN91" s="106">
        <f t="shared" si="3"/>
        <v>0</v>
      </c>
      <c r="AO91" s="106">
        <f t="shared" si="3"/>
        <v>0</v>
      </c>
      <c r="AP91" s="106">
        <f t="shared" si="3"/>
        <v>0</v>
      </c>
      <c r="AQ91" s="106">
        <f t="shared" si="3"/>
        <v>0</v>
      </c>
      <c r="AR91" s="106">
        <f t="shared" si="3"/>
        <v>0</v>
      </c>
      <c r="AS91" s="106">
        <f t="shared" si="3"/>
        <v>0</v>
      </c>
      <c r="AT91" s="106">
        <f t="shared" si="3"/>
        <v>0</v>
      </c>
      <c r="AU91" s="106">
        <f t="shared" si="3"/>
        <v>0</v>
      </c>
      <c r="AV91" s="106">
        <f t="shared" si="3"/>
        <v>0</v>
      </c>
      <c r="AW91" s="106">
        <f t="shared" si="3"/>
        <v>0</v>
      </c>
      <c r="AX91" s="106">
        <f t="shared" si="3"/>
        <v>0</v>
      </c>
    </row>
    <row r="92" spans="2:50" x14ac:dyDescent="0.2">
      <c r="B92" s="105" t="s">
        <v>108</v>
      </c>
      <c r="C92" s="106">
        <f t="shared" si="4"/>
        <v>0</v>
      </c>
      <c r="D92" s="106">
        <f t="shared" si="4"/>
        <v>0</v>
      </c>
      <c r="E92" s="106">
        <f t="shared" si="4"/>
        <v>0</v>
      </c>
      <c r="F92" s="106">
        <f t="shared" si="4"/>
        <v>0</v>
      </c>
      <c r="G92" s="106">
        <f t="shared" si="4"/>
        <v>0</v>
      </c>
      <c r="H92" s="106">
        <f t="shared" si="4"/>
        <v>0</v>
      </c>
      <c r="I92" s="106">
        <f t="shared" si="4"/>
        <v>0</v>
      </c>
      <c r="J92" s="106">
        <f t="shared" si="4"/>
        <v>0</v>
      </c>
      <c r="K92" s="106">
        <f t="shared" si="4"/>
        <v>0</v>
      </c>
      <c r="L92" s="106">
        <f t="shared" si="4"/>
        <v>0</v>
      </c>
      <c r="M92" s="106">
        <f t="shared" si="4"/>
        <v>0</v>
      </c>
      <c r="N92" s="106">
        <f t="shared" si="4"/>
        <v>0</v>
      </c>
      <c r="O92" s="106">
        <f t="shared" si="4"/>
        <v>0</v>
      </c>
      <c r="P92" s="106">
        <f t="shared" si="4"/>
        <v>0</v>
      </c>
      <c r="Q92" s="106">
        <f t="shared" si="4"/>
        <v>0</v>
      </c>
      <c r="R92" s="106">
        <f t="shared" si="4"/>
        <v>0</v>
      </c>
      <c r="S92" s="106">
        <f t="shared" si="3"/>
        <v>0</v>
      </c>
      <c r="T92" s="106">
        <f t="shared" si="3"/>
        <v>0</v>
      </c>
      <c r="U92" s="106">
        <f t="shared" si="3"/>
        <v>0</v>
      </c>
      <c r="V92" s="106">
        <f t="shared" si="3"/>
        <v>0</v>
      </c>
      <c r="W92" s="106">
        <f t="shared" si="3"/>
        <v>0</v>
      </c>
      <c r="X92" s="106">
        <f t="shared" si="3"/>
        <v>0</v>
      </c>
      <c r="Y92" s="106">
        <f t="shared" si="3"/>
        <v>0</v>
      </c>
      <c r="Z92" s="106">
        <f t="shared" si="3"/>
        <v>0</v>
      </c>
      <c r="AA92" s="106">
        <f t="shared" si="3"/>
        <v>0</v>
      </c>
      <c r="AB92" s="106">
        <f t="shared" si="3"/>
        <v>0</v>
      </c>
      <c r="AC92" s="106">
        <f t="shared" si="3"/>
        <v>0</v>
      </c>
      <c r="AD92" s="106">
        <f t="shared" si="3"/>
        <v>0</v>
      </c>
      <c r="AE92" s="106">
        <f t="shared" si="3"/>
        <v>0</v>
      </c>
      <c r="AF92" s="106">
        <f t="shared" si="3"/>
        <v>0</v>
      </c>
      <c r="AG92" s="106">
        <f t="shared" si="3"/>
        <v>0</v>
      </c>
      <c r="AH92" s="106">
        <f t="shared" si="3"/>
        <v>0</v>
      </c>
      <c r="AI92" s="106">
        <f t="shared" si="3"/>
        <v>0</v>
      </c>
      <c r="AJ92" s="106">
        <f t="shared" si="3"/>
        <v>0</v>
      </c>
      <c r="AK92" s="106">
        <f t="shared" si="3"/>
        <v>0</v>
      </c>
      <c r="AL92" s="106">
        <f t="shared" si="3"/>
        <v>0</v>
      </c>
      <c r="AM92" s="106">
        <f t="shared" si="3"/>
        <v>0</v>
      </c>
      <c r="AN92" s="106">
        <f t="shared" si="3"/>
        <v>0</v>
      </c>
      <c r="AO92" s="106">
        <f t="shared" si="3"/>
        <v>0</v>
      </c>
      <c r="AP92" s="106">
        <f t="shared" si="3"/>
        <v>0</v>
      </c>
      <c r="AQ92" s="106">
        <f t="shared" si="3"/>
        <v>0</v>
      </c>
      <c r="AR92" s="106">
        <f t="shared" si="3"/>
        <v>0</v>
      </c>
      <c r="AS92" s="106">
        <f t="shared" si="3"/>
        <v>0</v>
      </c>
      <c r="AT92" s="106">
        <f t="shared" si="3"/>
        <v>0</v>
      </c>
      <c r="AU92" s="106">
        <f t="shared" si="3"/>
        <v>0</v>
      </c>
      <c r="AV92" s="106">
        <f t="shared" si="3"/>
        <v>0</v>
      </c>
      <c r="AW92" s="106">
        <f t="shared" si="3"/>
        <v>0</v>
      </c>
      <c r="AX92" s="106">
        <f t="shared" si="3"/>
        <v>0</v>
      </c>
    </row>
    <row r="93" spans="2:50" x14ac:dyDescent="0.2">
      <c r="B93" s="105" t="s">
        <v>109</v>
      </c>
      <c r="C93" s="106">
        <f t="shared" si="4"/>
        <v>0</v>
      </c>
      <c r="D93" s="106">
        <f t="shared" si="4"/>
        <v>0</v>
      </c>
      <c r="E93" s="106">
        <f t="shared" si="4"/>
        <v>0</v>
      </c>
      <c r="F93" s="106">
        <f t="shared" si="4"/>
        <v>0</v>
      </c>
      <c r="G93" s="106">
        <f t="shared" si="4"/>
        <v>0</v>
      </c>
      <c r="H93" s="106">
        <f t="shared" si="4"/>
        <v>0</v>
      </c>
      <c r="I93" s="106">
        <f t="shared" si="4"/>
        <v>0</v>
      </c>
      <c r="J93" s="106">
        <f t="shared" si="4"/>
        <v>0</v>
      </c>
      <c r="K93" s="106">
        <f t="shared" si="4"/>
        <v>0</v>
      </c>
      <c r="L93" s="106">
        <f t="shared" si="4"/>
        <v>0</v>
      </c>
      <c r="M93" s="106">
        <f t="shared" si="4"/>
        <v>0</v>
      </c>
      <c r="N93" s="106">
        <f t="shared" si="4"/>
        <v>0</v>
      </c>
      <c r="O93" s="106">
        <f t="shared" si="4"/>
        <v>0</v>
      </c>
      <c r="P93" s="106">
        <f t="shared" si="4"/>
        <v>0</v>
      </c>
      <c r="Q93" s="106">
        <f t="shared" si="4"/>
        <v>0</v>
      </c>
      <c r="R93" s="106">
        <f t="shared" si="4"/>
        <v>0</v>
      </c>
      <c r="S93" s="106">
        <f t="shared" si="3"/>
        <v>0</v>
      </c>
      <c r="T93" s="106">
        <f t="shared" si="3"/>
        <v>0</v>
      </c>
      <c r="U93" s="106">
        <f t="shared" si="3"/>
        <v>0</v>
      </c>
      <c r="V93" s="106">
        <f t="shared" si="3"/>
        <v>0</v>
      </c>
      <c r="W93" s="106">
        <f t="shared" si="3"/>
        <v>0</v>
      </c>
      <c r="X93" s="106">
        <f t="shared" si="3"/>
        <v>0</v>
      </c>
      <c r="Y93" s="106">
        <f t="shared" si="3"/>
        <v>0</v>
      </c>
      <c r="Z93" s="106">
        <f t="shared" si="3"/>
        <v>0</v>
      </c>
      <c r="AA93" s="106">
        <f t="shared" si="3"/>
        <v>0</v>
      </c>
      <c r="AB93" s="106">
        <f t="shared" si="3"/>
        <v>0</v>
      </c>
      <c r="AC93" s="106">
        <f t="shared" si="3"/>
        <v>0</v>
      </c>
      <c r="AD93" s="106">
        <f t="shared" si="3"/>
        <v>0</v>
      </c>
      <c r="AE93" s="106">
        <f t="shared" si="3"/>
        <v>0</v>
      </c>
      <c r="AF93" s="106">
        <f t="shared" si="3"/>
        <v>0</v>
      </c>
      <c r="AG93" s="106">
        <f t="shared" si="3"/>
        <v>0</v>
      </c>
      <c r="AH93" s="106">
        <f t="shared" si="3"/>
        <v>0</v>
      </c>
      <c r="AI93" s="106">
        <f t="shared" si="3"/>
        <v>0</v>
      </c>
      <c r="AJ93" s="106">
        <f t="shared" si="3"/>
        <v>0</v>
      </c>
      <c r="AK93" s="106">
        <f t="shared" si="3"/>
        <v>0</v>
      </c>
      <c r="AL93" s="106">
        <f t="shared" si="3"/>
        <v>0</v>
      </c>
      <c r="AM93" s="106">
        <f t="shared" si="3"/>
        <v>0</v>
      </c>
      <c r="AN93" s="106">
        <f t="shared" si="3"/>
        <v>0</v>
      </c>
      <c r="AO93" s="106">
        <f t="shared" si="3"/>
        <v>0</v>
      </c>
      <c r="AP93" s="106">
        <f t="shared" si="3"/>
        <v>0</v>
      </c>
      <c r="AQ93" s="106">
        <f t="shared" si="3"/>
        <v>0</v>
      </c>
      <c r="AR93" s="106">
        <f t="shared" si="3"/>
        <v>0</v>
      </c>
      <c r="AS93" s="106">
        <f t="shared" si="3"/>
        <v>0</v>
      </c>
      <c r="AT93" s="106">
        <f t="shared" si="3"/>
        <v>0</v>
      </c>
      <c r="AU93" s="106">
        <f t="shared" si="3"/>
        <v>0</v>
      </c>
      <c r="AV93" s="106">
        <f t="shared" si="3"/>
        <v>0</v>
      </c>
      <c r="AW93" s="106">
        <f t="shared" si="3"/>
        <v>0</v>
      </c>
      <c r="AX93" s="106">
        <f t="shared" si="3"/>
        <v>0</v>
      </c>
    </row>
    <row r="94" spans="2:50" x14ac:dyDescent="0.2">
      <c r="B94" s="107"/>
    </row>
    <row r="95" spans="2:50" x14ac:dyDescent="0.2">
      <c r="B95" s="180" t="s">
        <v>334</v>
      </c>
    </row>
    <row r="96" spans="2:50" x14ac:dyDescent="0.2">
      <c r="B96" s="181"/>
      <c r="C96" s="111" t="s">
        <v>92</v>
      </c>
      <c r="D96" s="107"/>
      <c r="E96" s="107"/>
      <c r="F96" s="107"/>
      <c r="G96" s="111" t="s">
        <v>93</v>
      </c>
      <c r="H96" s="107"/>
      <c r="I96" s="107"/>
      <c r="J96" s="107"/>
      <c r="K96" s="111" t="s">
        <v>94</v>
      </c>
      <c r="L96" s="107"/>
      <c r="M96" s="107"/>
      <c r="N96" s="107"/>
      <c r="O96" s="111" t="s">
        <v>95</v>
      </c>
      <c r="P96" s="107"/>
      <c r="Q96" s="107"/>
      <c r="R96" s="107"/>
      <c r="S96" s="111" t="s">
        <v>96</v>
      </c>
      <c r="T96" s="107"/>
      <c r="U96" s="107"/>
      <c r="V96" s="107"/>
      <c r="W96" s="111" t="s">
        <v>97</v>
      </c>
      <c r="X96" s="107"/>
      <c r="Y96" s="107"/>
      <c r="Z96" s="107"/>
      <c r="AA96" s="111" t="s">
        <v>98</v>
      </c>
      <c r="AB96" s="107"/>
      <c r="AC96" s="107"/>
      <c r="AD96" s="107"/>
      <c r="AE96" s="111" t="s">
        <v>99</v>
      </c>
      <c r="AF96" s="107"/>
      <c r="AG96" s="107"/>
      <c r="AH96" s="107"/>
      <c r="AI96" s="111" t="s">
        <v>100</v>
      </c>
      <c r="AJ96" s="107"/>
      <c r="AK96" s="107"/>
      <c r="AL96" s="107"/>
      <c r="AM96" s="111" t="s">
        <v>101</v>
      </c>
      <c r="AN96" s="107"/>
      <c r="AO96" s="107"/>
      <c r="AP96" s="107"/>
      <c r="AQ96" s="111" t="s">
        <v>102</v>
      </c>
      <c r="AR96" s="107"/>
      <c r="AS96" s="107"/>
      <c r="AT96" s="107"/>
      <c r="AU96" s="111" t="s">
        <v>103</v>
      </c>
      <c r="AV96" s="107"/>
      <c r="AW96" s="107"/>
    </row>
    <row r="97" spans="1:50" x14ac:dyDescent="0.2">
      <c r="A97" s="182" t="s">
        <v>121</v>
      </c>
      <c r="B97" s="182" t="s">
        <v>335</v>
      </c>
      <c r="C97" s="111">
        <v>1</v>
      </c>
      <c r="D97" s="111">
        <v>2</v>
      </c>
      <c r="E97" s="111">
        <v>3</v>
      </c>
      <c r="F97" s="111">
        <v>4</v>
      </c>
      <c r="G97" s="111">
        <v>1</v>
      </c>
      <c r="H97" s="111">
        <v>2</v>
      </c>
      <c r="I97" s="111">
        <v>3</v>
      </c>
      <c r="J97" s="111">
        <v>4</v>
      </c>
      <c r="K97" s="111">
        <v>1</v>
      </c>
      <c r="L97" s="111">
        <v>2</v>
      </c>
      <c r="M97" s="111">
        <v>3</v>
      </c>
      <c r="N97" s="111">
        <v>4</v>
      </c>
      <c r="O97" s="111">
        <v>1</v>
      </c>
      <c r="P97" s="111">
        <v>2</v>
      </c>
      <c r="Q97" s="111">
        <v>3</v>
      </c>
      <c r="R97" s="111">
        <v>4</v>
      </c>
      <c r="S97" s="111">
        <v>1</v>
      </c>
      <c r="T97" s="111">
        <v>2</v>
      </c>
      <c r="U97" s="111">
        <v>3</v>
      </c>
      <c r="V97" s="111">
        <v>4</v>
      </c>
      <c r="W97" s="111">
        <v>1</v>
      </c>
      <c r="X97" s="111">
        <v>2</v>
      </c>
      <c r="Y97" s="111">
        <v>3</v>
      </c>
      <c r="Z97" s="111">
        <v>4</v>
      </c>
      <c r="AA97" s="111">
        <v>1</v>
      </c>
      <c r="AB97" s="111">
        <v>2</v>
      </c>
      <c r="AC97" s="111">
        <v>3</v>
      </c>
      <c r="AD97" s="111">
        <v>4</v>
      </c>
      <c r="AE97" s="111">
        <v>1</v>
      </c>
      <c r="AF97" s="111">
        <v>2</v>
      </c>
      <c r="AG97" s="111">
        <v>3</v>
      </c>
      <c r="AH97" s="111">
        <v>4</v>
      </c>
      <c r="AI97" s="111">
        <v>1</v>
      </c>
      <c r="AJ97" s="111">
        <v>2</v>
      </c>
      <c r="AK97" s="111">
        <v>3</v>
      </c>
      <c r="AL97" s="111">
        <v>4</v>
      </c>
      <c r="AM97" s="111">
        <v>1</v>
      </c>
      <c r="AN97" s="111">
        <v>2</v>
      </c>
      <c r="AO97" s="111">
        <v>3</v>
      </c>
      <c r="AP97" s="111">
        <v>4</v>
      </c>
      <c r="AQ97" s="111">
        <v>1</v>
      </c>
      <c r="AR97" s="111">
        <v>2</v>
      </c>
      <c r="AS97" s="111">
        <v>3</v>
      </c>
      <c r="AT97" s="111">
        <v>4</v>
      </c>
      <c r="AU97" s="111">
        <v>1</v>
      </c>
      <c r="AV97" s="111">
        <v>2</v>
      </c>
      <c r="AW97" s="111">
        <v>3</v>
      </c>
      <c r="AX97" s="111">
        <v>4</v>
      </c>
    </row>
    <row r="98" spans="1:50" x14ac:dyDescent="0.2">
      <c r="A98" s="111" t="s">
        <v>104</v>
      </c>
      <c r="B98" s="111" t="s">
        <v>5</v>
      </c>
      <c r="C98" s="106">
        <v>27341.915544177133</v>
      </c>
      <c r="D98" s="106">
        <v>27341.915544177133</v>
      </c>
      <c r="E98" s="106">
        <v>27341.915544177133</v>
      </c>
      <c r="F98" s="106">
        <v>27341.915544177133</v>
      </c>
      <c r="G98" s="106">
        <v>24303.924928157448</v>
      </c>
      <c r="H98" s="106">
        <v>24303.924928157448</v>
      </c>
      <c r="I98" s="106">
        <v>24303.924928157448</v>
      </c>
      <c r="J98" s="106">
        <v>24303.924928157448</v>
      </c>
      <c r="K98" s="106">
        <v>24303.924928157448</v>
      </c>
      <c r="L98" s="106">
        <v>24303.924928157448</v>
      </c>
      <c r="M98" s="106">
        <v>24303.924928157448</v>
      </c>
      <c r="N98" s="106">
        <v>24303.924928157448</v>
      </c>
      <c r="O98" s="106">
        <v>27341.915544177133</v>
      </c>
      <c r="P98" s="106">
        <v>27341.915544177133</v>
      </c>
      <c r="Q98" s="106">
        <v>27341.915544177133</v>
      </c>
      <c r="R98" s="106">
        <v>27341.915544177133</v>
      </c>
      <c r="S98" s="106">
        <v>24303.924928157448</v>
      </c>
      <c r="T98" s="106">
        <v>24303.924928157448</v>
      </c>
      <c r="U98" s="106">
        <v>24303.924928157448</v>
      </c>
      <c r="V98" s="106">
        <v>24303.924928157448</v>
      </c>
      <c r="W98" s="106">
        <v>24303.924928157448</v>
      </c>
      <c r="X98" s="106">
        <v>24303.924928157448</v>
      </c>
      <c r="Y98" s="106">
        <v>24303.924928157448</v>
      </c>
      <c r="Z98" s="106">
        <v>24303.924928157448</v>
      </c>
      <c r="AA98" s="106">
        <v>27341.915544177133</v>
      </c>
      <c r="AB98" s="106">
        <v>27341.915544177133</v>
      </c>
      <c r="AC98" s="106">
        <v>27341.915544177133</v>
      </c>
      <c r="AD98" s="106">
        <v>27341.915544177133</v>
      </c>
      <c r="AE98" s="106">
        <v>24303.924928157448</v>
      </c>
      <c r="AF98" s="106">
        <v>24303.924928157448</v>
      </c>
      <c r="AG98" s="106">
        <v>24303.924928157448</v>
      </c>
      <c r="AH98" s="106">
        <v>24303.924928157448</v>
      </c>
      <c r="AI98" s="106">
        <v>24303.924928157448</v>
      </c>
      <c r="AJ98" s="106">
        <v>24303.924928157448</v>
      </c>
      <c r="AK98" s="106">
        <v>24303.924928157448</v>
      </c>
      <c r="AL98" s="106">
        <v>24303.924928157448</v>
      </c>
      <c r="AM98" s="106">
        <v>27341.915544177133</v>
      </c>
      <c r="AN98" s="106">
        <v>27341.915544177133</v>
      </c>
      <c r="AO98" s="106">
        <v>27341.915544177133</v>
      </c>
      <c r="AP98" s="106">
        <v>27341.915544177133</v>
      </c>
      <c r="AQ98" s="106">
        <v>24303.924928157448</v>
      </c>
      <c r="AR98" s="106">
        <v>24303.924928157448</v>
      </c>
      <c r="AS98" s="106">
        <v>24303.924928157448</v>
      </c>
      <c r="AT98" s="106">
        <v>24303.924928157448</v>
      </c>
      <c r="AU98" s="106">
        <v>24303.924928157448</v>
      </c>
      <c r="AV98" s="106">
        <v>24303.924928157448</v>
      </c>
      <c r="AW98" s="106">
        <v>24303.924928157448</v>
      </c>
      <c r="AX98" s="106">
        <v>24303.924928157448</v>
      </c>
    </row>
    <row r="99" spans="1:50" x14ac:dyDescent="0.2">
      <c r="B99" s="111" t="s">
        <v>10</v>
      </c>
      <c r="C99" s="106">
        <v>0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</row>
    <row r="100" spans="1:50" x14ac:dyDescent="0.2">
      <c r="B100" s="111" t="s">
        <v>12</v>
      </c>
      <c r="C100" s="106">
        <v>245079.35693784431</v>
      </c>
      <c r="D100" s="106">
        <v>245079.35693784431</v>
      </c>
      <c r="E100" s="106">
        <v>245079.35693784431</v>
      </c>
      <c r="F100" s="106">
        <v>245079.35693784431</v>
      </c>
      <c r="G100" s="106">
        <v>217848.31727808379</v>
      </c>
      <c r="H100" s="106">
        <v>217848.31727808379</v>
      </c>
      <c r="I100" s="106">
        <v>217848.31727808379</v>
      </c>
      <c r="J100" s="106">
        <v>217848.31727808379</v>
      </c>
      <c r="K100" s="106">
        <v>217848.31727808379</v>
      </c>
      <c r="L100" s="106">
        <v>217848.31727808379</v>
      </c>
      <c r="M100" s="106">
        <v>217848.31727808379</v>
      </c>
      <c r="N100" s="106">
        <v>217848.31727808379</v>
      </c>
      <c r="O100" s="106">
        <v>245079.35693784431</v>
      </c>
      <c r="P100" s="106">
        <v>245079.35693784431</v>
      </c>
      <c r="Q100" s="106">
        <v>245079.35693784431</v>
      </c>
      <c r="R100" s="106">
        <v>245079.35693784431</v>
      </c>
      <c r="S100" s="106">
        <v>217848.31727808379</v>
      </c>
      <c r="T100" s="106">
        <v>217848.31727808379</v>
      </c>
      <c r="U100" s="106">
        <v>217848.31727808379</v>
      </c>
      <c r="V100" s="106">
        <v>217848.31727808379</v>
      </c>
      <c r="W100" s="106">
        <v>217848.31727808379</v>
      </c>
      <c r="X100" s="106">
        <v>217848.31727808379</v>
      </c>
      <c r="Y100" s="106">
        <v>217848.31727808379</v>
      </c>
      <c r="Z100" s="106">
        <v>217848.31727808379</v>
      </c>
      <c r="AA100" s="106">
        <v>245079.35693784431</v>
      </c>
      <c r="AB100" s="106">
        <v>245079.35693784431</v>
      </c>
      <c r="AC100" s="106">
        <v>245079.35693784431</v>
      </c>
      <c r="AD100" s="106">
        <v>245079.35693784431</v>
      </c>
      <c r="AE100" s="106">
        <v>217848.31727808379</v>
      </c>
      <c r="AF100" s="106">
        <v>217848.31727808379</v>
      </c>
      <c r="AG100" s="106">
        <v>217848.31727808379</v>
      </c>
      <c r="AH100" s="106">
        <v>217848.31727808379</v>
      </c>
      <c r="AI100" s="106">
        <v>217848.31727808379</v>
      </c>
      <c r="AJ100" s="106">
        <v>217848.31727808379</v>
      </c>
      <c r="AK100" s="106">
        <v>217848.31727808379</v>
      </c>
      <c r="AL100" s="106">
        <v>217848.31727808379</v>
      </c>
      <c r="AM100" s="106">
        <v>245079.35693784431</v>
      </c>
      <c r="AN100" s="106">
        <v>245079.35693784431</v>
      </c>
      <c r="AO100" s="106">
        <v>245079.35693784431</v>
      </c>
      <c r="AP100" s="106">
        <v>245079.35693784431</v>
      </c>
      <c r="AQ100" s="106">
        <v>217848.31727808379</v>
      </c>
      <c r="AR100" s="106">
        <v>217848.31727808379</v>
      </c>
      <c r="AS100" s="106">
        <v>217848.31727808379</v>
      </c>
      <c r="AT100" s="106">
        <v>217848.31727808379</v>
      </c>
      <c r="AU100" s="106">
        <v>217848.31727808379</v>
      </c>
      <c r="AV100" s="106">
        <v>217848.31727808379</v>
      </c>
      <c r="AW100" s="106">
        <v>217848.31727808379</v>
      </c>
      <c r="AX100" s="106">
        <v>217848.31727808379</v>
      </c>
    </row>
    <row r="101" spans="1:50" x14ac:dyDescent="0.2">
      <c r="B101" s="111" t="s">
        <v>22</v>
      </c>
      <c r="C101" s="106">
        <v>633730.12560000003</v>
      </c>
      <c r="D101" s="106">
        <v>633730.12560000003</v>
      </c>
      <c r="E101" s="106">
        <v>633730.12560000003</v>
      </c>
      <c r="F101" s="106">
        <v>633730.12560000003</v>
      </c>
      <c r="G101" s="106">
        <v>563315.66719999991</v>
      </c>
      <c r="H101" s="106">
        <v>563315.66719999991</v>
      </c>
      <c r="I101" s="106">
        <v>563315.66719999991</v>
      </c>
      <c r="J101" s="106">
        <v>563315.66719999991</v>
      </c>
      <c r="K101" s="106">
        <v>563315.66719999991</v>
      </c>
      <c r="L101" s="106">
        <v>563315.66719999991</v>
      </c>
      <c r="M101" s="106">
        <v>563315.66719999991</v>
      </c>
      <c r="N101" s="106">
        <v>563315.66719999991</v>
      </c>
      <c r="O101" s="106">
        <v>633730.12560000003</v>
      </c>
      <c r="P101" s="106">
        <v>633730.12560000003</v>
      </c>
      <c r="Q101" s="106">
        <v>633730.12560000003</v>
      </c>
      <c r="R101" s="106">
        <v>633730.12560000003</v>
      </c>
      <c r="S101" s="106">
        <v>563315.66719999991</v>
      </c>
      <c r="T101" s="106">
        <v>563315.66719999991</v>
      </c>
      <c r="U101" s="106">
        <v>563315.66719999991</v>
      </c>
      <c r="V101" s="106">
        <v>563315.66719999991</v>
      </c>
      <c r="W101" s="106">
        <v>563315.66719999991</v>
      </c>
      <c r="X101" s="106">
        <v>563315.66719999991</v>
      </c>
      <c r="Y101" s="106">
        <v>563315.66719999991</v>
      </c>
      <c r="Z101" s="106">
        <v>563315.66719999991</v>
      </c>
      <c r="AA101" s="106">
        <v>633730.12560000003</v>
      </c>
      <c r="AB101" s="106">
        <v>633730.12560000003</v>
      </c>
      <c r="AC101" s="106">
        <v>633730.12560000003</v>
      </c>
      <c r="AD101" s="106">
        <v>633730.12560000003</v>
      </c>
      <c r="AE101" s="106">
        <v>563315.66719999991</v>
      </c>
      <c r="AF101" s="106">
        <v>563315.66719999991</v>
      </c>
      <c r="AG101" s="106">
        <v>563315.66719999991</v>
      </c>
      <c r="AH101" s="106">
        <v>563315.66719999991</v>
      </c>
      <c r="AI101" s="106">
        <v>563315.66719999991</v>
      </c>
      <c r="AJ101" s="106">
        <v>563315.66719999991</v>
      </c>
      <c r="AK101" s="106">
        <v>563315.66719999991</v>
      </c>
      <c r="AL101" s="106">
        <v>563315.66719999991</v>
      </c>
      <c r="AM101" s="106">
        <v>633730.12560000003</v>
      </c>
      <c r="AN101" s="106">
        <v>633730.12560000003</v>
      </c>
      <c r="AO101" s="106">
        <v>633730.12560000003</v>
      </c>
      <c r="AP101" s="106">
        <v>633730.12560000003</v>
      </c>
      <c r="AQ101" s="106">
        <v>563315.66719999991</v>
      </c>
      <c r="AR101" s="106">
        <v>563315.66719999991</v>
      </c>
      <c r="AS101" s="106">
        <v>563315.66719999991</v>
      </c>
      <c r="AT101" s="106">
        <v>563315.66719999991</v>
      </c>
      <c r="AU101" s="106">
        <v>563315.66719999991</v>
      </c>
      <c r="AV101" s="106">
        <v>563315.66719999991</v>
      </c>
      <c r="AW101" s="106">
        <v>563315.66719999991</v>
      </c>
      <c r="AX101" s="106">
        <v>563315.66719999991</v>
      </c>
    </row>
    <row r="102" spans="1:50" x14ac:dyDescent="0.2">
      <c r="B102" s="111" t="s">
        <v>59</v>
      </c>
      <c r="C102" s="106">
        <v>328360.79508561775</v>
      </c>
      <c r="D102" s="106">
        <v>328360.79508561775</v>
      </c>
      <c r="E102" s="106">
        <v>328360.79508561775</v>
      </c>
      <c r="F102" s="106">
        <v>328360.79508561775</v>
      </c>
      <c r="G102" s="106">
        <v>291876.26229832688</v>
      </c>
      <c r="H102" s="106">
        <v>291876.26229832688</v>
      </c>
      <c r="I102" s="106">
        <v>291876.26229832688</v>
      </c>
      <c r="J102" s="106">
        <v>291876.26229832688</v>
      </c>
      <c r="K102" s="106">
        <v>291876.26229832688</v>
      </c>
      <c r="L102" s="106">
        <v>291876.26229832688</v>
      </c>
      <c r="M102" s="106">
        <v>291876.26229832688</v>
      </c>
      <c r="N102" s="106">
        <v>291876.26229832688</v>
      </c>
      <c r="O102" s="106">
        <v>328360.79508561775</v>
      </c>
      <c r="P102" s="106">
        <v>328360.79508561775</v>
      </c>
      <c r="Q102" s="106">
        <v>328360.79508561775</v>
      </c>
      <c r="R102" s="106">
        <v>328360.79508561775</v>
      </c>
      <c r="S102" s="106">
        <v>291876.26229832688</v>
      </c>
      <c r="T102" s="106">
        <v>291876.26229832688</v>
      </c>
      <c r="U102" s="106">
        <v>291876.26229832688</v>
      </c>
      <c r="V102" s="106">
        <v>291876.26229832688</v>
      </c>
      <c r="W102" s="106">
        <v>291876.26229832688</v>
      </c>
      <c r="X102" s="106">
        <v>291876.26229832688</v>
      </c>
      <c r="Y102" s="106">
        <v>291876.26229832688</v>
      </c>
      <c r="Z102" s="106">
        <v>291876.26229832688</v>
      </c>
      <c r="AA102" s="106">
        <v>328360.79508561775</v>
      </c>
      <c r="AB102" s="106">
        <v>328360.79508561775</v>
      </c>
      <c r="AC102" s="106">
        <v>328360.79508561775</v>
      </c>
      <c r="AD102" s="106">
        <v>328360.79508561775</v>
      </c>
      <c r="AE102" s="106">
        <v>291876.26229832688</v>
      </c>
      <c r="AF102" s="106">
        <v>291876.26229832688</v>
      </c>
      <c r="AG102" s="106">
        <v>291876.26229832688</v>
      </c>
      <c r="AH102" s="106">
        <v>291876.26229832688</v>
      </c>
      <c r="AI102" s="106">
        <v>291876.26229832688</v>
      </c>
      <c r="AJ102" s="106">
        <v>291876.26229832688</v>
      </c>
      <c r="AK102" s="106">
        <v>291876.26229832688</v>
      </c>
      <c r="AL102" s="106">
        <v>291876.26229832688</v>
      </c>
      <c r="AM102" s="106">
        <v>328360.79508561775</v>
      </c>
      <c r="AN102" s="106">
        <v>328360.79508561775</v>
      </c>
      <c r="AO102" s="106">
        <v>328360.79508561775</v>
      </c>
      <c r="AP102" s="106">
        <v>328360.79508561775</v>
      </c>
      <c r="AQ102" s="106">
        <v>291876.26229832688</v>
      </c>
      <c r="AR102" s="106">
        <v>291876.26229832688</v>
      </c>
      <c r="AS102" s="106">
        <v>291876.26229832688</v>
      </c>
      <c r="AT102" s="106">
        <v>291876.26229832688</v>
      </c>
      <c r="AU102" s="106">
        <v>291876.26229832688</v>
      </c>
      <c r="AV102" s="106">
        <v>291876.26229832688</v>
      </c>
      <c r="AW102" s="106">
        <v>291876.26229832688</v>
      </c>
      <c r="AX102" s="106">
        <v>291876.26229832688</v>
      </c>
    </row>
    <row r="103" spans="1:50" x14ac:dyDescent="0.2">
      <c r="B103" s="106" t="s">
        <v>277</v>
      </c>
      <c r="C103" s="111">
        <f>SUM(C$98:C$102)</f>
        <v>1234512.1931676392</v>
      </c>
      <c r="D103" s="111">
        <f t="shared" ref="D103:AX103" si="5">SUM(D$98:D$102)</f>
        <v>1234512.1931676392</v>
      </c>
      <c r="E103" s="111">
        <f t="shared" si="5"/>
        <v>1234512.1931676392</v>
      </c>
      <c r="F103" s="111">
        <f t="shared" si="5"/>
        <v>1234512.1931676392</v>
      </c>
      <c r="G103" s="111">
        <f t="shared" si="5"/>
        <v>1097344.171704568</v>
      </c>
      <c r="H103" s="111">
        <f t="shared" si="5"/>
        <v>1097344.171704568</v>
      </c>
      <c r="I103" s="111">
        <f t="shared" si="5"/>
        <v>1097344.171704568</v>
      </c>
      <c r="J103" s="111">
        <f t="shared" si="5"/>
        <v>1097344.171704568</v>
      </c>
      <c r="K103" s="111">
        <f t="shared" si="5"/>
        <v>1097344.171704568</v>
      </c>
      <c r="L103" s="111">
        <f t="shared" si="5"/>
        <v>1097344.171704568</v>
      </c>
      <c r="M103" s="111">
        <f t="shared" si="5"/>
        <v>1097344.171704568</v>
      </c>
      <c r="N103" s="111">
        <f t="shared" si="5"/>
        <v>1097344.171704568</v>
      </c>
      <c r="O103" s="111">
        <f t="shared" si="5"/>
        <v>1234512.1931676392</v>
      </c>
      <c r="P103" s="111">
        <f t="shared" si="5"/>
        <v>1234512.1931676392</v>
      </c>
      <c r="Q103" s="111">
        <f t="shared" si="5"/>
        <v>1234512.1931676392</v>
      </c>
      <c r="R103" s="111">
        <f t="shared" si="5"/>
        <v>1234512.1931676392</v>
      </c>
      <c r="S103" s="111">
        <f t="shared" si="5"/>
        <v>1097344.171704568</v>
      </c>
      <c r="T103" s="111">
        <f t="shared" si="5"/>
        <v>1097344.171704568</v>
      </c>
      <c r="U103" s="111">
        <f t="shared" si="5"/>
        <v>1097344.171704568</v>
      </c>
      <c r="V103" s="111">
        <f t="shared" si="5"/>
        <v>1097344.171704568</v>
      </c>
      <c r="W103" s="111">
        <f t="shared" si="5"/>
        <v>1097344.171704568</v>
      </c>
      <c r="X103" s="111">
        <f t="shared" si="5"/>
        <v>1097344.171704568</v>
      </c>
      <c r="Y103" s="111">
        <f t="shared" si="5"/>
        <v>1097344.171704568</v>
      </c>
      <c r="Z103" s="111">
        <f t="shared" si="5"/>
        <v>1097344.171704568</v>
      </c>
      <c r="AA103" s="111">
        <f t="shared" si="5"/>
        <v>1234512.1931676392</v>
      </c>
      <c r="AB103" s="111">
        <f t="shared" si="5"/>
        <v>1234512.1931676392</v>
      </c>
      <c r="AC103" s="111">
        <f t="shared" si="5"/>
        <v>1234512.1931676392</v>
      </c>
      <c r="AD103" s="111">
        <f t="shared" si="5"/>
        <v>1234512.1931676392</v>
      </c>
      <c r="AE103" s="111">
        <f t="shared" si="5"/>
        <v>1097344.171704568</v>
      </c>
      <c r="AF103" s="111">
        <f t="shared" si="5"/>
        <v>1097344.171704568</v>
      </c>
      <c r="AG103" s="111">
        <f t="shared" si="5"/>
        <v>1097344.171704568</v>
      </c>
      <c r="AH103" s="111">
        <f t="shared" si="5"/>
        <v>1097344.171704568</v>
      </c>
      <c r="AI103" s="111">
        <f t="shared" si="5"/>
        <v>1097344.171704568</v>
      </c>
      <c r="AJ103" s="111">
        <f t="shared" si="5"/>
        <v>1097344.171704568</v>
      </c>
      <c r="AK103" s="111">
        <f t="shared" si="5"/>
        <v>1097344.171704568</v>
      </c>
      <c r="AL103" s="111">
        <f t="shared" si="5"/>
        <v>1097344.171704568</v>
      </c>
      <c r="AM103" s="111">
        <f t="shared" si="5"/>
        <v>1234512.1931676392</v>
      </c>
      <c r="AN103" s="111">
        <f t="shared" si="5"/>
        <v>1234512.1931676392</v>
      </c>
      <c r="AO103" s="111">
        <f t="shared" si="5"/>
        <v>1234512.1931676392</v>
      </c>
      <c r="AP103" s="111">
        <f t="shared" si="5"/>
        <v>1234512.1931676392</v>
      </c>
      <c r="AQ103" s="111">
        <f t="shared" si="5"/>
        <v>1097344.171704568</v>
      </c>
      <c r="AR103" s="111">
        <f t="shared" si="5"/>
        <v>1097344.171704568</v>
      </c>
      <c r="AS103" s="111">
        <f t="shared" si="5"/>
        <v>1097344.171704568</v>
      </c>
      <c r="AT103" s="111">
        <f t="shared" si="5"/>
        <v>1097344.171704568</v>
      </c>
      <c r="AU103" s="111">
        <f t="shared" si="5"/>
        <v>1097344.171704568</v>
      </c>
      <c r="AV103" s="111">
        <f t="shared" si="5"/>
        <v>1097344.171704568</v>
      </c>
      <c r="AW103" s="111">
        <f t="shared" si="5"/>
        <v>1097344.171704568</v>
      </c>
      <c r="AX103" s="111">
        <f t="shared" si="5"/>
        <v>1097344.171704568</v>
      </c>
    </row>
    <row r="104" spans="1:50" x14ac:dyDescent="0.2">
      <c r="A104" s="111" t="s">
        <v>105</v>
      </c>
      <c r="B104" s="111" t="s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</row>
    <row r="105" spans="1:50" x14ac:dyDescent="0.2">
      <c r="B105" s="111" t="s">
        <v>10</v>
      </c>
      <c r="C105" s="106">
        <v>72412.357484990862</v>
      </c>
      <c r="D105" s="106">
        <v>72412.357484990862</v>
      </c>
      <c r="E105" s="106">
        <v>72412.357484990862</v>
      </c>
      <c r="F105" s="106">
        <v>72412.357484990862</v>
      </c>
      <c r="G105" s="106">
        <v>72412.357484990862</v>
      </c>
      <c r="H105" s="106">
        <v>72412.357484990862</v>
      </c>
      <c r="I105" s="106">
        <v>72412.357484990862</v>
      </c>
      <c r="J105" s="106">
        <v>72412.357484990862</v>
      </c>
      <c r="K105" s="106">
        <v>72412.357484990862</v>
      </c>
      <c r="L105" s="106">
        <v>72412.357484990862</v>
      </c>
      <c r="M105" s="106">
        <v>72412.357484990862</v>
      </c>
      <c r="N105" s="106">
        <v>72412.357484990862</v>
      </c>
      <c r="O105" s="106">
        <v>72412.357484990862</v>
      </c>
      <c r="P105" s="106">
        <v>72412.357484990862</v>
      </c>
      <c r="Q105" s="106">
        <v>72412.357484990862</v>
      </c>
      <c r="R105" s="106">
        <v>72412.357484990862</v>
      </c>
      <c r="S105" s="106">
        <v>35167.193095532995</v>
      </c>
      <c r="T105" s="106">
        <v>35240.30427571074</v>
      </c>
      <c r="U105" s="106">
        <v>35313.228984288595</v>
      </c>
      <c r="V105" s="106">
        <v>72412.357484990862</v>
      </c>
      <c r="W105" s="106">
        <v>72412.357484990862</v>
      </c>
      <c r="X105" s="106">
        <v>72412.357484990862</v>
      </c>
      <c r="Y105" s="106">
        <v>72412.357484990862</v>
      </c>
      <c r="Z105" s="106">
        <v>72412.357484990862</v>
      </c>
      <c r="AA105" s="106">
        <v>72412.357484990862</v>
      </c>
      <c r="AB105" s="106">
        <v>72412.357484990862</v>
      </c>
      <c r="AC105" s="106">
        <v>72412.357484990862</v>
      </c>
      <c r="AD105" s="106">
        <v>72412.357484990862</v>
      </c>
      <c r="AE105" s="106">
        <v>36029.649652052496</v>
      </c>
      <c r="AF105" s="106">
        <v>72412.357484990862</v>
      </c>
      <c r="AG105" s="106">
        <v>72412.357484990862</v>
      </c>
      <c r="AH105" s="106">
        <v>72412.357484990862</v>
      </c>
      <c r="AI105" s="106">
        <v>72412.357484990862</v>
      </c>
      <c r="AJ105" s="106">
        <v>72412.357484990862</v>
      </c>
      <c r="AK105" s="106">
        <v>72412.357484990862</v>
      </c>
      <c r="AL105" s="106">
        <v>72412.357484990862</v>
      </c>
      <c r="AM105" s="106">
        <v>72412.357484990862</v>
      </c>
      <c r="AN105" s="106">
        <v>72412.357484990862</v>
      </c>
      <c r="AO105" s="106">
        <v>72412.357484990862</v>
      </c>
      <c r="AP105" s="106">
        <v>72412.357484990862</v>
      </c>
      <c r="AQ105" s="106">
        <v>72412.357484990862</v>
      </c>
      <c r="AR105" s="106">
        <v>72412.357484990862</v>
      </c>
      <c r="AS105" s="106">
        <v>72412.357484990862</v>
      </c>
      <c r="AT105" s="106">
        <v>72412.357484990862</v>
      </c>
      <c r="AU105" s="106">
        <v>72412.357484990862</v>
      </c>
      <c r="AV105" s="106">
        <v>72412.357484990862</v>
      </c>
      <c r="AW105" s="106">
        <v>72412.357484990862</v>
      </c>
      <c r="AX105" s="106">
        <v>72412.357484990862</v>
      </c>
    </row>
    <row r="106" spans="1:50" x14ac:dyDescent="0.2">
      <c r="B106" s="111" t="s">
        <v>12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</row>
    <row r="107" spans="1:50" x14ac:dyDescent="0.2">
      <c r="B107" s="111" t="s">
        <v>22</v>
      </c>
      <c r="C107" s="106">
        <v>57426.278346636958</v>
      </c>
      <c r="D107" s="106">
        <v>57426.278346636958</v>
      </c>
      <c r="E107" s="106">
        <v>57426.278346636958</v>
      </c>
      <c r="F107" s="106">
        <v>57426.278346636958</v>
      </c>
      <c r="G107" s="106">
        <v>57426.278346636958</v>
      </c>
      <c r="H107" s="106">
        <v>57426.278346636958</v>
      </c>
      <c r="I107" s="106">
        <v>57426.278346636958</v>
      </c>
      <c r="J107" s="106">
        <v>57426.278346636958</v>
      </c>
      <c r="K107" s="106">
        <v>57426.278346636958</v>
      </c>
      <c r="L107" s="106">
        <v>57426.278346636958</v>
      </c>
      <c r="M107" s="106">
        <v>57426.278346636958</v>
      </c>
      <c r="N107" s="106">
        <v>57426.278346636958</v>
      </c>
      <c r="O107" s="106">
        <v>57426.278346636958</v>
      </c>
      <c r="P107" s="106">
        <v>57426.278346636958</v>
      </c>
      <c r="Q107" s="106">
        <v>57426.278346636958</v>
      </c>
      <c r="R107" s="106">
        <v>57426.278346636958</v>
      </c>
      <c r="S107" s="106">
        <v>27889.17650958402</v>
      </c>
      <c r="T107" s="106">
        <v>27947.156985968981</v>
      </c>
      <c r="U107" s="106">
        <v>28004.989581931728</v>
      </c>
      <c r="V107" s="106">
        <v>57426.278346636958</v>
      </c>
      <c r="W107" s="106">
        <v>57426.278346636958</v>
      </c>
      <c r="X107" s="106">
        <v>57426.278346636958</v>
      </c>
      <c r="Y107" s="106">
        <v>57426.278346636958</v>
      </c>
      <c r="Z107" s="106">
        <v>57426.278346636958</v>
      </c>
      <c r="AA107" s="106">
        <v>57426.278346636958</v>
      </c>
      <c r="AB107" s="106">
        <v>57426.278346636958</v>
      </c>
      <c r="AC107" s="106">
        <v>57426.278346636958</v>
      </c>
      <c r="AD107" s="106">
        <v>57426.278346636958</v>
      </c>
      <c r="AE107" s="106">
        <v>28573.143611288124</v>
      </c>
      <c r="AF107" s="106">
        <v>57426.278346636958</v>
      </c>
      <c r="AG107" s="106">
        <v>57426.278346636958</v>
      </c>
      <c r="AH107" s="106">
        <v>57426.278346636958</v>
      </c>
      <c r="AI107" s="106">
        <v>57426.278346636958</v>
      </c>
      <c r="AJ107" s="106">
        <v>57426.278346636958</v>
      </c>
      <c r="AK107" s="106">
        <v>57426.278346636958</v>
      </c>
      <c r="AL107" s="106">
        <v>57426.278346636958</v>
      </c>
      <c r="AM107" s="106">
        <v>57426.278346636958</v>
      </c>
      <c r="AN107" s="106">
        <v>57426.278346636958</v>
      </c>
      <c r="AO107" s="106">
        <v>57426.278346636958</v>
      </c>
      <c r="AP107" s="106">
        <v>57426.278346636958</v>
      </c>
      <c r="AQ107" s="106">
        <v>57426.278346636958</v>
      </c>
      <c r="AR107" s="106">
        <v>57426.278346636958</v>
      </c>
      <c r="AS107" s="106">
        <v>57426.278346636958</v>
      </c>
      <c r="AT107" s="106">
        <v>57426.278346636958</v>
      </c>
      <c r="AU107" s="106">
        <v>57426.278346636958</v>
      </c>
      <c r="AV107" s="106">
        <v>57426.278346636958</v>
      </c>
      <c r="AW107" s="106">
        <v>57426.278346636958</v>
      </c>
      <c r="AX107" s="106">
        <v>57426.278346636958</v>
      </c>
    </row>
    <row r="108" spans="1:50" x14ac:dyDescent="0.2">
      <c r="B108" s="111" t="s">
        <v>59</v>
      </c>
      <c r="C108" s="106">
        <v>1231990.4634140832</v>
      </c>
      <c r="D108" s="106">
        <v>1231990.4634140832</v>
      </c>
      <c r="E108" s="106">
        <v>1231990.4634140832</v>
      </c>
      <c r="F108" s="106">
        <v>1231990.4634140832</v>
      </c>
      <c r="G108" s="106">
        <v>1231990.4634140832</v>
      </c>
      <c r="H108" s="106">
        <v>1231990.4634140832</v>
      </c>
      <c r="I108" s="106">
        <v>1231990.4634140832</v>
      </c>
      <c r="J108" s="106">
        <v>1231990.4634140832</v>
      </c>
      <c r="K108" s="106">
        <v>1231990.4634140832</v>
      </c>
      <c r="L108" s="106">
        <v>1231990.4634140832</v>
      </c>
      <c r="M108" s="106">
        <v>1231990.4634140832</v>
      </c>
      <c r="N108" s="106">
        <v>1231990.4634140832</v>
      </c>
      <c r="O108" s="106">
        <v>1231990.4634140832</v>
      </c>
      <c r="P108" s="106">
        <v>1231990.4634140832</v>
      </c>
      <c r="Q108" s="106">
        <v>1231990.4634140832</v>
      </c>
      <c r="R108" s="106">
        <v>1231990.4634140832</v>
      </c>
      <c r="S108" s="106">
        <v>598318.40894999867</v>
      </c>
      <c r="T108" s="106">
        <v>599562.28886050417</v>
      </c>
      <c r="U108" s="106">
        <v>600802.99622918491</v>
      </c>
      <c r="V108" s="106">
        <v>1231990.4634140832</v>
      </c>
      <c r="W108" s="106">
        <v>1231990.4634140832</v>
      </c>
      <c r="X108" s="106">
        <v>1231990.4634140832</v>
      </c>
      <c r="Y108" s="106">
        <v>1231990.4634140832</v>
      </c>
      <c r="Z108" s="106">
        <v>1231990.4634140832</v>
      </c>
      <c r="AA108" s="106">
        <v>1231990.4634140832</v>
      </c>
      <c r="AB108" s="106">
        <v>1231990.4634140832</v>
      </c>
      <c r="AC108" s="106">
        <v>1231990.4634140832</v>
      </c>
      <c r="AD108" s="106">
        <v>1231990.4634140832</v>
      </c>
      <c r="AE108" s="106">
        <v>612991.84715370857</v>
      </c>
      <c r="AF108" s="106">
        <v>1231990.4634140832</v>
      </c>
      <c r="AG108" s="106">
        <v>1231990.4634140832</v>
      </c>
      <c r="AH108" s="106">
        <v>1231990.4634140832</v>
      </c>
      <c r="AI108" s="106">
        <v>1231990.4634140832</v>
      </c>
      <c r="AJ108" s="106">
        <v>1231990.4634140832</v>
      </c>
      <c r="AK108" s="106">
        <v>1231990.4634140832</v>
      </c>
      <c r="AL108" s="106">
        <v>1231990.4634140832</v>
      </c>
      <c r="AM108" s="106">
        <v>1231990.4634140832</v>
      </c>
      <c r="AN108" s="106">
        <v>1231990.4634140832</v>
      </c>
      <c r="AO108" s="106">
        <v>1231990.4634140832</v>
      </c>
      <c r="AP108" s="106">
        <v>1231990.4634140832</v>
      </c>
      <c r="AQ108" s="106">
        <v>1231990.4634140832</v>
      </c>
      <c r="AR108" s="106">
        <v>1231990.4634140832</v>
      </c>
      <c r="AS108" s="106">
        <v>1231990.4634140832</v>
      </c>
      <c r="AT108" s="106">
        <v>1231990.4634140832</v>
      </c>
      <c r="AU108" s="106">
        <v>1231990.4634140832</v>
      </c>
      <c r="AV108" s="106">
        <v>1231990.4634140832</v>
      </c>
      <c r="AW108" s="106">
        <v>1231990.4634140832</v>
      </c>
      <c r="AX108" s="106">
        <v>1231990.4634140832</v>
      </c>
    </row>
    <row r="109" spans="1:50" x14ac:dyDescent="0.2">
      <c r="B109" s="107" t="s">
        <v>277</v>
      </c>
      <c r="C109" s="111">
        <f>SUM(C$104:C$108)</f>
        <v>1361829.099245711</v>
      </c>
      <c r="D109" s="111">
        <f t="shared" ref="D109:AX109" si="6">SUM(D$104:D$108)</f>
        <v>1361829.099245711</v>
      </c>
      <c r="E109" s="111">
        <f t="shared" si="6"/>
        <v>1361829.099245711</v>
      </c>
      <c r="F109" s="111">
        <f t="shared" si="6"/>
        <v>1361829.099245711</v>
      </c>
      <c r="G109" s="111">
        <f t="shared" si="6"/>
        <v>1361829.099245711</v>
      </c>
      <c r="H109" s="111">
        <f t="shared" si="6"/>
        <v>1361829.099245711</v>
      </c>
      <c r="I109" s="111">
        <f t="shared" si="6"/>
        <v>1361829.099245711</v>
      </c>
      <c r="J109" s="111">
        <f t="shared" si="6"/>
        <v>1361829.099245711</v>
      </c>
      <c r="K109" s="111">
        <f t="shared" si="6"/>
        <v>1361829.099245711</v>
      </c>
      <c r="L109" s="111">
        <f t="shared" si="6"/>
        <v>1361829.099245711</v>
      </c>
      <c r="M109" s="111">
        <f t="shared" si="6"/>
        <v>1361829.099245711</v>
      </c>
      <c r="N109" s="111">
        <f t="shared" si="6"/>
        <v>1361829.099245711</v>
      </c>
      <c r="O109" s="111">
        <f t="shared" si="6"/>
        <v>1361829.099245711</v>
      </c>
      <c r="P109" s="111">
        <f t="shared" si="6"/>
        <v>1361829.099245711</v>
      </c>
      <c r="Q109" s="111">
        <f t="shared" si="6"/>
        <v>1361829.099245711</v>
      </c>
      <c r="R109" s="111">
        <f t="shared" si="6"/>
        <v>1361829.099245711</v>
      </c>
      <c r="S109" s="111">
        <f t="shared" si="6"/>
        <v>661374.77855511568</v>
      </c>
      <c r="T109" s="111">
        <f t="shared" si="6"/>
        <v>662749.75012218393</v>
      </c>
      <c r="U109" s="111">
        <f t="shared" si="6"/>
        <v>664121.21479540528</v>
      </c>
      <c r="V109" s="111">
        <f t="shared" si="6"/>
        <v>1361829.099245711</v>
      </c>
      <c r="W109" s="111">
        <f t="shared" si="6"/>
        <v>1361829.099245711</v>
      </c>
      <c r="X109" s="111">
        <f t="shared" si="6"/>
        <v>1361829.099245711</v>
      </c>
      <c r="Y109" s="111">
        <f t="shared" si="6"/>
        <v>1361829.099245711</v>
      </c>
      <c r="Z109" s="111">
        <f t="shared" si="6"/>
        <v>1361829.099245711</v>
      </c>
      <c r="AA109" s="111">
        <f t="shared" si="6"/>
        <v>1361829.099245711</v>
      </c>
      <c r="AB109" s="111">
        <f t="shared" si="6"/>
        <v>1361829.099245711</v>
      </c>
      <c r="AC109" s="111">
        <f t="shared" si="6"/>
        <v>1361829.099245711</v>
      </c>
      <c r="AD109" s="111">
        <f t="shared" si="6"/>
        <v>1361829.099245711</v>
      </c>
      <c r="AE109" s="111">
        <f t="shared" si="6"/>
        <v>677594.64041704917</v>
      </c>
      <c r="AF109" s="111">
        <f t="shared" si="6"/>
        <v>1361829.099245711</v>
      </c>
      <c r="AG109" s="111">
        <f t="shared" si="6"/>
        <v>1361829.099245711</v>
      </c>
      <c r="AH109" s="111">
        <f t="shared" si="6"/>
        <v>1361829.099245711</v>
      </c>
      <c r="AI109" s="111">
        <f t="shared" si="6"/>
        <v>1361829.099245711</v>
      </c>
      <c r="AJ109" s="111">
        <f t="shared" si="6"/>
        <v>1361829.099245711</v>
      </c>
      <c r="AK109" s="111">
        <f t="shared" si="6"/>
        <v>1361829.099245711</v>
      </c>
      <c r="AL109" s="111">
        <f t="shared" si="6"/>
        <v>1361829.099245711</v>
      </c>
      <c r="AM109" s="111">
        <f t="shared" si="6"/>
        <v>1361829.099245711</v>
      </c>
      <c r="AN109" s="111">
        <f t="shared" si="6"/>
        <v>1361829.099245711</v>
      </c>
      <c r="AO109" s="111">
        <f t="shared" si="6"/>
        <v>1361829.099245711</v>
      </c>
      <c r="AP109" s="111">
        <f t="shared" si="6"/>
        <v>1361829.099245711</v>
      </c>
      <c r="AQ109" s="111">
        <f t="shared" si="6"/>
        <v>1361829.099245711</v>
      </c>
      <c r="AR109" s="111">
        <f t="shared" si="6"/>
        <v>1361829.099245711</v>
      </c>
      <c r="AS109" s="111">
        <f t="shared" si="6"/>
        <v>1361829.099245711</v>
      </c>
      <c r="AT109" s="111">
        <f t="shared" si="6"/>
        <v>1361829.099245711</v>
      </c>
      <c r="AU109" s="111">
        <f t="shared" si="6"/>
        <v>1361829.099245711</v>
      </c>
      <c r="AV109" s="111">
        <f t="shared" si="6"/>
        <v>1361829.099245711</v>
      </c>
      <c r="AW109" s="111">
        <f t="shared" si="6"/>
        <v>1361829.099245711</v>
      </c>
      <c r="AX109" s="111">
        <f t="shared" si="6"/>
        <v>1361829.099245711</v>
      </c>
    </row>
    <row r="110" spans="1:50" x14ac:dyDescent="0.2">
      <c r="A110" s="111" t="s">
        <v>106</v>
      </c>
      <c r="B110" s="111" t="s">
        <v>5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</row>
    <row r="111" spans="1:50" x14ac:dyDescent="0.2">
      <c r="B111" s="111" t="s">
        <v>10</v>
      </c>
      <c r="C111" s="106">
        <v>104911.02748708996</v>
      </c>
      <c r="D111" s="106">
        <v>104911.02748708996</v>
      </c>
      <c r="E111" s="106">
        <v>104911.02748708996</v>
      </c>
      <c r="F111" s="106">
        <v>104911.02748708996</v>
      </c>
      <c r="G111" s="106">
        <v>104911.02748708996</v>
      </c>
      <c r="H111" s="106">
        <v>104911.02748708996</v>
      </c>
      <c r="I111" s="106">
        <v>104911.02748708996</v>
      </c>
      <c r="J111" s="106">
        <v>104911.02748708996</v>
      </c>
      <c r="K111" s="106">
        <v>104911.02748708996</v>
      </c>
      <c r="L111" s="106">
        <v>104911.02748708996</v>
      </c>
      <c r="M111" s="106">
        <v>104911.02748708996</v>
      </c>
      <c r="N111" s="106">
        <v>104911.02748708996</v>
      </c>
      <c r="O111" s="106">
        <v>104911.02748708996</v>
      </c>
      <c r="P111" s="106">
        <v>104911.02748708996</v>
      </c>
      <c r="Q111" s="106">
        <v>104911.02748708996</v>
      </c>
      <c r="R111" s="106">
        <v>104911.02748708996</v>
      </c>
      <c r="S111" s="106">
        <v>104911.02748708996</v>
      </c>
      <c r="T111" s="106">
        <v>104911.02748708996</v>
      </c>
      <c r="U111" s="106">
        <v>104911.02748708996</v>
      </c>
      <c r="V111" s="106">
        <v>104911.02748708996</v>
      </c>
      <c r="W111" s="106">
        <v>104911.02748708996</v>
      </c>
      <c r="X111" s="106">
        <v>104911.02748708996</v>
      </c>
      <c r="Y111" s="106">
        <v>104911.02748708996</v>
      </c>
      <c r="Z111" s="106">
        <v>104911.02748708996</v>
      </c>
      <c r="AA111" s="106">
        <v>104911.02748708996</v>
      </c>
      <c r="AB111" s="106">
        <v>104911.02748708996</v>
      </c>
      <c r="AC111" s="106">
        <v>75074.275031557336</v>
      </c>
      <c r="AD111" s="106">
        <v>104911.02748708996</v>
      </c>
      <c r="AE111" s="106">
        <v>104911.02748708996</v>
      </c>
      <c r="AF111" s="106">
        <v>104911.02748708996</v>
      </c>
      <c r="AG111" s="106">
        <v>104911.02748708996</v>
      </c>
      <c r="AH111" s="106">
        <v>104911.02748708996</v>
      </c>
      <c r="AI111" s="106">
        <v>104911.02748708996</v>
      </c>
      <c r="AJ111" s="106">
        <v>104911.02748708996</v>
      </c>
      <c r="AK111" s="106">
        <v>104911.02748708996</v>
      </c>
      <c r="AL111" s="106">
        <v>104911.02748708996</v>
      </c>
      <c r="AM111" s="106">
        <v>104911.02748708996</v>
      </c>
      <c r="AN111" s="106">
        <v>104911.02748708996</v>
      </c>
      <c r="AO111" s="106">
        <v>104911.02748708996</v>
      </c>
      <c r="AP111" s="106">
        <v>104911.02748708996</v>
      </c>
      <c r="AQ111" s="106">
        <v>104911.02748708996</v>
      </c>
      <c r="AR111" s="106">
        <v>104911.02748708996</v>
      </c>
      <c r="AS111" s="106">
        <v>104911.02748708996</v>
      </c>
      <c r="AT111" s="106">
        <v>104911.02748708996</v>
      </c>
      <c r="AU111" s="106">
        <v>104911.02748708996</v>
      </c>
      <c r="AV111" s="106">
        <v>104911.02748708996</v>
      </c>
      <c r="AW111" s="106">
        <v>104911.02748708996</v>
      </c>
      <c r="AX111" s="106">
        <v>104911.02748708996</v>
      </c>
    </row>
    <row r="112" spans="1:50" x14ac:dyDescent="0.2">
      <c r="B112" s="111" t="s">
        <v>12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</row>
    <row r="113" spans="1:50" x14ac:dyDescent="0.2">
      <c r="B113" s="111" t="s">
        <v>22</v>
      </c>
      <c r="C113" s="106">
        <v>25629.323466382564</v>
      </c>
      <c r="D113" s="106">
        <v>25629.323466382564</v>
      </c>
      <c r="E113" s="106">
        <v>25629.323466382564</v>
      </c>
      <c r="F113" s="106">
        <v>25629.323466382564</v>
      </c>
      <c r="G113" s="106">
        <v>25629.323466382564</v>
      </c>
      <c r="H113" s="106">
        <v>25629.323466382564</v>
      </c>
      <c r="I113" s="106">
        <v>25629.323466382564</v>
      </c>
      <c r="J113" s="106">
        <v>25629.323466382564</v>
      </c>
      <c r="K113" s="106">
        <v>25629.323466382564</v>
      </c>
      <c r="L113" s="106">
        <v>25629.323466382564</v>
      </c>
      <c r="M113" s="106">
        <v>25629.323466382564</v>
      </c>
      <c r="N113" s="106">
        <v>25629.323466382564</v>
      </c>
      <c r="O113" s="106">
        <v>25629.323466382564</v>
      </c>
      <c r="P113" s="106">
        <v>25629.323466382564</v>
      </c>
      <c r="Q113" s="106">
        <v>25629.323466382564</v>
      </c>
      <c r="R113" s="106">
        <v>25629.323466382564</v>
      </c>
      <c r="S113" s="106">
        <v>25629.323466382564</v>
      </c>
      <c r="T113" s="106">
        <v>25629.323466382564</v>
      </c>
      <c r="U113" s="106">
        <v>25629.323466382564</v>
      </c>
      <c r="V113" s="106">
        <v>25629.323466382564</v>
      </c>
      <c r="W113" s="106">
        <v>25629.323466382564</v>
      </c>
      <c r="X113" s="106">
        <v>25629.323466382564</v>
      </c>
      <c r="Y113" s="106">
        <v>25629.323466382564</v>
      </c>
      <c r="Z113" s="106">
        <v>25629.323466382564</v>
      </c>
      <c r="AA113" s="106">
        <v>25629.323466382564</v>
      </c>
      <c r="AB113" s="106">
        <v>25629.323466382564</v>
      </c>
      <c r="AC113" s="106">
        <v>18340.330133786229</v>
      </c>
      <c r="AD113" s="106">
        <v>25629.323466382564</v>
      </c>
      <c r="AE113" s="106">
        <v>25629.323466382564</v>
      </c>
      <c r="AF113" s="106">
        <v>25629.323466382564</v>
      </c>
      <c r="AG113" s="106">
        <v>25629.323466382564</v>
      </c>
      <c r="AH113" s="106">
        <v>25629.323466382564</v>
      </c>
      <c r="AI113" s="106">
        <v>25629.323466382564</v>
      </c>
      <c r="AJ113" s="106">
        <v>25629.323466382564</v>
      </c>
      <c r="AK113" s="106">
        <v>25629.323466382564</v>
      </c>
      <c r="AL113" s="106">
        <v>25629.323466382564</v>
      </c>
      <c r="AM113" s="106">
        <v>25629.323466382564</v>
      </c>
      <c r="AN113" s="106">
        <v>25629.323466382564</v>
      </c>
      <c r="AO113" s="106">
        <v>25629.323466382564</v>
      </c>
      <c r="AP113" s="106">
        <v>25629.323466382564</v>
      </c>
      <c r="AQ113" s="106">
        <v>25629.323466382564</v>
      </c>
      <c r="AR113" s="106">
        <v>25629.323466382564</v>
      </c>
      <c r="AS113" s="106">
        <v>25629.323466382564</v>
      </c>
      <c r="AT113" s="106">
        <v>25629.323466382564</v>
      </c>
      <c r="AU113" s="106">
        <v>25629.323466382564</v>
      </c>
      <c r="AV113" s="106">
        <v>25629.323466382564</v>
      </c>
      <c r="AW113" s="106">
        <v>25629.323466382564</v>
      </c>
      <c r="AX113" s="106">
        <v>25629.323466382564</v>
      </c>
    </row>
    <row r="114" spans="1:50" x14ac:dyDescent="0.2">
      <c r="B114" s="111" t="s">
        <v>59</v>
      </c>
      <c r="C114" s="106">
        <v>478777.59742139117</v>
      </c>
      <c r="D114" s="106">
        <v>478777.59742139117</v>
      </c>
      <c r="E114" s="106">
        <v>478777.59742139117</v>
      </c>
      <c r="F114" s="106">
        <v>478777.59742139117</v>
      </c>
      <c r="G114" s="106">
        <v>478777.59742139117</v>
      </c>
      <c r="H114" s="106">
        <v>478777.59742139117</v>
      </c>
      <c r="I114" s="106">
        <v>478777.59742139117</v>
      </c>
      <c r="J114" s="106">
        <v>478777.59742139117</v>
      </c>
      <c r="K114" s="106">
        <v>478777.59742139117</v>
      </c>
      <c r="L114" s="106">
        <v>478777.59742139117</v>
      </c>
      <c r="M114" s="106">
        <v>478777.59742139117</v>
      </c>
      <c r="N114" s="106">
        <v>478777.59742139117</v>
      </c>
      <c r="O114" s="106">
        <v>478777.59742139117</v>
      </c>
      <c r="P114" s="106">
        <v>478777.59742139117</v>
      </c>
      <c r="Q114" s="106">
        <v>478777.59742139117</v>
      </c>
      <c r="R114" s="106">
        <v>478777.59742139117</v>
      </c>
      <c r="S114" s="106">
        <v>478777.59742139117</v>
      </c>
      <c r="T114" s="106">
        <v>478777.59742139117</v>
      </c>
      <c r="U114" s="106">
        <v>478777.59742139117</v>
      </c>
      <c r="V114" s="106">
        <v>478777.59742139117</v>
      </c>
      <c r="W114" s="106">
        <v>478777.59742139117</v>
      </c>
      <c r="X114" s="106">
        <v>478777.59742139117</v>
      </c>
      <c r="Y114" s="106">
        <v>478777.59742139117</v>
      </c>
      <c r="Z114" s="106">
        <v>478777.59742139117</v>
      </c>
      <c r="AA114" s="106">
        <v>478777.59742139117</v>
      </c>
      <c r="AB114" s="106">
        <v>478777.59742139117</v>
      </c>
      <c r="AC114" s="106">
        <v>342612.99206305936</v>
      </c>
      <c r="AD114" s="106">
        <v>478777.59742139117</v>
      </c>
      <c r="AE114" s="106">
        <v>478777.59742139117</v>
      </c>
      <c r="AF114" s="106">
        <v>478777.59742139117</v>
      </c>
      <c r="AG114" s="106">
        <v>478777.59742139117</v>
      </c>
      <c r="AH114" s="106">
        <v>478777.59742139117</v>
      </c>
      <c r="AI114" s="106">
        <v>478777.59742139117</v>
      </c>
      <c r="AJ114" s="106">
        <v>478777.59742139117</v>
      </c>
      <c r="AK114" s="106">
        <v>478777.59742139117</v>
      </c>
      <c r="AL114" s="106">
        <v>478777.59742139117</v>
      </c>
      <c r="AM114" s="106">
        <v>478777.59742139117</v>
      </c>
      <c r="AN114" s="106">
        <v>478777.59742139117</v>
      </c>
      <c r="AO114" s="106">
        <v>478777.59742139117</v>
      </c>
      <c r="AP114" s="106">
        <v>478777.59742139117</v>
      </c>
      <c r="AQ114" s="106">
        <v>478777.59742139117</v>
      </c>
      <c r="AR114" s="106">
        <v>478777.59742139117</v>
      </c>
      <c r="AS114" s="106">
        <v>478777.59742139117</v>
      </c>
      <c r="AT114" s="106">
        <v>478777.59742139117</v>
      </c>
      <c r="AU114" s="106">
        <v>478777.59742139117</v>
      </c>
      <c r="AV114" s="106">
        <v>478777.59742139117</v>
      </c>
      <c r="AW114" s="106">
        <v>478777.59742139117</v>
      </c>
      <c r="AX114" s="106">
        <v>478777.59742139117</v>
      </c>
    </row>
    <row r="115" spans="1:50" x14ac:dyDescent="0.2">
      <c r="B115" s="106" t="s">
        <v>277</v>
      </c>
      <c r="C115" s="111">
        <f>SUM(C$110:C$114)</f>
        <v>609317.94837486371</v>
      </c>
      <c r="D115" s="111">
        <f t="shared" ref="D115:AX115" si="7">SUM(D$110:D$114)</f>
        <v>609317.94837486371</v>
      </c>
      <c r="E115" s="111">
        <f t="shared" si="7"/>
        <v>609317.94837486371</v>
      </c>
      <c r="F115" s="111">
        <f t="shared" si="7"/>
        <v>609317.94837486371</v>
      </c>
      <c r="G115" s="111">
        <f t="shared" si="7"/>
        <v>609317.94837486371</v>
      </c>
      <c r="H115" s="111">
        <f t="shared" si="7"/>
        <v>609317.94837486371</v>
      </c>
      <c r="I115" s="111">
        <f t="shared" si="7"/>
        <v>609317.94837486371</v>
      </c>
      <c r="J115" s="111">
        <f t="shared" si="7"/>
        <v>609317.94837486371</v>
      </c>
      <c r="K115" s="111">
        <f t="shared" si="7"/>
        <v>609317.94837486371</v>
      </c>
      <c r="L115" s="111">
        <f t="shared" si="7"/>
        <v>609317.94837486371</v>
      </c>
      <c r="M115" s="111">
        <f t="shared" si="7"/>
        <v>609317.94837486371</v>
      </c>
      <c r="N115" s="111">
        <f t="shared" si="7"/>
        <v>609317.94837486371</v>
      </c>
      <c r="O115" s="111">
        <f t="shared" si="7"/>
        <v>609317.94837486371</v>
      </c>
      <c r="P115" s="111">
        <f t="shared" si="7"/>
        <v>609317.94837486371</v>
      </c>
      <c r="Q115" s="111">
        <f t="shared" si="7"/>
        <v>609317.94837486371</v>
      </c>
      <c r="R115" s="111">
        <f t="shared" si="7"/>
        <v>609317.94837486371</v>
      </c>
      <c r="S115" s="111">
        <f t="shared" si="7"/>
        <v>609317.94837486371</v>
      </c>
      <c r="T115" s="111">
        <f t="shared" si="7"/>
        <v>609317.94837486371</v>
      </c>
      <c r="U115" s="111">
        <f t="shared" si="7"/>
        <v>609317.94837486371</v>
      </c>
      <c r="V115" s="111">
        <f t="shared" si="7"/>
        <v>609317.94837486371</v>
      </c>
      <c r="W115" s="111">
        <f t="shared" si="7"/>
        <v>609317.94837486371</v>
      </c>
      <c r="X115" s="111">
        <f t="shared" si="7"/>
        <v>609317.94837486371</v>
      </c>
      <c r="Y115" s="111">
        <f t="shared" si="7"/>
        <v>609317.94837486371</v>
      </c>
      <c r="Z115" s="111">
        <f t="shared" si="7"/>
        <v>609317.94837486371</v>
      </c>
      <c r="AA115" s="111">
        <f t="shared" si="7"/>
        <v>609317.94837486371</v>
      </c>
      <c r="AB115" s="111">
        <f t="shared" si="7"/>
        <v>609317.94837486371</v>
      </c>
      <c r="AC115" s="111">
        <f t="shared" si="7"/>
        <v>436027.59722840291</v>
      </c>
      <c r="AD115" s="111">
        <f t="shared" si="7"/>
        <v>609317.94837486371</v>
      </c>
      <c r="AE115" s="111">
        <f t="shared" si="7"/>
        <v>609317.94837486371</v>
      </c>
      <c r="AF115" s="111">
        <f t="shared" si="7"/>
        <v>609317.94837486371</v>
      </c>
      <c r="AG115" s="111">
        <f t="shared" si="7"/>
        <v>609317.94837486371</v>
      </c>
      <c r="AH115" s="111">
        <f t="shared" si="7"/>
        <v>609317.94837486371</v>
      </c>
      <c r="AI115" s="111">
        <f t="shared" si="7"/>
        <v>609317.94837486371</v>
      </c>
      <c r="AJ115" s="111">
        <f t="shared" si="7"/>
        <v>609317.94837486371</v>
      </c>
      <c r="AK115" s="111">
        <f t="shared" si="7"/>
        <v>609317.94837486371</v>
      </c>
      <c r="AL115" s="111">
        <f t="shared" si="7"/>
        <v>609317.94837486371</v>
      </c>
      <c r="AM115" s="111">
        <f t="shared" si="7"/>
        <v>609317.94837486371</v>
      </c>
      <c r="AN115" s="111">
        <f t="shared" si="7"/>
        <v>609317.94837486371</v>
      </c>
      <c r="AO115" s="111">
        <f t="shared" si="7"/>
        <v>609317.94837486371</v>
      </c>
      <c r="AP115" s="111">
        <f t="shared" si="7"/>
        <v>609317.94837486371</v>
      </c>
      <c r="AQ115" s="111">
        <f t="shared" si="7"/>
        <v>609317.94837486371</v>
      </c>
      <c r="AR115" s="111">
        <f t="shared" si="7"/>
        <v>609317.94837486371</v>
      </c>
      <c r="AS115" s="111">
        <f t="shared" si="7"/>
        <v>609317.94837486371</v>
      </c>
      <c r="AT115" s="111">
        <f t="shared" si="7"/>
        <v>609317.94837486371</v>
      </c>
      <c r="AU115" s="111">
        <f t="shared" si="7"/>
        <v>609317.94837486371</v>
      </c>
      <c r="AV115" s="111">
        <f t="shared" si="7"/>
        <v>609317.94837486371</v>
      </c>
      <c r="AW115" s="111">
        <f t="shared" si="7"/>
        <v>609317.94837486371</v>
      </c>
      <c r="AX115" s="111">
        <f t="shared" si="7"/>
        <v>609317.94837486371</v>
      </c>
    </row>
    <row r="116" spans="1:50" x14ac:dyDescent="0.2">
      <c r="A116" s="111" t="s">
        <v>107</v>
      </c>
      <c r="B116" s="111" t="s">
        <v>5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</row>
    <row r="117" spans="1:50" x14ac:dyDescent="0.2">
      <c r="B117" s="111" t="s">
        <v>10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</row>
    <row r="118" spans="1:50" x14ac:dyDescent="0.2">
      <c r="B118" s="111" t="s">
        <v>12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</row>
    <row r="119" spans="1:50" x14ac:dyDescent="0.2">
      <c r="B119" s="111" t="s">
        <v>22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</row>
    <row r="120" spans="1:50" x14ac:dyDescent="0.2">
      <c r="B120" s="111" t="s">
        <v>59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</row>
    <row r="121" spans="1:50" x14ac:dyDescent="0.2">
      <c r="B121" s="106" t="s">
        <v>277</v>
      </c>
      <c r="C121" s="111">
        <f>SUM(C$116:C$120)</f>
        <v>0</v>
      </c>
      <c r="D121" s="111">
        <f t="shared" ref="D121:AX121" si="8">SUM(D$116:D$120)</f>
        <v>0</v>
      </c>
      <c r="E121" s="111">
        <f t="shared" si="8"/>
        <v>0</v>
      </c>
      <c r="F121" s="111">
        <f t="shared" si="8"/>
        <v>0</v>
      </c>
      <c r="G121" s="111">
        <f t="shared" si="8"/>
        <v>0</v>
      </c>
      <c r="H121" s="111">
        <f t="shared" si="8"/>
        <v>0</v>
      </c>
      <c r="I121" s="111">
        <f t="shared" si="8"/>
        <v>0</v>
      </c>
      <c r="J121" s="111">
        <f t="shared" si="8"/>
        <v>0</v>
      </c>
      <c r="K121" s="111">
        <f t="shared" si="8"/>
        <v>0</v>
      </c>
      <c r="L121" s="111">
        <f t="shared" si="8"/>
        <v>0</v>
      </c>
      <c r="M121" s="111">
        <f t="shared" si="8"/>
        <v>0</v>
      </c>
      <c r="N121" s="111">
        <f t="shared" si="8"/>
        <v>0</v>
      </c>
      <c r="O121" s="111">
        <f t="shared" si="8"/>
        <v>0</v>
      </c>
      <c r="P121" s="111">
        <f t="shared" si="8"/>
        <v>0</v>
      </c>
      <c r="Q121" s="111">
        <f t="shared" si="8"/>
        <v>0</v>
      </c>
      <c r="R121" s="111">
        <f t="shared" si="8"/>
        <v>0</v>
      </c>
      <c r="S121" s="111">
        <f t="shared" si="8"/>
        <v>0</v>
      </c>
      <c r="T121" s="111">
        <f t="shared" si="8"/>
        <v>0</v>
      </c>
      <c r="U121" s="111">
        <f t="shared" si="8"/>
        <v>0</v>
      </c>
      <c r="V121" s="111">
        <f t="shared" si="8"/>
        <v>0</v>
      </c>
      <c r="W121" s="111">
        <f t="shared" si="8"/>
        <v>0</v>
      </c>
      <c r="X121" s="111">
        <f t="shared" si="8"/>
        <v>0</v>
      </c>
      <c r="Y121" s="111">
        <f t="shared" si="8"/>
        <v>0</v>
      </c>
      <c r="Z121" s="111">
        <f t="shared" si="8"/>
        <v>0</v>
      </c>
      <c r="AA121" s="111">
        <f t="shared" si="8"/>
        <v>0</v>
      </c>
      <c r="AB121" s="111">
        <f t="shared" si="8"/>
        <v>0</v>
      </c>
      <c r="AC121" s="111">
        <f t="shared" si="8"/>
        <v>0</v>
      </c>
      <c r="AD121" s="111">
        <f t="shared" si="8"/>
        <v>0</v>
      </c>
      <c r="AE121" s="111">
        <f t="shared" si="8"/>
        <v>0</v>
      </c>
      <c r="AF121" s="111">
        <f t="shared" si="8"/>
        <v>0</v>
      </c>
      <c r="AG121" s="111">
        <f t="shared" si="8"/>
        <v>0</v>
      </c>
      <c r="AH121" s="111">
        <f t="shared" si="8"/>
        <v>0</v>
      </c>
      <c r="AI121" s="111">
        <f t="shared" si="8"/>
        <v>0</v>
      </c>
      <c r="AJ121" s="111">
        <f t="shared" si="8"/>
        <v>0</v>
      </c>
      <c r="AK121" s="111">
        <f t="shared" si="8"/>
        <v>0</v>
      </c>
      <c r="AL121" s="111">
        <f t="shared" si="8"/>
        <v>0</v>
      </c>
      <c r="AM121" s="111">
        <f t="shared" si="8"/>
        <v>0</v>
      </c>
      <c r="AN121" s="111">
        <f t="shared" si="8"/>
        <v>0</v>
      </c>
      <c r="AO121" s="111">
        <f t="shared" si="8"/>
        <v>0</v>
      </c>
      <c r="AP121" s="111">
        <f t="shared" si="8"/>
        <v>0</v>
      </c>
      <c r="AQ121" s="111">
        <f t="shared" si="8"/>
        <v>0</v>
      </c>
      <c r="AR121" s="111">
        <f t="shared" si="8"/>
        <v>0</v>
      </c>
      <c r="AS121" s="111">
        <f t="shared" si="8"/>
        <v>0</v>
      </c>
      <c r="AT121" s="111">
        <f t="shared" si="8"/>
        <v>0</v>
      </c>
      <c r="AU121" s="111">
        <f t="shared" si="8"/>
        <v>0</v>
      </c>
      <c r="AV121" s="111">
        <f t="shared" si="8"/>
        <v>0</v>
      </c>
      <c r="AW121" s="111">
        <f t="shared" si="8"/>
        <v>0</v>
      </c>
      <c r="AX121" s="111">
        <f t="shared" si="8"/>
        <v>0</v>
      </c>
    </row>
    <row r="122" spans="1:50" x14ac:dyDescent="0.2">
      <c r="A122" s="111" t="s">
        <v>108</v>
      </c>
      <c r="B122" s="111" t="s">
        <v>5</v>
      </c>
      <c r="C122" s="106">
        <v>0</v>
      </c>
      <c r="D122" s="106">
        <v>0</v>
      </c>
      <c r="E122" s="106">
        <v>0</v>
      </c>
      <c r="F122" s="106">
        <v>0</v>
      </c>
      <c r="G122" s="106">
        <v>0</v>
      </c>
      <c r="H122" s="106">
        <v>0</v>
      </c>
      <c r="I122" s="106">
        <v>0</v>
      </c>
      <c r="J122" s="106">
        <v>0</v>
      </c>
      <c r="K122" s="106">
        <v>0</v>
      </c>
      <c r="L122" s="106">
        <v>0</v>
      </c>
      <c r="M122" s="106">
        <v>0</v>
      </c>
      <c r="N122" s="106">
        <v>0</v>
      </c>
      <c r="O122" s="106">
        <v>0</v>
      </c>
      <c r="P122" s="106">
        <v>0</v>
      </c>
      <c r="Q122" s="106">
        <v>0</v>
      </c>
      <c r="R122" s="106">
        <v>0</v>
      </c>
      <c r="S122" s="106">
        <v>0</v>
      </c>
      <c r="T122" s="106">
        <v>0</v>
      </c>
      <c r="U122" s="106">
        <v>0</v>
      </c>
      <c r="V122" s="106">
        <v>0</v>
      </c>
      <c r="W122" s="106">
        <v>0</v>
      </c>
      <c r="X122" s="106">
        <v>0</v>
      </c>
      <c r="Y122" s="106">
        <v>0</v>
      </c>
      <c r="Z122" s="106">
        <v>0</v>
      </c>
      <c r="AA122" s="106">
        <v>0</v>
      </c>
      <c r="AB122" s="106">
        <v>0</v>
      </c>
      <c r="AC122" s="106">
        <v>0</v>
      </c>
      <c r="AD122" s="106">
        <v>0</v>
      </c>
      <c r="AE122" s="106">
        <v>0</v>
      </c>
      <c r="AF122" s="106">
        <v>0</v>
      </c>
      <c r="AG122" s="106">
        <v>0</v>
      </c>
      <c r="AH122" s="106">
        <v>0</v>
      </c>
      <c r="AI122" s="106">
        <v>0</v>
      </c>
      <c r="AJ122" s="106">
        <v>0</v>
      </c>
      <c r="AK122" s="106">
        <v>0</v>
      </c>
      <c r="AL122" s="106">
        <v>0</v>
      </c>
      <c r="AM122" s="106">
        <v>0</v>
      </c>
      <c r="AN122" s="106">
        <v>0</v>
      </c>
      <c r="AO122" s="106">
        <v>0</v>
      </c>
      <c r="AP122" s="106">
        <v>0</v>
      </c>
      <c r="AQ122" s="106">
        <v>0</v>
      </c>
      <c r="AR122" s="106">
        <v>0</v>
      </c>
      <c r="AS122" s="106">
        <v>0</v>
      </c>
      <c r="AT122" s="106">
        <v>0</v>
      </c>
      <c r="AU122" s="106">
        <v>0</v>
      </c>
      <c r="AV122" s="106">
        <v>0</v>
      </c>
      <c r="AW122" s="106">
        <v>0</v>
      </c>
      <c r="AX122" s="106">
        <v>0</v>
      </c>
    </row>
    <row r="123" spans="1:50" x14ac:dyDescent="0.2">
      <c r="B123" s="111" t="s">
        <v>10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0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0</v>
      </c>
      <c r="AG123" s="106">
        <v>0</v>
      </c>
      <c r="AH123" s="106">
        <v>0</v>
      </c>
      <c r="AI123" s="106">
        <v>0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0</v>
      </c>
    </row>
    <row r="124" spans="1:50" x14ac:dyDescent="0.2">
      <c r="B124" s="111" t="s">
        <v>12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</row>
    <row r="125" spans="1:50" x14ac:dyDescent="0.2">
      <c r="B125" s="111" t="s">
        <v>22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</row>
    <row r="126" spans="1:50" x14ac:dyDescent="0.2">
      <c r="B126" s="111" t="s">
        <v>59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</row>
    <row r="127" spans="1:50" x14ac:dyDescent="0.2">
      <c r="B127" s="106" t="s">
        <v>277</v>
      </c>
      <c r="C127" s="111">
        <f>SUM(C$122:C$126)</f>
        <v>0</v>
      </c>
      <c r="D127" s="111">
        <f t="shared" ref="D127:AX127" si="9">SUM(D$122:D$126)</f>
        <v>0</v>
      </c>
      <c r="E127" s="111">
        <f t="shared" si="9"/>
        <v>0</v>
      </c>
      <c r="F127" s="111">
        <f t="shared" si="9"/>
        <v>0</v>
      </c>
      <c r="G127" s="111">
        <f t="shared" si="9"/>
        <v>0</v>
      </c>
      <c r="H127" s="111">
        <f t="shared" si="9"/>
        <v>0</v>
      </c>
      <c r="I127" s="111">
        <f t="shared" si="9"/>
        <v>0</v>
      </c>
      <c r="J127" s="111">
        <f t="shared" si="9"/>
        <v>0</v>
      </c>
      <c r="K127" s="111">
        <f t="shared" si="9"/>
        <v>0</v>
      </c>
      <c r="L127" s="111">
        <f t="shared" si="9"/>
        <v>0</v>
      </c>
      <c r="M127" s="111">
        <f t="shared" si="9"/>
        <v>0</v>
      </c>
      <c r="N127" s="111">
        <f t="shared" si="9"/>
        <v>0</v>
      </c>
      <c r="O127" s="111">
        <f t="shared" si="9"/>
        <v>0</v>
      </c>
      <c r="P127" s="111">
        <f t="shared" si="9"/>
        <v>0</v>
      </c>
      <c r="Q127" s="111">
        <f t="shared" si="9"/>
        <v>0</v>
      </c>
      <c r="R127" s="111">
        <f t="shared" si="9"/>
        <v>0</v>
      </c>
      <c r="S127" s="111">
        <f t="shared" si="9"/>
        <v>0</v>
      </c>
      <c r="T127" s="111">
        <f t="shared" si="9"/>
        <v>0</v>
      </c>
      <c r="U127" s="111">
        <f t="shared" si="9"/>
        <v>0</v>
      </c>
      <c r="V127" s="111">
        <f t="shared" si="9"/>
        <v>0</v>
      </c>
      <c r="W127" s="111">
        <f t="shared" si="9"/>
        <v>0</v>
      </c>
      <c r="X127" s="111">
        <f t="shared" si="9"/>
        <v>0</v>
      </c>
      <c r="Y127" s="111">
        <f t="shared" si="9"/>
        <v>0</v>
      </c>
      <c r="Z127" s="111">
        <f t="shared" si="9"/>
        <v>0</v>
      </c>
      <c r="AA127" s="111">
        <f t="shared" si="9"/>
        <v>0</v>
      </c>
      <c r="AB127" s="111">
        <f t="shared" si="9"/>
        <v>0</v>
      </c>
      <c r="AC127" s="111">
        <f t="shared" si="9"/>
        <v>0</v>
      </c>
      <c r="AD127" s="111">
        <f t="shared" si="9"/>
        <v>0</v>
      </c>
      <c r="AE127" s="111">
        <f t="shared" si="9"/>
        <v>0</v>
      </c>
      <c r="AF127" s="111">
        <f t="shared" si="9"/>
        <v>0</v>
      </c>
      <c r="AG127" s="111">
        <f t="shared" si="9"/>
        <v>0</v>
      </c>
      <c r="AH127" s="111">
        <f t="shared" si="9"/>
        <v>0</v>
      </c>
      <c r="AI127" s="111">
        <f t="shared" si="9"/>
        <v>0</v>
      </c>
      <c r="AJ127" s="111">
        <f t="shared" si="9"/>
        <v>0</v>
      </c>
      <c r="AK127" s="111">
        <f t="shared" si="9"/>
        <v>0</v>
      </c>
      <c r="AL127" s="111">
        <f t="shared" si="9"/>
        <v>0</v>
      </c>
      <c r="AM127" s="111">
        <f t="shared" si="9"/>
        <v>0</v>
      </c>
      <c r="AN127" s="111">
        <f t="shared" si="9"/>
        <v>0</v>
      </c>
      <c r="AO127" s="111">
        <f t="shared" si="9"/>
        <v>0</v>
      </c>
      <c r="AP127" s="111">
        <f t="shared" si="9"/>
        <v>0</v>
      </c>
      <c r="AQ127" s="111">
        <f t="shared" si="9"/>
        <v>0</v>
      </c>
      <c r="AR127" s="111">
        <f t="shared" si="9"/>
        <v>0</v>
      </c>
      <c r="AS127" s="111">
        <f t="shared" si="9"/>
        <v>0</v>
      </c>
      <c r="AT127" s="111">
        <f t="shared" si="9"/>
        <v>0</v>
      </c>
      <c r="AU127" s="111">
        <f t="shared" si="9"/>
        <v>0</v>
      </c>
      <c r="AV127" s="111">
        <f t="shared" si="9"/>
        <v>0</v>
      </c>
      <c r="AW127" s="111">
        <f t="shared" si="9"/>
        <v>0</v>
      </c>
      <c r="AX127" s="111">
        <f t="shared" si="9"/>
        <v>0</v>
      </c>
    </row>
    <row r="128" spans="1:50" x14ac:dyDescent="0.2">
      <c r="A128" s="111" t="s">
        <v>109</v>
      </c>
      <c r="B128" s="111" t="s">
        <v>5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</row>
    <row r="129" spans="2:50" x14ac:dyDescent="0.2">
      <c r="B129" s="111" t="s">
        <v>10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</row>
    <row r="130" spans="2:50" x14ac:dyDescent="0.2">
      <c r="B130" s="111" t="s">
        <v>12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</row>
    <row r="131" spans="2:50" x14ac:dyDescent="0.2">
      <c r="B131" s="111" t="s">
        <v>22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</row>
    <row r="132" spans="2:50" x14ac:dyDescent="0.2">
      <c r="B132" s="111" t="s">
        <v>59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</row>
    <row r="133" spans="2:50" x14ac:dyDescent="0.2">
      <c r="B133" s="106" t="s">
        <v>277</v>
      </c>
      <c r="C133" s="111">
        <f>SUM(C$128:C$132)</f>
        <v>0</v>
      </c>
      <c r="D133" s="111">
        <f t="shared" ref="D133:AX133" si="10">SUM(D$128:D$132)</f>
        <v>0</v>
      </c>
      <c r="E133" s="111">
        <f t="shared" si="10"/>
        <v>0</v>
      </c>
      <c r="F133" s="111">
        <f t="shared" si="10"/>
        <v>0</v>
      </c>
      <c r="G133" s="111">
        <f t="shared" si="10"/>
        <v>0</v>
      </c>
      <c r="H133" s="111">
        <f t="shared" si="10"/>
        <v>0</v>
      </c>
      <c r="I133" s="111">
        <f t="shared" si="10"/>
        <v>0</v>
      </c>
      <c r="J133" s="111">
        <f t="shared" si="10"/>
        <v>0</v>
      </c>
      <c r="K133" s="111">
        <f t="shared" si="10"/>
        <v>0</v>
      </c>
      <c r="L133" s="111">
        <f t="shared" si="10"/>
        <v>0</v>
      </c>
      <c r="M133" s="111">
        <f t="shared" si="10"/>
        <v>0</v>
      </c>
      <c r="N133" s="111">
        <f t="shared" si="10"/>
        <v>0</v>
      </c>
      <c r="O133" s="111">
        <f t="shared" si="10"/>
        <v>0</v>
      </c>
      <c r="P133" s="111">
        <f t="shared" si="10"/>
        <v>0</v>
      </c>
      <c r="Q133" s="111">
        <f t="shared" si="10"/>
        <v>0</v>
      </c>
      <c r="R133" s="111">
        <f t="shared" si="10"/>
        <v>0</v>
      </c>
      <c r="S133" s="111">
        <f t="shared" si="10"/>
        <v>0</v>
      </c>
      <c r="T133" s="111">
        <f t="shared" si="10"/>
        <v>0</v>
      </c>
      <c r="U133" s="111">
        <f t="shared" si="10"/>
        <v>0</v>
      </c>
      <c r="V133" s="111">
        <f t="shared" si="10"/>
        <v>0</v>
      </c>
      <c r="W133" s="111">
        <f t="shared" si="10"/>
        <v>0</v>
      </c>
      <c r="X133" s="111">
        <f t="shared" si="10"/>
        <v>0</v>
      </c>
      <c r="Y133" s="111">
        <f t="shared" si="10"/>
        <v>0</v>
      </c>
      <c r="Z133" s="111">
        <f t="shared" si="10"/>
        <v>0</v>
      </c>
      <c r="AA133" s="111">
        <f t="shared" si="10"/>
        <v>0</v>
      </c>
      <c r="AB133" s="111">
        <f t="shared" si="10"/>
        <v>0</v>
      </c>
      <c r="AC133" s="111">
        <f t="shared" si="10"/>
        <v>0</v>
      </c>
      <c r="AD133" s="111">
        <f t="shared" si="10"/>
        <v>0</v>
      </c>
      <c r="AE133" s="111">
        <f t="shared" si="10"/>
        <v>0</v>
      </c>
      <c r="AF133" s="111">
        <f t="shared" si="10"/>
        <v>0</v>
      </c>
      <c r="AG133" s="111">
        <f t="shared" si="10"/>
        <v>0</v>
      </c>
      <c r="AH133" s="111">
        <f t="shared" si="10"/>
        <v>0</v>
      </c>
      <c r="AI133" s="111">
        <f t="shared" si="10"/>
        <v>0</v>
      </c>
      <c r="AJ133" s="111">
        <f t="shared" si="10"/>
        <v>0</v>
      </c>
      <c r="AK133" s="111">
        <f t="shared" si="10"/>
        <v>0</v>
      </c>
      <c r="AL133" s="111">
        <f t="shared" si="10"/>
        <v>0</v>
      </c>
      <c r="AM133" s="111">
        <f t="shared" si="10"/>
        <v>0</v>
      </c>
      <c r="AN133" s="111">
        <f t="shared" si="10"/>
        <v>0</v>
      </c>
      <c r="AO133" s="111">
        <f t="shared" si="10"/>
        <v>0</v>
      </c>
      <c r="AP133" s="111">
        <f t="shared" si="10"/>
        <v>0</v>
      </c>
      <c r="AQ133" s="111">
        <f t="shared" si="10"/>
        <v>0</v>
      </c>
      <c r="AR133" s="111">
        <f t="shared" si="10"/>
        <v>0</v>
      </c>
      <c r="AS133" s="111">
        <f t="shared" si="10"/>
        <v>0</v>
      </c>
      <c r="AT133" s="111">
        <f t="shared" si="10"/>
        <v>0</v>
      </c>
      <c r="AU133" s="111">
        <f t="shared" si="10"/>
        <v>0</v>
      </c>
      <c r="AV133" s="111">
        <f t="shared" si="10"/>
        <v>0</v>
      </c>
      <c r="AW133" s="111">
        <f t="shared" si="10"/>
        <v>0</v>
      </c>
      <c r="AX133" s="111">
        <f t="shared" si="10"/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5</v>
      </c>
      <c r="E2" s="116"/>
    </row>
    <row r="3" spans="1:52" x14ac:dyDescent="0.2">
      <c r="A3" s="106" t="s">
        <v>285</v>
      </c>
      <c r="B3" s="113">
        <v>2043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273.74765262492122</v>
      </c>
      <c r="E7" s="150">
        <v>273.74765262492122</v>
      </c>
      <c r="F7" s="150">
        <v>273.74765262492122</v>
      </c>
      <c r="G7" s="150">
        <v>273.74765262492122</v>
      </c>
      <c r="H7" s="150">
        <v>243.33124677770775</v>
      </c>
      <c r="I7" s="150">
        <v>243.33124677770775</v>
      </c>
      <c r="J7" s="150">
        <v>243.33124677770775</v>
      </c>
      <c r="K7" s="150">
        <v>243.33124677770775</v>
      </c>
      <c r="L7" s="150">
        <v>243.33124677770775</v>
      </c>
      <c r="M7" s="150">
        <v>243.33124677770775</v>
      </c>
      <c r="N7" s="150">
        <v>243.33124677770775</v>
      </c>
      <c r="O7" s="150">
        <v>243.33124677770775</v>
      </c>
      <c r="P7" s="150">
        <v>273.74765262492122</v>
      </c>
      <c r="Q7" s="150">
        <v>273.74765262492122</v>
      </c>
      <c r="R7" s="150">
        <v>273.74765262492122</v>
      </c>
      <c r="S7" s="150">
        <v>273.74765262492122</v>
      </c>
      <c r="T7" s="150">
        <v>243.33124677770775</v>
      </c>
      <c r="U7" s="150">
        <v>243.33124677770775</v>
      </c>
      <c r="V7" s="150">
        <v>243.33124677770775</v>
      </c>
      <c r="W7" s="150">
        <v>243.33124677770775</v>
      </c>
      <c r="X7" s="150">
        <v>243.33124677770775</v>
      </c>
      <c r="Y7" s="150">
        <v>243.33124677770775</v>
      </c>
      <c r="Z7" s="150">
        <v>243.33124677770775</v>
      </c>
      <c r="AA7" s="150">
        <v>243.33124677770775</v>
      </c>
      <c r="AB7" s="150">
        <v>273.74765262492122</v>
      </c>
      <c r="AC7" s="150">
        <v>273.74765262492122</v>
      </c>
      <c r="AD7" s="150">
        <v>273.74765262492122</v>
      </c>
      <c r="AE7" s="150">
        <v>273.74765262492122</v>
      </c>
      <c r="AF7" s="150">
        <v>243.33124677770775</v>
      </c>
      <c r="AG7" s="150">
        <v>243.33124677770775</v>
      </c>
      <c r="AH7" s="150">
        <v>243.33124677770775</v>
      </c>
      <c r="AI7" s="150">
        <v>243.33124677770775</v>
      </c>
      <c r="AJ7" s="150">
        <v>243.33124677770775</v>
      </c>
      <c r="AK7" s="150">
        <v>243.33124677770775</v>
      </c>
      <c r="AL7" s="150">
        <v>243.33124677770775</v>
      </c>
      <c r="AM7" s="150">
        <v>243.33124677770775</v>
      </c>
      <c r="AN7" s="150">
        <v>273.74765262492122</v>
      </c>
      <c r="AO7" s="150">
        <v>273.74765262492122</v>
      </c>
      <c r="AP7" s="150">
        <v>273.74765262492122</v>
      </c>
      <c r="AQ7" s="150">
        <v>273.74765262492122</v>
      </c>
      <c r="AR7" s="150">
        <v>243.33124677770775</v>
      </c>
      <c r="AS7" s="150">
        <v>243.33124677770775</v>
      </c>
      <c r="AT7" s="150">
        <v>243.33124677770775</v>
      </c>
      <c r="AU7" s="150">
        <v>243.33124677770775</v>
      </c>
      <c r="AV7" s="150">
        <v>243.33124677770775</v>
      </c>
      <c r="AW7" s="150">
        <v>243.33124677770775</v>
      </c>
      <c r="AX7" s="150">
        <v>243.33124677770775</v>
      </c>
      <c r="AY7" s="150">
        <v>243.33124677770775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273.74765262492122</v>
      </c>
      <c r="E13" s="144">
        <f t="shared" si="1"/>
        <v>273.74765262492122</v>
      </c>
      <c r="F13" s="144">
        <f t="shared" si="1"/>
        <v>273.74765262492122</v>
      </c>
      <c r="G13" s="144">
        <f t="shared" si="1"/>
        <v>273.74765262492122</v>
      </c>
      <c r="H13" s="144">
        <f t="shared" si="1"/>
        <v>243.33124677770775</v>
      </c>
      <c r="I13" s="144">
        <f t="shared" si="1"/>
        <v>243.33124677770775</v>
      </c>
      <c r="J13" s="144">
        <f t="shared" si="1"/>
        <v>243.33124677770775</v>
      </c>
      <c r="K13" s="144">
        <f t="shared" si="1"/>
        <v>243.33124677770775</v>
      </c>
      <c r="L13" s="144">
        <f t="shared" si="1"/>
        <v>243.33124677770775</v>
      </c>
      <c r="M13" s="144">
        <f t="shared" si="1"/>
        <v>243.33124677770775</v>
      </c>
      <c r="N13" s="144">
        <f t="shared" si="1"/>
        <v>243.33124677770775</v>
      </c>
      <c r="O13" s="144">
        <f t="shared" si="1"/>
        <v>243.33124677770775</v>
      </c>
      <c r="P13" s="144">
        <f t="shared" si="1"/>
        <v>273.74765262492122</v>
      </c>
      <c r="Q13" s="144">
        <f t="shared" si="1"/>
        <v>273.74765262492122</v>
      </c>
      <c r="R13" s="144">
        <f t="shared" si="1"/>
        <v>273.74765262492122</v>
      </c>
      <c r="S13" s="144">
        <f t="shared" si="1"/>
        <v>273.74765262492122</v>
      </c>
      <c r="T13" s="144">
        <f t="shared" si="1"/>
        <v>243.33124677770775</v>
      </c>
      <c r="U13" s="144">
        <f t="shared" si="1"/>
        <v>243.33124677770775</v>
      </c>
      <c r="V13" s="144">
        <f t="shared" si="1"/>
        <v>243.33124677770775</v>
      </c>
      <c r="W13" s="144">
        <f t="shared" si="1"/>
        <v>243.33124677770775</v>
      </c>
      <c r="X13" s="144">
        <f t="shared" si="1"/>
        <v>243.33124677770775</v>
      </c>
      <c r="Y13" s="144">
        <f t="shared" si="1"/>
        <v>243.33124677770775</v>
      </c>
      <c r="Z13" s="144">
        <f t="shared" si="1"/>
        <v>243.33124677770775</v>
      </c>
      <c r="AA13" s="144">
        <f t="shared" si="1"/>
        <v>243.33124677770775</v>
      </c>
      <c r="AB13" s="144">
        <f t="shared" si="1"/>
        <v>273.74765262492122</v>
      </c>
      <c r="AC13" s="144">
        <f t="shared" si="1"/>
        <v>273.74765262492122</v>
      </c>
      <c r="AD13" s="144">
        <f t="shared" si="1"/>
        <v>273.74765262492122</v>
      </c>
      <c r="AE13" s="144">
        <f t="shared" si="1"/>
        <v>273.74765262492122</v>
      </c>
      <c r="AF13" s="144">
        <f t="shared" si="1"/>
        <v>243.33124677770775</v>
      </c>
      <c r="AG13" s="144">
        <f t="shared" si="1"/>
        <v>243.33124677770775</v>
      </c>
      <c r="AH13" s="144">
        <f t="shared" si="1"/>
        <v>243.33124677770775</v>
      </c>
      <c r="AI13" s="144">
        <f t="shared" si="1"/>
        <v>243.33124677770775</v>
      </c>
      <c r="AJ13" s="144">
        <f t="shared" si="1"/>
        <v>243.33124677770775</v>
      </c>
      <c r="AK13" s="144">
        <f t="shared" si="1"/>
        <v>243.33124677770775</v>
      </c>
      <c r="AL13" s="144">
        <f t="shared" si="1"/>
        <v>243.33124677770775</v>
      </c>
      <c r="AM13" s="144">
        <f t="shared" si="1"/>
        <v>243.33124677770775</v>
      </c>
      <c r="AN13" s="144">
        <f t="shared" si="1"/>
        <v>273.74765262492122</v>
      </c>
      <c r="AO13" s="144">
        <f t="shared" si="1"/>
        <v>273.74765262492122</v>
      </c>
      <c r="AP13" s="144">
        <f t="shared" si="1"/>
        <v>273.74765262492122</v>
      </c>
      <c r="AQ13" s="144">
        <f t="shared" si="1"/>
        <v>273.74765262492122</v>
      </c>
      <c r="AR13" s="144">
        <f t="shared" si="1"/>
        <v>243.33124677770775</v>
      </c>
      <c r="AS13" s="144">
        <f t="shared" si="1"/>
        <v>243.33124677770775</v>
      </c>
      <c r="AT13" s="144">
        <f t="shared" si="1"/>
        <v>243.33124677770775</v>
      </c>
      <c r="AU13" s="144">
        <f t="shared" si="1"/>
        <v>243.33124677770775</v>
      </c>
      <c r="AV13" s="144">
        <f t="shared" si="1"/>
        <v>243.33124677770775</v>
      </c>
      <c r="AW13" s="144">
        <f t="shared" si="1"/>
        <v>243.33124677770775</v>
      </c>
      <c r="AX13" s="144">
        <f t="shared" si="1"/>
        <v>243.33124677770775</v>
      </c>
      <c r="AY13" s="144">
        <f t="shared" si="1"/>
        <v>243.33124677770775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243.33124677770775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 t="s">
        <v>338</v>
      </c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shipping_manufacturing!$C$19/100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273.74765262492122</v>
      </c>
      <c r="F21" s="112">
        <f t="shared" si="3"/>
        <v>273.74765262492122</v>
      </c>
      <c r="G21" s="112">
        <f t="shared" si="3"/>
        <v>273.74765262492122</v>
      </c>
      <c r="H21" s="112">
        <f t="shared" si="3"/>
        <v>273.74765262492122</v>
      </c>
      <c r="I21" s="112">
        <f t="shared" si="3"/>
        <v>243.33124677770775</v>
      </c>
      <c r="J21" s="112">
        <f t="shared" si="3"/>
        <v>243.33124677770775</v>
      </c>
      <c r="K21" s="112">
        <f t="shared" si="3"/>
        <v>243.33124677770775</v>
      </c>
      <c r="L21" s="112">
        <f t="shared" si="3"/>
        <v>243.33124677770775</v>
      </c>
      <c r="M21" s="112">
        <f t="shared" si="3"/>
        <v>243.33124677770775</v>
      </c>
      <c r="N21" s="112">
        <f t="shared" si="3"/>
        <v>243.33124677770775</v>
      </c>
      <c r="O21" s="112">
        <f t="shared" si="3"/>
        <v>243.33124677770775</v>
      </c>
      <c r="P21" s="112">
        <f t="shared" si="3"/>
        <v>243.33124677770775</v>
      </c>
      <c r="Q21" s="112">
        <f t="shared" si="3"/>
        <v>273.74765262492122</v>
      </c>
      <c r="R21" s="112">
        <f t="shared" si="3"/>
        <v>273.74765262492122</v>
      </c>
      <c r="S21" s="112">
        <f t="shared" si="3"/>
        <v>273.74765262492122</v>
      </c>
      <c r="T21" s="112">
        <f t="shared" si="3"/>
        <v>273.74765262492122</v>
      </c>
      <c r="U21" s="112">
        <f t="shared" si="3"/>
        <v>243.33124677770775</v>
      </c>
      <c r="V21" s="112">
        <f t="shared" si="3"/>
        <v>243.33124677770775</v>
      </c>
      <c r="W21" s="112">
        <f t="shared" si="3"/>
        <v>243.33124677770775</v>
      </c>
      <c r="X21" s="112">
        <f t="shared" si="3"/>
        <v>243.33124677770775</v>
      </c>
      <c r="Y21" s="112">
        <f t="shared" si="3"/>
        <v>243.33124677770775</v>
      </c>
      <c r="Z21" s="112">
        <f t="shared" si="3"/>
        <v>243.33124677770775</v>
      </c>
      <c r="AA21" s="112">
        <f t="shared" si="3"/>
        <v>243.33124677770775</v>
      </c>
      <c r="AB21" s="112">
        <f t="shared" si="3"/>
        <v>243.33124677770775</v>
      </c>
      <c r="AC21" s="112">
        <f t="shared" si="3"/>
        <v>273.74765262492122</v>
      </c>
      <c r="AD21" s="112">
        <f t="shared" si="3"/>
        <v>273.74765262492122</v>
      </c>
      <c r="AE21" s="112">
        <f t="shared" si="3"/>
        <v>273.74765262492122</v>
      </c>
      <c r="AF21" s="112">
        <f t="shared" si="3"/>
        <v>273.74765262492122</v>
      </c>
      <c r="AG21" s="112">
        <f t="shared" si="3"/>
        <v>243.33124677770775</v>
      </c>
      <c r="AH21" s="112">
        <f t="shared" si="3"/>
        <v>243.33124677770775</v>
      </c>
      <c r="AI21" s="112">
        <f t="shared" si="3"/>
        <v>243.33124677770775</v>
      </c>
      <c r="AJ21" s="112">
        <f t="shared" si="3"/>
        <v>243.33124677770775</v>
      </c>
      <c r="AK21" s="112">
        <f t="shared" si="3"/>
        <v>243.33124677770775</v>
      </c>
      <c r="AL21" s="112">
        <f t="shared" si="3"/>
        <v>243.33124677770775</v>
      </c>
      <c r="AM21" s="112">
        <f t="shared" si="3"/>
        <v>243.33124677770775</v>
      </c>
      <c r="AN21" s="112">
        <f t="shared" si="3"/>
        <v>243.33124677770775</v>
      </c>
      <c r="AO21" s="112">
        <f t="shared" si="3"/>
        <v>273.74765262492122</v>
      </c>
      <c r="AP21" s="112">
        <f t="shared" si="3"/>
        <v>273.74765262492122</v>
      </c>
      <c r="AQ21" s="112">
        <f t="shared" si="3"/>
        <v>273.74765262492122</v>
      </c>
      <c r="AR21" s="112">
        <f t="shared" si="3"/>
        <v>273.74765262492122</v>
      </c>
      <c r="AS21" s="112">
        <f t="shared" si="3"/>
        <v>243.33124677770775</v>
      </c>
      <c r="AT21" s="112">
        <f t="shared" si="3"/>
        <v>0</v>
      </c>
      <c r="AU21" s="112">
        <f t="shared" si="3"/>
        <v>486.66249355541549</v>
      </c>
      <c r="AV21" s="112">
        <f t="shared" si="3"/>
        <v>243.33124677770775</v>
      </c>
      <c r="AW21" s="112">
        <f t="shared" si="3"/>
        <v>243.33124677770775</v>
      </c>
      <c r="AX21" s="112">
        <f t="shared" si="3"/>
        <v>243.33124677770775</v>
      </c>
      <c r="AY21" s="112">
        <f t="shared" si="3"/>
        <v>243.33124677770775</v>
      </c>
      <c r="AZ21" s="163">
        <f>SUM($D21:$AY21)</f>
        <v>11923.231092107675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547495.30524984247</v>
      </c>
      <c r="F23" s="106">
        <f t="shared" si="6"/>
        <v>547495.30524984247</v>
      </c>
      <c r="G23" s="106">
        <f t="shared" si="6"/>
        <v>547495.30524984247</v>
      </c>
      <c r="H23" s="106">
        <f t="shared" si="6"/>
        <v>547495.30524984247</v>
      </c>
      <c r="I23" s="106">
        <f t="shared" si="6"/>
        <v>486662.49355541548</v>
      </c>
      <c r="J23" s="106">
        <f t="shared" si="6"/>
        <v>486662.49355541548</v>
      </c>
      <c r="K23" s="106">
        <f t="shared" si="6"/>
        <v>486662.49355541548</v>
      </c>
      <c r="L23" s="106">
        <f t="shared" si="6"/>
        <v>486662.49355541548</v>
      </c>
      <c r="M23" s="106">
        <f t="shared" si="6"/>
        <v>486662.49355541548</v>
      </c>
      <c r="N23" s="106">
        <f t="shared" si="6"/>
        <v>486662.49355541548</v>
      </c>
      <c r="O23" s="106">
        <f t="shared" si="6"/>
        <v>486662.49355541548</v>
      </c>
      <c r="P23" s="106">
        <f t="shared" si="6"/>
        <v>486662.49355541548</v>
      </c>
      <c r="Q23" s="106">
        <f t="shared" si="6"/>
        <v>547495.30524984247</v>
      </c>
      <c r="R23" s="106">
        <f t="shared" si="6"/>
        <v>547495.30524984247</v>
      </c>
      <c r="S23" s="106">
        <f t="shared" si="6"/>
        <v>547495.30524984247</v>
      </c>
      <c r="T23" s="106">
        <f t="shared" si="6"/>
        <v>547495.30524984247</v>
      </c>
      <c r="U23" s="106">
        <f t="shared" si="6"/>
        <v>486662.49355541548</v>
      </c>
      <c r="V23" s="106">
        <f t="shared" si="6"/>
        <v>486662.49355541548</v>
      </c>
      <c r="W23" s="106">
        <f t="shared" si="6"/>
        <v>486662.49355541548</v>
      </c>
      <c r="X23" s="106">
        <f t="shared" si="6"/>
        <v>486662.49355541548</v>
      </c>
      <c r="Y23" s="106">
        <f t="shared" si="6"/>
        <v>486662.49355541548</v>
      </c>
      <c r="Z23" s="106">
        <f t="shared" si="6"/>
        <v>486662.49355541548</v>
      </c>
      <c r="AA23" s="106">
        <f t="shared" si="6"/>
        <v>486662.49355541548</v>
      </c>
      <c r="AB23" s="106">
        <f t="shared" si="6"/>
        <v>486662.49355541548</v>
      </c>
      <c r="AC23" s="106">
        <f t="shared" si="6"/>
        <v>547495.30524984247</v>
      </c>
      <c r="AD23" s="106">
        <f t="shared" si="6"/>
        <v>547495.30524984247</v>
      </c>
      <c r="AE23" s="106">
        <f t="shared" si="6"/>
        <v>547495.30524984247</v>
      </c>
      <c r="AF23" s="106">
        <f t="shared" si="6"/>
        <v>547495.30524984247</v>
      </c>
      <c r="AG23" s="106">
        <f t="shared" si="6"/>
        <v>486662.49355541548</v>
      </c>
      <c r="AH23" s="106">
        <f t="shared" si="6"/>
        <v>486662.49355541548</v>
      </c>
      <c r="AI23" s="106">
        <f t="shared" si="6"/>
        <v>486662.49355541548</v>
      </c>
      <c r="AJ23" s="106">
        <f t="shared" si="6"/>
        <v>486662.49355541548</v>
      </c>
      <c r="AK23" s="106">
        <f t="shared" si="6"/>
        <v>486662.49355541548</v>
      </c>
      <c r="AL23" s="106">
        <f t="shared" si="6"/>
        <v>486662.49355541548</v>
      </c>
      <c r="AM23" s="106">
        <f t="shared" si="6"/>
        <v>486662.49355541548</v>
      </c>
      <c r="AN23" s="106">
        <f t="shared" si="6"/>
        <v>486662.49355541548</v>
      </c>
      <c r="AO23" s="106">
        <f t="shared" si="6"/>
        <v>547495.30524984247</v>
      </c>
      <c r="AP23" s="106">
        <f t="shared" si="6"/>
        <v>547495.30524984247</v>
      </c>
      <c r="AQ23" s="106">
        <f t="shared" si="6"/>
        <v>547495.30524984247</v>
      </c>
      <c r="AR23" s="106">
        <f t="shared" si="6"/>
        <v>547495.30524984247</v>
      </c>
      <c r="AS23" s="106">
        <f t="shared" si="6"/>
        <v>486662.49355541548</v>
      </c>
      <c r="AT23" s="106">
        <f t="shared" si="6"/>
        <v>0</v>
      </c>
      <c r="AU23" s="106">
        <f t="shared" si="6"/>
        <v>973324.98711083096</v>
      </c>
      <c r="AV23" s="106">
        <f t="shared" si="6"/>
        <v>486662.49355541548</v>
      </c>
      <c r="AW23" s="106">
        <f t="shared" si="6"/>
        <v>486662.49355541548</v>
      </c>
      <c r="AX23" s="106">
        <f t="shared" si="6"/>
        <v>486662.49355541548</v>
      </c>
      <c r="AY23" s="106">
        <f t="shared" si="6"/>
        <v>486662.49355541548</v>
      </c>
      <c r="AZ23" s="145">
        <f t="shared" si="5"/>
        <v>23846462.184215363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61</v>
      </c>
      <c r="D27" s="130">
        <f>C$27-C$28+C$29</f>
        <v>61</v>
      </c>
      <c r="E27" s="130">
        <f t="shared" ref="E27:AY27" si="8">D27-D28+D29</f>
        <v>61</v>
      </c>
      <c r="F27" s="130">
        <f t="shared" si="8"/>
        <v>51</v>
      </c>
      <c r="G27" s="130">
        <f t="shared" si="8"/>
        <v>51</v>
      </c>
      <c r="H27" s="130">
        <f t="shared" si="8"/>
        <v>51</v>
      </c>
      <c r="I27" s="130">
        <f t="shared" si="8"/>
        <v>51</v>
      </c>
      <c r="J27" s="130">
        <f t="shared" si="8"/>
        <v>52</v>
      </c>
      <c r="K27" s="130">
        <f t="shared" si="8"/>
        <v>52</v>
      </c>
      <c r="L27" s="130">
        <f t="shared" si="8"/>
        <v>52</v>
      </c>
      <c r="M27" s="130">
        <f t="shared" si="8"/>
        <v>52</v>
      </c>
      <c r="N27" s="130">
        <f t="shared" si="8"/>
        <v>52</v>
      </c>
      <c r="O27" s="130">
        <f t="shared" si="8"/>
        <v>52</v>
      </c>
      <c r="P27" s="130">
        <f t="shared" si="8"/>
        <v>52</v>
      </c>
      <c r="Q27" s="130">
        <f t="shared" si="8"/>
        <v>52</v>
      </c>
      <c r="R27" s="130">
        <f t="shared" si="8"/>
        <v>51</v>
      </c>
      <c r="S27" s="130">
        <f t="shared" si="8"/>
        <v>51</v>
      </c>
      <c r="T27" s="130">
        <f t="shared" si="8"/>
        <v>51</v>
      </c>
      <c r="U27" s="130">
        <f t="shared" si="8"/>
        <v>51</v>
      </c>
      <c r="V27" s="130">
        <f t="shared" si="8"/>
        <v>52</v>
      </c>
      <c r="W27" s="130">
        <f t="shared" si="8"/>
        <v>52</v>
      </c>
      <c r="X27" s="130">
        <f t="shared" si="8"/>
        <v>52</v>
      </c>
      <c r="Y27" s="130">
        <f t="shared" si="8"/>
        <v>52</v>
      </c>
      <c r="Z27" s="130">
        <f t="shared" si="8"/>
        <v>52</v>
      </c>
      <c r="AA27" s="130">
        <f t="shared" si="8"/>
        <v>52</v>
      </c>
      <c r="AB27" s="130">
        <f t="shared" si="8"/>
        <v>52</v>
      </c>
      <c r="AC27" s="130">
        <f t="shared" si="8"/>
        <v>52</v>
      </c>
      <c r="AD27" s="130">
        <f t="shared" si="8"/>
        <v>51</v>
      </c>
      <c r="AE27" s="130">
        <f t="shared" si="8"/>
        <v>51</v>
      </c>
      <c r="AF27" s="130">
        <f t="shared" si="8"/>
        <v>51</v>
      </c>
      <c r="AG27" s="130">
        <f t="shared" si="8"/>
        <v>51</v>
      </c>
      <c r="AH27" s="130">
        <f t="shared" si="8"/>
        <v>52</v>
      </c>
      <c r="AI27" s="130">
        <f t="shared" si="8"/>
        <v>52</v>
      </c>
      <c r="AJ27" s="130">
        <f t="shared" si="8"/>
        <v>52</v>
      </c>
      <c r="AK27" s="130">
        <f t="shared" si="8"/>
        <v>52</v>
      </c>
      <c r="AL27" s="130">
        <f t="shared" si="8"/>
        <v>52</v>
      </c>
      <c r="AM27" s="130">
        <f t="shared" si="8"/>
        <v>52</v>
      </c>
      <c r="AN27" s="130">
        <f t="shared" si="8"/>
        <v>52</v>
      </c>
      <c r="AO27" s="130">
        <f t="shared" si="8"/>
        <v>52</v>
      </c>
      <c r="AP27" s="130">
        <f t="shared" si="8"/>
        <v>51</v>
      </c>
      <c r="AQ27" s="130">
        <f t="shared" si="8"/>
        <v>51</v>
      </c>
      <c r="AR27" s="130">
        <f t="shared" si="8"/>
        <v>51</v>
      </c>
      <c r="AS27" s="130">
        <f t="shared" si="8"/>
        <v>51</v>
      </c>
      <c r="AT27" s="130">
        <f t="shared" si="8"/>
        <v>52</v>
      </c>
      <c r="AU27" s="130">
        <f t="shared" si="8"/>
        <v>61</v>
      </c>
      <c r="AV27" s="130">
        <f t="shared" si="8"/>
        <v>44</v>
      </c>
      <c r="AW27" s="130">
        <f t="shared" si="8"/>
        <v>52</v>
      </c>
      <c r="AX27" s="130">
        <f t="shared" si="8"/>
        <v>52</v>
      </c>
      <c r="AY27" s="170">
        <f t="shared" si="8"/>
        <v>52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10</v>
      </c>
      <c r="F28" s="116">
        <v>10</v>
      </c>
      <c r="G28" s="116">
        <v>10</v>
      </c>
      <c r="H28" s="116">
        <v>10</v>
      </c>
      <c r="I28" s="116">
        <v>9</v>
      </c>
      <c r="J28" s="116">
        <v>9</v>
      </c>
      <c r="K28" s="116">
        <v>9</v>
      </c>
      <c r="L28" s="116">
        <v>9</v>
      </c>
      <c r="M28" s="116">
        <v>9</v>
      </c>
      <c r="N28" s="116">
        <v>9</v>
      </c>
      <c r="O28" s="116">
        <v>9</v>
      </c>
      <c r="P28" s="116">
        <v>9</v>
      </c>
      <c r="Q28" s="116">
        <v>10</v>
      </c>
      <c r="R28" s="116">
        <v>10</v>
      </c>
      <c r="S28" s="116">
        <v>10</v>
      </c>
      <c r="T28" s="116">
        <v>10</v>
      </c>
      <c r="U28" s="116">
        <v>9</v>
      </c>
      <c r="V28" s="116">
        <v>9</v>
      </c>
      <c r="W28" s="116">
        <v>9</v>
      </c>
      <c r="X28" s="116">
        <v>9</v>
      </c>
      <c r="Y28" s="116">
        <v>9</v>
      </c>
      <c r="Z28" s="116">
        <v>9</v>
      </c>
      <c r="AA28" s="116">
        <v>9</v>
      </c>
      <c r="AB28" s="116">
        <v>9</v>
      </c>
      <c r="AC28" s="116">
        <v>10</v>
      </c>
      <c r="AD28" s="116">
        <v>10</v>
      </c>
      <c r="AE28" s="116">
        <v>10</v>
      </c>
      <c r="AF28" s="116">
        <v>10</v>
      </c>
      <c r="AG28" s="116">
        <v>9</v>
      </c>
      <c r="AH28" s="116">
        <v>9</v>
      </c>
      <c r="AI28" s="116">
        <v>9</v>
      </c>
      <c r="AJ28" s="116">
        <v>9</v>
      </c>
      <c r="AK28" s="116">
        <v>9</v>
      </c>
      <c r="AL28" s="116">
        <v>9</v>
      </c>
      <c r="AM28" s="116">
        <v>9</v>
      </c>
      <c r="AN28" s="116">
        <v>9</v>
      </c>
      <c r="AO28" s="116">
        <v>10</v>
      </c>
      <c r="AP28" s="116">
        <v>10</v>
      </c>
      <c r="AQ28" s="116">
        <v>10</v>
      </c>
      <c r="AR28" s="116">
        <v>10</v>
      </c>
      <c r="AS28" s="116">
        <v>9</v>
      </c>
      <c r="AT28" s="116">
        <v>0</v>
      </c>
      <c r="AU28" s="116">
        <v>17</v>
      </c>
      <c r="AV28" s="116">
        <v>9</v>
      </c>
      <c r="AW28" s="116">
        <v>9</v>
      </c>
      <c r="AX28" s="116">
        <v>9</v>
      </c>
      <c r="AY28" s="172">
        <v>9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10</v>
      </c>
      <c r="G29" s="131">
        <f t="shared" si="9"/>
        <v>10</v>
      </c>
      <c r="H29" s="131">
        <f t="shared" si="9"/>
        <v>10</v>
      </c>
      <c r="I29" s="131">
        <f t="shared" si="9"/>
        <v>10</v>
      </c>
      <c r="J29" s="131">
        <f t="shared" si="9"/>
        <v>9</v>
      </c>
      <c r="K29" s="131">
        <f t="shared" si="9"/>
        <v>9</v>
      </c>
      <c r="L29" s="131">
        <f t="shared" si="9"/>
        <v>9</v>
      </c>
      <c r="M29" s="131">
        <f t="shared" si="9"/>
        <v>9</v>
      </c>
      <c r="N29" s="131">
        <f t="shared" si="9"/>
        <v>9</v>
      </c>
      <c r="O29" s="131">
        <f t="shared" si="9"/>
        <v>9</v>
      </c>
      <c r="P29" s="131">
        <f t="shared" si="9"/>
        <v>9</v>
      </c>
      <c r="Q29" s="131">
        <f t="shared" si="9"/>
        <v>9</v>
      </c>
      <c r="R29" s="131">
        <f t="shared" si="9"/>
        <v>10</v>
      </c>
      <c r="S29" s="131">
        <f t="shared" si="9"/>
        <v>10</v>
      </c>
      <c r="T29" s="131">
        <f t="shared" si="9"/>
        <v>10</v>
      </c>
      <c r="U29" s="131">
        <f t="shared" si="9"/>
        <v>10</v>
      </c>
      <c r="V29" s="131">
        <f t="shared" si="9"/>
        <v>9</v>
      </c>
      <c r="W29" s="131">
        <f t="shared" si="9"/>
        <v>9</v>
      </c>
      <c r="X29" s="131">
        <f t="shared" si="9"/>
        <v>9</v>
      </c>
      <c r="Y29" s="131">
        <f t="shared" si="9"/>
        <v>9</v>
      </c>
      <c r="Z29" s="131">
        <f t="shared" si="9"/>
        <v>9</v>
      </c>
      <c r="AA29" s="131">
        <f t="shared" si="9"/>
        <v>9</v>
      </c>
      <c r="AB29" s="131">
        <f t="shared" si="9"/>
        <v>9</v>
      </c>
      <c r="AC29" s="131">
        <f t="shared" si="9"/>
        <v>9</v>
      </c>
      <c r="AD29" s="131">
        <f t="shared" si="9"/>
        <v>10</v>
      </c>
      <c r="AE29" s="131">
        <f t="shared" si="9"/>
        <v>10</v>
      </c>
      <c r="AF29" s="131">
        <f t="shared" si="9"/>
        <v>10</v>
      </c>
      <c r="AG29" s="131">
        <f t="shared" si="9"/>
        <v>10</v>
      </c>
      <c r="AH29" s="131">
        <f t="shared" si="9"/>
        <v>9</v>
      </c>
      <c r="AI29" s="131">
        <f t="shared" si="9"/>
        <v>9</v>
      </c>
      <c r="AJ29" s="131">
        <f t="shared" si="9"/>
        <v>9</v>
      </c>
      <c r="AK29" s="131">
        <f t="shared" si="9"/>
        <v>9</v>
      </c>
      <c r="AL29" s="131">
        <f t="shared" si="9"/>
        <v>9</v>
      </c>
      <c r="AM29" s="131">
        <f t="shared" si="9"/>
        <v>9</v>
      </c>
      <c r="AN29" s="131">
        <f t="shared" si="9"/>
        <v>9</v>
      </c>
      <c r="AO29" s="131">
        <f t="shared" si="9"/>
        <v>9</v>
      </c>
      <c r="AP29" s="131">
        <f t="shared" si="9"/>
        <v>10</v>
      </c>
      <c r="AQ29" s="131">
        <f t="shared" si="9"/>
        <v>10</v>
      </c>
      <c r="AR29" s="131">
        <f t="shared" si="9"/>
        <v>10</v>
      </c>
      <c r="AS29" s="131">
        <f t="shared" si="9"/>
        <v>10</v>
      </c>
      <c r="AT29" s="131">
        <f t="shared" si="9"/>
        <v>9</v>
      </c>
      <c r="AU29" s="131">
        <f t="shared" si="9"/>
        <v>0</v>
      </c>
      <c r="AV29" s="131">
        <f t="shared" si="9"/>
        <v>17</v>
      </c>
      <c r="AW29" s="131">
        <f t="shared" si="9"/>
        <v>9</v>
      </c>
      <c r="AX29" s="131">
        <f t="shared" si="9"/>
        <v>9</v>
      </c>
      <c r="AY29" s="173">
        <f t="shared" si="9"/>
        <v>9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610</v>
      </c>
      <c r="E30" s="123">
        <f t="shared" ref="E30:AY30" si="10">E$27*$B$30</f>
        <v>610</v>
      </c>
      <c r="F30" s="123">
        <f t="shared" si="10"/>
        <v>510</v>
      </c>
      <c r="G30" s="123">
        <f t="shared" si="10"/>
        <v>510</v>
      </c>
      <c r="H30" s="123">
        <f t="shared" si="10"/>
        <v>510</v>
      </c>
      <c r="I30" s="123">
        <f t="shared" si="10"/>
        <v>510</v>
      </c>
      <c r="J30" s="123">
        <f t="shared" si="10"/>
        <v>520</v>
      </c>
      <c r="K30" s="123">
        <f t="shared" si="10"/>
        <v>520</v>
      </c>
      <c r="L30" s="123">
        <f t="shared" si="10"/>
        <v>520</v>
      </c>
      <c r="M30" s="123">
        <f t="shared" si="10"/>
        <v>520</v>
      </c>
      <c r="N30" s="123">
        <f t="shared" si="10"/>
        <v>520</v>
      </c>
      <c r="O30" s="123">
        <f t="shared" si="10"/>
        <v>520</v>
      </c>
      <c r="P30" s="123">
        <f t="shared" si="10"/>
        <v>520</v>
      </c>
      <c r="Q30" s="123">
        <f t="shared" si="10"/>
        <v>520</v>
      </c>
      <c r="R30" s="123">
        <f>R$27*$B$30</f>
        <v>510</v>
      </c>
      <c r="S30" s="123">
        <f t="shared" si="10"/>
        <v>510</v>
      </c>
      <c r="T30" s="123">
        <f t="shared" si="10"/>
        <v>510</v>
      </c>
      <c r="U30" s="123">
        <f t="shared" si="10"/>
        <v>510</v>
      </c>
      <c r="V30" s="123">
        <f t="shared" si="10"/>
        <v>520</v>
      </c>
      <c r="W30" s="123">
        <f t="shared" si="10"/>
        <v>520</v>
      </c>
      <c r="X30" s="123">
        <f t="shared" si="10"/>
        <v>520</v>
      </c>
      <c r="Y30" s="123">
        <f t="shared" si="10"/>
        <v>520</v>
      </c>
      <c r="Z30" s="123">
        <f t="shared" si="10"/>
        <v>520</v>
      </c>
      <c r="AA30" s="123">
        <f t="shared" si="10"/>
        <v>520</v>
      </c>
      <c r="AB30" s="123">
        <f t="shared" si="10"/>
        <v>520</v>
      </c>
      <c r="AC30" s="123">
        <f t="shared" si="10"/>
        <v>520</v>
      </c>
      <c r="AD30" s="123">
        <f t="shared" si="10"/>
        <v>510</v>
      </c>
      <c r="AE30" s="123">
        <f>AE$27*$B$30</f>
        <v>510</v>
      </c>
      <c r="AF30" s="123">
        <f t="shared" si="10"/>
        <v>510</v>
      </c>
      <c r="AG30" s="123">
        <f t="shared" si="10"/>
        <v>510</v>
      </c>
      <c r="AH30" s="123">
        <f t="shared" si="10"/>
        <v>520</v>
      </c>
      <c r="AI30" s="123">
        <f t="shared" si="10"/>
        <v>520</v>
      </c>
      <c r="AJ30" s="123">
        <f t="shared" si="10"/>
        <v>520</v>
      </c>
      <c r="AK30" s="123">
        <f t="shared" si="10"/>
        <v>520</v>
      </c>
      <c r="AL30" s="123">
        <f t="shared" si="10"/>
        <v>520</v>
      </c>
      <c r="AM30" s="123">
        <f t="shared" si="10"/>
        <v>520</v>
      </c>
      <c r="AN30" s="123">
        <f t="shared" si="10"/>
        <v>520</v>
      </c>
      <c r="AO30" s="123">
        <f t="shared" si="10"/>
        <v>520</v>
      </c>
      <c r="AP30" s="123">
        <f t="shared" si="10"/>
        <v>510</v>
      </c>
      <c r="AQ30" s="123">
        <f t="shared" si="10"/>
        <v>510</v>
      </c>
      <c r="AR30" s="123">
        <f t="shared" si="10"/>
        <v>510</v>
      </c>
      <c r="AS30" s="123">
        <f t="shared" si="10"/>
        <v>510</v>
      </c>
      <c r="AT30" s="123">
        <f t="shared" si="10"/>
        <v>520</v>
      </c>
      <c r="AU30" s="123">
        <f t="shared" si="10"/>
        <v>610</v>
      </c>
      <c r="AV30" s="123">
        <f t="shared" si="10"/>
        <v>440</v>
      </c>
      <c r="AW30" s="123">
        <f t="shared" si="10"/>
        <v>520</v>
      </c>
      <c r="AX30" s="123">
        <f t="shared" si="10"/>
        <v>520</v>
      </c>
      <c r="AY30" s="123">
        <f t="shared" si="10"/>
        <v>520</v>
      </c>
      <c r="AZ30" s="147">
        <f t="shared" si="5"/>
        <v>24990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D$21*shipping_manufacturing!$D$27/100</f>
        <v>0</v>
      </c>
      <c r="E33" s="130">
        <f>E$21*shipping_manufacturing!$D$27/100</f>
        <v>273.74765262492122</v>
      </c>
      <c r="F33" s="130">
        <f>F$21*shipping_manufacturing!$D$27/100</f>
        <v>273.74765262492122</v>
      </c>
      <c r="G33" s="130">
        <f>G$21*shipping_manufacturing!$D$27/100</f>
        <v>273.74765262492122</v>
      </c>
      <c r="H33" s="130">
        <f>H$21*shipping_manufacturing!$D$27/100</f>
        <v>273.74765262492122</v>
      </c>
      <c r="I33" s="130">
        <f>I$21*shipping_manufacturing!$D$27/100</f>
        <v>243.33124677770775</v>
      </c>
      <c r="J33" s="130">
        <f>J$21*shipping_manufacturing!$D$27/100</f>
        <v>243.33124677770775</v>
      </c>
      <c r="K33" s="130">
        <f>K$21*shipping_manufacturing!$D$27/100</f>
        <v>243.33124677770775</v>
      </c>
      <c r="L33" s="130">
        <f>L$21*shipping_manufacturing!$D$27/100</f>
        <v>243.33124677770775</v>
      </c>
      <c r="M33" s="130">
        <f>M$21*shipping_manufacturing!$D$27/100</f>
        <v>243.33124677770775</v>
      </c>
      <c r="N33" s="130">
        <f>N$21*shipping_manufacturing!$D$27/100</f>
        <v>243.33124677770775</v>
      </c>
      <c r="O33" s="130">
        <f>O$21*shipping_manufacturing!$D$27/100</f>
        <v>243.33124677770775</v>
      </c>
      <c r="P33" s="130">
        <f>P$21*shipping_manufacturing!$D$27/100</f>
        <v>243.33124677770775</v>
      </c>
      <c r="Q33" s="130">
        <f>Q$21*shipping_manufacturing!$D$27/100</f>
        <v>273.74765262492122</v>
      </c>
      <c r="R33" s="130">
        <f>R$21*shipping_manufacturing!$D$27/100</f>
        <v>273.74765262492122</v>
      </c>
      <c r="S33" s="130">
        <f>S$21*shipping_manufacturing!$D$27/100</f>
        <v>273.74765262492122</v>
      </c>
      <c r="T33" s="130">
        <f>T$21*shipping_manufacturing!$D$27/100</f>
        <v>273.74765262492122</v>
      </c>
      <c r="U33" s="130">
        <f>U$21*shipping_manufacturing!$D$27/100</f>
        <v>243.33124677770775</v>
      </c>
      <c r="V33" s="130">
        <f>V$21*shipping_manufacturing!$D$27/100</f>
        <v>243.33124677770775</v>
      </c>
      <c r="W33" s="130">
        <f>W$21*shipping_manufacturing!$D$27/100</f>
        <v>243.33124677770775</v>
      </c>
      <c r="X33" s="130">
        <f>X$21*shipping_manufacturing!$D$27/100</f>
        <v>243.33124677770775</v>
      </c>
      <c r="Y33" s="130">
        <f>Y$21*shipping_manufacturing!$D$27/100</f>
        <v>243.33124677770775</v>
      </c>
      <c r="Z33" s="130">
        <f>Z$21*shipping_manufacturing!$D$27/100</f>
        <v>243.33124677770775</v>
      </c>
      <c r="AA33" s="130">
        <f>AA$21*shipping_manufacturing!$D$27/100</f>
        <v>243.33124677770775</v>
      </c>
      <c r="AB33" s="130">
        <f>AB$21*shipping_manufacturing!$D$27/100</f>
        <v>243.33124677770775</v>
      </c>
      <c r="AC33" s="130">
        <f>AC$21*shipping_manufacturing!$D$27/100</f>
        <v>273.74765262492122</v>
      </c>
      <c r="AD33" s="130">
        <f>AD$21*shipping_manufacturing!$D$27/100</f>
        <v>273.74765262492122</v>
      </c>
      <c r="AE33" s="130">
        <f>AE$21*shipping_manufacturing!$D$27/100</f>
        <v>273.74765262492122</v>
      </c>
      <c r="AF33" s="130">
        <f>AF$21*shipping_manufacturing!$D$27/100</f>
        <v>273.74765262492122</v>
      </c>
      <c r="AG33" s="130">
        <f>AG$21*shipping_manufacturing!$D$27/100</f>
        <v>243.33124677770775</v>
      </c>
      <c r="AH33" s="130">
        <f>AH$21*shipping_manufacturing!$D$27/100</f>
        <v>243.33124677770775</v>
      </c>
      <c r="AI33" s="130">
        <f>AI$21*shipping_manufacturing!$D$27/100</f>
        <v>243.33124677770775</v>
      </c>
      <c r="AJ33" s="130">
        <f>AJ$21*shipping_manufacturing!$D$27/100</f>
        <v>243.33124677770775</v>
      </c>
      <c r="AK33" s="130">
        <f>AK$21*shipping_manufacturing!$D$27/100</f>
        <v>243.33124677770775</v>
      </c>
      <c r="AL33" s="130">
        <f>AL$21*shipping_manufacturing!$D$27/100</f>
        <v>243.33124677770775</v>
      </c>
      <c r="AM33" s="130">
        <f>AM$21*shipping_manufacturing!$D$27/100</f>
        <v>243.33124677770775</v>
      </c>
      <c r="AN33" s="130">
        <f>AN$21*shipping_manufacturing!$D$27/100</f>
        <v>243.33124677770775</v>
      </c>
      <c r="AO33" s="130">
        <f>AO$21*shipping_manufacturing!$D$27/100</f>
        <v>273.74765262492122</v>
      </c>
      <c r="AP33" s="130">
        <f>AP$21*shipping_manufacturing!$D$27/100</f>
        <v>273.74765262492122</v>
      </c>
      <c r="AQ33" s="130">
        <f>AQ$21*shipping_manufacturing!$D$27/100</f>
        <v>273.74765262492122</v>
      </c>
      <c r="AR33" s="130">
        <f>AR$21*shipping_manufacturing!$D$27/100</f>
        <v>273.74765262492122</v>
      </c>
      <c r="AS33" s="130">
        <f>AS$21*shipping_manufacturing!$D$27/100</f>
        <v>243.33124677770775</v>
      </c>
      <c r="AT33" s="130">
        <f>AT$21*shipping_manufacturing!$D$27/100</f>
        <v>0</v>
      </c>
      <c r="AU33" s="130">
        <f>AU$21*shipping_manufacturing!$D$27/100</f>
        <v>486.66249355541549</v>
      </c>
      <c r="AV33" s="130">
        <f>AV$21*shipping_manufacturing!$D$27/100</f>
        <v>243.33124677770775</v>
      </c>
      <c r="AW33" s="130">
        <f>AW$21*shipping_manufacturing!$D$27/100</f>
        <v>243.33124677770775</v>
      </c>
      <c r="AX33" s="130">
        <f>AX$21*shipping_manufacturing!$D$27/100</f>
        <v>243.33124677770775</v>
      </c>
      <c r="AY33" s="130">
        <f>AY$21*shipping_manufacturing!$D$27/100</f>
        <v>243.33124677770775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D$22*shipping_manufacturing!$E$27/100</f>
        <v>0</v>
      </c>
      <c r="E34" s="116">
        <f>E$22*shipping_manufacturing!$E$27/100</f>
        <v>0</v>
      </c>
      <c r="F34" s="116">
        <f>F$22*shipping_manufacturing!$E$27/100</f>
        <v>0</v>
      </c>
      <c r="G34" s="116">
        <f>G$22*shipping_manufacturing!$E$27/100</f>
        <v>0</v>
      </c>
      <c r="H34" s="116">
        <f>H$22*shipping_manufacturing!$E$27/100</f>
        <v>0</v>
      </c>
      <c r="I34" s="116">
        <f>I$22*shipping_manufacturing!$E$27/100</f>
        <v>0</v>
      </c>
      <c r="J34" s="116">
        <f>J$22*shipping_manufacturing!$E$27/100</f>
        <v>0</v>
      </c>
      <c r="K34" s="116">
        <f>K$22*shipping_manufacturing!$E$27/100</f>
        <v>0</v>
      </c>
      <c r="L34" s="116">
        <f>L$22*shipping_manufacturing!$E$27/100</f>
        <v>0</v>
      </c>
      <c r="M34" s="116">
        <f>M$22*shipping_manufacturing!$E$27/100</f>
        <v>0</v>
      </c>
      <c r="N34" s="116">
        <f>N$22*shipping_manufacturing!$E$27/100</f>
        <v>0</v>
      </c>
      <c r="O34" s="116">
        <f>O$22*shipping_manufacturing!$E$27/100</f>
        <v>0</v>
      </c>
      <c r="P34" s="116">
        <f>P$22*shipping_manufacturing!$E$27/100</f>
        <v>0</v>
      </c>
      <c r="Q34" s="116">
        <f>Q$22*shipping_manufacturing!$E$27/100</f>
        <v>0</v>
      </c>
      <c r="R34" s="116">
        <f>R$22*shipping_manufacturing!$E$27/100</f>
        <v>0</v>
      </c>
      <c r="S34" s="116">
        <f>S$22*shipping_manufacturing!$E$27/100</f>
        <v>0</v>
      </c>
      <c r="T34" s="116">
        <f>T$22*shipping_manufacturing!$E$27/100</f>
        <v>0</v>
      </c>
      <c r="U34" s="116">
        <f>U$22*shipping_manufacturing!$E$27/100</f>
        <v>0</v>
      </c>
      <c r="V34" s="116">
        <f>V$22*shipping_manufacturing!$E$27/100</f>
        <v>0</v>
      </c>
      <c r="W34" s="116">
        <f>W$22*shipping_manufacturing!$E$27/100</f>
        <v>0</v>
      </c>
      <c r="X34" s="116">
        <f>X$22*shipping_manufacturing!$E$27/100</f>
        <v>0</v>
      </c>
      <c r="Y34" s="116">
        <f>Y$22*shipping_manufacturing!$E$27/100</f>
        <v>0</v>
      </c>
      <c r="Z34" s="116">
        <f>Z$22*shipping_manufacturing!$E$27/100</f>
        <v>0</v>
      </c>
      <c r="AA34" s="116">
        <f>AA$22*shipping_manufacturing!$E$27/100</f>
        <v>0</v>
      </c>
      <c r="AB34" s="116">
        <f>AB$22*shipping_manufacturing!$E$27/100</f>
        <v>0</v>
      </c>
      <c r="AC34" s="116">
        <f>AC$22*shipping_manufacturing!$E$27/100</f>
        <v>0</v>
      </c>
      <c r="AD34" s="116">
        <f>AD$22*shipping_manufacturing!$E$27/100</f>
        <v>0</v>
      </c>
      <c r="AE34" s="116">
        <f>AE$22*shipping_manufacturing!$E$27/100</f>
        <v>0</v>
      </c>
      <c r="AF34" s="116">
        <f>AF$22*shipping_manufacturing!$E$27/100</f>
        <v>0</v>
      </c>
      <c r="AG34" s="116">
        <f>AG$22*shipping_manufacturing!$E$27/100</f>
        <v>0</v>
      </c>
      <c r="AH34" s="116">
        <f>AH$22*shipping_manufacturing!$E$27/100</f>
        <v>0</v>
      </c>
      <c r="AI34" s="116">
        <f>AI$22*shipping_manufacturing!$E$27/100</f>
        <v>0</v>
      </c>
      <c r="AJ34" s="116">
        <f>AJ$22*shipping_manufacturing!$E$27/100</f>
        <v>0</v>
      </c>
      <c r="AK34" s="116">
        <f>AK$22*shipping_manufacturing!$E$27/100</f>
        <v>0</v>
      </c>
      <c r="AL34" s="116">
        <f>AL$22*shipping_manufacturing!$E$27/100</f>
        <v>0</v>
      </c>
      <c r="AM34" s="116">
        <f>AM$22*shipping_manufacturing!$E$27/100</f>
        <v>0</v>
      </c>
      <c r="AN34" s="116">
        <f>AN$22*shipping_manufacturing!$E$27/100</f>
        <v>0</v>
      </c>
      <c r="AO34" s="116">
        <f>AO$22*shipping_manufacturing!$E$27/100</f>
        <v>0</v>
      </c>
      <c r="AP34" s="116">
        <f>AP$22*shipping_manufacturing!$E$27/100</f>
        <v>0</v>
      </c>
      <c r="AQ34" s="116">
        <f>AQ$22*shipping_manufacturing!$E$27/100</f>
        <v>0</v>
      </c>
      <c r="AR34" s="116">
        <f>AR$22*shipping_manufacturing!$E$27/100</f>
        <v>0</v>
      </c>
      <c r="AS34" s="116">
        <f>AS$22*shipping_manufacturing!$E$27/100</f>
        <v>0</v>
      </c>
      <c r="AT34" s="116">
        <f>AT$22*shipping_manufacturing!$E$27/100</f>
        <v>0</v>
      </c>
      <c r="AU34" s="116">
        <f>AU$22*shipping_manufacturing!$E$27/100</f>
        <v>0</v>
      </c>
      <c r="AV34" s="116">
        <f>AV$22*shipping_manufacturing!$E$27/100</f>
        <v>0</v>
      </c>
      <c r="AW34" s="116">
        <f>AW$22*shipping_manufacturing!$E$27/100</f>
        <v>0</v>
      </c>
      <c r="AX34" s="116">
        <f>AX$22*shipping_manufacturing!$E$27/100</f>
        <v>0</v>
      </c>
      <c r="AY34" s="116">
        <f>AY$22*shipping_manufacturing!$E$27/100</f>
        <v>0</v>
      </c>
    </row>
    <row r="35" spans="1:52" x14ac:dyDescent="0.2">
      <c r="A35" s="116">
        <v>1335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273.74765262492122</v>
      </c>
      <c r="F35" s="116">
        <f t="shared" si="11"/>
        <v>273.74765262492122</v>
      </c>
      <c r="G35" s="116">
        <f t="shared" si="11"/>
        <v>273.74765262492122</v>
      </c>
      <c r="H35" s="116">
        <f t="shared" si="11"/>
        <v>273.74765262492122</v>
      </c>
      <c r="I35" s="116">
        <f t="shared" si="11"/>
        <v>243.33124677770775</v>
      </c>
      <c r="J35" s="116">
        <f t="shared" si="11"/>
        <v>243.33124677770775</v>
      </c>
      <c r="K35" s="116">
        <f t="shared" si="11"/>
        <v>243.33124677770775</v>
      </c>
      <c r="L35" s="116">
        <f t="shared" si="11"/>
        <v>243.33124677770775</v>
      </c>
      <c r="M35" s="116">
        <f t="shared" si="11"/>
        <v>243.33124677770775</v>
      </c>
      <c r="N35" s="116">
        <f t="shared" si="11"/>
        <v>243.33124677770775</v>
      </c>
      <c r="O35" s="116">
        <f t="shared" si="11"/>
        <v>243.33124677770775</v>
      </c>
      <c r="P35" s="116">
        <f t="shared" si="11"/>
        <v>243.33124677770775</v>
      </c>
      <c r="Q35" s="116">
        <f t="shared" si="11"/>
        <v>273.74765262492122</v>
      </c>
      <c r="R35" s="116">
        <f t="shared" si="11"/>
        <v>273.74765262492122</v>
      </c>
      <c r="S35" s="116">
        <f t="shared" si="11"/>
        <v>273.74765262492122</v>
      </c>
      <c r="T35" s="116">
        <f t="shared" si="11"/>
        <v>273.74765262492122</v>
      </c>
      <c r="U35" s="116">
        <f t="shared" si="11"/>
        <v>243.33124677770775</v>
      </c>
      <c r="V35" s="116">
        <f t="shared" si="11"/>
        <v>243.33124677770775</v>
      </c>
      <c r="W35" s="116">
        <f t="shared" si="11"/>
        <v>243.33124677770775</v>
      </c>
      <c r="X35" s="116">
        <f t="shared" si="11"/>
        <v>243.33124677770775</v>
      </c>
      <c r="Y35" s="116">
        <f t="shared" si="11"/>
        <v>243.33124677770775</v>
      </c>
      <c r="Z35" s="116">
        <f t="shared" si="11"/>
        <v>243.33124677770775</v>
      </c>
      <c r="AA35" s="116">
        <f t="shared" si="11"/>
        <v>243.33124677770775</v>
      </c>
      <c r="AB35" s="116">
        <f t="shared" si="11"/>
        <v>243.33124677770775</v>
      </c>
      <c r="AC35" s="116">
        <f t="shared" si="11"/>
        <v>273.74765262492122</v>
      </c>
      <c r="AD35" s="116">
        <f t="shared" si="11"/>
        <v>273.74765262492122</v>
      </c>
      <c r="AE35" s="116">
        <f t="shared" si="11"/>
        <v>273.74765262492122</v>
      </c>
      <c r="AF35" s="116">
        <f t="shared" si="11"/>
        <v>273.74765262492122</v>
      </c>
      <c r="AG35" s="116">
        <f t="shared" si="11"/>
        <v>243.33124677770775</v>
      </c>
      <c r="AH35" s="116">
        <f t="shared" si="11"/>
        <v>243.33124677770775</v>
      </c>
      <c r="AI35" s="116">
        <f t="shared" si="11"/>
        <v>243.33124677770775</v>
      </c>
      <c r="AJ35" s="116">
        <f t="shared" si="11"/>
        <v>243.33124677770775</v>
      </c>
      <c r="AK35" s="116">
        <f t="shared" si="11"/>
        <v>243.33124677770775</v>
      </c>
      <c r="AL35" s="116">
        <f t="shared" si="11"/>
        <v>243.33124677770775</v>
      </c>
      <c r="AM35" s="116">
        <f t="shared" si="11"/>
        <v>243.33124677770775</v>
      </c>
      <c r="AN35" s="116">
        <f t="shared" si="11"/>
        <v>243.33124677770775</v>
      </c>
      <c r="AO35" s="116">
        <f t="shared" si="11"/>
        <v>273.74765262492122</v>
      </c>
      <c r="AP35" s="116">
        <f t="shared" si="11"/>
        <v>273.74765262492122</v>
      </c>
      <c r="AQ35" s="116">
        <f t="shared" si="11"/>
        <v>273.74765262492122</v>
      </c>
      <c r="AR35" s="116">
        <f t="shared" si="11"/>
        <v>273.74765262492122</v>
      </c>
      <c r="AS35" s="116">
        <f t="shared" si="11"/>
        <v>243.33124677770775</v>
      </c>
      <c r="AT35" s="116">
        <f t="shared" si="11"/>
        <v>0</v>
      </c>
      <c r="AU35" s="116">
        <f t="shared" si="11"/>
        <v>486.66249355541549</v>
      </c>
      <c r="AV35" s="116">
        <f t="shared" si="11"/>
        <v>243.33124677770775</v>
      </c>
      <c r="AW35" s="116">
        <f t="shared" si="11"/>
        <v>243.33124677770775</v>
      </c>
      <c r="AX35" s="116">
        <f t="shared" si="11"/>
        <v>243.33124677770775</v>
      </c>
      <c r="AY35" s="116">
        <f t="shared" si="11"/>
        <v>243.33124677770775</v>
      </c>
    </row>
    <row r="36" spans="1:52" x14ac:dyDescent="0.2">
      <c r="A36" s="116"/>
      <c r="B36" s="171" t="s">
        <v>343</v>
      </c>
      <c r="C36" s="116"/>
      <c r="D36" s="116"/>
      <c r="E36" s="116">
        <v>273.74765262492122</v>
      </c>
      <c r="F36" s="116">
        <v>273.74765262492122</v>
      </c>
      <c r="G36" s="116">
        <v>273.74765262492122</v>
      </c>
      <c r="H36" s="116">
        <v>273.74765262492122</v>
      </c>
      <c r="I36" s="116">
        <v>243.33124677770775</v>
      </c>
      <c r="J36" s="116">
        <v>243.33124677770775</v>
      </c>
      <c r="K36" s="116">
        <v>243.33124677770775</v>
      </c>
      <c r="L36" s="116">
        <v>243.33124677770775</v>
      </c>
      <c r="M36" s="116">
        <v>243.33124677770775</v>
      </c>
      <c r="N36" s="116">
        <v>243.33124677770775</v>
      </c>
      <c r="O36" s="116">
        <v>243.33124677770775</v>
      </c>
      <c r="P36" s="116">
        <v>243.33124677770775</v>
      </c>
      <c r="Q36" s="116">
        <v>273.74765262492122</v>
      </c>
      <c r="R36" s="116">
        <v>273.74765262492122</v>
      </c>
      <c r="S36" s="116">
        <v>273.74765262492122</v>
      </c>
      <c r="T36" s="116">
        <v>273.74765262492122</v>
      </c>
      <c r="U36" s="116">
        <v>243.33124677770775</v>
      </c>
      <c r="V36" s="116">
        <v>243.33124677770775</v>
      </c>
      <c r="W36" s="116">
        <v>243.33124677770775</v>
      </c>
      <c r="X36" s="116">
        <v>243.33124677770775</v>
      </c>
      <c r="Y36" s="116">
        <v>243.33124677770775</v>
      </c>
      <c r="Z36" s="116">
        <v>243.33124677770775</v>
      </c>
      <c r="AA36" s="116">
        <v>243.33124677770775</v>
      </c>
      <c r="AB36" s="116">
        <v>243.33124677770775</v>
      </c>
      <c r="AC36" s="116">
        <v>273.74765262492122</v>
      </c>
      <c r="AD36" s="116">
        <v>273.74765262492122</v>
      </c>
      <c r="AE36" s="116">
        <v>273.74765262492122</v>
      </c>
      <c r="AF36" s="116">
        <v>273.74765262492122</v>
      </c>
      <c r="AG36" s="116">
        <v>243.33124677770775</v>
      </c>
      <c r="AH36" s="116">
        <v>243.33124677770775</v>
      </c>
      <c r="AI36" s="116">
        <v>243.33124677770775</v>
      </c>
      <c r="AJ36" s="116">
        <v>243.33124677770775</v>
      </c>
      <c r="AK36" s="116">
        <v>243.33124677770775</v>
      </c>
      <c r="AL36" s="116">
        <v>243.33124677770775</v>
      </c>
      <c r="AM36" s="116">
        <v>243.33124677770775</v>
      </c>
      <c r="AN36" s="116">
        <v>243.33124677770775</v>
      </c>
      <c r="AO36" s="116">
        <v>273.74765262492122</v>
      </c>
      <c r="AP36" s="116">
        <v>273.74765262492122</v>
      </c>
      <c r="AQ36" s="116">
        <v>273.74765262492122</v>
      </c>
      <c r="AR36" s="116">
        <v>273.74765262492122</v>
      </c>
      <c r="AS36" s="116">
        <v>243.33124677770775</v>
      </c>
      <c r="AT36" s="116"/>
      <c r="AU36" s="116">
        <v>486.66249355541549</v>
      </c>
      <c r="AV36" s="116">
        <v>243.33124677770775</v>
      </c>
      <c r="AW36" s="116">
        <v>243.33124677770775</v>
      </c>
      <c r="AX36" s="116">
        <v>243.33124677770775</v>
      </c>
      <c r="AY36" s="116">
        <v>243.33124677770775</v>
      </c>
    </row>
    <row r="37" spans="1:52" x14ac:dyDescent="0.2">
      <c r="A37" s="116"/>
      <c r="B37" s="171" t="s">
        <v>344</v>
      </c>
      <c r="C37" s="116"/>
      <c r="D37" s="116"/>
      <c r="E37" s="116">
        <v>0</v>
      </c>
      <c r="F37" s="116">
        <v>0</v>
      </c>
      <c r="G37" s="116">
        <v>0</v>
      </c>
      <c r="H37" s="116">
        <v>0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  <c r="P37" s="116">
        <v>0</v>
      </c>
      <c r="Q37" s="116">
        <v>0</v>
      </c>
      <c r="R37" s="116">
        <v>0</v>
      </c>
      <c r="S37" s="116">
        <v>0</v>
      </c>
      <c r="T37" s="116">
        <v>0</v>
      </c>
      <c r="U37" s="116">
        <v>0</v>
      </c>
      <c r="V37" s="116">
        <v>0</v>
      </c>
      <c r="W37" s="116">
        <v>0</v>
      </c>
      <c r="X37" s="116">
        <v>0</v>
      </c>
      <c r="Y37" s="116">
        <v>0</v>
      </c>
      <c r="Z37" s="116">
        <v>0</v>
      </c>
      <c r="AA37" s="116">
        <v>0</v>
      </c>
      <c r="AB37" s="116">
        <v>0</v>
      </c>
      <c r="AC37" s="116">
        <v>0</v>
      </c>
      <c r="AD37" s="116">
        <v>0</v>
      </c>
      <c r="AE37" s="116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116">
        <v>0</v>
      </c>
      <c r="AO37" s="116">
        <v>0</v>
      </c>
      <c r="AP37" s="116">
        <v>0</v>
      </c>
      <c r="AQ37" s="116">
        <v>0</v>
      </c>
      <c r="AR37" s="116">
        <v>0</v>
      </c>
      <c r="AS37" s="116">
        <v>0</v>
      </c>
      <c r="AT37" s="116"/>
      <c r="AU37" s="116">
        <v>0</v>
      </c>
      <c r="AV37" s="116">
        <v>0</v>
      </c>
      <c r="AW37" s="116">
        <v>0</v>
      </c>
      <c r="AX37" s="116">
        <v>0</v>
      </c>
      <c r="AY37" s="116">
        <v>0</v>
      </c>
    </row>
    <row r="38" spans="1:52" x14ac:dyDescent="0.2">
      <c r="A38" s="116"/>
      <c r="B38" s="171" t="s">
        <v>345</v>
      </c>
      <c r="C38" s="116"/>
      <c r="D38" s="116"/>
      <c r="E38" s="116">
        <v>10</v>
      </c>
      <c r="F38" s="116">
        <v>10</v>
      </c>
      <c r="G38" s="116">
        <v>10</v>
      </c>
      <c r="H38" s="116">
        <v>10</v>
      </c>
      <c r="I38" s="116">
        <v>9</v>
      </c>
      <c r="J38" s="116">
        <v>9</v>
      </c>
      <c r="K38" s="116">
        <v>9</v>
      </c>
      <c r="L38" s="116">
        <v>9</v>
      </c>
      <c r="M38" s="116">
        <v>9</v>
      </c>
      <c r="N38" s="116">
        <v>9</v>
      </c>
      <c r="O38" s="116">
        <v>9</v>
      </c>
      <c r="P38" s="116">
        <v>9</v>
      </c>
      <c r="Q38" s="116">
        <v>10</v>
      </c>
      <c r="R38" s="116">
        <v>10</v>
      </c>
      <c r="S38" s="116">
        <v>10</v>
      </c>
      <c r="T38" s="116">
        <v>10</v>
      </c>
      <c r="U38" s="116">
        <v>9</v>
      </c>
      <c r="V38" s="116">
        <v>9</v>
      </c>
      <c r="W38" s="116">
        <v>9</v>
      </c>
      <c r="X38" s="116">
        <v>9</v>
      </c>
      <c r="Y38" s="116">
        <v>9</v>
      </c>
      <c r="Z38" s="116">
        <v>9</v>
      </c>
      <c r="AA38" s="116">
        <v>9</v>
      </c>
      <c r="AB38" s="116">
        <v>9</v>
      </c>
      <c r="AC38" s="116">
        <v>10</v>
      </c>
      <c r="AD38" s="116">
        <v>10</v>
      </c>
      <c r="AE38" s="116">
        <v>10</v>
      </c>
      <c r="AF38" s="116">
        <v>10</v>
      </c>
      <c r="AG38" s="116">
        <v>9</v>
      </c>
      <c r="AH38" s="116">
        <v>9</v>
      </c>
      <c r="AI38" s="116">
        <v>9</v>
      </c>
      <c r="AJ38" s="116">
        <v>9</v>
      </c>
      <c r="AK38" s="116">
        <v>9</v>
      </c>
      <c r="AL38" s="116">
        <v>9</v>
      </c>
      <c r="AM38" s="116">
        <v>9</v>
      </c>
      <c r="AN38" s="116">
        <v>9</v>
      </c>
      <c r="AO38" s="116">
        <v>10</v>
      </c>
      <c r="AP38" s="116">
        <v>10</v>
      </c>
      <c r="AQ38" s="116">
        <v>10</v>
      </c>
      <c r="AR38" s="116">
        <v>10</v>
      </c>
      <c r="AS38" s="116">
        <v>9</v>
      </c>
      <c r="AT38" s="116"/>
      <c r="AU38" s="116">
        <v>17</v>
      </c>
      <c r="AV38" s="116">
        <v>9</v>
      </c>
      <c r="AW38" s="116">
        <v>9</v>
      </c>
      <c r="AX38" s="116">
        <v>9</v>
      </c>
      <c r="AY38" s="116">
        <v>9</v>
      </c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2</v>
      </c>
      <c r="F41" s="116">
        <v>1</v>
      </c>
      <c r="G41" s="116">
        <v>3</v>
      </c>
      <c r="H41" s="116">
        <v>1</v>
      </c>
      <c r="I41" s="116">
        <v>1</v>
      </c>
      <c r="J41" s="116">
        <v>1</v>
      </c>
      <c r="K41" s="116">
        <v>2</v>
      </c>
      <c r="L41" s="116">
        <v>2</v>
      </c>
      <c r="M41" s="116">
        <v>2</v>
      </c>
      <c r="N41" s="116">
        <v>1</v>
      </c>
      <c r="O41" s="116">
        <v>3</v>
      </c>
      <c r="P41" s="116">
        <v>1</v>
      </c>
      <c r="Q41" s="116">
        <v>1</v>
      </c>
      <c r="R41" s="116">
        <v>1</v>
      </c>
      <c r="S41" s="116">
        <v>1</v>
      </c>
      <c r="T41" s="116">
        <v>1</v>
      </c>
      <c r="U41" s="116">
        <v>2</v>
      </c>
      <c r="V41" s="116">
        <v>1</v>
      </c>
      <c r="W41" s="116">
        <v>1</v>
      </c>
      <c r="X41" s="116">
        <v>1</v>
      </c>
      <c r="Y41" s="116">
        <v>3</v>
      </c>
      <c r="Z41" s="116">
        <v>1</v>
      </c>
      <c r="AA41" s="116">
        <v>1</v>
      </c>
      <c r="AB41" s="116">
        <v>1</v>
      </c>
      <c r="AC41" s="116">
        <v>1</v>
      </c>
      <c r="AD41" s="116">
        <v>2</v>
      </c>
      <c r="AE41" s="116">
        <v>1</v>
      </c>
      <c r="AF41" s="116">
        <v>3</v>
      </c>
      <c r="AG41" s="116">
        <v>1</v>
      </c>
      <c r="AH41" s="116">
        <v>2</v>
      </c>
      <c r="AI41" s="116">
        <v>2</v>
      </c>
      <c r="AJ41" s="116">
        <v>1</v>
      </c>
      <c r="AK41" s="116">
        <v>3</v>
      </c>
      <c r="AL41" s="116">
        <v>1</v>
      </c>
      <c r="AM41" s="116">
        <v>1</v>
      </c>
      <c r="AN41" s="116">
        <v>1</v>
      </c>
      <c r="AO41" s="116">
        <v>1</v>
      </c>
      <c r="AP41" s="116">
        <v>2</v>
      </c>
      <c r="AQ41" s="116">
        <v>2</v>
      </c>
      <c r="AR41" s="116">
        <v>1</v>
      </c>
      <c r="AS41" s="116">
        <v>3</v>
      </c>
      <c r="AT41" s="116">
        <v>2</v>
      </c>
      <c r="AU41" s="116">
        <v>1</v>
      </c>
      <c r="AV41" s="116">
        <v>1</v>
      </c>
      <c r="AW41" s="116">
        <v>1</v>
      </c>
      <c r="AX41" s="116">
        <v>2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480600</v>
      </c>
      <c r="F42" s="116">
        <v>480600</v>
      </c>
      <c r="G42" s="116">
        <v>480600</v>
      </c>
      <c r="H42" s="116">
        <v>480600</v>
      </c>
      <c r="I42" s="116">
        <v>432540</v>
      </c>
      <c r="J42" s="116">
        <v>432540</v>
      </c>
      <c r="K42" s="116">
        <v>432540</v>
      </c>
      <c r="L42" s="116">
        <v>432540</v>
      </c>
      <c r="M42" s="116">
        <v>432540</v>
      </c>
      <c r="N42" s="116">
        <v>432540</v>
      </c>
      <c r="O42" s="116">
        <v>432540</v>
      </c>
      <c r="P42" s="116">
        <v>432540</v>
      </c>
      <c r="Q42" s="116">
        <v>480600</v>
      </c>
      <c r="R42" s="116">
        <v>480600</v>
      </c>
      <c r="S42" s="116">
        <v>480600</v>
      </c>
      <c r="T42" s="116">
        <v>480600</v>
      </c>
      <c r="U42" s="116">
        <v>432540</v>
      </c>
      <c r="V42" s="116">
        <v>432540</v>
      </c>
      <c r="W42" s="116">
        <v>432540</v>
      </c>
      <c r="X42" s="116">
        <v>432540</v>
      </c>
      <c r="Y42" s="116">
        <v>432540</v>
      </c>
      <c r="Z42" s="116">
        <v>432540</v>
      </c>
      <c r="AA42" s="116">
        <v>432540</v>
      </c>
      <c r="AB42" s="116">
        <v>432540</v>
      </c>
      <c r="AC42" s="116">
        <v>480600</v>
      </c>
      <c r="AD42" s="116">
        <v>480600</v>
      </c>
      <c r="AE42" s="116">
        <v>480600</v>
      </c>
      <c r="AF42" s="116">
        <v>480600</v>
      </c>
      <c r="AG42" s="116">
        <v>432540</v>
      </c>
      <c r="AH42" s="116">
        <v>432540</v>
      </c>
      <c r="AI42" s="116">
        <v>432540</v>
      </c>
      <c r="AJ42" s="116">
        <v>432540</v>
      </c>
      <c r="AK42" s="116">
        <v>432540</v>
      </c>
      <c r="AL42" s="116">
        <v>432540</v>
      </c>
      <c r="AM42" s="116">
        <v>432540</v>
      </c>
      <c r="AN42" s="116">
        <v>432540</v>
      </c>
      <c r="AO42" s="116">
        <v>480600</v>
      </c>
      <c r="AP42" s="116">
        <v>480600</v>
      </c>
      <c r="AQ42" s="116">
        <v>480600</v>
      </c>
      <c r="AR42" s="116">
        <v>480600</v>
      </c>
      <c r="AS42" s="116">
        <v>432540</v>
      </c>
      <c r="AT42" s="116">
        <v>0</v>
      </c>
      <c r="AU42" s="116">
        <v>817020</v>
      </c>
      <c r="AV42" s="116">
        <v>432540</v>
      </c>
      <c r="AW42" s="116">
        <v>432540</v>
      </c>
      <c r="AX42" s="116">
        <v>432540</v>
      </c>
      <c r="AY42" s="116">
        <v>432540</v>
      </c>
      <c r="AZ42" s="106">
        <f>SUM($D$42:$AY$42)</f>
        <v>21050280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D$21*shipping_manufacturing!$D$28/100</f>
        <v>0</v>
      </c>
      <c r="E44" s="130">
        <f>E$21*shipping_manufacturing!$D$28/100</f>
        <v>0</v>
      </c>
      <c r="F44" s="130">
        <f>F$21*shipping_manufacturing!$D$28/100</f>
        <v>0</v>
      </c>
      <c r="G44" s="130">
        <f>G$21*shipping_manufacturing!$D$28/100</f>
        <v>0</v>
      </c>
      <c r="H44" s="130">
        <f>H$21*shipping_manufacturing!$D$28/100</f>
        <v>0</v>
      </c>
      <c r="I44" s="130">
        <f>I$21*shipping_manufacturing!$D$28/100</f>
        <v>0</v>
      </c>
      <c r="J44" s="130">
        <f>J$21*shipping_manufacturing!$D$28/100</f>
        <v>0</v>
      </c>
      <c r="K44" s="130">
        <f>K$21*shipping_manufacturing!$D$28/100</f>
        <v>0</v>
      </c>
      <c r="L44" s="130">
        <f>L$21*shipping_manufacturing!$D$28/100</f>
        <v>0</v>
      </c>
      <c r="M44" s="130">
        <f>M$21*shipping_manufacturing!$D$28/100</f>
        <v>0</v>
      </c>
      <c r="N44" s="130">
        <f>N$21*shipping_manufacturing!$D$28/100</f>
        <v>0</v>
      </c>
      <c r="O44" s="130">
        <f>O$21*shipping_manufacturing!$D$28/100</f>
        <v>0</v>
      </c>
      <c r="P44" s="130">
        <f>P$21*shipping_manufacturing!$D$28/100</f>
        <v>0</v>
      </c>
      <c r="Q44" s="130">
        <f>Q$21*shipping_manufacturing!$D$28/100</f>
        <v>0</v>
      </c>
      <c r="R44" s="130">
        <f>R$21*shipping_manufacturing!$D$28/100</f>
        <v>0</v>
      </c>
      <c r="S44" s="130">
        <f>S$21*shipping_manufacturing!$D$28/100</f>
        <v>0</v>
      </c>
      <c r="T44" s="130">
        <f>T$21*shipping_manufacturing!$D$28/100</f>
        <v>0</v>
      </c>
      <c r="U44" s="130">
        <f>U$21*shipping_manufacturing!$D$28/100</f>
        <v>0</v>
      </c>
      <c r="V44" s="130">
        <f>V$21*shipping_manufacturing!$D$28/100</f>
        <v>0</v>
      </c>
      <c r="W44" s="130">
        <f>W$21*shipping_manufacturing!$D$28/100</f>
        <v>0</v>
      </c>
      <c r="X44" s="130">
        <f>X$21*shipping_manufacturing!$D$28/100</f>
        <v>0</v>
      </c>
      <c r="Y44" s="130">
        <f>Y$21*shipping_manufacturing!$D$28/100</f>
        <v>0</v>
      </c>
      <c r="Z44" s="130">
        <f>Z$21*shipping_manufacturing!$D$28/100</f>
        <v>0</v>
      </c>
      <c r="AA44" s="130">
        <f>AA$21*shipping_manufacturing!$D$28/100</f>
        <v>0</v>
      </c>
      <c r="AB44" s="130">
        <f>AB$21*shipping_manufacturing!$D$28/100</f>
        <v>0</v>
      </c>
      <c r="AC44" s="130">
        <f>AC$21*shipping_manufacturing!$D$28/100</f>
        <v>0</v>
      </c>
      <c r="AD44" s="130">
        <f>AD$21*shipping_manufacturing!$D$28/100</f>
        <v>0</v>
      </c>
      <c r="AE44" s="130">
        <f>AE$21*shipping_manufacturing!$D$28/100</f>
        <v>0</v>
      </c>
      <c r="AF44" s="130">
        <f>AF$21*shipping_manufacturing!$D$28/100</f>
        <v>0</v>
      </c>
      <c r="AG44" s="130">
        <f>AG$21*shipping_manufacturing!$D$28/100</f>
        <v>0</v>
      </c>
      <c r="AH44" s="130">
        <f>AH$21*shipping_manufacturing!$D$28/100</f>
        <v>0</v>
      </c>
      <c r="AI44" s="130">
        <f>AI$21*shipping_manufacturing!$D$28/100</f>
        <v>0</v>
      </c>
      <c r="AJ44" s="130">
        <f>AJ$21*shipping_manufacturing!$D$28/100</f>
        <v>0</v>
      </c>
      <c r="AK44" s="130">
        <f>AK$21*shipping_manufacturing!$D$28/100</f>
        <v>0</v>
      </c>
      <c r="AL44" s="130">
        <f>AL$21*shipping_manufacturing!$D$28/100</f>
        <v>0</v>
      </c>
      <c r="AM44" s="130">
        <f>AM$21*shipping_manufacturing!$D$28/100</f>
        <v>0</v>
      </c>
      <c r="AN44" s="130">
        <f>AN$21*shipping_manufacturing!$D$28/100</f>
        <v>0</v>
      </c>
      <c r="AO44" s="130">
        <f>AO$21*shipping_manufacturing!$D$28/100</f>
        <v>0</v>
      </c>
      <c r="AP44" s="130">
        <f>AP$21*shipping_manufacturing!$D$28/100</f>
        <v>0</v>
      </c>
      <c r="AQ44" s="130">
        <f>AQ$21*shipping_manufacturing!$D$28/100</f>
        <v>0</v>
      </c>
      <c r="AR44" s="130">
        <f>AR$21*shipping_manufacturing!$D$28/100</f>
        <v>0</v>
      </c>
      <c r="AS44" s="130">
        <f>AS$21*shipping_manufacturing!$D$28/100</f>
        <v>0</v>
      </c>
      <c r="AT44" s="130">
        <f>AT$21*shipping_manufacturing!$D$28/100</f>
        <v>0</v>
      </c>
      <c r="AU44" s="130">
        <f>AU$21*shipping_manufacturing!$D$28/100</f>
        <v>0</v>
      </c>
      <c r="AV44" s="130">
        <f>AV$21*shipping_manufacturing!$D$28/100</f>
        <v>0</v>
      </c>
      <c r="AW44" s="130">
        <f>AW$21*shipping_manufacturing!$D$28/100</f>
        <v>0</v>
      </c>
      <c r="AX44" s="130">
        <f>AX$21*shipping_manufacturing!$D$28/100</f>
        <v>0</v>
      </c>
      <c r="AY44" s="130">
        <f>AY$21*shipping_manufacturing!$D$28/100</f>
        <v>0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D$22*shipping_manufacturing!$E$28/100</f>
        <v>0</v>
      </c>
      <c r="E45" s="116">
        <f>E$22*shipping_manufacturing!$E$28/100</f>
        <v>0</v>
      </c>
      <c r="F45" s="116">
        <f>F$22*shipping_manufacturing!$E$28/100</f>
        <v>0</v>
      </c>
      <c r="G45" s="116">
        <f>G$22*shipping_manufacturing!$E$28/100</f>
        <v>0</v>
      </c>
      <c r="H45" s="116">
        <f>H$22*shipping_manufacturing!$E$28/100</f>
        <v>0</v>
      </c>
      <c r="I45" s="116">
        <f>I$22*shipping_manufacturing!$E$28/100</f>
        <v>0</v>
      </c>
      <c r="J45" s="116">
        <f>J$22*shipping_manufacturing!$E$28/100</f>
        <v>0</v>
      </c>
      <c r="K45" s="116">
        <f>K$22*shipping_manufacturing!$E$28/100</f>
        <v>0</v>
      </c>
      <c r="L45" s="116">
        <f>L$22*shipping_manufacturing!$E$28/100</f>
        <v>0</v>
      </c>
      <c r="M45" s="116">
        <f>M$22*shipping_manufacturing!$E$28/100</f>
        <v>0</v>
      </c>
      <c r="N45" s="116">
        <f>N$22*shipping_manufacturing!$E$28/100</f>
        <v>0</v>
      </c>
      <c r="O45" s="116">
        <f>O$22*shipping_manufacturing!$E$28/100</f>
        <v>0</v>
      </c>
      <c r="P45" s="116">
        <f>P$22*shipping_manufacturing!$E$28/100</f>
        <v>0</v>
      </c>
      <c r="Q45" s="116">
        <f>Q$22*shipping_manufacturing!$E$28/100</f>
        <v>0</v>
      </c>
      <c r="R45" s="116">
        <f>R$22*shipping_manufacturing!$E$28/100</f>
        <v>0</v>
      </c>
      <c r="S45" s="116">
        <f>S$22*shipping_manufacturing!$E$28/100</f>
        <v>0</v>
      </c>
      <c r="T45" s="116">
        <f>T$22*shipping_manufacturing!$E$28/100</f>
        <v>0</v>
      </c>
      <c r="U45" s="116">
        <f>U$22*shipping_manufacturing!$E$28/100</f>
        <v>0</v>
      </c>
      <c r="V45" s="116">
        <f>V$22*shipping_manufacturing!$E$28/100</f>
        <v>0</v>
      </c>
      <c r="W45" s="116">
        <f>W$22*shipping_manufacturing!$E$28/100</f>
        <v>0</v>
      </c>
      <c r="X45" s="116">
        <f>X$22*shipping_manufacturing!$E$28/100</f>
        <v>0</v>
      </c>
      <c r="Y45" s="116">
        <f>Y$22*shipping_manufacturing!$E$28/100</f>
        <v>0</v>
      </c>
      <c r="Z45" s="116">
        <f>Z$22*shipping_manufacturing!$E$28/100</f>
        <v>0</v>
      </c>
      <c r="AA45" s="116">
        <f>AA$22*shipping_manufacturing!$E$28/100</f>
        <v>0</v>
      </c>
      <c r="AB45" s="116">
        <f>AB$22*shipping_manufacturing!$E$28/100</f>
        <v>0</v>
      </c>
      <c r="AC45" s="116">
        <f>AC$22*shipping_manufacturing!$E$28/100</f>
        <v>0</v>
      </c>
      <c r="AD45" s="116">
        <f>AD$22*shipping_manufacturing!$E$28/100</f>
        <v>0</v>
      </c>
      <c r="AE45" s="116">
        <f>AE$22*shipping_manufacturing!$E$28/100</f>
        <v>0</v>
      </c>
      <c r="AF45" s="116">
        <f>AF$22*shipping_manufacturing!$E$28/100</f>
        <v>0</v>
      </c>
      <c r="AG45" s="116">
        <f>AG$22*shipping_manufacturing!$E$28/100</f>
        <v>0</v>
      </c>
      <c r="AH45" s="116">
        <f>AH$22*shipping_manufacturing!$E$28/100</f>
        <v>0</v>
      </c>
      <c r="AI45" s="116">
        <f>AI$22*shipping_manufacturing!$E$28/100</f>
        <v>0</v>
      </c>
      <c r="AJ45" s="116">
        <f>AJ$22*shipping_manufacturing!$E$28/100</f>
        <v>0</v>
      </c>
      <c r="AK45" s="116">
        <f>AK$22*shipping_manufacturing!$E$28/100</f>
        <v>0</v>
      </c>
      <c r="AL45" s="116">
        <f>AL$22*shipping_manufacturing!$E$28/100</f>
        <v>0</v>
      </c>
      <c r="AM45" s="116">
        <f>AM$22*shipping_manufacturing!$E$28/100</f>
        <v>0</v>
      </c>
      <c r="AN45" s="116">
        <f>AN$22*shipping_manufacturing!$E$28/100</f>
        <v>0</v>
      </c>
      <c r="AO45" s="116">
        <f>AO$22*shipping_manufacturing!$E$28/100</f>
        <v>0</v>
      </c>
      <c r="AP45" s="116">
        <f>AP$22*shipping_manufacturing!$E$28/100</f>
        <v>0</v>
      </c>
      <c r="AQ45" s="116">
        <f>AQ$22*shipping_manufacturing!$E$28/100</f>
        <v>0</v>
      </c>
      <c r="AR45" s="116">
        <f>AR$22*shipping_manufacturing!$E$28/100</f>
        <v>0</v>
      </c>
      <c r="AS45" s="116">
        <f>AS$22*shipping_manufacturing!$E$28/100</f>
        <v>0</v>
      </c>
      <c r="AT45" s="116">
        <f>AT$22*shipping_manufacturing!$E$28/100</f>
        <v>0</v>
      </c>
      <c r="AU45" s="116">
        <f>AU$22*shipping_manufacturing!$E$28/100</f>
        <v>0</v>
      </c>
      <c r="AV45" s="116">
        <f>AV$22*shipping_manufacturing!$E$28/100</f>
        <v>0</v>
      </c>
      <c r="AW45" s="116">
        <f>AW$22*shipping_manufacturing!$E$28/100</f>
        <v>0</v>
      </c>
      <c r="AX45" s="116">
        <f>AX$22*shipping_manufacturing!$E$28/100</f>
        <v>0</v>
      </c>
      <c r="AY45" s="116">
        <f>AY$22*shipping_manufacturing!$E$28/100</f>
        <v>0</v>
      </c>
    </row>
    <row r="46" spans="1:52" x14ac:dyDescent="0.2">
      <c r="A46" s="116">
        <v>718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0</v>
      </c>
      <c r="F46" s="116">
        <f t="shared" si="14"/>
        <v>0</v>
      </c>
      <c r="G46" s="116">
        <f t="shared" si="14"/>
        <v>0</v>
      </c>
      <c r="H46" s="116">
        <f t="shared" si="14"/>
        <v>0</v>
      </c>
      <c r="I46" s="116">
        <f t="shared" si="14"/>
        <v>0</v>
      </c>
      <c r="J46" s="116">
        <f t="shared" si="14"/>
        <v>0</v>
      </c>
      <c r="K46" s="116">
        <f t="shared" si="14"/>
        <v>0</v>
      </c>
      <c r="L46" s="116">
        <f t="shared" si="14"/>
        <v>0</v>
      </c>
      <c r="M46" s="116">
        <f t="shared" si="14"/>
        <v>0</v>
      </c>
      <c r="N46" s="116">
        <f t="shared" si="14"/>
        <v>0</v>
      </c>
      <c r="O46" s="116">
        <f t="shared" si="14"/>
        <v>0</v>
      </c>
      <c r="P46" s="116">
        <f t="shared" si="14"/>
        <v>0</v>
      </c>
      <c r="Q46" s="116">
        <f t="shared" si="14"/>
        <v>0</v>
      </c>
      <c r="R46" s="116">
        <f t="shared" si="14"/>
        <v>0</v>
      </c>
      <c r="S46" s="116">
        <f t="shared" si="14"/>
        <v>0</v>
      </c>
      <c r="T46" s="116">
        <f t="shared" si="14"/>
        <v>0</v>
      </c>
      <c r="U46" s="116">
        <f t="shared" si="14"/>
        <v>0</v>
      </c>
      <c r="V46" s="116">
        <f t="shared" si="14"/>
        <v>0</v>
      </c>
      <c r="W46" s="116">
        <f t="shared" si="14"/>
        <v>0</v>
      </c>
      <c r="X46" s="116">
        <f t="shared" si="14"/>
        <v>0</v>
      </c>
      <c r="Y46" s="116">
        <f t="shared" si="14"/>
        <v>0</v>
      </c>
      <c r="Z46" s="116">
        <f t="shared" si="14"/>
        <v>0</v>
      </c>
      <c r="AA46" s="116">
        <f t="shared" si="14"/>
        <v>0</v>
      </c>
      <c r="AB46" s="116">
        <f t="shared" si="14"/>
        <v>0</v>
      </c>
      <c r="AC46" s="116">
        <f t="shared" si="14"/>
        <v>0</v>
      </c>
      <c r="AD46" s="116">
        <f t="shared" si="14"/>
        <v>0</v>
      </c>
      <c r="AE46" s="116">
        <f t="shared" si="14"/>
        <v>0</v>
      </c>
      <c r="AF46" s="116">
        <f t="shared" si="14"/>
        <v>0</v>
      </c>
      <c r="AG46" s="116">
        <f t="shared" si="14"/>
        <v>0</v>
      </c>
      <c r="AH46" s="116">
        <f t="shared" si="14"/>
        <v>0</v>
      </c>
      <c r="AI46" s="116">
        <f t="shared" si="14"/>
        <v>0</v>
      </c>
      <c r="AJ46" s="116">
        <f t="shared" si="14"/>
        <v>0</v>
      </c>
      <c r="AK46" s="116">
        <f t="shared" si="14"/>
        <v>0</v>
      </c>
      <c r="AL46" s="116">
        <f t="shared" si="14"/>
        <v>0</v>
      </c>
      <c r="AM46" s="116">
        <f t="shared" si="14"/>
        <v>0</v>
      </c>
      <c r="AN46" s="116">
        <f t="shared" si="14"/>
        <v>0</v>
      </c>
      <c r="AO46" s="116">
        <f t="shared" si="14"/>
        <v>0</v>
      </c>
      <c r="AP46" s="116">
        <f t="shared" si="14"/>
        <v>0</v>
      </c>
      <c r="AQ46" s="116">
        <f t="shared" si="14"/>
        <v>0</v>
      </c>
      <c r="AR46" s="116">
        <f t="shared" si="14"/>
        <v>0</v>
      </c>
      <c r="AS46" s="116">
        <f t="shared" si="14"/>
        <v>0</v>
      </c>
      <c r="AT46" s="116">
        <f t="shared" si="14"/>
        <v>0</v>
      </c>
      <c r="AU46" s="116">
        <f t="shared" si="14"/>
        <v>0</v>
      </c>
      <c r="AV46" s="116">
        <f t="shared" si="14"/>
        <v>0</v>
      </c>
      <c r="AW46" s="116">
        <f t="shared" si="14"/>
        <v>0</v>
      </c>
      <c r="AX46" s="116">
        <f t="shared" si="14"/>
        <v>0</v>
      </c>
      <c r="AY46" s="116">
        <f t="shared" si="14"/>
        <v>0</v>
      </c>
    </row>
    <row r="47" spans="1:52" x14ac:dyDescent="0.2">
      <c r="A47" s="116"/>
      <c r="B47" s="171" t="s">
        <v>343</v>
      </c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2" x14ac:dyDescent="0.2">
      <c r="A48" s="116"/>
      <c r="B48" s="171" t="s">
        <v>344</v>
      </c>
      <c r="C48" s="116"/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2" x14ac:dyDescent="0.2">
      <c r="A49" s="116"/>
      <c r="B49" s="171" t="s">
        <v>345</v>
      </c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1</v>
      </c>
      <c r="L52" s="116">
        <v>2</v>
      </c>
      <c r="M52" s="116">
        <v>1</v>
      </c>
      <c r="N52" s="116">
        <v>1</v>
      </c>
      <c r="O52" s="116">
        <v>1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2</v>
      </c>
      <c r="V52" s="116">
        <v>2</v>
      </c>
      <c r="W52" s="116">
        <v>2</v>
      </c>
      <c r="X52" s="116">
        <v>1</v>
      </c>
      <c r="Y52" s="116">
        <v>1</v>
      </c>
      <c r="Z52" s="116">
        <v>1</v>
      </c>
      <c r="AA52" s="116">
        <v>1</v>
      </c>
      <c r="AB52" s="116">
        <v>1</v>
      </c>
      <c r="AC52" s="116">
        <v>2</v>
      </c>
      <c r="AD52" s="116">
        <v>2</v>
      </c>
      <c r="AE52" s="116">
        <v>2</v>
      </c>
      <c r="AF52" s="116">
        <v>1</v>
      </c>
      <c r="AG52" s="116">
        <v>2</v>
      </c>
      <c r="AH52" s="116">
        <v>1</v>
      </c>
      <c r="AI52" s="116">
        <v>1</v>
      </c>
      <c r="AJ52" s="116">
        <v>1</v>
      </c>
      <c r="AK52" s="116">
        <v>2</v>
      </c>
      <c r="AL52" s="116">
        <v>1</v>
      </c>
      <c r="AM52" s="116">
        <v>1</v>
      </c>
      <c r="AN52" s="116">
        <v>3</v>
      </c>
      <c r="AO52" s="116">
        <v>2</v>
      </c>
      <c r="AP52" s="116">
        <v>2</v>
      </c>
      <c r="AQ52" s="116">
        <v>1</v>
      </c>
      <c r="AR52" s="116">
        <v>1</v>
      </c>
      <c r="AS52" s="116">
        <v>1</v>
      </c>
      <c r="AT52" s="116">
        <v>3</v>
      </c>
      <c r="AU52" s="116">
        <v>2</v>
      </c>
      <c r="AV52" s="116">
        <v>1</v>
      </c>
      <c r="AW52" s="116">
        <v>2</v>
      </c>
      <c r="AX52" s="116">
        <v>2</v>
      </c>
      <c r="AY52" s="116">
        <v>1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0</v>
      </c>
      <c r="F53" s="116">
        <v>0</v>
      </c>
      <c r="G53" s="116">
        <v>0</v>
      </c>
      <c r="H53" s="116">
        <v>0</v>
      </c>
      <c r="I53" s="116">
        <v>0</v>
      </c>
      <c r="J53" s="116">
        <v>0</v>
      </c>
      <c r="K53" s="116">
        <v>0</v>
      </c>
      <c r="L53" s="116">
        <v>0</v>
      </c>
      <c r="M53" s="116">
        <v>0</v>
      </c>
      <c r="N53" s="116">
        <v>0</v>
      </c>
      <c r="O53" s="116">
        <v>0</v>
      </c>
      <c r="P53" s="116">
        <v>0</v>
      </c>
      <c r="Q53" s="116">
        <v>0</v>
      </c>
      <c r="R53" s="116">
        <v>0</v>
      </c>
      <c r="S53" s="116">
        <v>0</v>
      </c>
      <c r="T53" s="116">
        <v>0</v>
      </c>
      <c r="U53" s="116">
        <v>0</v>
      </c>
      <c r="V53" s="116">
        <v>0</v>
      </c>
      <c r="W53" s="116">
        <v>0</v>
      </c>
      <c r="X53" s="116">
        <v>0</v>
      </c>
      <c r="Y53" s="116">
        <v>0</v>
      </c>
      <c r="Z53" s="116">
        <v>0</v>
      </c>
      <c r="AA53" s="116">
        <v>0</v>
      </c>
      <c r="AB53" s="116">
        <v>0</v>
      </c>
      <c r="AC53" s="116">
        <v>0</v>
      </c>
      <c r="AD53" s="116">
        <v>0</v>
      </c>
      <c r="AE53" s="116">
        <v>0</v>
      </c>
      <c r="AF53" s="116">
        <v>0</v>
      </c>
      <c r="AG53" s="116">
        <v>0</v>
      </c>
      <c r="AH53" s="116">
        <v>0</v>
      </c>
      <c r="AI53" s="116">
        <v>0</v>
      </c>
      <c r="AJ53" s="116">
        <v>0</v>
      </c>
      <c r="AK53" s="116">
        <v>0</v>
      </c>
      <c r="AL53" s="116">
        <v>0</v>
      </c>
      <c r="AM53" s="116">
        <v>0</v>
      </c>
      <c r="AN53" s="116">
        <v>0</v>
      </c>
      <c r="AO53" s="116">
        <v>0</v>
      </c>
      <c r="AP53" s="116">
        <v>0</v>
      </c>
      <c r="AQ53" s="116">
        <v>0</v>
      </c>
      <c r="AR53" s="116">
        <v>0</v>
      </c>
      <c r="AS53" s="116">
        <v>0</v>
      </c>
      <c r="AT53" s="116">
        <v>0</v>
      </c>
      <c r="AU53" s="116">
        <v>0</v>
      </c>
      <c r="AV53" s="116">
        <v>0</v>
      </c>
      <c r="AW53" s="116">
        <v>0</v>
      </c>
      <c r="AX53" s="116">
        <v>0</v>
      </c>
      <c r="AY53" s="116">
        <v>0</v>
      </c>
      <c r="AZ53" s="106">
        <f>SUM($D$53:$AY$53)</f>
        <v>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10</v>
      </c>
      <c r="E2" s="116"/>
    </row>
    <row r="3" spans="1:52" x14ac:dyDescent="0.2">
      <c r="A3" s="106" t="s">
        <v>285</v>
      </c>
      <c r="B3" s="113">
        <v>2454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1331.5215673033081</v>
      </c>
      <c r="E7" s="150">
        <v>1331.5215673033081</v>
      </c>
      <c r="F7" s="150">
        <v>1331.5215673033081</v>
      </c>
      <c r="G7" s="150">
        <v>1331.5215673033081</v>
      </c>
      <c r="H7" s="150">
        <v>1331.5215673033081</v>
      </c>
      <c r="I7" s="150">
        <v>1331.5215673033081</v>
      </c>
      <c r="J7" s="150">
        <v>1331.5215673033081</v>
      </c>
      <c r="K7" s="150">
        <v>1331.5215673033081</v>
      </c>
      <c r="L7" s="150">
        <v>1331.5215673033081</v>
      </c>
      <c r="M7" s="150">
        <v>1331.5215673033081</v>
      </c>
      <c r="N7" s="150">
        <v>1331.5215673033081</v>
      </c>
      <c r="O7" s="150">
        <v>1331.5215673033081</v>
      </c>
      <c r="P7" s="150">
        <v>1331.5215673033081</v>
      </c>
      <c r="Q7" s="150">
        <v>1331.5215673033081</v>
      </c>
      <c r="R7" s="150">
        <v>1331.5215673033081</v>
      </c>
      <c r="S7" s="150">
        <v>1331.5215673033081</v>
      </c>
      <c r="T7" s="150">
        <v>849.1962061344675</v>
      </c>
      <c r="U7" s="150">
        <v>850.14299686456002</v>
      </c>
      <c r="V7" s="150">
        <v>851.08737278501917</v>
      </c>
      <c r="W7" s="150">
        <v>1331.5215673033081</v>
      </c>
      <c r="X7" s="150">
        <v>1331.5215673033081</v>
      </c>
      <c r="Y7" s="150">
        <v>1331.5215673033081</v>
      </c>
      <c r="Z7" s="150">
        <v>1331.5215673033081</v>
      </c>
      <c r="AA7" s="150">
        <v>1331.5215673033081</v>
      </c>
      <c r="AB7" s="150">
        <v>1331.5215673033081</v>
      </c>
      <c r="AC7" s="150">
        <v>1331.5215673033081</v>
      </c>
      <c r="AD7" s="150">
        <v>1219.5301535373271</v>
      </c>
      <c r="AE7" s="150">
        <v>1331.5215673033081</v>
      </c>
      <c r="AF7" s="150">
        <v>860.36502971021855</v>
      </c>
      <c r="AG7" s="150">
        <v>1331.5215673033081</v>
      </c>
      <c r="AH7" s="150">
        <v>1331.5215673033081</v>
      </c>
      <c r="AI7" s="150">
        <v>1331.5215673033081</v>
      </c>
      <c r="AJ7" s="150">
        <v>1331.5215673033081</v>
      </c>
      <c r="AK7" s="150">
        <v>1331.5215673033081</v>
      </c>
      <c r="AL7" s="150">
        <v>1331.5215673033081</v>
      </c>
      <c r="AM7" s="150">
        <v>1331.5215673033081</v>
      </c>
      <c r="AN7" s="150">
        <v>1331.5215673033081</v>
      </c>
      <c r="AO7" s="150">
        <v>1331.5215673033081</v>
      </c>
      <c r="AP7" s="150">
        <v>1331.5215673033081</v>
      </c>
      <c r="AQ7" s="150">
        <v>1331.5215673033081</v>
      </c>
      <c r="AR7" s="150">
        <v>1331.5215673033081</v>
      </c>
      <c r="AS7" s="150">
        <v>1331.5215673033081</v>
      </c>
      <c r="AT7" s="150">
        <v>1331.5215673033081</v>
      </c>
      <c r="AU7" s="150">
        <v>1331.5215673033081</v>
      </c>
      <c r="AV7" s="150">
        <v>1331.5215673033081</v>
      </c>
      <c r="AW7" s="150">
        <v>1331.5215673033081</v>
      </c>
      <c r="AX7" s="150">
        <v>1331.5215673033081</v>
      </c>
      <c r="AY7" s="150">
        <v>1331.5215673033081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209.04313460661615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209.04313460661615</v>
      </c>
      <c r="AZ10" s="157">
        <f>SUM($D10:$AY10)</f>
        <v>418.0862692132323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1331.5215673033081</v>
      </c>
      <c r="E13" s="144">
        <f t="shared" si="1"/>
        <v>1331.5215673033081</v>
      </c>
      <c r="F13" s="144">
        <f t="shared" si="1"/>
        <v>1331.5215673033081</v>
      </c>
      <c r="G13" s="144">
        <f t="shared" si="1"/>
        <v>1331.5215673033081</v>
      </c>
      <c r="H13" s="144">
        <f t="shared" si="1"/>
        <v>1331.5215673033081</v>
      </c>
      <c r="I13" s="144">
        <f t="shared" si="1"/>
        <v>1331.5215673033081</v>
      </c>
      <c r="J13" s="144">
        <f t="shared" si="1"/>
        <v>1331.5215673033081</v>
      </c>
      <c r="K13" s="144">
        <f t="shared" si="1"/>
        <v>1331.5215673033081</v>
      </c>
      <c r="L13" s="144">
        <f t="shared" si="1"/>
        <v>1331.5215673033081</v>
      </c>
      <c r="M13" s="144">
        <f t="shared" si="1"/>
        <v>1331.5215673033081</v>
      </c>
      <c r="N13" s="144">
        <f t="shared" si="1"/>
        <v>1331.5215673033081</v>
      </c>
      <c r="O13" s="144">
        <f t="shared" si="1"/>
        <v>1331.5215673033081</v>
      </c>
      <c r="P13" s="144">
        <f t="shared" si="1"/>
        <v>1331.5215673033081</v>
      </c>
      <c r="Q13" s="144">
        <f t="shared" si="1"/>
        <v>1122.4784326966919</v>
      </c>
      <c r="R13" s="144">
        <f t="shared" si="1"/>
        <v>1331.5215673033081</v>
      </c>
      <c r="S13" s="144">
        <f t="shared" si="1"/>
        <v>1331.5215673033081</v>
      </c>
      <c r="T13" s="144">
        <f t="shared" si="1"/>
        <v>849.1962061344675</v>
      </c>
      <c r="U13" s="144">
        <f t="shared" si="1"/>
        <v>850.14299686456002</v>
      </c>
      <c r="V13" s="144">
        <f t="shared" si="1"/>
        <v>851.08737278501917</v>
      </c>
      <c r="W13" s="144">
        <f t="shared" si="1"/>
        <v>1331.5215673033081</v>
      </c>
      <c r="X13" s="144">
        <f t="shared" si="1"/>
        <v>1331.5215673033081</v>
      </c>
      <c r="Y13" s="144">
        <f t="shared" si="1"/>
        <v>1331.5215673033081</v>
      </c>
      <c r="Z13" s="144">
        <f t="shared" si="1"/>
        <v>1331.5215673033081</v>
      </c>
      <c r="AA13" s="144">
        <f t="shared" si="1"/>
        <v>1331.5215673033081</v>
      </c>
      <c r="AB13" s="144">
        <f t="shared" si="1"/>
        <v>1331.5215673033081</v>
      </c>
      <c r="AC13" s="144">
        <f t="shared" si="1"/>
        <v>1331.5215673033081</v>
      </c>
      <c r="AD13" s="144">
        <f t="shared" si="1"/>
        <v>1219.5301535373271</v>
      </c>
      <c r="AE13" s="144">
        <f t="shared" si="1"/>
        <v>1331.5215673033081</v>
      </c>
      <c r="AF13" s="144">
        <f t="shared" si="1"/>
        <v>860.36502971021855</v>
      </c>
      <c r="AG13" s="144">
        <f t="shared" si="1"/>
        <v>1331.5215673033081</v>
      </c>
      <c r="AH13" s="144">
        <f t="shared" si="1"/>
        <v>1331.5215673033081</v>
      </c>
      <c r="AI13" s="144">
        <f t="shared" si="1"/>
        <v>1331.5215673033081</v>
      </c>
      <c r="AJ13" s="144">
        <f t="shared" si="1"/>
        <v>1331.5215673033081</v>
      </c>
      <c r="AK13" s="144">
        <f t="shared" si="1"/>
        <v>1331.5215673033081</v>
      </c>
      <c r="AL13" s="144">
        <f t="shared" si="1"/>
        <v>1331.5215673033081</v>
      </c>
      <c r="AM13" s="144">
        <f t="shared" si="1"/>
        <v>1331.5215673033081</v>
      </c>
      <c r="AN13" s="144">
        <f t="shared" si="1"/>
        <v>1331.5215673033081</v>
      </c>
      <c r="AO13" s="144">
        <f t="shared" si="1"/>
        <v>1331.5215673033081</v>
      </c>
      <c r="AP13" s="144">
        <f t="shared" si="1"/>
        <v>1331.5215673033081</v>
      </c>
      <c r="AQ13" s="144">
        <f t="shared" si="1"/>
        <v>1331.5215673033081</v>
      </c>
      <c r="AR13" s="144">
        <f t="shared" si="1"/>
        <v>1331.5215673033081</v>
      </c>
      <c r="AS13" s="144">
        <f t="shared" si="1"/>
        <v>1331.5215673033081</v>
      </c>
      <c r="AT13" s="144">
        <f t="shared" si="1"/>
        <v>1331.5215673033081</v>
      </c>
      <c r="AU13" s="144">
        <f t="shared" si="1"/>
        <v>1331.5215673033081</v>
      </c>
      <c r="AV13" s="144">
        <f t="shared" si="1"/>
        <v>1331.5215673033081</v>
      </c>
      <c r="AW13" s="144">
        <f t="shared" si="1"/>
        <v>1331.5215673033081</v>
      </c>
      <c r="AX13" s="144">
        <f t="shared" si="1"/>
        <v>1331.5215673033081</v>
      </c>
      <c r="AY13" s="144">
        <f t="shared" si="1"/>
        <v>1122.4784326966919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0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1331.5215673033081</v>
      </c>
      <c r="R14" s="112">
        <f t="shared" si="2"/>
        <v>0</v>
      </c>
      <c r="S14" s="112">
        <f t="shared" si="2"/>
        <v>0</v>
      </c>
      <c r="T14" s="112">
        <f t="shared" si="2"/>
        <v>1331.5215673033081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0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0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1331.5215673033081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 t="s">
        <v>338</v>
      </c>
      <c r="Q20" s="123"/>
      <c r="R20" s="123"/>
      <c r="S20" s="123" t="s">
        <v>338</v>
      </c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 t="s">
        <v>338</v>
      </c>
      <c r="AY20" s="123"/>
      <c r="AZ20" s="113"/>
    </row>
    <row r="21" spans="1:52" s="116" customFormat="1" x14ac:dyDescent="0.2">
      <c r="A21" s="161" t="s">
        <v>133</v>
      </c>
      <c r="B21" s="162">
        <f>shipping_manufacturing!$E$19/100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1331.5215673033081</v>
      </c>
      <c r="F21" s="112">
        <f t="shared" si="3"/>
        <v>1331.5215673033081</v>
      </c>
      <c r="G21" s="112">
        <f t="shared" si="3"/>
        <v>1331.5215673033081</v>
      </c>
      <c r="H21" s="112">
        <f t="shared" si="3"/>
        <v>1331.5215673033081</v>
      </c>
      <c r="I21" s="112">
        <f t="shared" si="3"/>
        <v>1331.5215673033081</v>
      </c>
      <c r="J21" s="112">
        <f t="shared" si="3"/>
        <v>1331.5215673033081</v>
      </c>
      <c r="K21" s="112">
        <f t="shared" si="3"/>
        <v>1331.5215673033081</v>
      </c>
      <c r="L21" s="112">
        <f t="shared" si="3"/>
        <v>1331.5215673033081</v>
      </c>
      <c r="M21" s="112">
        <f t="shared" si="3"/>
        <v>1331.5215673033081</v>
      </c>
      <c r="N21" s="112">
        <f t="shared" si="3"/>
        <v>1331.5215673033081</v>
      </c>
      <c r="O21" s="112">
        <f t="shared" si="3"/>
        <v>1331.5215673033081</v>
      </c>
      <c r="P21" s="112">
        <f t="shared" si="3"/>
        <v>1331.5215673033081</v>
      </c>
      <c r="Q21" s="112">
        <f t="shared" si="3"/>
        <v>0</v>
      </c>
      <c r="R21" s="112">
        <f t="shared" si="3"/>
        <v>2454</v>
      </c>
      <c r="S21" s="112">
        <f t="shared" si="3"/>
        <v>1331.5215673033081</v>
      </c>
      <c r="T21" s="112">
        <f t="shared" si="3"/>
        <v>0</v>
      </c>
      <c r="U21" s="112">
        <f t="shared" si="3"/>
        <v>2180.7177734377756</v>
      </c>
      <c r="V21" s="112">
        <f t="shared" si="3"/>
        <v>850.14299686456002</v>
      </c>
      <c r="W21" s="112">
        <f t="shared" si="3"/>
        <v>851.08737278501917</v>
      </c>
      <c r="X21" s="112">
        <f t="shared" si="3"/>
        <v>1331.5215673033081</v>
      </c>
      <c r="Y21" s="112">
        <f t="shared" si="3"/>
        <v>1331.5215673033081</v>
      </c>
      <c r="Z21" s="112">
        <f t="shared" si="3"/>
        <v>1331.5215673033081</v>
      </c>
      <c r="AA21" s="112">
        <f t="shared" si="3"/>
        <v>1331.5215673033081</v>
      </c>
      <c r="AB21" s="112">
        <f t="shared" si="3"/>
        <v>1331.5215673033081</v>
      </c>
      <c r="AC21" s="112">
        <f t="shared" si="3"/>
        <v>1331.5215673033081</v>
      </c>
      <c r="AD21" s="112">
        <f t="shared" si="3"/>
        <v>1331.5215673033081</v>
      </c>
      <c r="AE21" s="112">
        <f t="shared" si="3"/>
        <v>1219.5301535373271</v>
      </c>
      <c r="AF21" s="112">
        <f t="shared" si="3"/>
        <v>1331.5215673033081</v>
      </c>
      <c r="AG21" s="112">
        <f t="shared" si="3"/>
        <v>860.36502971021855</v>
      </c>
      <c r="AH21" s="112">
        <f t="shared" si="3"/>
        <v>1331.5215673033081</v>
      </c>
      <c r="AI21" s="112">
        <f t="shared" si="3"/>
        <v>1331.5215673033081</v>
      </c>
      <c r="AJ21" s="112">
        <f t="shared" si="3"/>
        <v>1331.5215673033081</v>
      </c>
      <c r="AK21" s="112">
        <f t="shared" si="3"/>
        <v>1331.5215673033081</v>
      </c>
      <c r="AL21" s="112">
        <f t="shared" si="3"/>
        <v>1331.5215673033081</v>
      </c>
      <c r="AM21" s="112">
        <f t="shared" si="3"/>
        <v>1331.5215673033081</v>
      </c>
      <c r="AN21" s="112">
        <f t="shared" si="3"/>
        <v>1331.5215673033081</v>
      </c>
      <c r="AO21" s="112">
        <f t="shared" si="3"/>
        <v>1331.5215673033081</v>
      </c>
      <c r="AP21" s="112">
        <f t="shared" si="3"/>
        <v>1331.5215673033081</v>
      </c>
      <c r="AQ21" s="112">
        <f t="shared" si="3"/>
        <v>1331.5215673033081</v>
      </c>
      <c r="AR21" s="112">
        <f t="shared" si="3"/>
        <v>1331.5215673033081</v>
      </c>
      <c r="AS21" s="112">
        <f t="shared" si="3"/>
        <v>1331.5215673033081</v>
      </c>
      <c r="AT21" s="112">
        <f t="shared" si="3"/>
        <v>1331.5215673033081</v>
      </c>
      <c r="AU21" s="112">
        <f t="shared" si="3"/>
        <v>1331.5215673033081</v>
      </c>
      <c r="AV21" s="112">
        <f t="shared" si="3"/>
        <v>1331.5215673033081</v>
      </c>
      <c r="AW21" s="112">
        <f t="shared" si="3"/>
        <v>1331.5215673033081</v>
      </c>
      <c r="AX21" s="112">
        <f t="shared" si="3"/>
        <v>1331.5215673033081</v>
      </c>
      <c r="AY21" s="112">
        <f t="shared" si="3"/>
        <v>0</v>
      </c>
      <c r="AZ21" s="163">
        <f>SUM($D21:$AY21)</f>
        <v>59013.662883860641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2663043.1346066161</v>
      </c>
      <c r="F23" s="106">
        <f t="shared" si="6"/>
        <v>2663043.1346066161</v>
      </c>
      <c r="G23" s="106">
        <f t="shared" si="6"/>
        <v>2663043.1346066161</v>
      </c>
      <c r="H23" s="106">
        <f t="shared" si="6"/>
        <v>2663043.1346066161</v>
      </c>
      <c r="I23" s="106">
        <f t="shared" si="6"/>
        <v>2663043.1346066161</v>
      </c>
      <c r="J23" s="106">
        <f t="shared" si="6"/>
        <v>2663043.1346066161</v>
      </c>
      <c r="K23" s="106">
        <f t="shared" si="6"/>
        <v>2663043.1346066161</v>
      </c>
      <c r="L23" s="106">
        <f t="shared" si="6"/>
        <v>2663043.1346066161</v>
      </c>
      <c r="M23" s="106">
        <f t="shared" si="6"/>
        <v>2663043.1346066161</v>
      </c>
      <c r="N23" s="106">
        <f t="shared" si="6"/>
        <v>2663043.1346066161</v>
      </c>
      <c r="O23" s="106">
        <f t="shared" si="6"/>
        <v>2663043.1346066161</v>
      </c>
      <c r="P23" s="106">
        <f t="shared" si="6"/>
        <v>2663043.1346066161</v>
      </c>
      <c r="Q23" s="106">
        <f t="shared" si="6"/>
        <v>0</v>
      </c>
      <c r="R23" s="106">
        <f t="shared" si="6"/>
        <v>4908000</v>
      </c>
      <c r="S23" s="106">
        <f t="shared" si="6"/>
        <v>2663043.1346066161</v>
      </c>
      <c r="T23" s="106">
        <f t="shared" si="6"/>
        <v>0</v>
      </c>
      <c r="U23" s="106">
        <f t="shared" si="6"/>
        <v>4361435.5468755513</v>
      </c>
      <c r="V23" s="106">
        <f t="shared" si="6"/>
        <v>1700285.9937291201</v>
      </c>
      <c r="W23" s="106">
        <f t="shared" si="6"/>
        <v>1702174.7455700384</v>
      </c>
      <c r="X23" s="106">
        <f t="shared" si="6"/>
        <v>2663043.1346066161</v>
      </c>
      <c r="Y23" s="106">
        <f t="shared" si="6"/>
        <v>2663043.1346066161</v>
      </c>
      <c r="Z23" s="106">
        <f t="shared" si="6"/>
        <v>2663043.1346066161</v>
      </c>
      <c r="AA23" s="106">
        <f t="shared" si="6"/>
        <v>2663043.1346066161</v>
      </c>
      <c r="AB23" s="106">
        <f t="shared" si="6"/>
        <v>2663043.1346066161</v>
      </c>
      <c r="AC23" s="106">
        <f t="shared" si="6"/>
        <v>2663043.1346066161</v>
      </c>
      <c r="AD23" s="106">
        <f t="shared" si="6"/>
        <v>2663043.1346066161</v>
      </c>
      <c r="AE23" s="106">
        <f t="shared" si="6"/>
        <v>2439060.3070746544</v>
      </c>
      <c r="AF23" s="106">
        <f t="shared" si="6"/>
        <v>2663043.1346066161</v>
      </c>
      <c r="AG23" s="106">
        <f t="shared" si="6"/>
        <v>1720730.0594204371</v>
      </c>
      <c r="AH23" s="106">
        <f t="shared" si="6"/>
        <v>2663043.1346066161</v>
      </c>
      <c r="AI23" s="106">
        <f t="shared" si="6"/>
        <v>2663043.1346066161</v>
      </c>
      <c r="AJ23" s="106">
        <f t="shared" si="6"/>
        <v>2663043.1346066161</v>
      </c>
      <c r="AK23" s="106">
        <f t="shared" si="6"/>
        <v>2663043.1346066161</v>
      </c>
      <c r="AL23" s="106">
        <f t="shared" si="6"/>
        <v>2663043.1346066161</v>
      </c>
      <c r="AM23" s="106">
        <f t="shared" si="6"/>
        <v>2663043.1346066161</v>
      </c>
      <c r="AN23" s="106">
        <f t="shared" si="6"/>
        <v>2663043.1346066161</v>
      </c>
      <c r="AO23" s="106">
        <f t="shared" si="6"/>
        <v>2663043.1346066161</v>
      </c>
      <c r="AP23" s="106">
        <f t="shared" si="6"/>
        <v>2663043.1346066161</v>
      </c>
      <c r="AQ23" s="106">
        <f t="shared" si="6"/>
        <v>2663043.1346066161</v>
      </c>
      <c r="AR23" s="106">
        <f t="shared" si="6"/>
        <v>2663043.1346066161</v>
      </c>
      <c r="AS23" s="106">
        <f t="shared" si="6"/>
        <v>2663043.1346066161</v>
      </c>
      <c r="AT23" s="106">
        <f t="shared" si="6"/>
        <v>2663043.1346066161</v>
      </c>
      <c r="AU23" s="106">
        <f t="shared" si="6"/>
        <v>2663043.1346066161</v>
      </c>
      <c r="AV23" s="106">
        <f t="shared" si="6"/>
        <v>2663043.1346066161</v>
      </c>
      <c r="AW23" s="106">
        <f t="shared" si="6"/>
        <v>2663043.1346066161</v>
      </c>
      <c r="AX23" s="106">
        <f t="shared" si="6"/>
        <v>2663043.1346066161</v>
      </c>
      <c r="AY23" s="106">
        <f t="shared" si="6"/>
        <v>0</v>
      </c>
      <c r="AZ23" s="145">
        <f t="shared" si="5"/>
        <v>118027325.76772118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91</v>
      </c>
      <c r="D27" s="130">
        <f>C$27-C$28+C$29</f>
        <v>91</v>
      </c>
      <c r="E27" s="130">
        <f t="shared" ref="E27:AY27" si="8">D27-D28+D29</f>
        <v>91</v>
      </c>
      <c r="F27" s="130">
        <f t="shared" si="8"/>
        <v>46</v>
      </c>
      <c r="G27" s="130">
        <f t="shared" si="8"/>
        <v>46</v>
      </c>
      <c r="H27" s="130">
        <f t="shared" si="8"/>
        <v>46</v>
      </c>
      <c r="I27" s="130">
        <f t="shared" si="8"/>
        <v>46</v>
      </c>
      <c r="J27" s="130">
        <f t="shared" si="8"/>
        <v>46</v>
      </c>
      <c r="K27" s="130">
        <f t="shared" si="8"/>
        <v>46</v>
      </c>
      <c r="L27" s="130">
        <f t="shared" si="8"/>
        <v>46</v>
      </c>
      <c r="M27" s="130">
        <f t="shared" si="8"/>
        <v>46</v>
      </c>
      <c r="N27" s="130">
        <f t="shared" si="8"/>
        <v>46</v>
      </c>
      <c r="O27" s="130">
        <f t="shared" si="8"/>
        <v>46</v>
      </c>
      <c r="P27" s="130">
        <f t="shared" si="8"/>
        <v>46</v>
      </c>
      <c r="Q27" s="130">
        <f t="shared" si="8"/>
        <v>46</v>
      </c>
      <c r="R27" s="130">
        <f t="shared" si="8"/>
        <v>91</v>
      </c>
      <c r="S27" s="130">
        <f t="shared" si="8"/>
        <v>9</v>
      </c>
      <c r="T27" s="130">
        <f t="shared" si="8"/>
        <v>82</v>
      </c>
      <c r="U27" s="130">
        <f t="shared" si="8"/>
        <v>91</v>
      </c>
      <c r="V27" s="130">
        <f t="shared" si="8"/>
        <v>18</v>
      </c>
      <c r="W27" s="130">
        <f t="shared" si="8"/>
        <v>73</v>
      </c>
      <c r="X27" s="130">
        <f t="shared" si="8"/>
        <v>62</v>
      </c>
      <c r="Y27" s="130">
        <f t="shared" si="8"/>
        <v>46</v>
      </c>
      <c r="Z27" s="130">
        <f t="shared" si="8"/>
        <v>46</v>
      </c>
      <c r="AA27" s="130">
        <f t="shared" si="8"/>
        <v>46</v>
      </c>
      <c r="AB27" s="130">
        <f t="shared" si="8"/>
        <v>46</v>
      </c>
      <c r="AC27" s="130">
        <f t="shared" si="8"/>
        <v>46</v>
      </c>
      <c r="AD27" s="130">
        <f t="shared" si="8"/>
        <v>46</v>
      </c>
      <c r="AE27" s="130">
        <f t="shared" si="8"/>
        <v>46</v>
      </c>
      <c r="AF27" s="130">
        <f t="shared" si="8"/>
        <v>50</v>
      </c>
      <c r="AG27" s="130">
        <f t="shared" si="8"/>
        <v>46</v>
      </c>
      <c r="AH27" s="130">
        <f t="shared" si="8"/>
        <v>62</v>
      </c>
      <c r="AI27" s="130">
        <f t="shared" si="8"/>
        <v>46</v>
      </c>
      <c r="AJ27" s="130">
        <f t="shared" si="8"/>
        <v>46</v>
      </c>
      <c r="AK27" s="130">
        <f t="shared" si="8"/>
        <v>46</v>
      </c>
      <c r="AL27" s="130">
        <f t="shared" si="8"/>
        <v>46</v>
      </c>
      <c r="AM27" s="130">
        <f t="shared" si="8"/>
        <v>46</v>
      </c>
      <c r="AN27" s="130">
        <f t="shared" si="8"/>
        <v>46</v>
      </c>
      <c r="AO27" s="130">
        <f t="shared" si="8"/>
        <v>46</v>
      </c>
      <c r="AP27" s="130">
        <f t="shared" si="8"/>
        <v>46</v>
      </c>
      <c r="AQ27" s="130">
        <f t="shared" si="8"/>
        <v>46</v>
      </c>
      <c r="AR27" s="130">
        <f t="shared" si="8"/>
        <v>46</v>
      </c>
      <c r="AS27" s="130">
        <f t="shared" si="8"/>
        <v>46</v>
      </c>
      <c r="AT27" s="130">
        <f t="shared" si="8"/>
        <v>46</v>
      </c>
      <c r="AU27" s="130">
        <f t="shared" si="8"/>
        <v>46</v>
      </c>
      <c r="AV27" s="130">
        <f t="shared" si="8"/>
        <v>46</v>
      </c>
      <c r="AW27" s="130">
        <f t="shared" si="8"/>
        <v>46</v>
      </c>
      <c r="AX27" s="130">
        <f t="shared" si="8"/>
        <v>46</v>
      </c>
      <c r="AY27" s="170">
        <f t="shared" si="8"/>
        <v>46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45</v>
      </c>
      <c r="F28" s="116">
        <v>45</v>
      </c>
      <c r="G28" s="116">
        <v>45</v>
      </c>
      <c r="H28" s="116">
        <v>45</v>
      </c>
      <c r="I28" s="116">
        <v>45</v>
      </c>
      <c r="J28" s="116">
        <v>45</v>
      </c>
      <c r="K28" s="116">
        <v>45</v>
      </c>
      <c r="L28" s="116">
        <v>45</v>
      </c>
      <c r="M28" s="116">
        <v>45</v>
      </c>
      <c r="N28" s="116">
        <v>45</v>
      </c>
      <c r="O28" s="116">
        <v>45</v>
      </c>
      <c r="P28" s="116">
        <v>45</v>
      </c>
      <c r="Q28" s="116">
        <v>0</v>
      </c>
      <c r="R28" s="116">
        <v>82</v>
      </c>
      <c r="S28" s="116">
        <v>9</v>
      </c>
      <c r="T28" s="116">
        <v>0</v>
      </c>
      <c r="U28" s="116">
        <v>73</v>
      </c>
      <c r="V28" s="116">
        <v>18</v>
      </c>
      <c r="W28" s="116">
        <v>29</v>
      </c>
      <c r="X28" s="116">
        <v>45</v>
      </c>
      <c r="Y28" s="116">
        <v>45</v>
      </c>
      <c r="Z28" s="116">
        <v>45</v>
      </c>
      <c r="AA28" s="116">
        <v>45</v>
      </c>
      <c r="AB28" s="116">
        <v>45</v>
      </c>
      <c r="AC28" s="116">
        <v>45</v>
      </c>
      <c r="AD28" s="116">
        <v>45</v>
      </c>
      <c r="AE28" s="116">
        <v>41</v>
      </c>
      <c r="AF28" s="116">
        <v>45</v>
      </c>
      <c r="AG28" s="116">
        <v>29</v>
      </c>
      <c r="AH28" s="116">
        <v>45</v>
      </c>
      <c r="AI28" s="116">
        <v>45</v>
      </c>
      <c r="AJ28" s="116">
        <v>45</v>
      </c>
      <c r="AK28" s="116">
        <v>45</v>
      </c>
      <c r="AL28" s="116">
        <v>45</v>
      </c>
      <c r="AM28" s="116">
        <v>45</v>
      </c>
      <c r="AN28" s="116">
        <v>45</v>
      </c>
      <c r="AO28" s="116">
        <v>45</v>
      </c>
      <c r="AP28" s="116">
        <v>45</v>
      </c>
      <c r="AQ28" s="116">
        <v>45</v>
      </c>
      <c r="AR28" s="116">
        <v>45</v>
      </c>
      <c r="AS28" s="116">
        <v>45</v>
      </c>
      <c r="AT28" s="116">
        <v>45</v>
      </c>
      <c r="AU28" s="116">
        <v>45</v>
      </c>
      <c r="AV28" s="116">
        <v>45</v>
      </c>
      <c r="AW28" s="116">
        <v>45</v>
      </c>
      <c r="AX28" s="116">
        <v>45</v>
      </c>
      <c r="AY28" s="172">
        <v>0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45</v>
      </c>
      <c r="G29" s="131">
        <f t="shared" si="9"/>
        <v>45</v>
      </c>
      <c r="H29" s="131">
        <f t="shared" si="9"/>
        <v>45</v>
      </c>
      <c r="I29" s="131">
        <f t="shared" si="9"/>
        <v>45</v>
      </c>
      <c r="J29" s="131">
        <f t="shared" si="9"/>
        <v>45</v>
      </c>
      <c r="K29" s="131">
        <f t="shared" si="9"/>
        <v>45</v>
      </c>
      <c r="L29" s="131">
        <f t="shared" si="9"/>
        <v>45</v>
      </c>
      <c r="M29" s="131">
        <f t="shared" si="9"/>
        <v>45</v>
      </c>
      <c r="N29" s="131">
        <f t="shared" si="9"/>
        <v>45</v>
      </c>
      <c r="O29" s="131">
        <f t="shared" si="9"/>
        <v>45</v>
      </c>
      <c r="P29" s="131">
        <f t="shared" si="9"/>
        <v>45</v>
      </c>
      <c r="Q29" s="131">
        <f t="shared" si="9"/>
        <v>45</v>
      </c>
      <c r="R29" s="131">
        <f t="shared" si="9"/>
        <v>0</v>
      </c>
      <c r="S29" s="131">
        <f t="shared" si="9"/>
        <v>82</v>
      </c>
      <c r="T29" s="131">
        <f t="shared" si="9"/>
        <v>9</v>
      </c>
      <c r="U29" s="131">
        <f t="shared" si="9"/>
        <v>0</v>
      </c>
      <c r="V29" s="131">
        <f t="shared" si="9"/>
        <v>73</v>
      </c>
      <c r="W29" s="131">
        <f t="shared" si="9"/>
        <v>18</v>
      </c>
      <c r="X29" s="131">
        <f t="shared" si="9"/>
        <v>29</v>
      </c>
      <c r="Y29" s="131">
        <f t="shared" si="9"/>
        <v>45</v>
      </c>
      <c r="Z29" s="131">
        <f t="shared" si="9"/>
        <v>45</v>
      </c>
      <c r="AA29" s="131">
        <f t="shared" si="9"/>
        <v>45</v>
      </c>
      <c r="AB29" s="131">
        <f t="shared" si="9"/>
        <v>45</v>
      </c>
      <c r="AC29" s="131">
        <f t="shared" si="9"/>
        <v>45</v>
      </c>
      <c r="AD29" s="131">
        <f t="shared" si="9"/>
        <v>45</v>
      </c>
      <c r="AE29" s="131">
        <f t="shared" si="9"/>
        <v>45</v>
      </c>
      <c r="AF29" s="131">
        <f t="shared" si="9"/>
        <v>41</v>
      </c>
      <c r="AG29" s="131">
        <f t="shared" si="9"/>
        <v>45</v>
      </c>
      <c r="AH29" s="131">
        <f t="shared" si="9"/>
        <v>29</v>
      </c>
      <c r="AI29" s="131">
        <f t="shared" si="9"/>
        <v>45</v>
      </c>
      <c r="AJ29" s="131">
        <f t="shared" si="9"/>
        <v>45</v>
      </c>
      <c r="AK29" s="131">
        <f t="shared" si="9"/>
        <v>45</v>
      </c>
      <c r="AL29" s="131">
        <f t="shared" si="9"/>
        <v>45</v>
      </c>
      <c r="AM29" s="131">
        <f t="shared" si="9"/>
        <v>45</v>
      </c>
      <c r="AN29" s="131">
        <f t="shared" si="9"/>
        <v>45</v>
      </c>
      <c r="AO29" s="131">
        <f t="shared" si="9"/>
        <v>45</v>
      </c>
      <c r="AP29" s="131">
        <f t="shared" si="9"/>
        <v>45</v>
      </c>
      <c r="AQ29" s="131">
        <f t="shared" si="9"/>
        <v>45</v>
      </c>
      <c r="AR29" s="131">
        <f t="shared" si="9"/>
        <v>45</v>
      </c>
      <c r="AS29" s="131">
        <f t="shared" si="9"/>
        <v>45</v>
      </c>
      <c r="AT29" s="131">
        <f t="shared" si="9"/>
        <v>45</v>
      </c>
      <c r="AU29" s="131">
        <f t="shared" si="9"/>
        <v>45</v>
      </c>
      <c r="AV29" s="131">
        <f t="shared" si="9"/>
        <v>45</v>
      </c>
      <c r="AW29" s="131">
        <f t="shared" si="9"/>
        <v>45</v>
      </c>
      <c r="AX29" s="131">
        <f t="shared" si="9"/>
        <v>45</v>
      </c>
      <c r="AY29" s="173">
        <f t="shared" si="9"/>
        <v>45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910</v>
      </c>
      <c r="E30" s="123">
        <f t="shared" ref="E30:AY30" si="10">E$27*$B$30</f>
        <v>910</v>
      </c>
      <c r="F30" s="123">
        <f t="shared" si="10"/>
        <v>460</v>
      </c>
      <c r="G30" s="123">
        <f t="shared" si="10"/>
        <v>460</v>
      </c>
      <c r="H30" s="123">
        <f t="shared" si="10"/>
        <v>460</v>
      </c>
      <c r="I30" s="123">
        <f t="shared" si="10"/>
        <v>460</v>
      </c>
      <c r="J30" s="123">
        <f t="shared" si="10"/>
        <v>460</v>
      </c>
      <c r="K30" s="123">
        <f t="shared" si="10"/>
        <v>460</v>
      </c>
      <c r="L30" s="123">
        <f t="shared" si="10"/>
        <v>460</v>
      </c>
      <c r="M30" s="123">
        <f t="shared" si="10"/>
        <v>460</v>
      </c>
      <c r="N30" s="123">
        <f t="shared" si="10"/>
        <v>460</v>
      </c>
      <c r="O30" s="123">
        <f t="shared" si="10"/>
        <v>460</v>
      </c>
      <c r="P30" s="123">
        <f t="shared" si="10"/>
        <v>460</v>
      </c>
      <c r="Q30" s="123">
        <f t="shared" si="10"/>
        <v>460</v>
      </c>
      <c r="R30" s="123">
        <f>R$27*$B$30</f>
        <v>910</v>
      </c>
      <c r="S30" s="123">
        <f t="shared" si="10"/>
        <v>90</v>
      </c>
      <c r="T30" s="123">
        <f t="shared" si="10"/>
        <v>820</v>
      </c>
      <c r="U30" s="123">
        <f t="shared" si="10"/>
        <v>910</v>
      </c>
      <c r="V30" s="123">
        <f t="shared" si="10"/>
        <v>180</v>
      </c>
      <c r="W30" s="123">
        <f t="shared" si="10"/>
        <v>730</v>
      </c>
      <c r="X30" s="123">
        <f t="shared" si="10"/>
        <v>620</v>
      </c>
      <c r="Y30" s="123">
        <f t="shared" si="10"/>
        <v>460</v>
      </c>
      <c r="Z30" s="123">
        <f t="shared" si="10"/>
        <v>460</v>
      </c>
      <c r="AA30" s="123">
        <f t="shared" si="10"/>
        <v>460</v>
      </c>
      <c r="AB30" s="123">
        <f t="shared" si="10"/>
        <v>460</v>
      </c>
      <c r="AC30" s="123">
        <f t="shared" si="10"/>
        <v>460</v>
      </c>
      <c r="AD30" s="123">
        <f t="shared" si="10"/>
        <v>460</v>
      </c>
      <c r="AE30" s="123">
        <f>AE$27*$B$30</f>
        <v>460</v>
      </c>
      <c r="AF30" s="123">
        <f t="shared" si="10"/>
        <v>500</v>
      </c>
      <c r="AG30" s="123">
        <f t="shared" si="10"/>
        <v>460</v>
      </c>
      <c r="AH30" s="123">
        <f t="shared" si="10"/>
        <v>620</v>
      </c>
      <c r="AI30" s="123">
        <f t="shared" si="10"/>
        <v>460</v>
      </c>
      <c r="AJ30" s="123">
        <f t="shared" si="10"/>
        <v>460</v>
      </c>
      <c r="AK30" s="123">
        <f t="shared" si="10"/>
        <v>460</v>
      </c>
      <c r="AL30" s="123">
        <f t="shared" si="10"/>
        <v>460</v>
      </c>
      <c r="AM30" s="123">
        <f t="shared" si="10"/>
        <v>460</v>
      </c>
      <c r="AN30" s="123">
        <f t="shared" si="10"/>
        <v>460</v>
      </c>
      <c r="AO30" s="123">
        <f t="shared" si="10"/>
        <v>460</v>
      </c>
      <c r="AP30" s="123">
        <f t="shared" si="10"/>
        <v>460</v>
      </c>
      <c r="AQ30" s="123">
        <f t="shared" si="10"/>
        <v>460</v>
      </c>
      <c r="AR30" s="123">
        <f t="shared" si="10"/>
        <v>460</v>
      </c>
      <c r="AS30" s="123">
        <f t="shared" si="10"/>
        <v>460</v>
      </c>
      <c r="AT30" s="123">
        <f t="shared" si="10"/>
        <v>460</v>
      </c>
      <c r="AU30" s="123">
        <f t="shared" si="10"/>
        <v>460</v>
      </c>
      <c r="AV30" s="123">
        <f t="shared" si="10"/>
        <v>460</v>
      </c>
      <c r="AW30" s="123">
        <f t="shared" si="10"/>
        <v>460</v>
      </c>
      <c r="AX30" s="123">
        <f t="shared" si="10"/>
        <v>460</v>
      </c>
      <c r="AY30" s="123">
        <f t="shared" si="10"/>
        <v>460</v>
      </c>
      <c r="AZ30" s="147">
        <f t="shared" si="5"/>
        <v>24220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D$21*shipping_manufacturing!$F$27/100</f>
        <v>0</v>
      </c>
      <c r="E33" s="130">
        <f>E$21*shipping_manufacturing!$F$27/100</f>
        <v>0</v>
      </c>
      <c r="F33" s="130">
        <f>F$21*shipping_manufacturing!$F$27/100</f>
        <v>0</v>
      </c>
      <c r="G33" s="130">
        <f>G$21*shipping_manufacturing!$F$27/100</f>
        <v>0</v>
      </c>
      <c r="H33" s="130">
        <f>H$21*shipping_manufacturing!$F$27/100</f>
        <v>0</v>
      </c>
      <c r="I33" s="130">
        <f>I$21*shipping_manufacturing!$F$27/100</f>
        <v>0</v>
      </c>
      <c r="J33" s="130">
        <f>J$21*shipping_manufacturing!$F$27/100</f>
        <v>0</v>
      </c>
      <c r="K33" s="130">
        <f>K$21*shipping_manufacturing!$F$27/100</f>
        <v>0</v>
      </c>
      <c r="L33" s="130">
        <f>L$21*shipping_manufacturing!$F$27/100</f>
        <v>0</v>
      </c>
      <c r="M33" s="130">
        <f>M$21*shipping_manufacturing!$F$27/100</f>
        <v>0</v>
      </c>
      <c r="N33" s="130">
        <f>N$21*shipping_manufacturing!$F$27/100</f>
        <v>0</v>
      </c>
      <c r="O33" s="130">
        <f>O$21*shipping_manufacturing!$F$27/100</f>
        <v>0</v>
      </c>
      <c r="P33" s="130">
        <f>P$21*shipping_manufacturing!$F$27/100</f>
        <v>0</v>
      </c>
      <c r="Q33" s="130">
        <f>Q$21*shipping_manufacturing!$F$27/100</f>
        <v>0</v>
      </c>
      <c r="R33" s="130">
        <f>R$21*shipping_manufacturing!$F$27/100</f>
        <v>0</v>
      </c>
      <c r="S33" s="130">
        <f>S$21*shipping_manufacturing!$F$27/100</f>
        <v>0</v>
      </c>
      <c r="T33" s="130">
        <f>T$21*shipping_manufacturing!$F$27/100</f>
        <v>0</v>
      </c>
      <c r="U33" s="130">
        <f>U$21*shipping_manufacturing!$F$27/100</f>
        <v>0</v>
      </c>
      <c r="V33" s="130">
        <f>V$21*shipping_manufacturing!$F$27/100</f>
        <v>0</v>
      </c>
      <c r="W33" s="130">
        <f>W$21*shipping_manufacturing!$F$27/100</f>
        <v>0</v>
      </c>
      <c r="X33" s="130">
        <f>X$21*shipping_manufacturing!$F$27/100</f>
        <v>0</v>
      </c>
      <c r="Y33" s="130">
        <f>Y$21*shipping_manufacturing!$F$27/100</f>
        <v>0</v>
      </c>
      <c r="Z33" s="130">
        <f>Z$21*shipping_manufacturing!$F$27/100</f>
        <v>0</v>
      </c>
      <c r="AA33" s="130">
        <f>AA$21*shipping_manufacturing!$F$27/100</f>
        <v>0</v>
      </c>
      <c r="AB33" s="130">
        <f>AB$21*shipping_manufacturing!$F$27/100</f>
        <v>0</v>
      </c>
      <c r="AC33" s="130">
        <f>AC$21*shipping_manufacturing!$F$27/100</f>
        <v>0</v>
      </c>
      <c r="AD33" s="130">
        <f>AD$21*shipping_manufacturing!$F$27/100</f>
        <v>0</v>
      </c>
      <c r="AE33" s="130">
        <f>AE$21*shipping_manufacturing!$F$27/100</f>
        <v>0</v>
      </c>
      <c r="AF33" s="130">
        <f>AF$21*shipping_manufacturing!$F$27/100</f>
        <v>0</v>
      </c>
      <c r="AG33" s="130">
        <f>AG$21*shipping_manufacturing!$F$27/100</f>
        <v>0</v>
      </c>
      <c r="AH33" s="130">
        <f>AH$21*shipping_manufacturing!$F$27/100</f>
        <v>0</v>
      </c>
      <c r="AI33" s="130">
        <f>AI$21*shipping_manufacturing!$F$27/100</f>
        <v>0</v>
      </c>
      <c r="AJ33" s="130">
        <f>AJ$21*shipping_manufacturing!$F$27/100</f>
        <v>0</v>
      </c>
      <c r="AK33" s="130">
        <f>AK$21*shipping_manufacturing!$F$27/100</f>
        <v>0</v>
      </c>
      <c r="AL33" s="130">
        <f>AL$21*shipping_manufacturing!$F$27/100</f>
        <v>0</v>
      </c>
      <c r="AM33" s="130">
        <f>AM$21*shipping_manufacturing!$F$27/100</f>
        <v>0</v>
      </c>
      <c r="AN33" s="130">
        <f>AN$21*shipping_manufacturing!$F$27/100</f>
        <v>0</v>
      </c>
      <c r="AO33" s="130">
        <f>AO$21*shipping_manufacturing!$F$27/100</f>
        <v>0</v>
      </c>
      <c r="AP33" s="130">
        <f>AP$21*shipping_manufacturing!$F$27/100</f>
        <v>0</v>
      </c>
      <c r="AQ33" s="130">
        <f>AQ$21*shipping_manufacturing!$F$27/100</f>
        <v>0</v>
      </c>
      <c r="AR33" s="130">
        <f>AR$21*shipping_manufacturing!$F$27/100</f>
        <v>0</v>
      </c>
      <c r="AS33" s="130">
        <f>AS$21*shipping_manufacturing!$F$27/100</f>
        <v>0</v>
      </c>
      <c r="AT33" s="130">
        <f>AT$21*shipping_manufacturing!$F$27/100</f>
        <v>0</v>
      </c>
      <c r="AU33" s="130">
        <f>AU$21*shipping_manufacturing!$F$27/100</f>
        <v>0</v>
      </c>
      <c r="AV33" s="130">
        <f>AV$21*shipping_manufacturing!$F$27/100</f>
        <v>0</v>
      </c>
      <c r="AW33" s="130">
        <f>AW$21*shipping_manufacturing!$F$27/100</f>
        <v>0</v>
      </c>
      <c r="AX33" s="130">
        <f>AX$21*shipping_manufacturing!$F$27/100</f>
        <v>0</v>
      </c>
      <c r="AY33" s="130">
        <f>AY$21*shipping_manufacturing!$F$27/100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D$22*shipping_manufacturing!$G$27/100</f>
        <v>0</v>
      </c>
      <c r="E34" s="116">
        <f>E$22*shipping_manufacturing!$G$27/100</f>
        <v>0</v>
      </c>
      <c r="F34" s="116">
        <f>F$22*shipping_manufacturing!$G$27/100</f>
        <v>0</v>
      </c>
      <c r="G34" s="116">
        <f>G$22*shipping_manufacturing!$G$27/100</f>
        <v>0</v>
      </c>
      <c r="H34" s="116">
        <f>H$22*shipping_manufacturing!$G$27/100</f>
        <v>0</v>
      </c>
      <c r="I34" s="116">
        <f>I$22*shipping_manufacturing!$G$27/100</f>
        <v>0</v>
      </c>
      <c r="J34" s="116">
        <f>J$22*shipping_manufacturing!$G$27/100</f>
        <v>0</v>
      </c>
      <c r="K34" s="116">
        <f>K$22*shipping_manufacturing!$G$27/100</f>
        <v>0</v>
      </c>
      <c r="L34" s="116">
        <f>L$22*shipping_manufacturing!$G$27/100</f>
        <v>0</v>
      </c>
      <c r="M34" s="116">
        <f>M$22*shipping_manufacturing!$G$27/100</f>
        <v>0</v>
      </c>
      <c r="N34" s="116">
        <f>N$22*shipping_manufacturing!$G$27/100</f>
        <v>0</v>
      </c>
      <c r="O34" s="116">
        <f>O$22*shipping_manufacturing!$G$27/100</f>
        <v>0</v>
      </c>
      <c r="P34" s="116">
        <f>P$22*shipping_manufacturing!$G$27/100</f>
        <v>0</v>
      </c>
      <c r="Q34" s="116">
        <f>Q$22*shipping_manufacturing!$G$27/100</f>
        <v>0</v>
      </c>
      <c r="R34" s="116">
        <f>R$22*shipping_manufacturing!$G$27/100</f>
        <v>0</v>
      </c>
      <c r="S34" s="116">
        <f>S$22*shipping_manufacturing!$G$27/100</f>
        <v>0</v>
      </c>
      <c r="T34" s="116">
        <f>T$22*shipping_manufacturing!$G$27/100</f>
        <v>0</v>
      </c>
      <c r="U34" s="116">
        <f>U$22*shipping_manufacturing!$G$27/100</f>
        <v>0</v>
      </c>
      <c r="V34" s="116">
        <f>V$22*shipping_manufacturing!$G$27/100</f>
        <v>0</v>
      </c>
      <c r="W34" s="116">
        <f>W$22*shipping_manufacturing!$G$27/100</f>
        <v>0</v>
      </c>
      <c r="X34" s="116">
        <f>X$22*shipping_manufacturing!$G$27/100</f>
        <v>0</v>
      </c>
      <c r="Y34" s="116">
        <f>Y$22*shipping_manufacturing!$G$27/100</f>
        <v>0</v>
      </c>
      <c r="Z34" s="116">
        <f>Z$22*shipping_manufacturing!$G$27/100</f>
        <v>0</v>
      </c>
      <c r="AA34" s="116">
        <f>AA$22*shipping_manufacturing!$G$27/100</f>
        <v>0</v>
      </c>
      <c r="AB34" s="116">
        <f>AB$22*shipping_manufacturing!$G$27/100</f>
        <v>0</v>
      </c>
      <c r="AC34" s="116">
        <f>AC$22*shipping_manufacturing!$G$27/100</f>
        <v>0</v>
      </c>
      <c r="AD34" s="116">
        <f>AD$22*shipping_manufacturing!$G$27/100</f>
        <v>0</v>
      </c>
      <c r="AE34" s="116">
        <f>AE$22*shipping_manufacturing!$G$27/100</f>
        <v>0</v>
      </c>
      <c r="AF34" s="116">
        <f>AF$22*shipping_manufacturing!$G$27/100</f>
        <v>0</v>
      </c>
      <c r="AG34" s="116">
        <f>AG$22*shipping_manufacturing!$G$27/100</f>
        <v>0</v>
      </c>
      <c r="AH34" s="116">
        <f>AH$22*shipping_manufacturing!$G$27/100</f>
        <v>0</v>
      </c>
      <c r="AI34" s="116">
        <f>AI$22*shipping_manufacturing!$G$27/100</f>
        <v>0</v>
      </c>
      <c r="AJ34" s="116">
        <f>AJ$22*shipping_manufacturing!$G$27/100</f>
        <v>0</v>
      </c>
      <c r="AK34" s="116">
        <f>AK$22*shipping_manufacturing!$G$27/100</f>
        <v>0</v>
      </c>
      <c r="AL34" s="116">
        <f>AL$22*shipping_manufacturing!$G$27/100</f>
        <v>0</v>
      </c>
      <c r="AM34" s="116">
        <f>AM$22*shipping_manufacturing!$G$27/100</f>
        <v>0</v>
      </c>
      <c r="AN34" s="116">
        <f>AN$22*shipping_manufacturing!$G$27/100</f>
        <v>0</v>
      </c>
      <c r="AO34" s="116">
        <f>AO$22*shipping_manufacturing!$G$27/100</f>
        <v>0</v>
      </c>
      <c r="AP34" s="116">
        <f>AP$22*shipping_manufacturing!$G$27/100</f>
        <v>0</v>
      </c>
      <c r="AQ34" s="116">
        <f>AQ$22*shipping_manufacturing!$G$27/100</f>
        <v>0</v>
      </c>
      <c r="AR34" s="116">
        <f>AR$22*shipping_manufacturing!$G$27/100</f>
        <v>0</v>
      </c>
      <c r="AS34" s="116">
        <f>AS$22*shipping_manufacturing!$G$27/100</f>
        <v>0</v>
      </c>
      <c r="AT34" s="116">
        <f>AT$22*shipping_manufacturing!$G$27/100</f>
        <v>0</v>
      </c>
      <c r="AU34" s="116">
        <f>AU$22*shipping_manufacturing!$G$27/100</f>
        <v>0</v>
      </c>
      <c r="AV34" s="116">
        <f>AV$22*shipping_manufacturing!$G$27/100</f>
        <v>0</v>
      </c>
      <c r="AW34" s="116">
        <f>AW$22*shipping_manufacturing!$G$27/100</f>
        <v>0</v>
      </c>
      <c r="AX34" s="116">
        <f>AX$22*shipping_manufacturing!$G$27/100</f>
        <v>0</v>
      </c>
      <c r="AY34" s="116">
        <f>AY$22*shipping_manufacturing!$G$27/100</f>
        <v>0</v>
      </c>
    </row>
    <row r="35" spans="1:52" x14ac:dyDescent="0.2">
      <c r="A35" s="116">
        <v>1225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1</v>
      </c>
      <c r="E41" s="116">
        <v>1</v>
      </c>
      <c r="F41" s="116">
        <v>2</v>
      </c>
      <c r="G41" s="116">
        <v>2</v>
      </c>
      <c r="H41" s="116">
        <v>1</v>
      </c>
      <c r="I41" s="116">
        <v>2</v>
      </c>
      <c r="J41" s="116">
        <v>1</v>
      </c>
      <c r="K41" s="116">
        <v>2</v>
      </c>
      <c r="L41" s="116">
        <v>2</v>
      </c>
      <c r="M41" s="116">
        <v>1</v>
      </c>
      <c r="N41" s="116">
        <v>2</v>
      </c>
      <c r="O41" s="116">
        <v>1</v>
      </c>
      <c r="P41" s="116">
        <v>1</v>
      </c>
      <c r="Q41" s="116">
        <v>1</v>
      </c>
      <c r="R41" s="116">
        <v>1</v>
      </c>
      <c r="S41" s="116">
        <v>1</v>
      </c>
      <c r="T41" s="116">
        <v>2</v>
      </c>
      <c r="U41" s="116">
        <v>2</v>
      </c>
      <c r="V41" s="116">
        <v>2</v>
      </c>
      <c r="W41" s="116">
        <v>2</v>
      </c>
      <c r="X41" s="116">
        <v>1</v>
      </c>
      <c r="Y41" s="116">
        <v>1</v>
      </c>
      <c r="Z41" s="116">
        <v>1</v>
      </c>
      <c r="AA41" s="116">
        <v>2</v>
      </c>
      <c r="AB41" s="116">
        <v>1</v>
      </c>
      <c r="AC41" s="116">
        <v>1</v>
      </c>
      <c r="AD41" s="116">
        <v>1</v>
      </c>
      <c r="AE41" s="116">
        <v>1</v>
      </c>
      <c r="AF41" s="116">
        <v>1</v>
      </c>
      <c r="AG41" s="116">
        <v>1</v>
      </c>
      <c r="AH41" s="116">
        <v>1</v>
      </c>
      <c r="AI41" s="116">
        <v>1</v>
      </c>
      <c r="AJ41" s="116">
        <v>2</v>
      </c>
      <c r="AK41" s="116">
        <v>1</v>
      </c>
      <c r="AL41" s="116">
        <v>1</v>
      </c>
      <c r="AM41" s="116">
        <v>1</v>
      </c>
      <c r="AN41" s="116">
        <v>1</v>
      </c>
      <c r="AO41" s="116">
        <v>1</v>
      </c>
      <c r="AP41" s="116">
        <v>1</v>
      </c>
      <c r="AQ41" s="116">
        <v>2</v>
      </c>
      <c r="AR41" s="116">
        <v>1</v>
      </c>
      <c r="AS41" s="116">
        <v>2</v>
      </c>
      <c r="AT41" s="116">
        <v>1</v>
      </c>
      <c r="AU41" s="116">
        <v>1</v>
      </c>
      <c r="AV41" s="116">
        <v>2</v>
      </c>
      <c r="AW41" s="116">
        <v>3</v>
      </c>
      <c r="AX41" s="116">
        <v>1</v>
      </c>
      <c r="AY41" s="116">
        <v>1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D$21*shipping_manufacturing!$F$28/100</f>
        <v>0</v>
      </c>
      <c r="E44" s="130">
        <f>E$21*shipping_manufacturing!$F$28/100</f>
        <v>1331.5215673033081</v>
      </c>
      <c r="F44" s="130">
        <f>F$21*shipping_manufacturing!$F$28/100</f>
        <v>1331.5215673033081</v>
      </c>
      <c r="G44" s="130">
        <f>G$21*shipping_manufacturing!$F$28/100</f>
        <v>1331.5215673033081</v>
      </c>
      <c r="H44" s="130">
        <f>H$21*shipping_manufacturing!$F$28/100</f>
        <v>1331.5215673033081</v>
      </c>
      <c r="I44" s="130">
        <f>I$21*shipping_manufacturing!$F$28/100</f>
        <v>1331.5215673033081</v>
      </c>
      <c r="J44" s="130">
        <f>J$21*shipping_manufacturing!$F$28/100</f>
        <v>1331.5215673033081</v>
      </c>
      <c r="K44" s="130">
        <f>K$21*shipping_manufacturing!$F$28/100</f>
        <v>1331.5215673033081</v>
      </c>
      <c r="L44" s="130">
        <f>L$21*shipping_manufacturing!$F$28/100</f>
        <v>1331.5215673033081</v>
      </c>
      <c r="M44" s="130">
        <f>M$21*shipping_manufacturing!$F$28/100</f>
        <v>1331.5215673033081</v>
      </c>
      <c r="N44" s="130">
        <f>N$21*shipping_manufacturing!$F$28/100</f>
        <v>1331.5215673033081</v>
      </c>
      <c r="O44" s="130">
        <f>O$21*shipping_manufacturing!$F$28/100</f>
        <v>1331.5215673033081</v>
      </c>
      <c r="P44" s="130">
        <f>P$21*shipping_manufacturing!$F$28/100</f>
        <v>1331.5215673033081</v>
      </c>
      <c r="Q44" s="130">
        <f>Q$21*shipping_manufacturing!$F$28/100</f>
        <v>0</v>
      </c>
      <c r="R44" s="130">
        <f>R$21*shipping_manufacturing!$F$28/100</f>
        <v>2454</v>
      </c>
      <c r="S44" s="130">
        <f>S$21*shipping_manufacturing!$F$28/100</f>
        <v>1331.5215673033081</v>
      </c>
      <c r="T44" s="130">
        <f>T$21*shipping_manufacturing!$F$28/100</f>
        <v>0</v>
      </c>
      <c r="U44" s="130">
        <f>U$21*shipping_manufacturing!$F$28/100</f>
        <v>2180.7177734377756</v>
      </c>
      <c r="V44" s="130">
        <f>V$21*shipping_manufacturing!$F$28/100</f>
        <v>850.14299686456002</v>
      </c>
      <c r="W44" s="130">
        <f>W$21*shipping_manufacturing!$F$28/100</f>
        <v>851.08737278501906</v>
      </c>
      <c r="X44" s="130">
        <f>X$21*shipping_manufacturing!$F$28/100</f>
        <v>1331.5215673033081</v>
      </c>
      <c r="Y44" s="130">
        <f>Y$21*shipping_manufacturing!$F$28/100</f>
        <v>1331.5215673033081</v>
      </c>
      <c r="Z44" s="130">
        <f>Z$21*shipping_manufacturing!$F$28/100</f>
        <v>1331.5215673033081</v>
      </c>
      <c r="AA44" s="130">
        <f>AA$21*shipping_manufacturing!$F$28/100</f>
        <v>1331.5215673033081</v>
      </c>
      <c r="AB44" s="130">
        <f>AB$21*shipping_manufacturing!$F$28/100</f>
        <v>1331.5215673033081</v>
      </c>
      <c r="AC44" s="130">
        <f>AC$21*shipping_manufacturing!$F$28/100</f>
        <v>1331.5215673033081</v>
      </c>
      <c r="AD44" s="130">
        <f>AD$21*shipping_manufacturing!$F$28/100</f>
        <v>1331.5215673033081</v>
      </c>
      <c r="AE44" s="130">
        <f>AE$21*shipping_manufacturing!$F$28/100</f>
        <v>1219.5301535373271</v>
      </c>
      <c r="AF44" s="130">
        <f>AF$21*shipping_manufacturing!$F$28/100</f>
        <v>1331.5215673033081</v>
      </c>
      <c r="AG44" s="130">
        <f>AG$21*shipping_manufacturing!$F$28/100</f>
        <v>860.36502971021855</v>
      </c>
      <c r="AH44" s="130">
        <f>AH$21*shipping_manufacturing!$F$28/100</f>
        <v>1331.5215673033081</v>
      </c>
      <c r="AI44" s="130">
        <f>AI$21*shipping_manufacturing!$F$28/100</f>
        <v>1331.5215673033081</v>
      </c>
      <c r="AJ44" s="130">
        <f>AJ$21*shipping_manufacturing!$F$28/100</f>
        <v>1331.5215673033081</v>
      </c>
      <c r="AK44" s="130">
        <f>AK$21*shipping_manufacturing!$F$28/100</f>
        <v>1331.5215673033081</v>
      </c>
      <c r="AL44" s="130">
        <f>AL$21*shipping_manufacturing!$F$28/100</f>
        <v>1331.5215673033081</v>
      </c>
      <c r="AM44" s="130">
        <f>AM$21*shipping_manufacturing!$F$28/100</f>
        <v>1331.5215673033081</v>
      </c>
      <c r="AN44" s="130">
        <f>AN$21*shipping_manufacturing!$F$28/100</f>
        <v>1331.5215673033081</v>
      </c>
      <c r="AO44" s="130">
        <f>AO$21*shipping_manufacturing!$F$28/100</f>
        <v>1331.5215673033081</v>
      </c>
      <c r="AP44" s="130">
        <f>AP$21*shipping_manufacturing!$F$28/100</f>
        <v>1331.5215673033081</v>
      </c>
      <c r="AQ44" s="130">
        <f>AQ$21*shipping_manufacturing!$F$28/100</f>
        <v>1331.5215673033081</v>
      </c>
      <c r="AR44" s="130">
        <f>AR$21*shipping_manufacturing!$F$28/100</f>
        <v>1331.5215673033081</v>
      </c>
      <c r="AS44" s="130">
        <f>AS$21*shipping_manufacturing!$F$28/100</f>
        <v>1331.5215673033081</v>
      </c>
      <c r="AT44" s="130">
        <f>AT$21*shipping_manufacturing!$F$28/100</f>
        <v>1331.5215673033081</v>
      </c>
      <c r="AU44" s="130">
        <f>AU$21*shipping_manufacturing!$F$28/100</f>
        <v>1331.5215673033081</v>
      </c>
      <c r="AV44" s="130">
        <f>AV$21*shipping_manufacturing!$F$28/100</f>
        <v>1331.5215673033081</v>
      </c>
      <c r="AW44" s="130">
        <f>AW$21*shipping_manufacturing!$F$28/100</f>
        <v>1331.5215673033081</v>
      </c>
      <c r="AX44" s="130">
        <f>AX$21*shipping_manufacturing!$F$28/100</f>
        <v>1331.5215673033081</v>
      </c>
      <c r="AY44" s="130">
        <f>AY$21*shipping_manufacturing!$F$28/100</f>
        <v>0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D$22*shipping_manufacturing!$G$28/100</f>
        <v>0</v>
      </c>
      <c r="E45" s="116">
        <f>E$22*shipping_manufacturing!$G$28/100</f>
        <v>0</v>
      </c>
      <c r="F45" s="116">
        <f>F$22*shipping_manufacturing!$G$28/100</f>
        <v>0</v>
      </c>
      <c r="G45" s="116">
        <f>G$22*shipping_manufacturing!$G$28/100</f>
        <v>0</v>
      </c>
      <c r="H45" s="116">
        <f>H$22*shipping_manufacturing!$G$28/100</f>
        <v>0</v>
      </c>
      <c r="I45" s="116">
        <f>I$22*shipping_manufacturing!$G$28/100</f>
        <v>0</v>
      </c>
      <c r="J45" s="116">
        <f>J$22*shipping_manufacturing!$G$28/100</f>
        <v>0</v>
      </c>
      <c r="K45" s="116">
        <f>K$22*shipping_manufacturing!$G$28/100</f>
        <v>0</v>
      </c>
      <c r="L45" s="116">
        <f>L$22*shipping_manufacturing!$G$28/100</f>
        <v>0</v>
      </c>
      <c r="M45" s="116">
        <f>M$22*shipping_manufacturing!$G$28/100</f>
        <v>0</v>
      </c>
      <c r="N45" s="116">
        <f>N$22*shipping_manufacturing!$G$28/100</f>
        <v>0</v>
      </c>
      <c r="O45" s="116">
        <f>O$22*shipping_manufacturing!$G$28/100</f>
        <v>0</v>
      </c>
      <c r="P45" s="116">
        <f>P$22*shipping_manufacturing!$G$28/100</f>
        <v>0</v>
      </c>
      <c r="Q45" s="116">
        <f>Q$22*shipping_manufacturing!$G$28/100</f>
        <v>0</v>
      </c>
      <c r="R45" s="116">
        <f>R$22*shipping_manufacturing!$G$28/100</f>
        <v>0</v>
      </c>
      <c r="S45" s="116">
        <f>S$22*shipping_manufacturing!$G$28/100</f>
        <v>0</v>
      </c>
      <c r="T45" s="116">
        <f>T$22*shipping_manufacturing!$G$28/100</f>
        <v>0</v>
      </c>
      <c r="U45" s="116">
        <f>U$22*shipping_manufacturing!$G$28/100</f>
        <v>0</v>
      </c>
      <c r="V45" s="116">
        <f>V$22*shipping_manufacturing!$G$28/100</f>
        <v>0</v>
      </c>
      <c r="W45" s="116">
        <f>W$22*shipping_manufacturing!$G$28/100</f>
        <v>0</v>
      </c>
      <c r="X45" s="116">
        <f>X$22*shipping_manufacturing!$G$28/100</f>
        <v>0</v>
      </c>
      <c r="Y45" s="116">
        <f>Y$22*shipping_manufacturing!$G$28/100</f>
        <v>0</v>
      </c>
      <c r="Z45" s="116">
        <f>Z$22*shipping_manufacturing!$G$28/100</f>
        <v>0</v>
      </c>
      <c r="AA45" s="116">
        <f>AA$22*shipping_manufacturing!$G$28/100</f>
        <v>0</v>
      </c>
      <c r="AB45" s="116">
        <f>AB$22*shipping_manufacturing!$G$28/100</f>
        <v>0</v>
      </c>
      <c r="AC45" s="116">
        <f>AC$22*shipping_manufacturing!$G$28/100</f>
        <v>0</v>
      </c>
      <c r="AD45" s="116">
        <f>AD$22*shipping_manufacturing!$G$28/100</f>
        <v>0</v>
      </c>
      <c r="AE45" s="116">
        <f>AE$22*shipping_manufacturing!$G$28/100</f>
        <v>0</v>
      </c>
      <c r="AF45" s="116">
        <f>AF$22*shipping_manufacturing!$G$28/100</f>
        <v>0</v>
      </c>
      <c r="AG45" s="116">
        <f>AG$22*shipping_manufacturing!$G$28/100</f>
        <v>0</v>
      </c>
      <c r="AH45" s="116">
        <f>AH$22*shipping_manufacturing!$G$28/100</f>
        <v>0</v>
      </c>
      <c r="AI45" s="116">
        <f>AI$22*shipping_manufacturing!$G$28/100</f>
        <v>0</v>
      </c>
      <c r="AJ45" s="116">
        <f>AJ$22*shipping_manufacturing!$G$28/100</f>
        <v>0</v>
      </c>
      <c r="AK45" s="116">
        <f>AK$22*shipping_manufacturing!$G$28/100</f>
        <v>0</v>
      </c>
      <c r="AL45" s="116">
        <f>AL$22*shipping_manufacturing!$G$28/100</f>
        <v>0</v>
      </c>
      <c r="AM45" s="116">
        <f>AM$22*shipping_manufacturing!$G$28/100</f>
        <v>0</v>
      </c>
      <c r="AN45" s="116">
        <f>AN$22*shipping_manufacturing!$G$28/100</f>
        <v>0</v>
      </c>
      <c r="AO45" s="116">
        <f>AO$22*shipping_manufacturing!$G$28/100</f>
        <v>0</v>
      </c>
      <c r="AP45" s="116">
        <f>AP$22*shipping_manufacturing!$G$28/100</f>
        <v>0</v>
      </c>
      <c r="AQ45" s="116">
        <f>AQ$22*shipping_manufacturing!$G$28/100</f>
        <v>0</v>
      </c>
      <c r="AR45" s="116">
        <f>AR$22*shipping_manufacturing!$G$28/100</f>
        <v>0</v>
      </c>
      <c r="AS45" s="116">
        <f>AS$22*shipping_manufacturing!$G$28/100</f>
        <v>0</v>
      </c>
      <c r="AT45" s="116">
        <f>AT$22*shipping_manufacturing!$G$28/100</f>
        <v>0</v>
      </c>
      <c r="AU45" s="116">
        <f>AU$22*shipping_manufacturing!$G$28/100</f>
        <v>0</v>
      </c>
      <c r="AV45" s="116">
        <f>AV$22*shipping_manufacturing!$G$28/100</f>
        <v>0</v>
      </c>
      <c r="AW45" s="116">
        <f>AW$22*shipping_manufacturing!$G$28/100</f>
        <v>0</v>
      </c>
      <c r="AX45" s="116">
        <f>AX$22*shipping_manufacturing!$G$28/100</f>
        <v>0</v>
      </c>
      <c r="AY45" s="116">
        <f>AY$22*shipping_manufacturing!$G$28/100</f>
        <v>0</v>
      </c>
    </row>
    <row r="46" spans="1:52" x14ac:dyDescent="0.2">
      <c r="A46" s="116">
        <v>2339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1331.5215673033081</v>
      </c>
      <c r="F46" s="116">
        <f t="shared" si="14"/>
        <v>1331.5215673033081</v>
      </c>
      <c r="G46" s="116">
        <f t="shared" si="14"/>
        <v>1331.5215673033081</v>
      </c>
      <c r="H46" s="116">
        <f t="shared" si="14"/>
        <v>1331.5215673033081</v>
      </c>
      <c r="I46" s="116">
        <f t="shared" si="14"/>
        <v>1331.5215673033081</v>
      </c>
      <c r="J46" s="116">
        <f t="shared" si="14"/>
        <v>1331.5215673033081</v>
      </c>
      <c r="K46" s="116">
        <f t="shared" si="14"/>
        <v>1331.5215673033081</v>
      </c>
      <c r="L46" s="116">
        <f t="shared" si="14"/>
        <v>1331.5215673033081</v>
      </c>
      <c r="M46" s="116">
        <f t="shared" si="14"/>
        <v>1331.5215673033081</v>
      </c>
      <c r="N46" s="116">
        <f t="shared" si="14"/>
        <v>1331.5215673033081</v>
      </c>
      <c r="O46" s="116">
        <f t="shared" si="14"/>
        <v>1331.5215673033081</v>
      </c>
      <c r="P46" s="116">
        <f t="shared" si="14"/>
        <v>1331.5215673033081</v>
      </c>
      <c r="Q46" s="116">
        <f t="shared" si="14"/>
        <v>0</v>
      </c>
      <c r="R46" s="116">
        <f t="shared" si="14"/>
        <v>2454</v>
      </c>
      <c r="S46" s="116">
        <f t="shared" si="14"/>
        <v>1331.5215673033081</v>
      </c>
      <c r="T46" s="116">
        <f t="shared" si="14"/>
        <v>0</v>
      </c>
      <c r="U46" s="116">
        <f t="shared" si="14"/>
        <v>2180.7177734377756</v>
      </c>
      <c r="V46" s="116">
        <f t="shared" si="14"/>
        <v>850.14299686456002</v>
      </c>
      <c r="W46" s="116">
        <f t="shared" si="14"/>
        <v>851.08737278501906</v>
      </c>
      <c r="X46" s="116">
        <f t="shared" si="14"/>
        <v>1331.5215673033081</v>
      </c>
      <c r="Y46" s="116">
        <f t="shared" si="14"/>
        <v>1331.5215673033081</v>
      </c>
      <c r="Z46" s="116">
        <f t="shared" si="14"/>
        <v>1331.5215673033081</v>
      </c>
      <c r="AA46" s="116">
        <f t="shared" si="14"/>
        <v>1331.5215673033081</v>
      </c>
      <c r="AB46" s="116">
        <f t="shared" si="14"/>
        <v>1331.5215673033081</v>
      </c>
      <c r="AC46" s="116">
        <f t="shared" si="14"/>
        <v>1331.5215673033081</v>
      </c>
      <c r="AD46" s="116">
        <f t="shared" si="14"/>
        <v>1331.5215673033081</v>
      </c>
      <c r="AE46" s="116">
        <f t="shared" si="14"/>
        <v>1219.5301535373271</v>
      </c>
      <c r="AF46" s="116">
        <f t="shared" si="14"/>
        <v>1331.5215673033081</v>
      </c>
      <c r="AG46" s="116">
        <f t="shared" si="14"/>
        <v>860.36502971021855</v>
      </c>
      <c r="AH46" s="116">
        <f t="shared" si="14"/>
        <v>1331.5215673033081</v>
      </c>
      <c r="AI46" s="116">
        <f t="shared" si="14"/>
        <v>1331.5215673033081</v>
      </c>
      <c r="AJ46" s="116">
        <f t="shared" si="14"/>
        <v>1331.5215673033081</v>
      </c>
      <c r="AK46" s="116">
        <f t="shared" si="14"/>
        <v>1331.5215673033081</v>
      </c>
      <c r="AL46" s="116">
        <f t="shared" si="14"/>
        <v>1331.5215673033081</v>
      </c>
      <c r="AM46" s="116">
        <f t="shared" si="14"/>
        <v>1331.5215673033081</v>
      </c>
      <c r="AN46" s="116">
        <f t="shared" si="14"/>
        <v>1331.5215673033081</v>
      </c>
      <c r="AO46" s="116">
        <f t="shared" si="14"/>
        <v>1331.5215673033081</v>
      </c>
      <c r="AP46" s="116">
        <f t="shared" si="14"/>
        <v>1331.5215673033081</v>
      </c>
      <c r="AQ46" s="116">
        <f t="shared" si="14"/>
        <v>1331.5215673033081</v>
      </c>
      <c r="AR46" s="116">
        <f t="shared" si="14"/>
        <v>1331.5215673033081</v>
      </c>
      <c r="AS46" s="116">
        <f t="shared" si="14"/>
        <v>1331.5215673033081</v>
      </c>
      <c r="AT46" s="116">
        <f t="shared" si="14"/>
        <v>1331.5215673033081</v>
      </c>
      <c r="AU46" s="116">
        <f t="shared" si="14"/>
        <v>1331.5215673033081</v>
      </c>
      <c r="AV46" s="116">
        <f t="shared" si="14"/>
        <v>1331.5215673033081</v>
      </c>
      <c r="AW46" s="116">
        <f t="shared" si="14"/>
        <v>1331.5215673033081</v>
      </c>
      <c r="AX46" s="116">
        <f t="shared" si="14"/>
        <v>1331.5215673033081</v>
      </c>
      <c r="AY46" s="116">
        <f t="shared" si="14"/>
        <v>0</v>
      </c>
    </row>
    <row r="47" spans="1:52" x14ac:dyDescent="0.2">
      <c r="A47" s="116"/>
      <c r="B47" s="171" t="s">
        <v>343</v>
      </c>
      <c r="C47" s="116"/>
      <c r="D47" s="116"/>
      <c r="E47" s="116">
        <v>1331.5215673033081</v>
      </c>
      <c r="F47" s="116">
        <v>1331.5215673033081</v>
      </c>
      <c r="G47" s="116">
        <v>1331.5215673033081</v>
      </c>
      <c r="H47" s="116">
        <v>1331.5215673033081</v>
      </c>
      <c r="I47" s="116">
        <v>1331.5215673033081</v>
      </c>
      <c r="J47" s="116">
        <v>1331.5215673033081</v>
      </c>
      <c r="K47" s="116">
        <v>1331.5215673033081</v>
      </c>
      <c r="L47" s="116">
        <v>1331.5215673033081</v>
      </c>
      <c r="M47" s="116">
        <v>1331.5215673033081</v>
      </c>
      <c r="N47" s="116">
        <v>1331.5215673033081</v>
      </c>
      <c r="O47" s="116">
        <v>1331.5215673033081</v>
      </c>
      <c r="P47" s="116">
        <v>1331.5215673033081</v>
      </c>
      <c r="Q47" s="116"/>
      <c r="R47" s="116">
        <v>2454</v>
      </c>
      <c r="S47" s="116">
        <v>270</v>
      </c>
      <c r="T47" s="116"/>
      <c r="U47" s="116">
        <v>2180.7177734377756</v>
      </c>
      <c r="V47" s="116">
        <v>540</v>
      </c>
      <c r="W47" s="116">
        <v>851.08737278501906</v>
      </c>
      <c r="X47" s="116">
        <v>1331.5215673033081</v>
      </c>
      <c r="Y47" s="116">
        <v>1331.5215673033081</v>
      </c>
      <c r="Z47" s="116">
        <v>1331.5215673033081</v>
      </c>
      <c r="AA47" s="116">
        <v>1331.5215673033081</v>
      </c>
      <c r="AB47" s="116">
        <v>1331.5215673033081</v>
      </c>
      <c r="AC47" s="116">
        <v>1331.5215673033081</v>
      </c>
      <c r="AD47" s="116">
        <v>1331.5215673033081</v>
      </c>
      <c r="AE47" s="116">
        <v>1219.5301535373271</v>
      </c>
      <c r="AF47" s="116">
        <v>1331.5215673033081</v>
      </c>
      <c r="AG47" s="116">
        <v>860.36502971021855</v>
      </c>
      <c r="AH47" s="116">
        <v>1331.5215673033081</v>
      </c>
      <c r="AI47" s="116">
        <v>1331.5215673033081</v>
      </c>
      <c r="AJ47" s="116">
        <v>1331.5215673033081</v>
      </c>
      <c r="AK47" s="116">
        <v>1331.5215673033081</v>
      </c>
      <c r="AL47" s="116">
        <v>1331.5215673033081</v>
      </c>
      <c r="AM47" s="116">
        <v>1331.5215673033081</v>
      </c>
      <c r="AN47" s="116">
        <v>1331.5215673033081</v>
      </c>
      <c r="AO47" s="116">
        <v>1331.5215673033081</v>
      </c>
      <c r="AP47" s="116">
        <v>1331.5215673033081</v>
      </c>
      <c r="AQ47" s="116">
        <v>1331.5215673033081</v>
      </c>
      <c r="AR47" s="116">
        <v>1331.5215673033081</v>
      </c>
      <c r="AS47" s="116">
        <v>1331.5215673033081</v>
      </c>
      <c r="AT47" s="116">
        <v>1331.5215673033081</v>
      </c>
      <c r="AU47" s="116">
        <v>1331.5215673033081</v>
      </c>
      <c r="AV47" s="116">
        <v>1331.5215673033081</v>
      </c>
      <c r="AW47" s="116">
        <v>1331.5215673033081</v>
      </c>
      <c r="AX47" s="116">
        <v>1331.5215673033081</v>
      </c>
      <c r="AY47" s="116"/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>
        <v>0</v>
      </c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/>
      <c r="R48" s="116">
        <v>0</v>
      </c>
      <c r="S48" s="116">
        <v>0</v>
      </c>
      <c r="T48" s="116"/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>
        <v>0</v>
      </c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>
        <v>0</v>
      </c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/>
    </row>
    <row r="49" spans="1:52" x14ac:dyDescent="0.2">
      <c r="A49" s="116"/>
      <c r="B49" s="171" t="s">
        <v>345</v>
      </c>
      <c r="C49" s="116"/>
      <c r="D49" s="116"/>
      <c r="E49" s="116">
        <v>45</v>
      </c>
      <c r="F49" s="116">
        <v>45</v>
      </c>
      <c r="G49" s="116">
        <v>45</v>
      </c>
      <c r="H49" s="116">
        <v>45</v>
      </c>
      <c r="I49" s="116">
        <v>45</v>
      </c>
      <c r="J49" s="116">
        <v>45</v>
      </c>
      <c r="K49" s="116">
        <v>45</v>
      </c>
      <c r="L49" s="116">
        <v>45</v>
      </c>
      <c r="M49" s="116">
        <v>45</v>
      </c>
      <c r="N49" s="116">
        <v>45</v>
      </c>
      <c r="O49" s="116">
        <v>45</v>
      </c>
      <c r="P49" s="116">
        <v>45</v>
      </c>
      <c r="Q49" s="116"/>
      <c r="R49" s="116">
        <v>82</v>
      </c>
      <c r="S49" s="116">
        <v>9</v>
      </c>
      <c r="T49" s="116"/>
      <c r="U49" s="116">
        <v>73</v>
      </c>
      <c r="V49" s="116">
        <v>18</v>
      </c>
      <c r="W49" s="116">
        <v>29</v>
      </c>
      <c r="X49" s="116">
        <v>45</v>
      </c>
      <c r="Y49" s="116">
        <v>45</v>
      </c>
      <c r="Z49" s="116">
        <v>45</v>
      </c>
      <c r="AA49" s="116">
        <v>45</v>
      </c>
      <c r="AB49" s="116">
        <v>45</v>
      </c>
      <c r="AC49" s="116">
        <v>45</v>
      </c>
      <c r="AD49" s="116">
        <v>45</v>
      </c>
      <c r="AE49" s="116">
        <v>41</v>
      </c>
      <c r="AF49" s="116">
        <v>45</v>
      </c>
      <c r="AG49" s="116">
        <v>29</v>
      </c>
      <c r="AH49" s="116">
        <v>45</v>
      </c>
      <c r="AI49" s="116">
        <v>45</v>
      </c>
      <c r="AJ49" s="116">
        <v>45</v>
      </c>
      <c r="AK49" s="116">
        <v>45</v>
      </c>
      <c r="AL49" s="116">
        <v>45</v>
      </c>
      <c r="AM49" s="116">
        <v>45</v>
      </c>
      <c r="AN49" s="116">
        <v>45</v>
      </c>
      <c r="AO49" s="116">
        <v>45</v>
      </c>
      <c r="AP49" s="116">
        <v>45</v>
      </c>
      <c r="AQ49" s="116">
        <v>45</v>
      </c>
      <c r="AR49" s="116">
        <v>45</v>
      </c>
      <c r="AS49" s="116">
        <v>45</v>
      </c>
      <c r="AT49" s="116">
        <v>45</v>
      </c>
      <c r="AU49" s="116">
        <v>45</v>
      </c>
      <c r="AV49" s="116">
        <v>45</v>
      </c>
      <c r="AW49" s="116">
        <v>45</v>
      </c>
      <c r="AX49" s="116">
        <v>45</v>
      </c>
      <c r="AY49" s="116"/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1061.5215673033081</v>
      </c>
      <c r="T50" s="116">
        <f t="shared" si="15"/>
        <v>0</v>
      </c>
      <c r="U50" s="116">
        <f t="shared" si="15"/>
        <v>0</v>
      </c>
      <c r="V50" s="116">
        <f t="shared" si="15"/>
        <v>310.14299686456002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2</v>
      </c>
      <c r="E52" s="116">
        <v>2</v>
      </c>
      <c r="F52" s="116">
        <v>2</v>
      </c>
      <c r="G52" s="116">
        <v>2</v>
      </c>
      <c r="H52" s="116">
        <v>2</v>
      </c>
      <c r="I52" s="116">
        <v>2</v>
      </c>
      <c r="J52" s="116">
        <v>2</v>
      </c>
      <c r="K52" s="116">
        <v>2</v>
      </c>
      <c r="L52" s="116">
        <v>2</v>
      </c>
      <c r="M52" s="116">
        <v>2</v>
      </c>
      <c r="N52" s="116">
        <v>3</v>
      </c>
      <c r="O52" s="116">
        <v>2</v>
      </c>
      <c r="P52" s="116">
        <v>3</v>
      </c>
      <c r="Q52" s="116">
        <v>3</v>
      </c>
      <c r="R52" s="116">
        <v>3</v>
      </c>
      <c r="S52" s="116">
        <v>2</v>
      </c>
      <c r="T52" s="116">
        <v>2</v>
      </c>
      <c r="U52" s="116">
        <v>3</v>
      </c>
      <c r="V52" s="116">
        <v>3</v>
      </c>
      <c r="W52" s="116">
        <v>2</v>
      </c>
      <c r="X52" s="116">
        <v>4</v>
      </c>
      <c r="Y52" s="116">
        <v>2</v>
      </c>
      <c r="Z52" s="116">
        <v>4</v>
      </c>
      <c r="AA52" s="116">
        <v>2</v>
      </c>
      <c r="AB52" s="116">
        <v>2</v>
      </c>
      <c r="AC52" s="116">
        <v>2</v>
      </c>
      <c r="AD52" s="116">
        <v>2</v>
      </c>
      <c r="AE52" s="116">
        <v>2</v>
      </c>
      <c r="AF52" s="116">
        <v>2</v>
      </c>
      <c r="AG52" s="116">
        <v>2</v>
      </c>
      <c r="AH52" s="116">
        <v>2</v>
      </c>
      <c r="AI52" s="116">
        <v>2</v>
      </c>
      <c r="AJ52" s="116">
        <v>2</v>
      </c>
      <c r="AK52" s="116">
        <v>3</v>
      </c>
      <c r="AL52" s="116">
        <v>2</v>
      </c>
      <c r="AM52" s="116">
        <v>3</v>
      </c>
      <c r="AN52" s="116">
        <v>2</v>
      </c>
      <c r="AO52" s="116">
        <v>2</v>
      </c>
      <c r="AP52" s="116">
        <v>2</v>
      </c>
      <c r="AQ52" s="116">
        <v>3</v>
      </c>
      <c r="AR52" s="116">
        <v>2</v>
      </c>
      <c r="AS52" s="116">
        <v>3</v>
      </c>
      <c r="AT52" s="116">
        <v>2</v>
      </c>
      <c r="AU52" s="116">
        <v>2</v>
      </c>
      <c r="AV52" s="116">
        <v>2</v>
      </c>
      <c r="AW52" s="116">
        <v>3</v>
      </c>
      <c r="AX52" s="116">
        <v>2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3789180</v>
      </c>
      <c r="F53" s="116">
        <v>3789180</v>
      </c>
      <c r="G53" s="116">
        <v>3789180</v>
      </c>
      <c r="H53" s="116">
        <v>3789180</v>
      </c>
      <c r="I53" s="116">
        <v>3789180</v>
      </c>
      <c r="J53" s="116">
        <v>3789180</v>
      </c>
      <c r="K53" s="116">
        <v>3789180</v>
      </c>
      <c r="L53" s="116">
        <v>3789180</v>
      </c>
      <c r="M53" s="116">
        <v>3789180</v>
      </c>
      <c r="N53" s="116">
        <v>3789180</v>
      </c>
      <c r="O53" s="116">
        <v>3789180</v>
      </c>
      <c r="P53" s="116">
        <v>3789180</v>
      </c>
      <c r="Q53" s="116">
        <v>0</v>
      </c>
      <c r="R53" s="116">
        <v>6904728</v>
      </c>
      <c r="S53" s="116">
        <v>757836</v>
      </c>
      <c r="T53" s="116">
        <v>0</v>
      </c>
      <c r="U53" s="116">
        <v>6146892</v>
      </c>
      <c r="V53" s="116">
        <v>1515672</v>
      </c>
      <c r="W53" s="116">
        <v>2441916</v>
      </c>
      <c r="X53" s="116">
        <v>3789180</v>
      </c>
      <c r="Y53" s="116">
        <v>3789180</v>
      </c>
      <c r="Z53" s="116">
        <v>3789180</v>
      </c>
      <c r="AA53" s="116">
        <v>3789180</v>
      </c>
      <c r="AB53" s="116">
        <v>3789180</v>
      </c>
      <c r="AC53" s="116">
        <v>3789180</v>
      </c>
      <c r="AD53" s="116">
        <v>3789180</v>
      </c>
      <c r="AE53" s="116">
        <v>3452364</v>
      </c>
      <c r="AF53" s="116">
        <v>3789180</v>
      </c>
      <c r="AG53" s="116">
        <v>2441916</v>
      </c>
      <c r="AH53" s="116">
        <v>3789180</v>
      </c>
      <c r="AI53" s="116">
        <v>3789180</v>
      </c>
      <c r="AJ53" s="116">
        <v>3789180</v>
      </c>
      <c r="AK53" s="116">
        <v>3789180</v>
      </c>
      <c r="AL53" s="116">
        <v>3789180</v>
      </c>
      <c r="AM53" s="116">
        <v>3789180</v>
      </c>
      <c r="AN53" s="116">
        <v>3789180</v>
      </c>
      <c r="AO53" s="116">
        <v>3789180</v>
      </c>
      <c r="AP53" s="116">
        <v>3789180</v>
      </c>
      <c r="AQ53" s="116">
        <v>3789180</v>
      </c>
      <c r="AR53" s="116">
        <v>3789180</v>
      </c>
      <c r="AS53" s="116">
        <v>3789180</v>
      </c>
      <c r="AT53" s="116">
        <v>3789180</v>
      </c>
      <c r="AU53" s="116">
        <v>3789180</v>
      </c>
      <c r="AV53" s="116">
        <v>3789180</v>
      </c>
      <c r="AW53" s="116">
        <v>3789180</v>
      </c>
      <c r="AX53" s="116">
        <v>3789180</v>
      </c>
      <c r="AY53" s="116">
        <v>0</v>
      </c>
      <c r="AZ53" s="106">
        <f>SUM($D$53:$AY$53)</f>
        <v>163860984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1613884.3148495846</v>
      </c>
      <c r="T54" s="131">
        <v>0</v>
      </c>
      <c r="U54" s="131">
        <v>0</v>
      </c>
      <c r="V54" s="131">
        <v>471525.90528303385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2085410.2201326184</v>
      </c>
    </row>
  </sheetData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54"/>
  <sheetViews>
    <sheetView workbookViewId="0">
      <pane xSplit="2" ySplit="6" topLeftCell="C7" activePane="bottomRight" state="frozen"/>
      <selection pane="topRight"/>
      <selection pane="bottomLeft"/>
      <selection pane="bottomRight" activeCell="D14" sqref="D14"/>
    </sheetView>
  </sheetViews>
  <sheetFormatPr defaultRowHeight="12.75" x14ac:dyDescent="0.2"/>
  <cols>
    <col min="1" max="1" width="14.7109375" style="106" customWidth="1"/>
    <col min="2" max="2" width="17.7109375" style="106" customWidth="1"/>
    <col min="3" max="51" width="9.140625" style="106"/>
    <col min="52" max="52" width="10.7109375" style="106" customWidth="1"/>
    <col min="53" max="16384" width="9.140625" style="106"/>
  </cols>
  <sheetData>
    <row r="1" spans="1:52" x14ac:dyDescent="0.2">
      <c r="A1" s="108" t="s">
        <v>118</v>
      </c>
    </row>
    <row r="2" spans="1:52" x14ac:dyDescent="0.2">
      <c r="A2" s="106" t="s">
        <v>302</v>
      </c>
      <c r="B2" s="113" t="s">
        <v>12</v>
      </c>
      <c r="E2" s="116"/>
    </row>
    <row r="3" spans="1:52" x14ac:dyDescent="0.2">
      <c r="A3" s="106" t="s">
        <v>285</v>
      </c>
      <c r="B3" s="113">
        <v>5273</v>
      </c>
      <c r="E3" s="116"/>
    </row>
    <row r="4" spans="1:52" x14ac:dyDescent="0.2">
      <c r="A4" s="108"/>
      <c r="C4" s="117" t="s">
        <v>286</v>
      </c>
    </row>
    <row r="5" spans="1:52" x14ac:dyDescent="0.2">
      <c r="B5" s="112"/>
      <c r="C5" s="118">
        <v>0</v>
      </c>
      <c r="D5" s="118">
        <v>1</v>
      </c>
      <c r="E5" s="118">
        <v>2</v>
      </c>
      <c r="F5" s="118">
        <v>3</v>
      </c>
      <c r="G5" s="118">
        <v>4</v>
      </c>
      <c r="H5" s="118">
        <v>5</v>
      </c>
      <c r="I5" s="118">
        <v>6</v>
      </c>
      <c r="J5" s="118">
        <v>7</v>
      </c>
      <c r="K5" s="118">
        <v>8</v>
      </c>
      <c r="L5" s="118">
        <v>9</v>
      </c>
      <c r="M5" s="118">
        <v>10</v>
      </c>
      <c r="N5" s="118">
        <v>11</v>
      </c>
      <c r="O5" s="118">
        <v>12</v>
      </c>
      <c r="P5" s="118">
        <v>13</v>
      </c>
      <c r="Q5" s="118">
        <v>14</v>
      </c>
      <c r="R5" s="118">
        <v>15</v>
      </c>
      <c r="S5" s="118">
        <v>16</v>
      </c>
      <c r="T5" s="118">
        <v>17</v>
      </c>
      <c r="U5" s="118">
        <v>18</v>
      </c>
      <c r="V5" s="118">
        <v>19</v>
      </c>
      <c r="W5" s="118">
        <v>20</v>
      </c>
      <c r="X5" s="118">
        <v>21</v>
      </c>
      <c r="Y5" s="118">
        <v>22</v>
      </c>
      <c r="Z5" s="118">
        <v>23</v>
      </c>
      <c r="AA5" s="118">
        <v>24</v>
      </c>
      <c r="AB5" s="118">
        <v>25</v>
      </c>
      <c r="AC5" s="118">
        <v>26</v>
      </c>
      <c r="AD5" s="118">
        <v>27</v>
      </c>
      <c r="AE5" s="118">
        <v>28</v>
      </c>
      <c r="AF5" s="118">
        <v>29</v>
      </c>
      <c r="AG5" s="118">
        <v>30</v>
      </c>
      <c r="AH5" s="118">
        <v>31</v>
      </c>
      <c r="AI5" s="118">
        <v>32</v>
      </c>
      <c r="AJ5" s="118">
        <v>33</v>
      </c>
      <c r="AK5" s="118">
        <v>34</v>
      </c>
      <c r="AL5" s="118">
        <v>35</v>
      </c>
      <c r="AM5" s="118">
        <v>36</v>
      </c>
      <c r="AN5" s="118">
        <v>37</v>
      </c>
      <c r="AO5" s="118">
        <v>38</v>
      </c>
      <c r="AP5" s="118">
        <v>39</v>
      </c>
      <c r="AQ5" s="118">
        <v>40</v>
      </c>
      <c r="AR5" s="118">
        <v>41</v>
      </c>
      <c r="AS5" s="118">
        <v>42</v>
      </c>
      <c r="AT5" s="118">
        <v>43</v>
      </c>
      <c r="AU5" s="118">
        <v>44</v>
      </c>
      <c r="AV5" s="118">
        <v>45</v>
      </c>
      <c r="AW5" s="118">
        <v>46</v>
      </c>
      <c r="AX5" s="118">
        <v>47</v>
      </c>
      <c r="AY5" s="118">
        <v>48</v>
      </c>
    </row>
    <row r="6" spans="1:52" x14ac:dyDescent="0.2">
      <c r="A6" s="108" t="s">
        <v>303</v>
      </c>
      <c r="B6" s="120"/>
      <c r="C6" s="119" t="s">
        <v>287</v>
      </c>
      <c r="D6" s="118" t="s">
        <v>288</v>
      </c>
      <c r="E6" s="118" t="s">
        <v>288</v>
      </c>
      <c r="F6" s="118" t="s">
        <v>288</v>
      </c>
      <c r="G6" s="118" t="s">
        <v>288</v>
      </c>
      <c r="H6" s="118" t="s">
        <v>288</v>
      </c>
      <c r="I6" s="118" t="s">
        <v>288</v>
      </c>
      <c r="J6" s="118" t="s">
        <v>288</v>
      </c>
      <c r="K6" s="118" t="s">
        <v>288</v>
      </c>
      <c r="L6" s="118" t="s">
        <v>288</v>
      </c>
      <c r="M6" s="118" t="s">
        <v>288</v>
      </c>
      <c r="N6" s="118" t="s">
        <v>288</v>
      </c>
      <c r="O6" s="118" t="s">
        <v>288</v>
      </c>
      <c r="P6" s="118" t="s">
        <v>288</v>
      </c>
      <c r="Q6" s="118" t="s">
        <v>288</v>
      </c>
      <c r="R6" s="118" t="s">
        <v>288</v>
      </c>
      <c r="S6" s="118" t="s">
        <v>288</v>
      </c>
      <c r="T6" s="118" t="s">
        <v>288</v>
      </c>
      <c r="U6" s="118" t="s">
        <v>288</v>
      </c>
      <c r="V6" s="118" t="s">
        <v>288</v>
      </c>
      <c r="W6" s="118" t="s">
        <v>288</v>
      </c>
      <c r="X6" s="118" t="s">
        <v>288</v>
      </c>
      <c r="Y6" s="118" t="s">
        <v>288</v>
      </c>
      <c r="Z6" s="118" t="s">
        <v>288</v>
      </c>
      <c r="AA6" s="118" t="s">
        <v>288</v>
      </c>
      <c r="AB6" s="118" t="s">
        <v>288</v>
      </c>
      <c r="AC6" s="118" t="s">
        <v>288</v>
      </c>
      <c r="AD6" s="118" t="s">
        <v>288</v>
      </c>
      <c r="AE6" s="118" t="s">
        <v>288</v>
      </c>
      <c r="AF6" s="118" t="s">
        <v>288</v>
      </c>
      <c r="AG6" s="118" t="s">
        <v>288</v>
      </c>
      <c r="AH6" s="118" t="s">
        <v>288</v>
      </c>
      <c r="AI6" s="118" t="s">
        <v>288</v>
      </c>
      <c r="AJ6" s="118" t="s">
        <v>288</v>
      </c>
      <c r="AK6" s="118" t="s">
        <v>288</v>
      </c>
      <c r="AL6" s="118" t="s">
        <v>288</v>
      </c>
      <c r="AM6" s="118" t="s">
        <v>288</v>
      </c>
      <c r="AN6" s="118" t="s">
        <v>288</v>
      </c>
      <c r="AO6" s="118" t="s">
        <v>288</v>
      </c>
      <c r="AP6" s="118" t="s">
        <v>288</v>
      </c>
      <c r="AQ6" s="118" t="s">
        <v>288</v>
      </c>
      <c r="AR6" s="118" t="s">
        <v>288</v>
      </c>
      <c r="AS6" s="118" t="s">
        <v>288</v>
      </c>
      <c r="AT6" s="118" t="s">
        <v>288</v>
      </c>
      <c r="AU6" s="118" t="s">
        <v>288</v>
      </c>
      <c r="AV6" s="118" t="s">
        <v>288</v>
      </c>
      <c r="AW6" s="118" t="s">
        <v>288</v>
      </c>
      <c r="AX6" s="118" t="s">
        <v>288</v>
      </c>
      <c r="AY6" s="117" t="s">
        <v>289</v>
      </c>
      <c r="AZ6" s="148" t="s">
        <v>150</v>
      </c>
    </row>
    <row r="7" spans="1:52" x14ac:dyDescent="0.2">
      <c r="A7" s="121" t="s">
        <v>125</v>
      </c>
      <c r="B7" s="149">
        <v>1</v>
      </c>
      <c r="C7" s="150" t="s">
        <v>292</v>
      </c>
      <c r="D7" s="150">
        <v>959.51513952644382</v>
      </c>
      <c r="E7" s="150">
        <v>959.51513952644382</v>
      </c>
      <c r="F7" s="150">
        <v>959.51513952644382</v>
      </c>
      <c r="G7" s="150">
        <v>959.51513952644382</v>
      </c>
      <c r="H7" s="150">
        <v>852.90234624572781</v>
      </c>
      <c r="I7" s="150">
        <v>852.90234624572781</v>
      </c>
      <c r="J7" s="150">
        <v>852.90234624572781</v>
      </c>
      <c r="K7" s="150">
        <v>852.90234624572781</v>
      </c>
      <c r="L7" s="150">
        <v>852.90234624572781</v>
      </c>
      <c r="M7" s="150">
        <v>852.90234624572781</v>
      </c>
      <c r="N7" s="150">
        <v>852.90234624572781</v>
      </c>
      <c r="O7" s="150">
        <v>852.90234624572781</v>
      </c>
      <c r="P7" s="150">
        <v>959.51513952644382</v>
      </c>
      <c r="Q7" s="150">
        <v>959.51513952644382</v>
      </c>
      <c r="R7" s="150">
        <v>959.51513952644382</v>
      </c>
      <c r="S7" s="150">
        <v>959.51513952644382</v>
      </c>
      <c r="T7" s="150">
        <v>852.90234624572781</v>
      </c>
      <c r="U7" s="150">
        <v>852.90234624572781</v>
      </c>
      <c r="V7" s="150">
        <v>852.90234624572781</v>
      </c>
      <c r="W7" s="150">
        <v>852.90234624572781</v>
      </c>
      <c r="X7" s="150">
        <v>852.90234624572781</v>
      </c>
      <c r="Y7" s="150">
        <v>852.90234624572781</v>
      </c>
      <c r="Z7" s="150">
        <v>852.90234624572781</v>
      </c>
      <c r="AA7" s="150">
        <v>852.90234624572781</v>
      </c>
      <c r="AB7" s="150">
        <v>959.51513952644382</v>
      </c>
      <c r="AC7" s="150">
        <v>959.51513952644382</v>
      </c>
      <c r="AD7" s="150">
        <v>959.51513952644382</v>
      </c>
      <c r="AE7" s="150">
        <v>959.51513952644382</v>
      </c>
      <c r="AF7" s="150">
        <v>852.90234624572781</v>
      </c>
      <c r="AG7" s="150">
        <v>852.90234624572781</v>
      </c>
      <c r="AH7" s="150">
        <v>852.90234624572781</v>
      </c>
      <c r="AI7" s="150">
        <v>852.90234624572781</v>
      </c>
      <c r="AJ7" s="150">
        <v>852.90234624572781</v>
      </c>
      <c r="AK7" s="150">
        <v>852.90234624572781</v>
      </c>
      <c r="AL7" s="150">
        <v>852.90234624572781</v>
      </c>
      <c r="AM7" s="150">
        <v>852.90234624572781</v>
      </c>
      <c r="AN7" s="150">
        <v>959.51513952644382</v>
      </c>
      <c r="AO7" s="150">
        <v>959.51513952644382</v>
      </c>
      <c r="AP7" s="150">
        <v>959.51513952644382</v>
      </c>
      <c r="AQ7" s="150">
        <v>959.51513952644382</v>
      </c>
      <c r="AR7" s="150">
        <v>852.90234624572781</v>
      </c>
      <c r="AS7" s="150">
        <v>852.90234624572781</v>
      </c>
      <c r="AT7" s="150">
        <v>852.90234624572781</v>
      </c>
      <c r="AU7" s="150">
        <v>852.90234624572781</v>
      </c>
      <c r="AV7" s="150">
        <v>852.90234624572781</v>
      </c>
      <c r="AW7" s="150">
        <v>852.90234624572781</v>
      </c>
      <c r="AX7" s="150">
        <v>852.90234624572781</v>
      </c>
      <c r="AY7" s="150">
        <v>852.90234624572781</v>
      </c>
      <c r="AZ7" s="112"/>
    </row>
    <row r="8" spans="1:52" x14ac:dyDescent="0.2">
      <c r="A8" s="151"/>
      <c r="B8" s="152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3"/>
    </row>
    <row r="9" spans="1:52" x14ac:dyDescent="0.2">
      <c r="A9" s="108" t="s">
        <v>293</v>
      </c>
      <c r="B9" s="154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  <c r="AO9" s="112"/>
      <c r="AP9" s="112"/>
      <c r="AQ9" s="112"/>
      <c r="AR9" s="112"/>
      <c r="AS9" s="112"/>
      <c r="AT9" s="112"/>
      <c r="AU9" s="112"/>
      <c r="AV9" s="112"/>
      <c r="AW9" s="112"/>
      <c r="AX9" s="112"/>
      <c r="AY9" s="112"/>
      <c r="AZ9" s="112"/>
    </row>
    <row r="10" spans="1:52" x14ac:dyDescent="0.2">
      <c r="A10" s="155" t="s">
        <v>125</v>
      </c>
      <c r="B10" s="156">
        <v>1</v>
      </c>
      <c r="C10" s="150" t="s">
        <v>292</v>
      </c>
      <c r="D10" s="150">
        <f t="shared" ref="D10:AY10" si="0">MAX(SUM(D$14:D$16)+D$7-$B$3,0)</f>
        <v>0</v>
      </c>
      <c r="E10" s="150">
        <f t="shared" si="0"/>
        <v>0</v>
      </c>
      <c r="F10" s="150">
        <f t="shared" si="0"/>
        <v>0</v>
      </c>
      <c r="G10" s="150">
        <f t="shared" si="0"/>
        <v>0</v>
      </c>
      <c r="H10" s="150">
        <f t="shared" si="0"/>
        <v>0</v>
      </c>
      <c r="I10" s="150">
        <f t="shared" si="0"/>
        <v>0</v>
      </c>
      <c r="J10" s="150">
        <f t="shared" si="0"/>
        <v>0</v>
      </c>
      <c r="K10" s="150">
        <f t="shared" si="0"/>
        <v>0</v>
      </c>
      <c r="L10" s="150">
        <f t="shared" si="0"/>
        <v>0</v>
      </c>
      <c r="M10" s="150">
        <f t="shared" si="0"/>
        <v>0</v>
      </c>
      <c r="N10" s="150">
        <f t="shared" si="0"/>
        <v>0</v>
      </c>
      <c r="O10" s="150">
        <f t="shared" si="0"/>
        <v>0</v>
      </c>
      <c r="P10" s="150">
        <f t="shared" si="0"/>
        <v>0</v>
      </c>
      <c r="Q10" s="150">
        <f t="shared" si="0"/>
        <v>0</v>
      </c>
      <c r="R10" s="150">
        <f t="shared" si="0"/>
        <v>0</v>
      </c>
      <c r="S10" s="150">
        <f t="shared" si="0"/>
        <v>0</v>
      </c>
      <c r="T10" s="150">
        <f t="shared" si="0"/>
        <v>0</v>
      </c>
      <c r="U10" s="150">
        <f t="shared" si="0"/>
        <v>0</v>
      </c>
      <c r="V10" s="150">
        <f t="shared" si="0"/>
        <v>0</v>
      </c>
      <c r="W10" s="150">
        <f t="shared" si="0"/>
        <v>0</v>
      </c>
      <c r="X10" s="150">
        <f t="shared" si="0"/>
        <v>0</v>
      </c>
      <c r="Y10" s="150">
        <f t="shared" si="0"/>
        <v>0</v>
      </c>
      <c r="Z10" s="150">
        <f t="shared" si="0"/>
        <v>0</v>
      </c>
      <c r="AA10" s="150">
        <f t="shared" si="0"/>
        <v>0</v>
      </c>
      <c r="AB10" s="150">
        <f t="shared" si="0"/>
        <v>0</v>
      </c>
      <c r="AC10" s="150">
        <f t="shared" si="0"/>
        <v>0</v>
      </c>
      <c r="AD10" s="150">
        <f t="shared" si="0"/>
        <v>0</v>
      </c>
      <c r="AE10" s="150">
        <f t="shared" si="0"/>
        <v>0</v>
      </c>
      <c r="AF10" s="150">
        <f t="shared" si="0"/>
        <v>0</v>
      </c>
      <c r="AG10" s="150">
        <f t="shared" si="0"/>
        <v>0</v>
      </c>
      <c r="AH10" s="150">
        <f t="shared" si="0"/>
        <v>0</v>
      </c>
      <c r="AI10" s="150">
        <f t="shared" si="0"/>
        <v>0</v>
      </c>
      <c r="AJ10" s="150">
        <f t="shared" si="0"/>
        <v>0</v>
      </c>
      <c r="AK10" s="150">
        <f t="shared" si="0"/>
        <v>0</v>
      </c>
      <c r="AL10" s="150">
        <f t="shared" si="0"/>
        <v>0</v>
      </c>
      <c r="AM10" s="150">
        <f t="shared" si="0"/>
        <v>0</v>
      </c>
      <c r="AN10" s="150">
        <f t="shared" si="0"/>
        <v>0</v>
      </c>
      <c r="AO10" s="150">
        <f t="shared" si="0"/>
        <v>0</v>
      </c>
      <c r="AP10" s="150">
        <f t="shared" si="0"/>
        <v>0</v>
      </c>
      <c r="AQ10" s="150">
        <f t="shared" si="0"/>
        <v>0</v>
      </c>
      <c r="AR10" s="150">
        <f t="shared" si="0"/>
        <v>0</v>
      </c>
      <c r="AS10" s="150">
        <f t="shared" si="0"/>
        <v>0</v>
      </c>
      <c r="AT10" s="150">
        <f t="shared" si="0"/>
        <v>0</v>
      </c>
      <c r="AU10" s="150">
        <f t="shared" si="0"/>
        <v>0</v>
      </c>
      <c r="AV10" s="150">
        <f t="shared" si="0"/>
        <v>0</v>
      </c>
      <c r="AW10" s="150">
        <f t="shared" si="0"/>
        <v>0</v>
      </c>
      <c r="AX10" s="150">
        <f t="shared" si="0"/>
        <v>0</v>
      </c>
      <c r="AY10" s="150">
        <f t="shared" si="0"/>
        <v>0</v>
      </c>
      <c r="AZ10" s="157">
        <f>SUM($D10:$AY10)</f>
        <v>0</v>
      </c>
    </row>
    <row r="11" spans="1:52" x14ac:dyDescent="0.2">
      <c r="C11" s="116"/>
    </row>
    <row r="12" spans="1:52" x14ac:dyDescent="0.2">
      <c r="A12" s="158" t="s">
        <v>294</v>
      </c>
      <c r="B12" s="152"/>
      <c r="C12" s="116"/>
    </row>
    <row r="13" spans="1:52" x14ac:dyDescent="0.2">
      <c r="A13" s="128" t="s">
        <v>125</v>
      </c>
      <c r="B13" s="129">
        <v>1</v>
      </c>
      <c r="C13" s="130"/>
      <c r="D13" s="144">
        <f t="shared" ref="D13:AY13" si="1">D$7-D$10</f>
        <v>959.51513952644382</v>
      </c>
      <c r="E13" s="144">
        <f t="shared" si="1"/>
        <v>959.51513952644382</v>
      </c>
      <c r="F13" s="144">
        <f t="shared" si="1"/>
        <v>959.51513952644382</v>
      </c>
      <c r="G13" s="144">
        <f t="shared" si="1"/>
        <v>959.51513952644382</v>
      </c>
      <c r="H13" s="144">
        <f t="shared" si="1"/>
        <v>852.90234624572781</v>
      </c>
      <c r="I13" s="144">
        <f t="shared" si="1"/>
        <v>852.90234624572781</v>
      </c>
      <c r="J13" s="144">
        <f t="shared" si="1"/>
        <v>852.90234624572781</v>
      </c>
      <c r="K13" s="144">
        <f t="shared" si="1"/>
        <v>852.90234624572781</v>
      </c>
      <c r="L13" s="144">
        <f t="shared" si="1"/>
        <v>852.90234624572781</v>
      </c>
      <c r="M13" s="144">
        <f t="shared" si="1"/>
        <v>852.90234624572781</v>
      </c>
      <c r="N13" s="144">
        <f t="shared" si="1"/>
        <v>852.90234624572781</v>
      </c>
      <c r="O13" s="144">
        <f t="shared" si="1"/>
        <v>852.90234624572781</v>
      </c>
      <c r="P13" s="144">
        <f t="shared" si="1"/>
        <v>959.51513952644382</v>
      </c>
      <c r="Q13" s="144">
        <f t="shared" si="1"/>
        <v>959.51513952644382</v>
      </c>
      <c r="R13" s="144">
        <f t="shared" si="1"/>
        <v>959.51513952644382</v>
      </c>
      <c r="S13" s="144">
        <f t="shared" si="1"/>
        <v>959.51513952644382</v>
      </c>
      <c r="T13" s="144">
        <f t="shared" si="1"/>
        <v>852.90234624572781</v>
      </c>
      <c r="U13" s="144">
        <f t="shared" si="1"/>
        <v>852.90234624572781</v>
      </c>
      <c r="V13" s="144">
        <f t="shared" si="1"/>
        <v>852.90234624572781</v>
      </c>
      <c r="W13" s="144">
        <f t="shared" si="1"/>
        <v>852.90234624572781</v>
      </c>
      <c r="X13" s="144">
        <f t="shared" si="1"/>
        <v>852.90234624572781</v>
      </c>
      <c r="Y13" s="144">
        <f t="shared" si="1"/>
        <v>852.90234624572781</v>
      </c>
      <c r="Z13" s="144">
        <f t="shared" si="1"/>
        <v>852.90234624572781</v>
      </c>
      <c r="AA13" s="144">
        <f t="shared" si="1"/>
        <v>852.90234624572781</v>
      </c>
      <c r="AB13" s="144">
        <f t="shared" si="1"/>
        <v>959.51513952644382</v>
      </c>
      <c r="AC13" s="144">
        <f t="shared" si="1"/>
        <v>959.51513952644382</v>
      </c>
      <c r="AD13" s="144">
        <f t="shared" si="1"/>
        <v>959.51513952644382</v>
      </c>
      <c r="AE13" s="144">
        <f t="shared" si="1"/>
        <v>959.51513952644382</v>
      </c>
      <c r="AF13" s="144">
        <f t="shared" si="1"/>
        <v>852.90234624572781</v>
      </c>
      <c r="AG13" s="144">
        <f t="shared" si="1"/>
        <v>852.90234624572781</v>
      </c>
      <c r="AH13" s="144">
        <f t="shared" si="1"/>
        <v>852.90234624572781</v>
      </c>
      <c r="AI13" s="144">
        <f t="shared" si="1"/>
        <v>852.90234624572781</v>
      </c>
      <c r="AJ13" s="144">
        <f t="shared" si="1"/>
        <v>852.90234624572781</v>
      </c>
      <c r="AK13" s="144">
        <f t="shared" si="1"/>
        <v>852.90234624572781</v>
      </c>
      <c r="AL13" s="144">
        <f t="shared" si="1"/>
        <v>852.90234624572781</v>
      </c>
      <c r="AM13" s="144">
        <f t="shared" si="1"/>
        <v>852.90234624572781</v>
      </c>
      <c r="AN13" s="144">
        <f t="shared" si="1"/>
        <v>959.51513952644382</v>
      </c>
      <c r="AO13" s="144">
        <f t="shared" si="1"/>
        <v>959.51513952644382</v>
      </c>
      <c r="AP13" s="144">
        <f t="shared" si="1"/>
        <v>959.51513952644382</v>
      </c>
      <c r="AQ13" s="144">
        <f t="shared" si="1"/>
        <v>959.51513952644382</v>
      </c>
      <c r="AR13" s="144">
        <f t="shared" si="1"/>
        <v>852.90234624572781</v>
      </c>
      <c r="AS13" s="144">
        <f t="shared" si="1"/>
        <v>852.90234624572781</v>
      </c>
      <c r="AT13" s="144">
        <f t="shared" si="1"/>
        <v>852.90234624572781</v>
      </c>
      <c r="AU13" s="144">
        <f t="shared" si="1"/>
        <v>852.90234624572781</v>
      </c>
      <c r="AV13" s="144">
        <f t="shared" si="1"/>
        <v>852.90234624572781</v>
      </c>
      <c r="AW13" s="144">
        <f t="shared" si="1"/>
        <v>852.90234624572781</v>
      </c>
      <c r="AX13" s="144">
        <f t="shared" si="1"/>
        <v>852.90234624572781</v>
      </c>
      <c r="AY13" s="144">
        <f t="shared" si="1"/>
        <v>852.90234624572781</v>
      </c>
      <c r="AZ13" s="115"/>
    </row>
    <row r="14" spans="1:52" x14ac:dyDescent="0.2">
      <c r="A14" s="116"/>
      <c r="B14" s="126">
        <v>2</v>
      </c>
      <c r="C14" s="116"/>
      <c r="D14" s="112">
        <f>IF(C$20="Yes",C13,0)</f>
        <v>0</v>
      </c>
      <c r="E14" s="112">
        <f t="shared" ref="E14:AY17" si="2">IF(D$20="Yes",D13,0)</f>
        <v>0</v>
      </c>
      <c r="F14" s="112">
        <f t="shared" si="2"/>
        <v>0</v>
      </c>
      <c r="G14" s="112">
        <f t="shared" si="2"/>
        <v>0</v>
      </c>
      <c r="H14" s="112">
        <f t="shared" si="2"/>
        <v>0</v>
      </c>
      <c r="I14" s="112">
        <f t="shared" si="2"/>
        <v>0</v>
      </c>
      <c r="J14" s="112">
        <f t="shared" si="2"/>
        <v>0</v>
      </c>
      <c r="K14" s="112">
        <f t="shared" si="2"/>
        <v>852.90234624572781</v>
      </c>
      <c r="L14" s="112">
        <f t="shared" si="2"/>
        <v>0</v>
      </c>
      <c r="M14" s="112">
        <f t="shared" si="2"/>
        <v>0</v>
      </c>
      <c r="N14" s="112">
        <f t="shared" si="2"/>
        <v>0</v>
      </c>
      <c r="O14" s="112">
        <f t="shared" si="2"/>
        <v>0</v>
      </c>
      <c r="P14" s="112">
        <f t="shared" si="2"/>
        <v>0</v>
      </c>
      <c r="Q14" s="112">
        <f t="shared" si="2"/>
        <v>0</v>
      </c>
      <c r="R14" s="112">
        <f t="shared" si="2"/>
        <v>0</v>
      </c>
      <c r="S14" s="112">
        <f t="shared" si="2"/>
        <v>0</v>
      </c>
      <c r="T14" s="112">
        <f t="shared" si="2"/>
        <v>0</v>
      </c>
      <c r="U14" s="112">
        <f t="shared" si="2"/>
        <v>0</v>
      </c>
      <c r="V14" s="112">
        <f t="shared" si="2"/>
        <v>0</v>
      </c>
      <c r="W14" s="112">
        <f t="shared" si="2"/>
        <v>0</v>
      </c>
      <c r="X14" s="112">
        <f t="shared" si="2"/>
        <v>0</v>
      </c>
      <c r="Y14" s="112">
        <f t="shared" si="2"/>
        <v>0</v>
      </c>
      <c r="Z14" s="112">
        <f t="shared" si="2"/>
        <v>0</v>
      </c>
      <c r="AA14" s="112">
        <f t="shared" si="2"/>
        <v>852.90234624572781</v>
      </c>
      <c r="AB14" s="112">
        <f t="shared" si="2"/>
        <v>0</v>
      </c>
      <c r="AC14" s="112">
        <f t="shared" si="2"/>
        <v>0</v>
      </c>
      <c r="AD14" s="112">
        <f t="shared" si="2"/>
        <v>0</v>
      </c>
      <c r="AE14" s="112">
        <f t="shared" si="2"/>
        <v>0</v>
      </c>
      <c r="AF14" s="112">
        <f t="shared" si="2"/>
        <v>0</v>
      </c>
      <c r="AG14" s="112">
        <f t="shared" si="2"/>
        <v>0</v>
      </c>
      <c r="AH14" s="112">
        <f t="shared" si="2"/>
        <v>0</v>
      </c>
      <c r="AI14" s="112">
        <f t="shared" si="2"/>
        <v>0</v>
      </c>
      <c r="AJ14" s="112">
        <f t="shared" si="2"/>
        <v>0</v>
      </c>
      <c r="AK14" s="112">
        <f t="shared" si="2"/>
        <v>0</v>
      </c>
      <c r="AL14" s="112">
        <f t="shared" si="2"/>
        <v>0</v>
      </c>
      <c r="AM14" s="112">
        <f t="shared" si="2"/>
        <v>0</v>
      </c>
      <c r="AN14" s="112">
        <f t="shared" si="2"/>
        <v>0</v>
      </c>
      <c r="AO14" s="112">
        <f t="shared" si="2"/>
        <v>0</v>
      </c>
      <c r="AP14" s="112">
        <f t="shared" si="2"/>
        <v>959.51513952644382</v>
      </c>
      <c r="AQ14" s="112">
        <f t="shared" si="2"/>
        <v>0</v>
      </c>
      <c r="AR14" s="112">
        <f t="shared" si="2"/>
        <v>0</v>
      </c>
      <c r="AS14" s="112">
        <f t="shared" si="2"/>
        <v>0</v>
      </c>
      <c r="AT14" s="112">
        <f t="shared" si="2"/>
        <v>0</v>
      </c>
      <c r="AU14" s="112">
        <f t="shared" si="2"/>
        <v>0</v>
      </c>
      <c r="AV14" s="112">
        <f t="shared" si="2"/>
        <v>0</v>
      </c>
      <c r="AW14" s="112">
        <f t="shared" si="2"/>
        <v>0</v>
      </c>
      <c r="AX14" s="112">
        <f t="shared" si="2"/>
        <v>0</v>
      </c>
      <c r="AY14" s="112">
        <f t="shared" si="2"/>
        <v>0</v>
      </c>
      <c r="AZ14" s="115"/>
    </row>
    <row r="15" spans="1:52" x14ac:dyDescent="0.2">
      <c r="A15" s="116"/>
      <c r="B15" s="133">
        <v>3</v>
      </c>
      <c r="C15" s="116"/>
      <c r="D15" s="112">
        <f>IF(C$20="Yes",C14,0)</f>
        <v>0</v>
      </c>
      <c r="E15" s="112">
        <f t="shared" si="2"/>
        <v>0</v>
      </c>
      <c r="F15" s="112">
        <f t="shared" si="2"/>
        <v>0</v>
      </c>
      <c r="G15" s="112">
        <f t="shared" si="2"/>
        <v>0</v>
      </c>
      <c r="H15" s="112">
        <f t="shared" si="2"/>
        <v>0</v>
      </c>
      <c r="I15" s="112">
        <f t="shared" si="2"/>
        <v>0</v>
      </c>
      <c r="J15" s="112">
        <f t="shared" si="2"/>
        <v>0</v>
      </c>
      <c r="K15" s="112">
        <f t="shared" si="2"/>
        <v>0</v>
      </c>
      <c r="L15" s="112">
        <f t="shared" si="2"/>
        <v>0</v>
      </c>
      <c r="M15" s="112">
        <f t="shared" si="2"/>
        <v>0</v>
      </c>
      <c r="N15" s="112">
        <f t="shared" si="2"/>
        <v>0</v>
      </c>
      <c r="O15" s="112">
        <f t="shared" si="2"/>
        <v>0</v>
      </c>
      <c r="P15" s="112">
        <f t="shared" si="2"/>
        <v>0</v>
      </c>
      <c r="Q15" s="112">
        <f t="shared" si="2"/>
        <v>0</v>
      </c>
      <c r="R15" s="112">
        <f t="shared" si="2"/>
        <v>0</v>
      </c>
      <c r="S15" s="112">
        <f t="shared" si="2"/>
        <v>0</v>
      </c>
      <c r="T15" s="112">
        <f t="shared" si="2"/>
        <v>0</v>
      </c>
      <c r="U15" s="112">
        <f t="shared" si="2"/>
        <v>0</v>
      </c>
      <c r="V15" s="112">
        <f t="shared" si="2"/>
        <v>0</v>
      </c>
      <c r="W15" s="112">
        <f t="shared" si="2"/>
        <v>0</v>
      </c>
      <c r="X15" s="112">
        <f t="shared" si="2"/>
        <v>0</v>
      </c>
      <c r="Y15" s="112">
        <f t="shared" si="2"/>
        <v>0</v>
      </c>
      <c r="Z15" s="112">
        <f t="shared" si="2"/>
        <v>0</v>
      </c>
      <c r="AA15" s="112">
        <f t="shared" si="2"/>
        <v>0</v>
      </c>
      <c r="AB15" s="112">
        <f t="shared" si="2"/>
        <v>0</v>
      </c>
      <c r="AC15" s="112">
        <f t="shared" si="2"/>
        <v>0</v>
      </c>
      <c r="AD15" s="112">
        <f t="shared" si="2"/>
        <v>0</v>
      </c>
      <c r="AE15" s="112">
        <f t="shared" si="2"/>
        <v>0</v>
      </c>
      <c r="AF15" s="112">
        <f t="shared" si="2"/>
        <v>0</v>
      </c>
      <c r="AG15" s="112">
        <f t="shared" si="2"/>
        <v>0</v>
      </c>
      <c r="AH15" s="112">
        <f t="shared" si="2"/>
        <v>0</v>
      </c>
      <c r="AI15" s="112">
        <f t="shared" si="2"/>
        <v>0</v>
      </c>
      <c r="AJ15" s="112">
        <f t="shared" si="2"/>
        <v>0</v>
      </c>
      <c r="AK15" s="112">
        <f t="shared" si="2"/>
        <v>0</v>
      </c>
      <c r="AL15" s="112">
        <f t="shared" si="2"/>
        <v>0</v>
      </c>
      <c r="AM15" s="112">
        <f t="shared" si="2"/>
        <v>0</v>
      </c>
      <c r="AN15" s="112">
        <f t="shared" si="2"/>
        <v>0</v>
      </c>
      <c r="AO15" s="112">
        <f t="shared" si="2"/>
        <v>0</v>
      </c>
      <c r="AP15" s="112">
        <f t="shared" si="2"/>
        <v>0</v>
      </c>
      <c r="AQ15" s="112">
        <f t="shared" si="2"/>
        <v>0</v>
      </c>
      <c r="AR15" s="112">
        <f t="shared" si="2"/>
        <v>0</v>
      </c>
      <c r="AS15" s="112">
        <f t="shared" si="2"/>
        <v>0</v>
      </c>
      <c r="AT15" s="112">
        <f t="shared" si="2"/>
        <v>0</v>
      </c>
      <c r="AU15" s="112">
        <f t="shared" si="2"/>
        <v>0</v>
      </c>
      <c r="AV15" s="112">
        <f t="shared" si="2"/>
        <v>0</v>
      </c>
      <c r="AW15" s="112">
        <f t="shared" si="2"/>
        <v>0</v>
      </c>
      <c r="AX15" s="112">
        <f t="shared" si="2"/>
        <v>0</v>
      </c>
      <c r="AY15" s="112">
        <f t="shared" si="2"/>
        <v>0</v>
      </c>
      <c r="AZ15" s="115"/>
    </row>
    <row r="16" spans="1:52" x14ac:dyDescent="0.2">
      <c r="A16" s="116"/>
      <c r="B16" s="136">
        <v>4</v>
      </c>
      <c r="C16" s="116"/>
      <c r="D16" s="112">
        <f>IF(C$20="Yes",C15,0)</f>
        <v>0</v>
      </c>
      <c r="E16" s="112">
        <f t="shared" si="2"/>
        <v>0</v>
      </c>
      <c r="F16" s="112">
        <f t="shared" si="2"/>
        <v>0</v>
      </c>
      <c r="G16" s="112">
        <f t="shared" si="2"/>
        <v>0</v>
      </c>
      <c r="H16" s="112">
        <f t="shared" si="2"/>
        <v>0</v>
      </c>
      <c r="I16" s="112">
        <f t="shared" si="2"/>
        <v>0</v>
      </c>
      <c r="J16" s="112">
        <f t="shared" si="2"/>
        <v>0</v>
      </c>
      <c r="K16" s="112">
        <f t="shared" si="2"/>
        <v>0</v>
      </c>
      <c r="L16" s="112">
        <f t="shared" si="2"/>
        <v>0</v>
      </c>
      <c r="M16" s="112">
        <f t="shared" si="2"/>
        <v>0</v>
      </c>
      <c r="N16" s="112">
        <f t="shared" si="2"/>
        <v>0</v>
      </c>
      <c r="O16" s="112">
        <f t="shared" si="2"/>
        <v>0</v>
      </c>
      <c r="P16" s="112">
        <f t="shared" si="2"/>
        <v>0</v>
      </c>
      <c r="Q16" s="112">
        <f t="shared" si="2"/>
        <v>0</v>
      </c>
      <c r="R16" s="112">
        <f t="shared" si="2"/>
        <v>0</v>
      </c>
      <c r="S16" s="112">
        <f t="shared" si="2"/>
        <v>0</v>
      </c>
      <c r="T16" s="112">
        <f t="shared" si="2"/>
        <v>0</v>
      </c>
      <c r="U16" s="112">
        <f t="shared" si="2"/>
        <v>0</v>
      </c>
      <c r="V16" s="112">
        <f t="shared" si="2"/>
        <v>0</v>
      </c>
      <c r="W16" s="112">
        <f t="shared" si="2"/>
        <v>0</v>
      </c>
      <c r="X16" s="112">
        <f t="shared" si="2"/>
        <v>0</v>
      </c>
      <c r="Y16" s="112">
        <f t="shared" si="2"/>
        <v>0</v>
      </c>
      <c r="Z16" s="112">
        <f t="shared" si="2"/>
        <v>0</v>
      </c>
      <c r="AA16" s="112">
        <f t="shared" si="2"/>
        <v>0</v>
      </c>
      <c r="AB16" s="112">
        <f t="shared" si="2"/>
        <v>0</v>
      </c>
      <c r="AC16" s="112">
        <f t="shared" si="2"/>
        <v>0</v>
      </c>
      <c r="AD16" s="112">
        <f t="shared" si="2"/>
        <v>0</v>
      </c>
      <c r="AE16" s="112">
        <f t="shared" si="2"/>
        <v>0</v>
      </c>
      <c r="AF16" s="112">
        <f t="shared" si="2"/>
        <v>0</v>
      </c>
      <c r="AG16" s="112">
        <f t="shared" si="2"/>
        <v>0</v>
      </c>
      <c r="AH16" s="112">
        <f t="shared" si="2"/>
        <v>0</v>
      </c>
      <c r="AI16" s="112">
        <f t="shared" si="2"/>
        <v>0</v>
      </c>
      <c r="AJ16" s="112">
        <f t="shared" si="2"/>
        <v>0</v>
      </c>
      <c r="AK16" s="112">
        <f t="shared" si="2"/>
        <v>0</v>
      </c>
      <c r="AL16" s="112">
        <f t="shared" si="2"/>
        <v>0</v>
      </c>
      <c r="AM16" s="112">
        <f t="shared" si="2"/>
        <v>0</v>
      </c>
      <c r="AN16" s="112">
        <f t="shared" si="2"/>
        <v>0</v>
      </c>
      <c r="AO16" s="112">
        <f t="shared" si="2"/>
        <v>0</v>
      </c>
      <c r="AP16" s="112">
        <f t="shared" si="2"/>
        <v>0</v>
      </c>
      <c r="AQ16" s="112">
        <f t="shared" si="2"/>
        <v>0</v>
      </c>
      <c r="AR16" s="112">
        <f t="shared" si="2"/>
        <v>0</v>
      </c>
      <c r="AS16" s="112">
        <f t="shared" si="2"/>
        <v>0</v>
      </c>
      <c r="AT16" s="112">
        <f t="shared" si="2"/>
        <v>0</v>
      </c>
      <c r="AU16" s="112">
        <f t="shared" si="2"/>
        <v>0</v>
      </c>
      <c r="AV16" s="112">
        <f t="shared" si="2"/>
        <v>0</v>
      </c>
      <c r="AW16" s="112">
        <f t="shared" si="2"/>
        <v>0</v>
      </c>
      <c r="AX16" s="112">
        <f t="shared" si="2"/>
        <v>0</v>
      </c>
      <c r="AY16" s="112">
        <f t="shared" si="2"/>
        <v>0</v>
      </c>
      <c r="AZ16" s="134"/>
    </row>
    <row r="17" spans="1:52" x14ac:dyDescent="0.2">
      <c r="A17" s="131"/>
      <c r="B17" s="138" t="s">
        <v>295</v>
      </c>
      <c r="C17" s="131"/>
      <c r="D17" s="120">
        <f>IF(C$20="Yes",C16,0)</f>
        <v>0</v>
      </c>
      <c r="E17" s="120">
        <f t="shared" si="2"/>
        <v>0</v>
      </c>
      <c r="F17" s="120">
        <f t="shared" si="2"/>
        <v>0</v>
      </c>
      <c r="G17" s="120">
        <f t="shared" si="2"/>
        <v>0</v>
      </c>
      <c r="H17" s="120">
        <f t="shared" si="2"/>
        <v>0</v>
      </c>
      <c r="I17" s="120">
        <f t="shared" si="2"/>
        <v>0</v>
      </c>
      <c r="J17" s="120">
        <f t="shared" si="2"/>
        <v>0</v>
      </c>
      <c r="K17" s="120">
        <f t="shared" si="2"/>
        <v>0</v>
      </c>
      <c r="L17" s="120">
        <f t="shared" si="2"/>
        <v>0</v>
      </c>
      <c r="M17" s="120">
        <f t="shared" si="2"/>
        <v>0</v>
      </c>
      <c r="N17" s="120">
        <f t="shared" si="2"/>
        <v>0</v>
      </c>
      <c r="O17" s="120">
        <f t="shared" si="2"/>
        <v>0</v>
      </c>
      <c r="P17" s="120">
        <f t="shared" si="2"/>
        <v>0</v>
      </c>
      <c r="Q17" s="120">
        <f t="shared" si="2"/>
        <v>0</v>
      </c>
      <c r="R17" s="120">
        <f t="shared" si="2"/>
        <v>0</v>
      </c>
      <c r="S17" s="120">
        <f t="shared" si="2"/>
        <v>0</v>
      </c>
      <c r="T17" s="120">
        <f t="shared" si="2"/>
        <v>0</v>
      </c>
      <c r="U17" s="120">
        <f t="shared" si="2"/>
        <v>0</v>
      </c>
      <c r="V17" s="120">
        <f t="shared" si="2"/>
        <v>0</v>
      </c>
      <c r="W17" s="120">
        <f t="shared" si="2"/>
        <v>0</v>
      </c>
      <c r="X17" s="120">
        <f t="shared" si="2"/>
        <v>0</v>
      </c>
      <c r="Y17" s="120">
        <f t="shared" si="2"/>
        <v>0</v>
      </c>
      <c r="Z17" s="120">
        <f t="shared" si="2"/>
        <v>0</v>
      </c>
      <c r="AA17" s="120">
        <f t="shared" si="2"/>
        <v>0</v>
      </c>
      <c r="AB17" s="120">
        <f t="shared" si="2"/>
        <v>0</v>
      </c>
      <c r="AC17" s="120">
        <f t="shared" si="2"/>
        <v>0</v>
      </c>
      <c r="AD17" s="120">
        <f t="shared" si="2"/>
        <v>0</v>
      </c>
      <c r="AE17" s="120">
        <f t="shared" si="2"/>
        <v>0</v>
      </c>
      <c r="AF17" s="120">
        <f t="shared" si="2"/>
        <v>0</v>
      </c>
      <c r="AG17" s="120">
        <f t="shared" si="2"/>
        <v>0</v>
      </c>
      <c r="AH17" s="120">
        <f t="shared" si="2"/>
        <v>0</v>
      </c>
      <c r="AI17" s="120">
        <f t="shared" si="2"/>
        <v>0</v>
      </c>
      <c r="AJ17" s="120">
        <f t="shared" si="2"/>
        <v>0</v>
      </c>
      <c r="AK17" s="120">
        <f t="shared" si="2"/>
        <v>0</v>
      </c>
      <c r="AL17" s="120">
        <f t="shared" si="2"/>
        <v>0</v>
      </c>
      <c r="AM17" s="120">
        <f t="shared" si="2"/>
        <v>0</v>
      </c>
      <c r="AN17" s="120">
        <f t="shared" si="2"/>
        <v>0</v>
      </c>
      <c r="AO17" s="120">
        <f t="shared" si="2"/>
        <v>0</v>
      </c>
      <c r="AP17" s="120">
        <f t="shared" si="2"/>
        <v>0</v>
      </c>
      <c r="AQ17" s="120">
        <f t="shared" si="2"/>
        <v>0</v>
      </c>
      <c r="AR17" s="120">
        <f t="shared" si="2"/>
        <v>0</v>
      </c>
      <c r="AS17" s="120">
        <f t="shared" si="2"/>
        <v>0</v>
      </c>
      <c r="AT17" s="120">
        <f t="shared" si="2"/>
        <v>0</v>
      </c>
      <c r="AU17" s="120">
        <f t="shared" si="2"/>
        <v>0</v>
      </c>
      <c r="AV17" s="120">
        <f t="shared" si="2"/>
        <v>0</v>
      </c>
      <c r="AW17" s="120">
        <f t="shared" si="2"/>
        <v>0</v>
      </c>
      <c r="AX17" s="120">
        <f t="shared" si="2"/>
        <v>0</v>
      </c>
      <c r="AY17" s="120">
        <f t="shared" si="2"/>
        <v>0</v>
      </c>
      <c r="AZ17" s="157">
        <f>SUM($D$17:$AY$17)</f>
        <v>0</v>
      </c>
    </row>
    <row r="18" spans="1:52" x14ac:dyDescent="0.2">
      <c r="A18" s="112"/>
      <c r="B18" s="159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H18" s="144"/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44"/>
      <c r="AX18" s="144"/>
      <c r="AY18" s="144"/>
      <c r="AZ18" s="112"/>
    </row>
    <row r="19" spans="1:52" x14ac:dyDescent="0.2">
      <c r="A19" s="108" t="s">
        <v>116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</row>
    <row r="20" spans="1:52" s="116" customFormat="1" x14ac:dyDescent="0.2">
      <c r="A20" s="121" t="s">
        <v>304</v>
      </c>
      <c r="B20" s="160" t="s">
        <v>305</v>
      </c>
      <c r="C20" s="123"/>
      <c r="D20" s="123"/>
      <c r="E20" s="123"/>
      <c r="F20" s="123"/>
      <c r="G20" s="123"/>
      <c r="H20" s="123"/>
      <c r="I20" s="123"/>
      <c r="J20" s="123" t="s">
        <v>338</v>
      </c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 t="s">
        <v>338</v>
      </c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 t="s">
        <v>338</v>
      </c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13"/>
    </row>
    <row r="21" spans="1:52" s="116" customFormat="1" x14ac:dyDescent="0.2">
      <c r="A21" s="161" t="s">
        <v>133</v>
      </c>
      <c r="B21" s="162">
        <f>shipping_manufacturing!$G$19/100</f>
        <v>1</v>
      </c>
      <c r="C21" s="162" t="s">
        <v>292</v>
      </c>
      <c r="D21" s="112">
        <f>IF(C$20="Yes",0,SUM(C$13:C$16)*$B$21)</f>
        <v>0</v>
      </c>
      <c r="E21" s="112">
        <f t="shared" ref="E21:AY21" si="3">IF(D$20="Yes",0,SUM(D$13:D$16)*$B$21)</f>
        <v>959.51513952644382</v>
      </c>
      <c r="F21" s="112">
        <f t="shared" si="3"/>
        <v>959.51513952644382</v>
      </c>
      <c r="G21" s="112">
        <f t="shared" si="3"/>
        <v>959.51513952644382</v>
      </c>
      <c r="H21" s="112">
        <f t="shared" si="3"/>
        <v>959.51513952644382</v>
      </c>
      <c r="I21" s="112">
        <f t="shared" si="3"/>
        <v>852.90234624572781</v>
      </c>
      <c r="J21" s="112">
        <f t="shared" si="3"/>
        <v>852.90234624572781</v>
      </c>
      <c r="K21" s="112">
        <f t="shared" si="3"/>
        <v>0</v>
      </c>
      <c r="L21" s="112">
        <f t="shared" si="3"/>
        <v>1705.8046924914556</v>
      </c>
      <c r="M21" s="112">
        <f t="shared" si="3"/>
        <v>852.90234624572781</v>
      </c>
      <c r="N21" s="112">
        <f t="shared" si="3"/>
        <v>852.90234624572781</v>
      </c>
      <c r="O21" s="112">
        <f t="shared" si="3"/>
        <v>852.90234624572781</v>
      </c>
      <c r="P21" s="112">
        <f t="shared" si="3"/>
        <v>852.90234624572781</v>
      </c>
      <c r="Q21" s="112">
        <f t="shared" si="3"/>
        <v>959.51513952644382</v>
      </c>
      <c r="R21" s="112">
        <f t="shared" si="3"/>
        <v>959.51513952644382</v>
      </c>
      <c r="S21" s="112">
        <f t="shared" si="3"/>
        <v>959.51513952644382</v>
      </c>
      <c r="T21" s="112">
        <f t="shared" si="3"/>
        <v>959.51513952644382</v>
      </c>
      <c r="U21" s="112">
        <f t="shared" si="3"/>
        <v>852.90234624572781</v>
      </c>
      <c r="V21" s="112">
        <f t="shared" si="3"/>
        <v>852.90234624572781</v>
      </c>
      <c r="W21" s="112">
        <f t="shared" si="3"/>
        <v>852.90234624572781</v>
      </c>
      <c r="X21" s="112">
        <f t="shared" si="3"/>
        <v>852.90234624572781</v>
      </c>
      <c r="Y21" s="112">
        <f t="shared" si="3"/>
        <v>852.90234624572781</v>
      </c>
      <c r="Z21" s="112">
        <f t="shared" si="3"/>
        <v>852.90234624572781</v>
      </c>
      <c r="AA21" s="112">
        <f t="shared" si="3"/>
        <v>0</v>
      </c>
      <c r="AB21" s="112">
        <f t="shared" si="3"/>
        <v>1705.8046924914556</v>
      </c>
      <c r="AC21" s="112">
        <f t="shared" si="3"/>
        <v>959.51513952644382</v>
      </c>
      <c r="AD21" s="112">
        <f t="shared" si="3"/>
        <v>959.51513952644382</v>
      </c>
      <c r="AE21" s="112">
        <f t="shared" si="3"/>
        <v>959.51513952644382</v>
      </c>
      <c r="AF21" s="112">
        <f t="shared" si="3"/>
        <v>959.51513952644382</v>
      </c>
      <c r="AG21" s="112">
        <f t="shared" si="3"/>
        <v>852.90234624572781</v>
      </c>
      <c r="AH21" s="112">
        <f t="shared" si="3"/>
        <v>852.90234624572781</v>
      </c>
      <c r="AI21" s="112">
        <f t="shared" si="3"/>
        <v>852.90234624572781</v>
      </c>
      <c r="AJ21" s="112">
        <f t="shared" si="3"/>
        <v>852.90234624572781</v>
      </c>
      <c r="AK21" s="112">
        <f t="shared" si="3"/>
        <v>852.90234624572781</v>
      </c>
      <c r="AL21" s="112">
        <f t="shared" si="3"/>
        <v>852.90234624572781</v>
      </c>
      <c r="AM21" s="112">
        <f t="shared" si="3"/>
        <v>852.90234624572781</v>
      </c>
      <c r="AN21" s="112">
        <f t="shared" si="3"/>
        <v>852.90234624572781</v>
      </c>
      <c r="AO21" s="112">
        <f t="shared" si="3"/>
        <v>959.51513952644382</v>
      </c>
      <c r="AP21" s="112">
        <f t="shared" si="3"/>
        <v>0</v>
      </c>
      <c r="AQ21" s="112">
        <f t="shared" si="3"/>
        <v>1919.0302790528876</v>
      </c>
      <c r="AR21" s="112">
        <f t="shared" si="3"/>
        <v>959.51513952644382</v>
      </c>
      <c r="AS21" s="112">
        <f t="shared" si="3"/>
        <v>852.90234624572781</v>
      </c>
      <c r="AT21" s="112">
        <f t="shared" si="3"/>
        <v>852.90234624572781</v>
      </c>
      <c r="AU21" s="112">
        <f t="shared" si="3"/>
        <v>852.90234624572781</v>
      </c>
      <c r="AV21" s="112">
        <f t="shared" si="3"/>
        <v>852.90234624572781</v>
      </c>
      <c r="AW21" s="112">
        <f t="shared" si="3"/>
        <v>852.90234624572781</v>
      </c>
      <c r="AX21" s="112">
        <f t="shared" si="3"/>
        <v>852.90234624572781</v>
      </c>
      <c r="AY21" s="112">
        <f t="shared" si="3"/>
        <v>852.90234624572781</v>
      </c>
      <c r="AZ21" s="163">
        <f>SUM($D21:$AY21)</f>
        <v>41792.214966040643</v>
      </c>
    </row>
    <row r="22" spans="1:52" s="116" customFormat="1" x14ac:dyDescent="0.2">
      <c r="A22" s="164" t="s">
        <v>123</v>
      </c>
      <c r="B22" s="165">
        <f>1-$B$21</f>
        <v>0</v>
      </c>
      <c r="C22" s="165" t="s">
        <v>292</v>
      </c>
      <c r="D22" s="120">
        <f>IF(C$20="Yes",0,SUM(C$13:C$16)*$B$22)</f>
        <v>0</v>
      </c>
      <c r="E22" s="120">
        <f t="shared" ref="E22:AY22" si="4">IF(D$20="Yes",0,SUM(D$13:D$16)*$B$22)</f>
        <v>0</v>
      </c>
      <c r="F22" s="120">
        <f t="shared" si="4"/>
        <v>0</v>
      </c>
      <c r="G22" s="120">
        <f t="shared" si="4"/>
        <v>0</v>
      </c>
      <c r="H22" s="120">
        <f t="shared" si="4"/>
        <v>0</v>
      </c>
      <c r="I22" s="120">
        <f t="shared" si="4"/>
        <v>0</v>
      </c>
      <c r="J22" s="120">
        <f t="shared" si="4"/>
        <v>0</v>
      </c>
      <c r="K22" s="120">
        <f t="shared" si="4"/>
        <v>0</v>
      </c>
      <c r="L22" s="120">
        <f t="shared" si="4"/>
        <v>0</v>
      </c>
      <c r="M22" s="120">
        <f t="shared" si="4"/>
        <v>0</v>
      </c>
      <c r="N22" s="120">
        <f t="shared" si="4"/>
        <v>0</v>
      </c>
      <c r="O22" s="120">
        <f t="shared" si="4"/>
        <v>0</v>
      </c>
      <c r="P22" s="120">
        <f t="shared" si="4"/>
        <v>0</v>
      </c>
      <c r="Q22" s="120">
        <f t="shared" si="4"/>
        <v>0</v>
      </c>
      <c r="R22" s="120">
        <f t="shared" si="4"/>
        <v>0</v>
      </c>
      <c r="S22" s="120">
        <f t="shared" si="4"/>
        <v>0</v>
      </c>
      <c r="T22" s="120">
        <f t="shared" si="4"/>
        <v>0</v>
      </c>
      <c r="U22" s="120">
        <f t="shared" si="4"/>
        <v>0</v>
      </c>
      <c r="V22" s="120">
        <f t="shared" si="4"/>
        <v>0</v>
      </c>
      <c r="W22" s="120">
        <f t="shared" si="4"/>
        <v>0</v>
      </c>
      <c r="X22" s="120">
        <f t="shared" si="4"/>
        <v>0</v>
      </c>
      <c r="Y22" s="120">
        <f t="shared" si="4"/>
        <v>0</v>
      </c>
      <c r="Z22" s="120">
        <f t="shared" si="4"/>
        <v>0</v>
      </c>
      <c r="AA22" s="120">
        <f t="shared" si="4"/>
        <v>0</v>
      </c>
      <c r="AB22" s="120">
        <f t="shared" si="4"/>
        <v>0</v>
      </c>
      <c r="AC22" s="120">
        <f t="shared" si="4"/>
        <v>0</v>
      </c>
      <c r="AD22" s="120">
        <f t="shared" si="4"/>
        <v>0</v>
      </c>
      <c r="AE22" s="120">
        <f t="shared" si="4"/>
        <v>0</v>
      </c>
      <c r="AF22" s="120">
        <f t="shared" si="4"/>
        <v>0</v>
      </c>
      <c r="AG22" s="120">
        <f t="shared" si="4"/>
        <v>0</v>
      </c>
      <c r="AH22" s="120">
        <f t="shared" si="4"/>
        <v>0</v>
      </c>
      <c r="AI22" s="120">
        <f t="shared" si="4"/>
        <v>0</v>
      </c>
      <c r="AJ22" s="120">
        <f t="shared" si="4"/>
        <v>0</v>
      </c>
      <c r="AK22" s="120">
        <f t="shared" si="4"/>
        <v>0</v>
      </c>
      <c r="AL22" s="120">
        <f t="shared" si="4"/>
        <v>0</v>
      </c>
      <c r="AM22" s="120">
        <f t="shared" si="4"/>
        <v>0</v>
      </c>
      <c r="AN22" s="120">
        <f t="shared" si="4"/>
        <v>0</v>
      </c>
      <c r="AO22" s="120">
        <f t="shared" si="4"/>
        <v>0</v>
      </c>
      <c r="AP22" s="120">
        <f t="shared" si="4"/>
        <v>0</v>
      </c>
      <c r="AQ22" s="120">
        <f t="shared" si="4"/>
        <v>0</v>
      </c>
      <c r="AR22" s="120">
        <f t="shared" si="4"/>
        <v>0</v>
      </c>
      <c r="AS22" s="120">
        <f t="shared" si="4"/>
        <v>0</v>
      </c>
      <c r="AT22" s="120">
        <f t="shared" si="4"/>
        <v>0</v>
      </c>
      <c r="AU22" s="120">
        <f t="shared" si="4"/>
        <v>0</v>
      </c>
      <c r="AV22" s="120">
        <f t="shared" si="4"/>
        <v>0</v>
      </c>
      <c r="AW22" s="120">
        <f t="shared" si="4"/>
        <v>0</v>
      </c>
      <c r="AX22" s="120">
        <f t="shared" si="4"/>
        <v>0</v>
      </c>
      <c r="AY22" s="120">
        <f t="shared" si="4"/>
        <v>0</v>
      </c>
      <c r="AZ22" s="147">
        <f t="shared" ref="AZ22:AZ30" si="5">SUM($D22:$AY22)</f>
        <v>0</v>
      </c>
    </row>
    <row r="23" spans="1:52" x14ac:dyDescent="0.2">
      <c r="A23" s="166" t="s">
        <v>306</v>
      </c>
      <c r="B23" s="130">
        <v>2000</v>
      </c>
      <c r="C23" s="106" t="s">
        <v>292</v>
      </c>
      <c r="D23" s="106">
        <f>D$21*$B$23</f>
        <v>0</v>
      </c>
      <c r="E23" s="106">
        <f t="shared" ref="E23:AY23" si="6">E$21*$B$23</f>
        <v>1919030.2790528876</v>
      </c>
      <c r="F23" s="106">
        <f t="shared" si="6"/>
        <v>1919030.2790528876</v>
      </c>
      <c r="G23" s="106">
        <f t="shared" si="6"/>
        <v>1919030.2790528876</v>
      </c>
      <c r="H23" s="106">
        <f t="shared" si="6"/>
        <v>1919030.2790528876</v>
      </c>
      <c r="I23" s="106">
        <f t="shared" si="6"/>
        <v>1705804.6924914557</v>
      </c>
      <c r="J23" s="106">
        <f t="shared" si="6"/>
        <v>1705804.6924914557</v>
      </c>
      <c r="K23" s="106">
        <f t="shared" si="6"/>
        <v>0</v>
      </c>
      <c r="L23" s="106">
        <f t="shared" si="6"/>
        <v>3411609.3849829114</v>
      </c>
      <c r="M23" s="106">
        <f t="shared" si="6"/>
        <v>1705804.6924914557</v>
      </c>
      <c r="N23" s="106">
        <f t="shared" si="6"/>
        <v>1705804.6924914557</v>
      </c>
      <c r="O23" s="106">
        <f t="shared" si="6"/>
        <v>1705804.6924914557</v>
      </c>
      <c r="P23" s="106">
        <f t="shared" si="6"/>
        <v>1705804.6924914557</v>
      </c>
      <c r="Q23" s="106">
        <f t="shared" si="6"/>
        <v>1919030.2790528876</v>
      </c>
      <c r="R23" s="106">
        <f t="shared" si="6"/>
        <v>1919030.2790528876</v>
      </c>
      <c r="S23" s="106">
        <f t="shared" si="6"/>
        <v>1919030.2790528876</v>
      </c>
      <c r="T23" s="106">
        <f t="shared" si="6"/>
        <v>1919030.2790528876</v>
      </c>
      <c r="U23" s="106">
        <f t="shared" si="6"/>
        <v>1705804.6924914557</v>
      </c>
      <c r="V23" s="106">
        <f t="shared" si="6"/>
        <v>1705804.6924914557</v>
      </c>
      <c r="W23" s="106">
        <f t="shared" si="6"/>
        <v>1705804.6924914557</v>
      </c>
      <c r="X23" s="106">
        <f t="shared" si="6"/>
        <v>1705804.6924914557</v>
      </c>
      <c r="Y23" s="106">
        <f t="shared" si="6"/>
        <v>1705804.6924914557</v>
      </c>
      <c r="Z23" s="106">
        <f t="shared" si="6"/>
        <v>1705804.6924914557</v>
      </c>
      <c r="AA23" s="106">
        <f t="shared" si="6"/>
        <v>0</v>
      </c>
      <c r="AB23" s="106">
        <f t="shared" si="6"/>
        <v>3411609.3849829114</v>
      </c>
      <c r="AC23" s="106">
        <f t="shared" si="6"/>
        <v>1919030.2790528876</v>
      </c>
      <c r="AD23" s="106">
        <f t="shared" si="6"/>
        <v>1919030.2790528876</v>
      </c>
      <c r="AE23" s="106">
        <f t="shared" si="6"/>
        <v>1919030.2790528876</v>
      </c>
      <c r="AF23" s="106">
        <f t="shared" si="6"/>
        <v>1919030.2790528876</v>
      </c>
      <c r="AG23" s="106">
        <f t="shared" si="6"/>
        <v>1705804.6924914557</v>
      </c>
      <c r="AH23" s="106">
        <f t="shared" si="6"/>
        <v>1705804.6924914557</v>
      </c>
      <c r="AI23" s="106">
        <f t="shared" si="6"/>
        <v>1705804.6924914557</v>
      </c>
      <c r="AJ23" s="106">
        <f t="shared" si="6"/>
        <v>1705804.6924914557</v>
      </c>
      <c r="AK23" s="106">
        <f t="shared" si="6"/>
        <v>1705804.6924914557</v>
      </c>
      <c r="AL23" s="106">
        <f t="shared" si="6"/>
        <v>1705804.6924914557</v>
      </c>
      <c r="AM23" s="106">
        <f t="shared" si="6"/>
        <v>1705804.6924914557</v>
      </c>
      <c r="AN23" s="106">
        <f t="shared" si="6"/>
        <v>1705804.6924914557</v>
      </c>
      <c r="AO23" s="106">
        <f t="shared" si="6"/>
        <v>1919030.2790528876</v>
      </c>
      <c r="AP23" s="106">
        <f t="shared" si="6"/>
        <v>0</v>
      </c>
      <c r="AQ23" s="106">
        <f t="shared" si="6"/>
        <v>3838060.5581057752</v>
      </c>
      <c r="AR23" s="106">
        <f t="shared" si="6"/>
        <v>1919030.2790528876</v>
      </c>
      <c r="AS23" s="106">
        <f t="shared" si="6"/>
        <v>1705804.6924914557</v>
      </c>
      <c r="AT23" s="106">
        <f t="shared" si="6"/>
        <v>1705804.6924914557</v>
      </c>
      <c r="AU23" s="106">
        <f t="shared" si="6"/>
        <v>1705804.6924914557</v>
      </c>
      <c r="AV23" s="106">
        <f t="shared" si="6"/>
        <v>1705804.6924914557</v>
      </c>
      <c r="AW23" s="106">
        <f t="shared" si="6"/>
        <v>1705804.6924914557</v>
      </c>
      <c r="AX23" s="106">
        <f t="shared" si="6"/>
        <v>1705804.6924914557</v>
      </c>
      <c r="AY23" s="106">
        <f t="shared" si="6"/>
        <v>1705804.6924914557</v>
      </c>
      <c r="AZ23" s="145">
        <f t="shared" si="5"/>
        <v>83584429.932081372</v>
      </c>
    </row>
    <row r="24" spans="1:52" s="116" customFormat="1" x14ac:dyDescent="0.2">
      <c r="A24" s="167" t="s">
        <v>307</v>
      </c>
      <c r="B24" s="168">
        <v>1000</v>
      </c>
      <c r="C24" s="162" t="s">
        <v>292</v>
      </c>
      <c r="D24" s="112">
        <f>D$22*$B$24</f>
        <v>0</v>
      </c>
      <c r="E24" s="112">
        <f t="shared" ref="E24:AY24" si="7">E$22*$B$24</f>
        <v>0</v>
      </c>
      <c r="F24" s="112">
        <f t="shared" si="7"/>
        <v>0</v>
      </c>
      <c r="G24" s="112">
        <f t="shared" si="7"/>
        <v>0</v>
      </c>
      <c r="H24" s="112">
        <f t="shared" si="7"/>
        <v>0</v>
      </c>
      <c r="I24" s="112">
        <f t="shared" si="7"/>
        <v>0</v>
      </c>
      <c r="J24" s="112">
        <f t="shared" si="7"/>
        <v>0</v>
      </c>
      <c r="K24" s="112">
        <f t="shared" si="7"/>
        <v>0</v>
      </c>
      <c r="L24" s="112">
        <f t="shared" si="7"/>
        <v>0</v>
      </c>
      <c r="M24" s="112">
        <f t="shared" si="7"/>
        <v>0</v>
      </c>
      <c r="N24" s="112">
        <f t="shared" si="7"/>
        <v>0</v>
      </c>
      <c r="O24" s="112">
        <f t="shared" si="7"/>
        <v>0</v>
      </c>
      <c r="P24" s="112">
        <f t="shared" si="7"/>
        <v>0</v>
      </c>
      <c r="Q24" s="112">
        <f t="shared" si="7"/>
        <v>0</v>
      </c>
      <c r="R24" s="112">
        <f t="shared" si="7"/>
        <v>0</v>
      </c>
      <c r="S24" s="112">
        <f t="shared" si="7"/>
        <v>0</v>
      </c>
      <c r="T24" s="112">
        <f t="shared" si="7"/>
        <v>0</v>
      </c>
      <c r="U24" s="112">
        <f t="shared" si="7"/>
        <v>0</v>
      </c>
      <c r="V24" s="112">
        <f t="shared" si="7"/>
        <v>0</v>
      </c>
      <c r="W24" s="112">
        <f t="shared" si="7"/>
        <v>0</v>
      </c>
      <c r="X24" s="112">
        <f t="shared" si="7"/>
        <v>0</v>
      </c>
      <c r="Y24" s="112">
        <f t="shared" si="7"/>
        <v>0</v>
      </c>
      <c r="Z24" s="112">
        <f t="shared" si="7"/>
        <v>0</v>
      </c>
      <c r="AA24" s="112">
        <f t="shared" si="7"/>
        <v>0</v>
      </c>
      <c r="AB24" s="112">
        <f t="shared" si="7"/>
        <v>0</v>
      </c>
      <c r="AC24" s="112">
        <f t="shared" si="7"/>
        <v>0</v>
      </c>
      <c r="AD24" s="112">
        <f t="shared" si="7"/>
        <v>0</v>
      </c>
      <c r="AE24" s="112">
        <f t="shared" si="7"/>
        <v>0</v>
      </c>
      <c r="AF24" s="112">
        <f t="shared" si="7"/>
        <v>0</v>
      </c>
      <c r="AG24" s="112">
        <f t="shared" si="7"/>
        <v>0</v>
      </c>
      <c r="AH24" s="112">
        <f t="shared" si="7"/>
        <v>0</v>
      </c>
      <c r="AI24" s="112">
        <f t="shared" si="7"/>
        <v>0</v>
      </c>
      <c r="AJ24" s="112">
        <f t="shared" si="7"/>
        <v>0</v>
      </c>
      <c r="AK24" s="112">
        <f t="shared" si="7"/>
        <v>0</v>
      </c>
      <c r="AL24" s="112">
        <f t="shared" si="7"/>
        <v>0</v>
      </c>
      <c r="AM24" s="112">
        <f t="shared" si="7"/>
        <v>0</v>
      </c>
      <c r="AN24" s="112">
        <f t="shared" si="7"/>
        <v>0</v>
      </c>
      <c r="AO24" s="112">
        <f t="shared" si="7"/>
        <v>0</v>
      </c>
      <c r="AP24" s="112">
        <f t="shared" si="7"/>
        <v>0</v>
      </c>
      <c r="AQ24" s="112">
        <f t="shared" si="7"/>
        <v>0</v>
      </c>
      <c r="AR24" s="112">
        <f t="shared" si="7"/>
        <v>0</v>
      </c>
      <c r="AS24" s="112">
        <f t="shared" si="7"/>
        <v>0</v>
      </c>
      <c r="AT24" s="112">
        <f t="shared" si="7"/>
        <v>0</v>
      </c>
      <c r="AU24" s="112">
        <f t="shared" si="7"/>
        <v>0</v>
      </c>
      <c r="AV24" s="112">
        <f t="shared" si="7"/>
        <v>0</v>
      </c>
      <c r="AW24" s="112">
        <f t="shared" si="7"/>
        <v>0</v>
      </c>
      <c r="AX24" s="112">
        <f t="shared" si="7"/>
        <v>0</v>
      </c>
      <c r="AY24" s="112">
        <f t="shared" si="7"/>
        <v>0</v>
      </c>
      <c r="AZ24" s="147">
        <f t="shared" si="5"/>
        <v>0</v>
      </c>
    </row>
    <row r="25" spans="1:52" x14ac:dyDescent="0.2"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12"/>
    </row>
    <row r="26" spans="1:52" x14ac:dyDescent="0.2">
      <c r="A26" s="169" t="s">
        <v>18</v>
      </c>
      <c r="C26" s="112"/>
      <c r="D26" s="112"/>
      <c r="E26" s="112"/>
      <c r="F26" s="112"/>
      <c r="G26" s="112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2"/>
      <c r="AV26" s="112"/>
      <c r="AW26" s="112"/>
      <c r="AX26" s="112"/>
      <c r="AY26" s="112"/>
      <c r="AZ26" s="112"/>
    </row>
    <row r="27" spans="1:52" x14ac:dyDescent="0.2">
      <c r="B27" s="141" t="s">
        <v>308</v>
      </c>
      <c r="C27" s="130">
        <v>155</v>
      </c>
      <c r="D27" s="130">
        <f>C$27-C$28+C$29</f>
        <v>155</v>
      </c>
      <c r="E27" s="130">
        <f t="shared" ref="E27:AY27" si="8">D27-D28+D29</f>
        <v>155</v>
      </c>
      <c r="F27" s="130">
        <f t="shared" si="8"/>
        <v>123</v>
      </c>
      <c r="G27" s="130">
        <f t="shared" si="8"/>
        <v>123</v>
      </c>
      <c r="H27" s="130">
        <f t="shared" si="8"/>
        <v>123</v>
      </c>
      <c r="I27" s="130">
        <f t="shared" si="8"/>
        <v>123</v>
      </c>
      <c r="J27" s="130">
        <f t="shared" si="8"/>
        <v>126</v>
      </c>
      <c r="K27" s="130">
        <f t="shared" si="8"/>
        <v>126</v>
      </c>
      <c r="L27" s="130">
        <f t="shared" si="8"/>
        <v>155</v>
      </c>
      <c r="M27" s="130">
        <f t="shared" si="8"/>
        <v>98</v>
      </c>
      <c r="N27" s="130">
        <f t="shared" si="8"/>
        <v>126</v>
      </c>
      <c r="O27" s="130">
        <f t="shared" si="8"/>
        <v>126</v>
      </c>
      <c r="P27" s="130">
        <f t="shared" si="8"/>
        <v>126</v>
      </c>
      <c r="Q27" s="130">
        <f t="shared" si="8"/>
        <v>126</v>
      </c>
      <c r="R27" s="130">
        <f t="shared" si="8"/>
        <v>123</v>
      </c>
      <c r="S27" s="130">
        <f t="shared" si="8"/>
        <v>123</v>
      </c>
      <c r="T27" s="130">
        <f t="shared" si="8"/>
        <v>123</v>
      </c>
      <c r="U27" s="130">
        <f t="shared" si="8"/>
        <v>123</v>
      </c>
      <c r="V27" s="130">
        <f t="shared" si="8"/>
        <v>126</v>
      </c>
      <c r="W27" s="130">
        <f t="shared" si="8"/>
        <v>126</v>
      </c>
      <c r="X27" s="130">
        <f t="shared" si="8"/>
        <v>126</v>
      </c>
      <c r="Y27" s="130">
        <f t="shared" si="8"/>
        <v>126</v>
      </c>
      <c r="Z27" s="130">
        <f t="shared" si="8"/>
        <v>126</v>
      </c>
      <c r="AA27" s="130">
        <f t="shared" si="8"/>
        <v>126</v>
      </c>
      <c r="AB27" s="130">
        <f t="shared" si="8"/>
        <v>155</v>
      </c>
      <c r="AC27" s="130">
        <f t="shared" si="8"/>
        <v>98</v>
      </c>
      <c r="AD27" s="130">
        <f t="shared" si="8"/>
        <v>123</v>
      </c>
      <c r="AE27" s="130">
        <f t="shared" si="8"/>
        <v>123</v>
      </c>
      <c r="AF27" s="130">
        <f t="shared" si="8"/>
        <v>123</v>
      </c>
      <c r="AG27" s="130">
        <f t="shared" si="8"/>
        <v>123</v>
      </c>
      <c r="AH27" s="130">
        <f t="shared" si="8"/>
        <v>126</v>
      </c>
      <c r="AI27" s="130">
        <f t="shared" si="8"/>
        <v>126</v>
      </c>
      <c r="AJ27" s="130">
        <f t="shared" si="8"/>
        <v>126</v>
      </c>
      <c r="AK27" s="130">
        <f t="shared" si="8"/>
        <v>126</v>
      </c>
      <c r="AL27" s="130">
        <f t="shared" si="8"/>
        <v>126</v>
      </c>
      <c r="AM27" s="130">
        <f t="shared" si="8"/>
        <v>126</v>
      </c>
      <c r="AN27" s="130">
        <f t="shared" si="8"/>
        <v>126</v>
      </c>
      <c r="AO27" s="130">
        <f t="shared" si="8"/>
        <v>126</v>
      </c>
      <c r="AP27" s="130">
        <f t="shared" si="8"/>
        <v>123</v>
      </c>
      <c r="AQ27" s="130">
        <f t="shared" si="8"/>
        <v>155</v>
      </c>
      <c r="AR27" s="130">
        <f t="shared" si="8"/>
        <v>91</v>
      </c>
      <c r="AS27" s="130">
        <f t="shared" si="8"/>
        <v>123</v>
      </c>
      <c r="AT27" s="130">
        <f t="shared" si="8"/>
        <v>126</v>
      </c>
      <c r="AU27" s="130">
        <f t="shared" si="8"/>
        <v>126</v>
      </c>
      <c r="AV27" s="130">
        <f t="shared" si="8"/>
        <v>126</v>
      </c>
      <c r="AW27" s="130">
        <f t="shared" si="8"/>
        <v>126</v>
      </c>
      <c r="AX27" s="130">
        <f t="shared" si="8"/>
        <v>126</v>
      </c>
      <c r="AY27" s="170">
        <f t="shared" si="8"/>
        <v>126</v>
      </c>
      <c r="AZ27" s="112"/>
    </row>
    <row r="28" spans="1:52" x14ac:dyDescent="0.2">
      <c r="B28" s="171" t="s">
        <v>309</v>
      </c>
      <c r="C28" s="116"/>
      <c r="D28" s="116">
        <v>0</v>
      </c>
      <c r="E28" s="116">
        <v>32</v>
      </c>
      <c r="F28" s="116">
        <v>32</v>
      </c>
      <c r="G28" s="116">
        <v>32</v>
      </c>
      <c r="H28" s="116">
        <v>32</v>
      </c>
      <c r="I28" s="116">
        <v>29</v>
      </c>
      <c r="J28" s="116">
        <v>29</v>
      </c>
      <c r="K28" s="116">
        <v>0</v>
      </c>
      <c r="L28" s="116">
        <v>57</v>
      </c>
      <c r="M28" s="116">
        <v>29</v>
      </c>
      <c r="N28" s="116">
        <v>29</v>
      </c>
      <c r="O28" s="116">
        <v>29</v>
      </c>
      <c r="P28" s="116">
        <v>29</v>
      </c>
      <c r="Q28" s="116">
        <v>32</v>
      </c>
      <c r="R28" s="116">
        <v>32</v>
      </c>
      <c r="S28" s="116">
        <v>32</v>
      </c>
      <c r="T28" s="116">
        <v>32</v>
      </c>
      <c r="U28" s="116">
        <v>29</v>
      </c>
      <c r="V28" s="116">
        <v>29</v>
      </c>
      <c r="W28" s="116">
        <v>29</v>
      </c>
      <c r="X28" s="116">
        <v>29</v>
      </c>
      <c r="Y28" s="116">
        <v>29</v>
      </c>
      <c r="Z28" s="116">
        <v>29</v>
      </c>
      <c r="AA28" s="116">
        <v>0</v>
      </c>
      <c r="AB28" s="116">
        <v>57</v>
      </c>
      <c r="AC28" s="116">
        <v>32</v>
      </c>
      <c r="AD28" s="116">
        <v>32</v>
      </c>
      <c r="AE28" s="116">
        <v>32</v>
      </c>
      <c r="AF28" s="116">
        <v>32</v>
      </c>
      <c r="AG28" s="116">
        <v>29</v>
      </c>
      <c r="AH28" s="116">
        <v>29</v>
      </c>
      <c r="AI28" s="116">
        <v>29</v>
      </c>
      <c r="AJ28" s="116">
        <v>29</v>
      </c>
      <c r="AK28" s="116">
        <v>29</v>
      </c>
      <c r="AL28" s="116">
        <v>29</v>
      </c>
      <c r="AM28" s="116">
        <v>29</v>
      </c>
      <c r="AN28" s="116">
        <v>29</v>
      </c>
      <c r="AO28" s="116">
        <v>32</v>
      </c>
      <c r="AP28" s="116">
        <v>0</v>
      </c>
      <c r="AQ28" s="116">
        <v>64</v>
      </c>
      <c r="AR28" s="116">
        <v>32</v>
      </c>
      <c r="AS28" s="116">
        <v>29</v>
      </c>
      <c r="AT28" s="116">
        <v>29</v>
      </c>
      <c r="AU28" s="116">
        <v>29</v>
      </c>
      <c r="AV28" s="116">
        <v>29</v>
      </c>
      <c r="AW28" s="116">
        <v>29</v>
      </c>
      <c r="AX28" s="116">
        <v>29</v>
      </c>
      <c r="AY28" s="172">
        <v>29</v>
      </c>
      <c r="AZ28" s="112"/>
    </row>
    <row r="29" spans="1:52" x14ac:dyDescent="0.2">
      <c r="B29" s="142" t="s">
        <v>310</v>
      </c>
      <c r="C29" s="131"/>
      <c r="D29" s="131">
        <f>C$28</f>
        <v>0</v>
      </c>
      <c r="E29" s="131">
        <f t="shared" ref="E29:AY29" si="9">D$28</f>
        <v>0</v>
      </c>
      <c r="F29" s="131">
        <f t="shared" si="9"/>
        <v>32</v>
      </c>
      <c r="G29" s="131">
        <f t="shared" si="9"/>
        <v>32</v>
      </c>
      <c r="H29" s="131">
        <f t="shared" si="9"/>
        <v>32</v>
      </c>
      <c r="I29" s="131">
        <f t="shared" si="9"/>
        <v>32</v>
      </c>
      <c r="J29" s="131">
        <f t="shared" si="9"/>
        <v>29</v>
      </c>
      <c r="K29" s="131">
        <f t="shared" si="9"/>
        <v>29</v>
      </c>
      <c r="L29" s="131">
        <f t="shared" si="9"/>
        <v>0</v>
      </c>
      <c r="M29" s="131">
        <f t="shared" si="9"/>
        <v>57</v>
      </c>
      <c r="N29" s="131">
        <f t="shared" si="9"/>
        <v>29</v>
      </c>
      <c r="O29" s="131">
        <f t="shared" si="9"/>
        <v>29</v>
      </c>
      <c r="P29" s="131">
        <f t="shared" si="9"/>
        <v>29</v>
      </c>
      <c r="Q29" s="131">
        <f t="shared" si="9"/>
        <v>29</v>
      </c>
      <c r="R29" s="131">
        <f t="shared" si="9"/>
        <v>32</v>
      </c>
      <c r="S29" s="131">
        <f t="shared" si="9"/>
        <v>32</v>
      </c>
      <c r="T29" s="131">
        <f t="shared" si="9"/>
        <v>32</v>
      </c>
      <c r="U29" s="131">
        <f t="shared" si="9"/>
        <v>32</v>
      </c>
      <c r="V29" s="131">
        <f t="shared" si="9"/>
        <v>29</v>
      </c>
      <c r="W29" s="131">
        <f t="shared" si="9"/>
        <v>29</v>
      </c>
      <c r="X29" s="131">
        <f t="shared" si="9"/>
        <v>29</v>
      </c>
      <c r="Y29" s="131">
        <f t="shared" si="9"/>
        <v>29</v>
      </c>
      <c r="Z29" s="131">
        <f t="shared" si="9"/>
        <v>29</v>
      </c>
      <c r="AA29" s="131">
        <f t="shared" si="9"/>
        <v>29</v>
      </c>
      <c r="AB29" s="131">
        <f t="shared" si="9"/>
        <v>0</v>
      </c>
      <c r="AC29" s="131">
        <f t="shared" si="9"/>
        <v>57</v>
      </c>
      <c r="AD29" s="131">
        <f t="shared" si="9"/>
        <v>32</v>
      </c>
      <c r="AE29" s="131">
        <f t="shared" si="9"/>
        <v>32</v>
      </c>
      <c r="AF29" s="131">
        <f t="shared" si="9"/>
        <v>32</v>
      </c>
      <c r="AG29" s="131">
        <f t="shared" si="9"/>
        <v>32</v>
      </c>
      <c r="AH29" s="131">
        <f t="shared" si="9"/>
        <v>29</v>
      </c>
      <c r="AI29" s="131">
        <f t="shared" si="9"/>
        <v>29</v>
      </c>
      <c r="AJ29" s="131">
        <f t="shared" si="9"/>
        <v>29</v>
      </c>
      <c r="AK29" s="131">
        <f t="shared" si="9"/>
        <v>29</v>
      </c>
      <c r="AL29" s="131">
        <f t="shared" si="9"/>
        <v>29</v>
      </c>
      <c r="AM29" s="131">
        <f t="shared" si="9"/>
        <v>29</v>
      </c>
      <c r="AN29" s="131">
        <f t="shared" si="9"/>
        <v>29</v>
      </c>
      <c r="AO29" s="131">
        <f t="shared" si="9"/>
        <v>29</v>
      </c>
      <c r="AP29" s="131">
        <f t="shared" si="9"/>
        <v>32</v>
      </c>
      <c r="AQ29" s="131">
        <f t="shared" si="9"/>
        <v>0</v>
      </c>
      <c r="AR29" s="131">
        <f t="shared" si="9"/>
        <v>64</v>
      </c>
      <c r="AS29" s="131">
        <f t="shared" si="9"/>
        <v>32</v>
      </c>
      <c r="AT29" s="131">
        <f t="shared" si="9"/>
        <v>29</v>
      </c>
      <c r="AU29" s="131">
        <f t="shared" si="9"/>
        <v>29</v>
      </c>
      <c r="AV29" s="131">
        <f t="shared" si="9"/>
        <v>29</v>
      </c>
      <c r="AW29" s="131">
        <f t="shared" si="9"/>
        <v>29</v>
      </c>
      <c r="AX29" s="131">
        <f t="shared" si="9"/>
        <v>29</v>
      </c>
      <c r="AY29" s="173">
        <f t="shared" si="9"/>
        <v>29</v>
      </c>
      <c r="AZ29" s="174"/>
    </row>
    <row r="30" spans="1:52" x14ac:dyDescent="0.2">
      <c r="A30" s="175" t="s">
        <v>311</v>
      </c>
      <c r="B30" s="150">
        <v>10</v>
      </c>
      <c r="C30" s="123" t="s">
        <v>292</v>
      </c>
      <c r="D30" s="123">
        <f>D$27*$B$30</f>
        <v>1550</v>
      </c>
      <c r="E30" s="123">
        <f t="shared" ref="E30:AY30" si="10">E$27*$B$30</f>
        <v>1550</v>
      </c>
      <c r="F30" s="123">
        <f t="shared" si="10"/>
        <v>1230</v>
      </c>
      <c r="G30" s="123">
        <f t="shared" si="10"/>
        <v>1230</v>
      </c>
      <c r="H30" s="123">
        <f t="shared" si="10"/>
        <v>1230</v>
      </c>
      <c r="I30" s="123">
        <f t="shared" si="10"/>
        <v>1230</v>
      </c>
      <c r="J30" s="123">
        <f t="shared" si="10"/>
        <v>1260</v>
      </c>
      <c r="K30" s="123">
        <f t="shared" si="10"/>
        <v>1260</v>
      </c>
      <c r="L30" s="123">
        <f t="shared" si="10"/>
        <v>1550</v>
      </c>
      <c r="M30" s="123">
        <f t="shared" si="10"/>
        <v>980</v>
      </c>
      <c r="N30" s="123">
        <f t="shared" si="10"/>
        <v>1260</v>
      </c>
      <c r="O30" s="123">
        <f t="shared" si="10"/>
        <v>1260</v>
      </c>
      <c r="P30" s="123">
        <f t="shared" si="10"/>
        <v>1260</v>
      </c>
      <c r="Q30" s="123">
        <f t="shared" si="10"/>
        <v>1260</v>
      </c>
      <c r="R30" s="123">
        <f>R$27*$B$30</f>
        <v>1230</v>
      </c>
      <c r="S30" s="123">
        <f t="shared" si="10"/>
        <v>1230</v>
      </c>
      <c r="T30" s="123">
        <f t="shared" si="10"/>
        <v>1230</v>
      </c>
      <c r="U30" s="123">
        <f t="shared" si="10"/>
        <v>1230</v>
      </c>
      <c r="V30" s="123">
        <f t="shared" si="10"/>
        <v>1260</v>
      </c>
      <c r="W30" s="123">
        <f t="shared" si="10"/>
        <v>1260</v>
      </c>
      <c r="X30" s="123">
        <f t="shared" si="10"/>
        <v>1260</v>
      </c>
      <c r="Y30" s="123">
        <f t="shared" si="10"/>
        <v>1260</v>
      </c>
      <c r="Z30" s="123">
        <f t="shared" si="10"/>
        <v>1260</v>
      </c>
      <c r="AA30" s="123">
        <f t="shared" si="10"/>
        <v>1260</v>
      </c>
      <c r="AB30" s="123">
        <f t="shared" si="10"/>
        <v>1550</v>
      </c>
      <c r="AC30" s="123">
        <f t="shared" si="10"/>
        <v>980</v>
      </c>
      <c r="AD30" s="123">
        <f t="shared" si="10"/>
        <v>1230</v>
      </c>
      <c r="AE30" s="123">
        <f>AE$27*$B$30</f>
        <v>1230</v>
      </c>
      <c r="AF30" s="123">
        <f t="shared" si="10"/>
        <v>1230</v>
      </c>
      <c r="AG30" s="123">
        <f t="shared" si="10"/>
        <v>1230</v>
      </c>
      <c r="AH30" s="123">
        <f t="shared" si="10"/>
        <v>1260</v>
      </c>
      <c r="AI30" s="123">
        <f t="shared" si="10"/>
        <v>1260</v>
      </c>
      <c r="AJ30" s="123">
        <f t="shared" si="10"/>
        <v>1260</v>
      </c>
      <c r="AK30" s="123">
        <f t="shared" si="10"/>
        <v>1260</v>
      </c>
      <c r="AL30" s="123">
        <f t="shared" si="10"/>
        <v>1260</v>
      </c>
      <c r="AM30" s="123">
        <f t="shared" si="10"/>
        <v>1260</v>
      </c>
      <c r="AN30" s="123">
        <f t="shared" si="10"/>
        <v>1260</v>
      </c>
      <c r="AO30" s="123">
        <f t="shared" si="10"/>
        <v>1260</v>
      </c>
      <c r="AP30" s="123">
        <f t="shared" si="10"/>
        <v>1230</v>
      </c>
      <c r="AQ30" s="123">
        <f t="shared" si="10"/>
        <v>1550</v>
      </c>
      <c r="AR30" s="123">
        <f t="shared" si="10"/>
        <v>910</v>
      </c>
      <c r="AS30" s="123">
        <f t="shared" si="10"/>
        <v>1230</v>
      </c>
      <c r="AT30" s="123">
        <f t="shared" si="10"/>
        <v>1260</v>
      </c>
      <c r="AU30" s="123">
        <f t="shared" si="10"/>
        <v>1260</v>
      </c>
      <c r="AV30" s="123">
        <f t="shared" si="10"/>
        <v>1260</v>
      </c>
      <c r="AW30" s="123">
        <f t="shared" si="10"/>
        <v>1260</v>
      </c>
      <c r="AX30" s="123">
        <f t="shared" si="10"/>
        <v>1260</v>
      </c>
      <c r="AY30" s="123">
        <f t="shared" si="10"/>
        <v>1260</v>
      </c>
      <c r="AZ30" s="147">
        <f t="shared" si="5"/>
        <v>60600</v>
      </c>
    </row>
    <row r="32" spans="1:52" x14ac:dyDescent="0.2">
      <c r="A32" s="108" t="s">
        <v>299</v>
      </c>
    </row>
    <row r="33" spans="1:52" x14ac:dyDescent="0.2">
      <c r="A33" s="141" t="s">
        <v>22</v>
      </c>
      <c r="B33" s="141" t="s">
        <v>340</v>
      </c>
      <c r="C33" s="130"/>
      <c r="D33" s="130">
        <f>D$21*shipping_manufacturing!$H$27/100</f>
        <v>0</v>
      </c>
      <c r="E33" s="130">
        <f>E$21*shipping_manufacturing!$H$27/100</f>
        <v>0</v>
      </c>
      <c r="F33" s="130">
        <f>F$21*shipping_manufacturing!$H$27/100</f>
        <v>0</v>
      </c>
      <c r="G33" s="130">
        <f>G$21*shipping_manufacturing!$H$27/100</f>
        <v>0</v>
      </c>
      <c r="H33" s="130">
        <f>H$21*shipping_manufacturing!$H$27/100</f>
        <v>0</v>
      </c>
      <c r="I33" s="130">
        <f>I$21*shipping_manufacturing!$H$27/100</f>
        <v>0</v>
      </c>
      <c r="J33" s="130">
        <f>J$21*shipping_manufacturing!$H$27/100</f>
        <v>0</v>
      </c>
      <c r="K33" s="130">
        <f>K$21*shipping_manufacturing!$H$27/100</f>
        <v>0</v>
      </c>
      <c r="L33" s="130">
        <f>L$21*shipping_manufacturing!$H$27/100</f>
        <v>0</v>
      </c>
      <c r="M33" s="130">
        <f>M$21*shipping_manufacturing!$H$27/100</f>
        <v>0</v>
      </c>
      <c r="N33" s="130">
        <f>N$21*shipping_manufacturing!$H$27/100</f>
        <v>0</v>
      </c>
      <c r="O33" s="130">
        <f>O$21*shipping_manufacturing!$H$27/100</f>
        <v>0</v>
      </c>
      <c r="P33" s="130">
        <f>P$21*shipping_manufacturing!$H$27/100</f>
        <v>0</v>
      </c>
      <c r="Q33" s="130">
        <f>Q$21*shipping_manufacturing!$H$27/100</f>
        <v>0</v>
      </c>
      <c r="R33" s="130">
        <f>R$21*shipping_manufacturing!$H$27/100</f>
        <v>0</v>
      </c>
      <c r="S33" s="130">
        <f>S$21*shipping_manufacturing!$H$27/100</f>
        <v>0</v>
      </c>
      <c r="T33" s="130">
        <f>T$21*shipping_manufacturing!$H$27/100</f>
        <v>0</v>
      </c>
      <c r="U33" s="130">
        <f>U$21*shipping_manufacturing!$H$27/100</f>
        <v>0</v>
      </c>
      <c r="V33" s="130">
        <f>V$21*shipping_manufacturing!$H$27/100</f>
        <v>0</v>
      </c>
      <c r="W33" s="130">
        <f>W$21*shipping_manufacturing!$H$27/100</f>
        <v>0</v>
      </c>
      <c r="X33" s="130">
        <f>X$21*shipping_manufacturing!$H$27/100</f>
        <v>0</v>
      </c>
      <c r="Y33" s="130">
        <f>Y$21*shipping_manufacturing!$H$27/100</f>
        <v>0</v>
      </c>
      <c r="Z33" s="130">
        <f>Z$21*shipping_manufacturing!$H$27/100</f>
        <v>0</v>
      </c>
      <c r="AA33" s="130">
        <f>AA$21*shipping_manufacturing!$H$27/100</f>
        <v>0</v>
      </c>
      <c r="AB33" s="130">
        <f>AB$21*shipping_manufacturing!$H$27/100</f>
        <v>0</v>
      </c>
      <c r="AC33" s="130">
        <f>AC$21*shipping_manufacturing!$H$27/100</f>
        <v>0</v>
      </c>
      <c r="AD33" s="130">
        <f>AD$21*shipping_manufacturing!$H$27/100</f>
        <v>0</v>
      </c>
      <c r="AE33" s="130">
        <f>AE$21*shipping_manufacturing!$H$27/100</f>
        <v>0</v>
      </c>
      <c r="AF33" s="130">
        <f>AF$21*shipping_manufacturing!$H$27/100</f>
        <v>0</v>
      </c>
      <c r="AG33" s="130">
        <f>AG$21*shipping_manufacturing!$H$27/100</f>
        <v>0</v>
      </c>
      <c r="AH33" s="130">
        <f>AH$21*shipping_manufacturing!$H$27/100</f>
        <v>0</v>
      </c>
      <c r="AI33" s="130">
        <f>AI$21*shipping_manufacturing!$H$27/100</f>
        <v>0</v>
      </c>
      <c r="AJ33" s="130">
        <f>AJ$21*shipping_manufacturing!$H$27/100</f>
        <v>0</v>
      </c>
      <c r="AK33" s="130">
        <f>AK$21*shipping_manufacturing!$H$27/100</f>
        <v>0</v>
      </c>
      <c r="AL33" s="130">
        <f>AL$21*shipping_manufacturing!$H$27/100</f>
        <v>0</v>
      </c>
      <c r="AM33" s="130">
        <f>AM$21*shipping_manufacturing!$H$27/100</f>
        <v>0</v>
      </c>
      <c r="AN33" s="130">
        <f>AN$21*shipping_manufacturing!$H$27/100</f>
        <v>0</v>
      </c>
      <c r="AO33" s="130">
        <f>AO$21*shipping_manufacturing!$H$27/100</f>
        <v>0</v>
      </c>
      <c r="AP33" s="130">
        <f>AP$21*shipping_manufacturing!$H$27/100</f>
        <v>0</v>
      </c>
      <c r="AQ33" s="130">
        <f>AQ$21*shipping_manufacturing!$H$27/100</f>
        <v>0</v>
      </c>
      <c r="AR33" s="130">
        <f>AR$21*shipping_manufacturing!$H$27/100</f>
        <v>0</v>
      </c>
      <c r="AS33" s="130">
        <f>AS$21*shipping_manufacturing!$H$27/100</f>
        <v>0</v>
      </c>
      <c r="AT33" s="130">
        <f>AT$21*shipping_manufacturing!$H$27/100</f>
        <v>0</v>
      </c>
      <c r="AU33" s="130">
        <f>AU$21*shipping_manufacturing!$H$27/100</f>
        <v>0</v>
      </c>
      <c r="AV33" s="130">
        <f>AV$21*shipping_manufacturing!$H$27/100</f>
        <v>0</v>
      </c>
      <c r="AW33" s="130">
        <f>AW$21*shipping_manufacturing!$H$27/100</f>
        <v>0</v>
      </c>
      <c r="AX33" s="130">
        <f>AX$21*shipping_manufacturing!$H$27/100</f>
        <v>0</v>
      </c>
      <c r="AY33" s="130">
        <f>AY$21*shipping_manufacturing!$H$27/100</f>
        <v>0</v>
      </c>
    </row>
    <row r="34" spans="1:52" x14ac:dyDescent="0.2">
      <c r="A34" s="119" t="s">
        <v>339</v>
      </c>
      <c r="B34" s="171" t="s">
        <v>341</v>
      </c>
      <c r="C34" s="116"/>
      <c r="D34" s="116">
        <f>D$22*shipping_manufacturing!$I$27/100</f>
        <v>0</v>
      </c>
      <c r="E34" s="116">
        <f>E$22*shipping_manufacturing!$I$27/100</f>
        <v>0</v>
      </c>
      <c r="F34" s="116">
        <f>F$22*shipping_manufacturing!$I$27/100</f>
        <v>0</v>
      </c>
      <c r="G34" s="116">
        <f>G$22*shipping_manufacturing!$I$27/100</f>
        <v>0</v>
      </c>
      <c r="H34" s="116">
        <f>H$22*shipping_manufacturing!$I$27/100</f>
        <v>0</v>
      </c>
      <c r="I34" s="116">
        <f>I$22*shipping_manufacturing!$I$27/100</f>
        <v>0</v>
      </c>
      <c r="J34" s="116">
        <f>J$22*shipping_manufacturing!$I$27/100</f>
        <v>0</v>
      </c>
      <c r="K34" s="116">
        <f>K$22*shipping_manufacturing!$I$27/100</f>
        <v>0</v>
      </c>
      <c r="L34" s="116">
        <f>L$22*shipping_manufacturing!$I$27/100</f>
        <v>0</v>
      </c>
      <c r="M34" s="116">
        <f>M$22*shipping_manufacturing!$I$27/100</f>
        <v>0</v>
      </c>
      <c r="N34" s="116">
        <f>N$22*shipping_manufacturing!$I$27/100</f>
        <v>0</v>
      </c>
      <c r="O34" s="116">
        <f>O$22*shipping_manufacturing!$I$27/100</f>
        <v>0</v>
      </c>
      <c r="P34" s="116">
        <f>P$22*shipping_manufacturing!$I$27/100</f>
        <v>0</v>
      </c>
      <c r="Q34" s="116">
        <f>Q$22*shipping_manufacturing!$I$27/100</f>
        <v>0</v>
      </c>
      <c r="R34" s="116">
        <f>R$22*shipping_manufacturing!$I$27/100</f>
        <v>0</v>
      </c>
      <c r="S34" s="116">
        <f>S$22*shipping_manufacturing!$I$27/100</f>
        <v>0</v>
      </c>
      <c r="T34" s="116">
        <f>T$22*shipping_manufacturing!$I$27/100</f>
        <v>0</v>
      </c>
      <c r="U34" s="116">
        <f>U$22*shipping_manufacturing!$I$27/100</f>
        <v>0</v>
      </c>
      <c r="V34" s="116">
        <f>V$22*shipping_manufacturing!$I$27/100</f>
        <v>0</v>
      </c>
      <c r="W34" s="116">
        <f>W$22*shipping_manufacturing!$I$27/100</f>
        <v>0</v>
      </c>
      <c r="X34" s="116">
        <f>X$22*shipping_manufacturing!$I$27/100</f>
        <v>0</v>
      </c>
      <c r="Y34" s="116">
        <f>Y$22*shipping_manufacturing!$I$27/100</f>
        <v>0</v>
      </c>
      <c r="Z34" s="116">
        <f>Z$22*shipping_manufacturing!$I$27/100</f>
        <v>0</v>
      </c>
      <c r="AA34" s="116">
        <f>AA$22*shipping_manufacturing!$I$27/100</f>
        <v>0</v>
      </c>
      <c r="AB34" s="116">
        <f>AB$22*shipping_manufacturing!$I$27/100</f>
        <v>0</v>
      </c>
      <c r="AC34" s="116">
        <f>AC$22*shipping_manufacturing!$I$27/100</f>
        <v>0</v>
      </c>
      <c r="AD34" s="116">
        <f>AD$22*shipping_manufacturing!$I$27/100</f>
        <v>0</v>
      </c>
      <c r="AE34" s="116">
        <f>AE$22*shipping_manufacturing!$I$27/100</f>
        <v>0</v>
      </c>
      <c r="AF34" s="116">
        <f>AF$22*shipping_manufacturing!$I$27/100</f>
        <v>0</v>
      </c>
      <c r="AG34" s="116">
        <f>AG$22*shipping_manufacturing!$I$27/100</f>
        <v>0</v>
      </c>
      <c r="AH34" s="116">
        <f>AH$22*shipping_manufacturing!$I$27/100</f>
        <v>0</v>
      </c>
      <c r="AI34" s="116">
        <f>AI$22*shipping_manufacturing!$I$27/100</f>
        <v>0</v>
      </c>
      <c r="AJ34" s="116">
        <f>AJ$22*shipping_manufacturing!$I$27/100</f>
        <v>0</v>
      </c>
      <c r="AK34" s="116">
        <f>AK$22*shipping_manufacturing!$I$27/100</f>
        <v>0</v>
      </c>
      <c r="AL34" s="116">
        <f>AL$22*shipping_manufacturing!$I$27/100</f>
        <v>0</v>
      </c>
      <c r="AM34" s="116">
        <f>AM$22*shipping_manufacturing!$I$27/100</f>
        <v>0</v>
      </c>
      <c r="AN34" s="116">
        <f>AN$22*shipping_manufacturing!$I$27/100</f>
        <v>0</v>
      </c>
      <c r="AO34" s="116">
        <f>AO$22*shipping_manufacturing!$I$27/100</f>
        <v>0</v>
      </c>
      <c r="AP34" s="116">
        <f>AP$22*shipping_manufacturing!$I$27/100</f>
        <v>0</v>
      </c>
      <c r="AQ34" s="116">
        <f>AQ$22*shipping_manufacturing!$I$27/100</f>
        <v>0</v>
      </c>
      <c r="AR34" s="116">
        <f>AR$22*shipping_manufacturing!$I$27/100</f>
        <v>0</v>
      </c>
      <c r="AS34" s="116">
        <f>AS$22*shipping_manufacturing!$I$27/100</f>
        <v>0</v>
      </c>
      <c r="AT34" s="116">
        <f>AT$22*shipping_manufacturing!$I$27/100</f>
        <v>0</v>
      </c>
      <c r="AU34" s="116">
        <f>AU$22*shipping_manufacturing!$I$27/100</f>
        <v>0</v>
      </c>
      <c r="AV34" s="116">
        <f>AV$22*shipping_manufacturing!$I$27/100</f>
        <v>0</v>
      </c>
      <c r="AW34" s="116">
        <f>AW$22*shipping_manufacturing!$I$27/100</f>
        <v>0</v>
      </c>
      <c r="AX34" s="116">
        <f>AX$22*shipping_manufacturing!$I$27/100</f>
        <v>0</v>
      </c>
      <c r="AY34" s="116">
        <f>AY$22*shipping_manufacturing!$I$27/100</f>
        <v>0</v>
      </c>
    </row>
    <row r="35" spans="1:52" x14ac:dyDescent="0.2">
      <c r="A35" s="116">
        <v>1245</v>
      </c>
      <c r="B35" s="171" t="s">
        <v>342</v>
      </c>
      <c r="C35" s="116"/>
      <c r="D35" s="116">
        <f>SUM(D33:D34)</f>
        <v>0</v>
      </c>
      <c r="E35" s="116">
        <f t="shared" ref="E35:AY35" si="11">SUM(E33:E34)</f>
        <v>0</v>
      </c>
      <c r="F35" s="116">
        <f t="shared" si="11"/>
        <v>0</v>
      </c>
      <c r="G35" s="116">
        <f t="shared" si="11"/>
        <v>0</v>
      </c>
      <c r="H35" s="116">
        <f t="shared" si="11"/>
        <v>0</v>
      </c>
      <c r="I35" s="116">
        <f t="shared" si="11"/>
        <v>0</v>
      </c>
      <c r="J35" s="116">
        <f t="shared" si="11"/>
        <v>0</v>
      </c>
      <c r="K35" s="116">
        <f t="shared" si="11"/>
        <v>0</v>
      </c>
      <c r="L35" s="116">
        <f t="shared" si="11"/>
        <v>0</v>
      </c>
      <c r="M35" s="116">
        <f t="shared" si="11"/>
        <v>0</v>
      </c>
      <c r="N35" s="116">
        <f t="shared" si="11"/>
        <v>0</v>
      </c>
      <c r="O35" s="116">
        <f t="shared" si="11"/>
        <v>0</v>
      </c>
      <c r="P35" s="116">
        <f t="shared" si="11"/>
        <v>0</v>
      </c>
      <c r="Q35" s="116">
        <f t="shared" si="11"/>
        <v>0</v>
      </c>
      <c r="R35" s="116">
        <f t="shared" si="11"/>
        <v>0</v>
      </c>
      <c r="S35" s="116">
        <f t="shared" si="11"/>
        <v>0</v>
      </c>
      <c r="T35" s="116">
        <f t="shared" si="11"/>
        <v>0</v>
      </c>
      <c r="U35" s="116">
        <f t="shared" si="11"/>
        <v>0</v>
      </c>
      <c r="V35" s="116">
        <f t="shared" si="11"/>
        <v>0</v>
      </c>
      <c r="W35" s="116">
        <f t="shared" si="11"/>
        <v>0</v>
      </c>
      <c r="X35" s="116">
        <f t="shared" si="11"/>
        <v>0</v>
      </c>
      <c r="Y35" s="116">
        <f t="shared" si="11"/>
        <v>0</v>
      </c>
      <c r="Z35" s="116">
        <f t="shared" si="11"/>
        <v>0</v>
      </c>
      <c r="AA35" s="116">
        <f t="shared" si="11"/>
        <v>0</v>
      </c>
      <c r="AB35" s="116">
        <f t="shared" si="11"/>
        <v>0</v>
      </c>
      <c r="AC35" s="116">
        <f t="shared" si="11"/>
        <v>0</v>
      </c>
      <c r="AD35" s="116">
        <f t="shared" si="11"/>
        <v>0</v>
      </c>
      <c r="AE35" s="116">
        <f t="shared" si="11"/>
        <v>0</v>
      </c>
      <c r="AF35" s="116">
        <f t="shared" si="11"/>
        <v>0</v>
      </c>
      <c r="AG35" s="116">
        <f t="shared" si="11"/>
        <v>0</v>
      </c>
      <c r="AH35" s="116">
        <f t="shared" si="11"/>
        <v>0</v>
      </c>
      <c r="AI35" s="116">
        <f t="shared" si="11"/>
        <v>0</v>
      </c>
      <c r="AJ35" s="116">
        <f t="shared" si="11"/>
        <v>0</v>
      </c>
      <c r="AK35" s="116">
        <f t="shared" si="11"/>
        <v>0</v>
      </c>
      <c r="AL35" s="116">
        <f t="shared" si="11"/>
        <v>0</v>
      </c>
      <c r="AM35" s="116">
        <f t="shared" si="11"/>
        <v>0</v>
      </c>
      <c r="AN35" s="116">
        <f t="shared" si="11"/>
        <v>0</v>
      </c>
      <c r="AO35" s="116">
        <f t="shared" si="11"/>
        <v>0</v>
      </c>
      <c r="AP35" s="116">
        <f t="shared" si="11"/>
        <v>0</v>
      </c>
      <c r="AQ35" s="116">
        <f t="shared" si="11"/>
        <v>0</v>
      </c>
      <c r="AR35" s="116">
        <f t="shared" si="11"/>
        <v>0</v>
      </c>
      <c r="AS35" s="116">
        <f t="shared" si="11"/>
        <v>0</v>
      </c>
      <c r="AT35" s="116">
        <f t="shared" si="11"/>
        <v>0</v>
      </c>
      <c r="AU35" s="116">
        <f t="shared" si="11"/>
        <v>0</v>
      </c>
      <c r="AV35" s="116">
        <f t="shared" si="11"/>
        <v>0</v>
      </c>
      <c r="AW35" s="116">
        <f t="shared" si="11"/>
        <v>0</v>
      </c>
      <c r="AX35" s="116">
        <f t="shared" si="11"/>
        <v>0</v>
      </c>
      <c r="AY35" s="116">
        <f t="shared" si="11"/>
        <v>0</v>
      </c>
    </row>
    <row r="36" spans="1:52" x14ac:dyDescent="0.2">
      <c r="A36" s="116"/>
      <c r="B36" s="171" t="s">
        <v>343</v>
      </c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  <c r="AN36" s="116"/>
      <c r="AO36" s="116"/>
      <c r="AP36" s="116"/>
      <c r="AQ36" s="116"/>
      <c r="AR36" s="116"/>
      <c r="AS36" s="116"/>
      <c r="AT36" s="116"/>
      <c r="AU36" s="116"/>
      <c r="AV36" s="116"/>
      <c r="AW36" s="116"/>
      <c r="AX36" s="116"/>
      <c r="AY36" s="116"/>
    </row>
    <row r="37" spans="1:52" x14ac:dyDescent="0.2">
      <c r="A37" s="116"/>
      <c r="B37" s="171" t="s">
        <v>344</v>
      </c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6"/>
      <c r="AL37" s="116"/>
      <c r="AM37" s="116"/>
      <c r="AN37" s="116"/>
      <c r="AO37" s="116"/>
      <c r="AP37" s="116"/>
      <c r="AQ37" s="116"/>
      <c r="AR37" s="116"/>
      <c r="AS37" s="116"/>
      <c r="AT37" s="116"/>
      <c r="AU37" s="116"/>
      <c r="AV37" s="116"/>
      <c r="AW37" s="116"/>
      <c r="AX37" s="116"/>
      <c r="AY37" s="116"/>
    </row>
    <row r="38" spans="1:52" x14ac:dyDescent="0.2">
      <c r="A38" s="116"/>
      <c r="B38" s="171" t="s">
        <v>345</v>
      </c>
      <c r="C38" s="116"/>
      <c r="D38" s="116"/>
      <c r="E38" s="116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6"/>
      <c r="AL38" s="116"/>
      <c r="AM38" s="116"/>
      <c r="AN38" s="116"/>
      <c r="AO38" s="116"/>
      <c r="AP38" s="116"/>
      <c r="AQ38" s="116"/>
      <c r="AR38" s="116"/>
      <c r="AS38" s="116"/>
      <c r="AT38" s="116"/>
      <c r="AU38" s="116"/>
      <c r="AV38" s="116"/>
      <c r="AW38" s="116"/>
      <c r="AX38" s="116"/>
      <c r="AY38" s="116"/>
    </row>
    <row r="39" spans="1:52" x14ac:dyDescent="0.2">
      <c r="A39" s="116"/>
      <c r="B39" s="171" t="s">
        <v>346</v>
      </c>
      <c r="C39" s="116"/>
      <c r="D39" s="116">
        <f>D33-D36</f>
        <v>0</v>
      </c>
      <c r="E39" s="116">
        <f t="shared" ref="E39:AY39" si="12">E33-E36</f>
        <v>0</v>
      </c>
      <c r="F39" s="116">
        <f t="shared" si="12"/>
        <v>0</v>
      </c>
      <c r="G39" s="116">
        <f t="shared" si="12"/>
        <v>0</v>
      </c>
      <c r="H39" s="116">
        <f t="shared" si="12"/>
        <v>0</v>
      </c>
      <c r="I39" s="116">
        <f t="shared" si="12"/>
        <v>0</v>
      </c>
      <c r="J39" s="116">
        <f t="shared" si="12"/>
        <v>0</v>
      </c>
      <c r="K39" s="116">
        <f t="shared" si="12"/>
        <v>0</v>
      </c>
      <c r="L39" s="116">
        <f t="shared" si="12"/>
        <v>0</v>
      </c>
      <c r="M39" s="116">
        <f t="shared" si="12"/>
        <v>0</v>
      </c>
      <c r="N39" s="116">
        <f t="shared" si="12"/>
        <v>0</v>
      </c>
      <c r="O39" s="116">
        <f t="shared" si="12"/>
        <v>0</v>
      </c>
      <c r="P39" s="116">
        <f t="shared" si="12"/>
        <v>0</v>
      </c>
      <c r="Q39" s="116">
        <f t="shared" si="12"/>
        <v>0</v>
      </c>
      <c r="R39" s="116">
        <f t="shared" si="12"/>
        <v>0</v>
      </c>
      <c r="S39" s="116">
        <f t="shared" si="12"/>
        <v>0</v>
      </c>
      <c r="T39" s="116">
        <f t="shared" si="12"/>
        <v>0</v>
      </c>
      <c r="U39" s="116">
        <f t="shared" si="12"/>
        <v>0</v>
      </c>
      <c r="V39" s="116">
        <f t="shared" si="12"/>
        <v>0</v>
      </c>
      <c r="W39" s="116">
        <f t="shared" si="12"/>
        <v>0</v>
      </c>
      <c r="X39" s="116">
        <f t="shared" si="12"/>
        <v>0</v>
      </c>
      <c r="Y39" s="116">
        <f t="shared" si="12"/>
        <v>0</v>
      </c>
      <c r="Z39" s="116">
        <f t="shared" si="12"/>
        <v>0</v>
      </c>
      <c r="AA39" s="116">
        <f t="shared" si="12"/>
        <v>0</v>
      </c>
      <c r="AB39" s="116">
        <f t="shared" si="12"/>
        <v>0</v>
      </c>
      <c r="AC39" s="116">
        <f t="shared" si="12"/>
        <v>0</v>
      </c>
      <c r="AD39" s="116">
        <f t="shared" si="12"/>
        <v>0</v>
      </c>
      <c r="AE39" s="116">
        <f t="shared" si="12"/>
        <v>0</v>
      </c>
      <c r="AF39" s="116">
        <f t="shared" si="12"/>
        <v>0</v>
      </c>
      <c r="AG39" s="116">
        <f t="shared" si="12"/>
        <v>0</v>
      </c>
      <c r="AH39" s="116">
        <f t="shared" si="12"/>
        <v>0</v>
      </c>
      <c r="AI39" s="116">
        <f t="shared" si="12"/>
        <v>0</v>
      </c>
      <c r="AJ39" s="116">
        <f t="shared" si="12"/>
        <v>0</v>
      </c>
      <c r="AK39" s="116">
        <f t="shared" si="12"/>
        <v>0</v>
      </c>
      <c r="AL39" s="116">
        <f t="shared" si="12"/>
        <v>0</v>
      </c>
      <c r="AM39" s="116">
        <f t="shared" si="12"/>
        <v>0</v>
      </c>
      <c r="AN39" s="116">
        <f t="shared" si="12"/>
        <v>0</v>
      </c>
      <c r="AO39" s="116">
        <f t="shared" si="12"/>
        <v>0</v>
      </c>
      <c r="AP39" s="116">
        <f t="shared" si="12"/>
        <v>0</v>
      </c>
      <c r="AQ39" s="116">
        <f t="shared" si="12"/>
        <v>0</v>
      </c>
      <c r="AR39" s="116">
        <f t="shared" si="12"/>
        <v>0</v>
      </c>
      <c r="AS39" s="116">
        <f t="shared" si="12"/>
        <v>0</v>
      </c>
      <c r="AT39" s="116">
        <f t="shared" si="12"/>
        <v>0</v>
      </c>
      <c r="AU39" s="116">
        <f t="shared" si="12"/>
        <v>0</v>
      </c>
      <c r="AV39" s="116">
        <f t="shared" si="12"/>
        <v>0</v>
      </c>
      <c r="AW39" s="116">
        <f t="shared" si="12"/>
        <v>0</v>
      </c>
      <c r="AX39" s="116">
        <f t="shared" si="12"/>
        <v>0</v>
      </c>
      <c r="AY39" s="116">
        <f t="shared" si="12"/>
        <v>0</v>
      </c>
    </row>
    <row r="40" spans="1:52" x14ac:dyDescent="0.2">
      <c r="A40" s="116"/>
      <c r="B40" s="171" t="s">
        <v>347</v>
      </c>
      <c r="C40" s="116"/>
      <c r="D40" s="116">
        <f>D34-D37</f>
        <v>0</v>
      </c>
      <c r="E40" s="116">
        <f t="shared" ref="E40:AY40" si="13">E34-E37</f>
        <v>0</v>
      </c>
      <c r="F40" s="116">
        <f t="shared" si="13"/>
        <v>0</v>
      </c>
      <c r="G40" s="116">
        <f t="shared" si="13"/>
        <v>0</v>
      </c>
      <c r="H40" s="116">
        <f t="shared" si="13"/>
        <v>0</v>
      </c>
      <c r="I40" s="116">
        <f t="shared" si="13"/>
        <v>0</v>
      </c>
      <c r="J40" s="116">
        <f t="shared" si="13"/>
        <v>0</v>
      </c>
      <c r="K40" s="116">
        <f t="shared" si="13"/>
        <v>0</v>
      </c>
      <c r="L40" s="116">
        <f t="shared" si="13"/>
        <v>0</v>
      </c>
      <c r="M40" s="116">
        <f t="shared" si="13"/>
        <v>0</v>
      </c>
      <c r="N40" s="116">
        <f t="shared" si="13"/>
        <v>0</v>
      </c>
      <c r="O40" s="116">
        <f t="shared" si="13"/>
        <v>0</v>
      </c>
      <c r="P40" s="116">
        <f t="shared" si="13"/>
        <v>0</v>
      </c>
      <c r="Q40" s="116">
        <f t="shared" si="13"/>
        <v>0</v>
      </c>
      <c r="R40" s="116">
        <f t="shared" si="13"/>
        <v>0</v>
      </c>
      <c r="S40" s="116">
        <f t="shared" si="13"/>
        <v>0</v>
      </c>
      <c r="T40" s="116">
        <f t="shared" si="13"/>
        <v>0</v>
      </c>
      <c r="U40" s="116">
        <f t="shared" si="13"/>
        <v>0</v>
      </c>
      <c r="V40" s="116">
        <f t="shared" si="13"/>
        <v>0</v>
      </c>
      <c r="W40" s="116">
        <f t="shared" si="13"/>
        <v>0</v>
      </c>
      <c r="X40" s="116">
        <f t="shared" si="13"/>
        <v>0</v>
      </c>
      <c r="Y40" s="116">
        <f t="shared" si="13"/>
        <v>0</v>
      </c>
      <c r="Z40" s="116">
        <f t="shared" si="13"/>
        <v>0</v>
      </c>
      <c r="AA40" s="116">
        <f t="shared" si="13"/>
        <v>0</v>
      </c>
      <c r="AB40" s="116">
        <f t="shared" si="13"/>
        <v>0</v>
      </c>
      <c r="AC40" s="116">
        <f t="shared" si="13"/>
        <v>0</v>
      </c>
      <c r="AD40" s="116">
        <f t="shared" si="13"/>
        <v>0</v>
      </c>
      <c r="AE40" s="116">
        <f t="shared" si="13"/>
        <v>0</v>
      </c>
      <c r="AF40" s="116">
        <f t="shared" si="13"/>
        <v>0</v>
      </c>
      <c r="AG40" s="116">
        <f t="shared" si="13"/>
        <v>0</v>
      </c>
      <c r="AH40" s="116">
        <f t="shared" si="13"/>
        <v>0</v>
      </c>
      <c r="AI40" s="116">
        <f t="shared" si="13"/>
        <v>0</v>
      </c>
      <c r="AJ40" s="116">
        <f t="shared" si="13"/>
        <v>0</v>
      </c>
      <c r="AK40" s="116">
        <f t="shared" si="13"/>
        <v>0</v>
      </c>
      <c r="AL40" s="116">
        <f t="shared" si="13"/>
        <v>0</v>
      </c>
      <c r="AM40" s="116">
        <f t="shared" si="13"/>
        <v>0</v>
      </c>
      <c r="AN40" s="116">
        <f t="shared" si="13"/>
        <v>0</v>
      </c>
      <c r="AO40" s="116">
        <f t="shared" si="13"/>
        <v>0</v>
      </c>
      <c r="AP40" s="116">
        <f t="shared" si="13"/>
        <v>0</v>
      </c>
      <c r="AQ40" s="116">
        <f t="shared" si="13"/>
        <v>0</v>
      </c>
      <c r="AR40" s="116">
        <f t="shared" si="13"/>
        <v>0</v>
      </c>
      <c r="AS40" s="116">
        <f t="shared" si="13"/>
        <v>0</v>
      </c>
      <c r="AT40" s="116">
        <f t="shared" si="13"/>
        <v>0</v>
      </c>
      <c r="AU40" s="116">
        <f t="shared" si="13"/>
        <v>0</v>
      </c>
      <c r="AV40" s="116">
        <f t="shared" si="13"/>
        <v>0</v>
      </c>
      <c r="AW40" s="116">
        <f t="shared" si="13"/>
        <v>0</v>
      </c>
      <c r="AX40" s="116">
        <f t="shared" si="13"/>
        <v>0</v>
      </c>
      <c r="AY40" s="116">
        <f t="shared" si="13"/>
        <v>0</v>
      </c>
    </row>
    <row r="41" spans="1:52" x14ac:dyDescent="0.2">
      <c r="A41" s="116"/>
      <c r="B41" s="171" t="s">
        <v>348</v>
      </c>
      <c r="C41" s="116"/>
      <c r="D41" s="116">
        <v>2</v>
      </c>
      <c r="E41" s="116">
        <v>3</v>
      </c>
      <c r="F41" s="116">
        <v>1</v>
      </c>
      <c r="G41" s="116">
        <v>1</v>
      </c>
      <c r="H41" s="116">
        <v>1</v>
      </c>
      <c r="I41" s="116">
        <v>2</v>
      </c>
      <c r="J41" s="116">
        <v>1</v>
      </c>
      <c r="K41" s="116">
        <v>1</v>
      </c>
      <c r="L41" s="116">
        <v>1</v>
      </c>
      <c r="M41" s="116">
        <v>2</v>
      </c>
      <c r="N41" s="116">
        <v>2</v>
      </c>
      <c r="O41" s="116">
        <v>1</v>
      </c>
      <c r="P41" s="116">
        <v>1</v>
      </c>
      <c r="Q41" s="116">
        <v>1</v>
      </c>
      <c r="R41" s="116">
        <v>2</v>
      </c>
      <c r="S41" s="116">
        <v>1</v>
      </c>
      <c r="T41" s="116">
        <v>1</v>
      </c>
      <c r="U41" s="116">
        <v>1</v>
      </c>
      <c r="V41" s="116">
        <v>1</v>
      </c>
      <c r="W41" s="116">
        <v>1</v>
      </c>
      <c r="X41" s="116">
        <v>2</v>
      </c>
      <c r="Y41" s="116">
        <v>1</v>
      </c>
      <c r="Z41" s="116">
        <v>2</v>
      </c>
      <c r="AA41" s="116">
        <v>2</v>
      </c>
      <c r="AB41" s="116">
        <v>3</v>
      </c>
      <c r="AC41" s="116">
        <v>1</v>
      </c>
      <c r="AD41" s="116">
        <v>2</v>
      </c>
      <c r="AE41" s="116">
        <v>2</v>
      </c>
      <c r="AF41" s="116">
        <v>2</v>
      </c>
      <c r="AG41" s="116">
        <v>2</v>
      </c>
      <c r="AH41" s="116">
        <v>2</v>
      </c>
      <c r="AI41" s="116">
        <v>1</v>
      </c>
      <c r="AJ41" s="116">
        <v>1</v>
      </c>
      <c r="AK41" s="116">
        <v>1</v>
      </c>
      <c r="AL41" s="116">
        <v>1</v>
      </c>
      <c r="AM41" s="116">
        <v>2</v>
      </c>
      <c r="AN41" s="116">
        <v>1</v>
      </c>
      <c r="AO41" s="116">
        <v>1</v>
      </c>
      <c r="AP41" s="116">
        <v>1</v>
      </c>
      <c r="AQ41" s="116">
        <v>1</v>
      </c>
      <c r="AR41" s="116">
        <v>1</v>
      </c>
      <c r="AS41" s="116">
        <v>3</v>
      </c>
      <c r="AT41" s="116">
        <v>2</v>
      </c>
      <c r="AU41" s="116">
        <v>3</v>
      </c>
      <c r="AV41" s="116">
        <v>1</v>
      </c>
      <c r="AW41" s="116">
        <v>2</v>
      </c>
      <c r="AX41" s="116">
        <v>1</v>
      </c>
      <c r="AY41" s="116">
        <v>2</v>
      </c>
    </row>
    <row r="42" spans="1:52" x14ac:dyDescent="0.2">
      <c r="A42" s="116"/>
      <c r="B42" s="184" t="s">
        <v>349</v>
      </c>
      <c r="C42" s="116"/>
      <c r="D42" s="116">
        <v>0</v>
      </c>
      <c r="E42" s="116">
        <v>0</v>
      </c>
      <c r="F42" s="116">
        <v>0</v>
      </c>
      <c r="G42" s="116">
        <v>0</v>
      </c>
      <c r="H42" s="116">
        <v>0</v>
      </c>
      <c r="I42" s="116">
        <v>0</v>
      </c>
      <c r="J42" s="116">
        <v>0</v>
      </c>
      <c r="K42" s="116">
        <v>0</v>
      </c>
      <c r="L42" s="116">
        <v>0</v>
      </c>
      <c r="M42" s="116">
        <v>0</v>
      </c>
      <c r="N42" s="116">
        <v>0</v>
      </c>
      <c r="O42" s="116">
        <v>0</v>
      </c>
      <c r="P42" s="116">
        <v>0</v>
      </c>
      <c r="Q42" s="116">
        <v>0</v>
      </c>
      <c r="R42" s="116">
        <v>0</v>
      </c>
      <c r="S42" s="116">
        <v>0</v>
      </c>
      <c r="T42" s="116">
        <v>0</v>
      </c>
      <c r="U42" s="116">
        <v>0</v>
      </c>
      <c r="V42" s="116">
        <v>0</v>
      </c>
      <c r="W42" s="116">
        <v>0</v>
      </c>
      <c r="X42" s="116">
        <v>0</v>
      </c>
      <c r="Y42" s="116">
        <v>0</v>
      </c>
      <c r="Z42" s="116">
        <v>0</v>
      </c>
      <c r="AA42" s="116">
        <v>0</v>
      </c>
      <c r="AB42" s="116">
        <v>0</v>
      </c>
      <c r="AC42" s="116">
        <v>0</v>
      </c>
      <c r="AD42" s="116">
        <v>0</v>
      </c>
      <c r="AE42" s="116">
        <v>0</v>
      </c>
      <c r="AF42" s="116">
        <v>0</v>
      </c>
      <c r="AG42" s="116">
        <v>0</v>
      </c>
      <c r="AH42" s="116">
        <v>0</v>
      </c>
      <c r="AI42" s="116">
        <v>0</v>
      </c>
      <c r="AJ42" s="116">
        <v>0</v>
      </c>
      <c r="AK42" s="116">
        <v>0</v>
      </c>
      <c r="AL42" s="116">
        <v>0</v>
      </c>
      <c r="AM42" s="116">
        <v>0</v>
      </c>
      <c r="AN42" s="116">
        <v>0</v>
      </c>
      <c r="AO42" s="116">
        <v>0</v>
      </c>
      <c r="AP42" s="116">
        <v>0</v>
      </c>
      <c r="AQ42" s="116">
        <v>0</v>
      </c>
      <c r="AR42" s="116">
        <v>0</v>
      </c>
      <c r="AS42" s="116">
        <v>0</v>
      </c>
      <c r="AT42" s="116">
        <v>0</v>
      </c>
      <c r="AU42" s="116">
        <v>0</v>
      </c>
      <c r="AV42" s="116">
        <v>0</v>
      </c>
      <c r="AW42" s="116">
        <v>0</v>
      </c>
      <c r="AX42" s="116">
        <v>0</v>
      </c>
      <c r="AY42" s="116">
        <v>0</v>
      </c>
      <c r="AZ42" s="106">
        <f>SUM($D$42:$AY$42)</f>
        <v>0</v>
      </c>
    </row>
    <row r="43" spans="1:52" x14ac:dyDescent="0.2">
      <c r="A43" s="116"/>
      <c r="B43" s="184" t="s">
        <v>350</v>
      </c>
      <c r="C43" s="116"/>
      <c r="D43" s="116">
        <v>0</v>
      </c>
      <c r="E43" s="116">
        <v>0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  <c r="P43" s="116">
        <v>0</v>
      </c>
      <c r="Q43" s="116">
        <v>0</v>
      </c>
      <c r="R43" s="116">
        <v>0</v>
      </c>
      <c r="S43" s="116">
        <v>0</v>
      </c>
      <c r="T43" s="116">
        <v>0</v>
      </c>
      <c r="U43" s="116">
        <v>0</v>
      </c>
      <c r="V43" s="116">
        <v>0</v>
      </c>
      <c r="W43" s="116">
        <v>0</v>
      </c>
      <c r="X43" s="116">
        <v>0</v>
      </c>
      <c r="Y43" s="116">
        <v>0</v>
      </c>
      <c r="Z43" s="116">
        <v>0</v>
      </c>
      <c r="AA43" s="116">
        <v>0</v>
      </c>
      <c r="AB43" s="116">
        <v>0</v>
      </c>
      <c r="AC43" s="116">
        <v>0</v>
      </c>
      <c r="AD43" s="116">
        <v>0</v>
      </c>
      <c r="AE43" s="116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116">
        <v>0</v>
      </c>
      <c r="AO43" s="116">
        <v>0</v>
      </c>
      <c r="AP43" s="116">
        <v>0</v>
      </c>
      <c r="AQ43" s="116">
        <v>0</v>
      </c>
      <c r="AR43" s="116">
        <v>0</v>
      </c>
      <c r="AS43" s="116">
        <v>0</v>
      </c>
      <c r="AT43" s="116">
        <v>0</v>
      </c>
      <c r="AU43" s="116">
        <v>0</v>
      </c>
      <c r="AV43" s="116">
        <v>0</v>
      </c>
      <c r="AW43" s="116">
        <v>0</v>
      </c>
      <c r="AX43" s="116">
        <v>0</v>
      </c>
      <c r="AY43" s="116">
        <v>0</v>
      </c>
      <c r="AZ43" s="106">
        <f>SUM($D$43:$AY$43)</f>
        <v>0</v>
      </c>
    </row>
    <row r="44" spans="1:52" x14ac:dyDescent="0.2">
      <c r="A44" s="141" t="s">
        <v>59</v>
      </c>
      <c r="B44" s="141" t="s">
        <v>340</v>
      </c>
      <c r="C44" s="130"/>
      <c r="D44" s="130">
        <f>D$21*shipping_manufacturing!$H$28/100</f>
        <v>0</v>
      </c>
      <c r="E44" s="130">
        <f>E$21*shipping_manufacturing!$H$28/100</f>
        <v>959.51513952644382</v>
      </c>
      <c r="F44" s="130">
        <f>F$21*shipping_manufacturing!$H$28/100</f>
        <v>959.51513952644382</v>
      </c>
      <c r="G44" s="130">
        <f>G$21*shipping_manufacturing!$H$28/100</f>
        <v>959.51513952644382</v>
      </c>
      <c r="H44" s="130">
        <f>H$21*shipping_manufacturing!$H$28/100</f>
        <v>959.51513952644382</v>
      </c>
      <c r="I44" s="130">
        <f>I$21*shipping_manufacturing!$H$28/100</f>
        <v>852.90234624572781</v>
      </c>
      <c r="J44" s="130">
        <f>J$21*shipping_manufacturing!$H$28/100</f>
        <v>852.90234624572781</v>
      </c>
      <c r="K44" s="130">
        <f>K$21*shipping_manufacturing!$H$28/100</f>
        <v>0</v>
      </c>
      <c r="L44" s="130">
        <f>L$21*shipping_manufacturing!$H$28/100</f>
        <v>1705.8046924914556</v>
      </c>
      <c r="M44" s="130">
        <f>M$21*shipping_manufacturing!$H$28/100</f>
        <v>852.90234624572781</v>
      </c>
      <c r="N44" s="130">
        <f>N$21*shipping_manufacturing!$H$28/100</f>
        <v>852.90234624572781</v>
      </c>
      <c r="O44" s="130">
        <f>O$21*shipping_manufacturing!$H$28/100</f>
        <v>852.90234624572781</v>
      </c>
      <c r="P44" s="130">
        <f>P$21*shipping_manufacturing!$H$28/100</f>
        <v>852.90234624572781</v>
      </c>
      <c r="Q44" s="130">
        <f>Q$21*shipping_manufacturing!$H$28/100</f>
        <v>959.51513952644382</v>
      </c>
      <c r="R44" s="130">
        <f>R$21*shipping_manufacturing!$H$28/100</f>
        <v>959.51513952644382</v>
      </c>
      <c r="S44" s="130">
        <f>S$21*shipping_manufacturing!$H$28/100</f>
        <v>959.51513952644382</v>
      </c>
      <c r="T44" s="130">
        <f>T$21*shipping_manufacturing!$H$28/100</f>
        <v>959.51513952644382</v>
      </c>
      <c r="U44" s="130">
        <f>U$21*shipping_manufacturing!$H$28/100</f>
        <v>852.90234624572781</v>
      </c>
      <c r="V44" s="130">
        <f>V$21*shipping_manufacturing!$H$28/100</f>
        <v>852.90234624572781</v>
      </c>
      <c r="W44" s="130">
        <f>W$21*shipping_manufacturing!$H$28/100</f>
        <v>852.90234624572781</v>
      </c>
      <c r="X44" s="130">
        <f>X$21*shipping_manufacturing!$H$28/100</f>
        <v>852.90234624572781</v>
      </c>
      <c r="Y44" s="130">
        <f>Y$21*shipping_manufacturing!$H$28/100</f>
        <v>852.90234624572781</v>
      </c>
      <c r="Z44" s="130">
        <f>Z$21*shipping_manufacturing!$H$28/100</f>
        <v>852.90234624572781</v>
      </c>
      <c r="AA44" s="130">
        <f>AA$21*shipping_manufacturing!$H$28/100</f>
        <v>0</v>
      </c>
      <c r="AB44" s="130">
        <f>AB$21*shipping_manufacturing!$H$28/100</f>
        <v>1705.8046924914556</v>
      </c>
      <c r="AC44" s="130">
        <f>AC$21*shipping_manufacturing!$H$28/100</f>
        <v>959.51513952644382</v>
      </c>
      <c r="AD44" s="130">
        <f>AD$21*shipping_manufacturing!$H$28/100</f>
        <v>959.51513952644382</v>
      </c>
      <c r="AE44" s="130">
        <f>AE$21*shipping_manufacturing!$H$28/100</f>
        <v>959.51513952644382</v>
      </c>
      <c r="AF44" s="130">
        <f>AF$21*shipping_manufacturing!$H$28/100</f>
        <v>959.51513952644382</v>
      </c>
      <c r="AG44" s="130">
        <f>AG$21*shipping_manufacturing!$H$28/100</f>
        <v>852.90234624572781</v>
      </c>
      <c r="AH44" s="130">
        <f>AH$21*shipping_manufacturing!$H$28/100</f>
        <v>852.90234624572781</v>
      </c>
      <c r="AI44" s="130">
        <f>AI$21*shipping_manufacturing!$H$28/100</f>
        <v>852.90234624572781</v>
      </c>
      <c r="AJ44" s="130">
        <f>AJ$21*shipping_manufacturing!$H$28/100</f>
        <v>852.90234624572781</v>
      </c>
      <c r="AK44" s="130">
        <f>AK$21*shipping_manufacturing!$H$28/100</f>
        <v>852.90234624572781</v>
      </c>
      <c r="AL44" s="130">
        <f>AL$21*shipping_manufacturing!$H$28/100</f>
        <v>852.90234624572781</v>
      </c>
      <c r="AM44" s="130">
        <f>AM$21*shipping_manufacturing!$H$28/100</f>
        <v>852.90234624572781</v>
      </c>
      <c r="AN44" s="130">
        <f>AN$21*shipping_manufacturing!$H$28/100</f>
        <v>852.90234624572781</v>
      </c>
      <c r="AO44" s="130">
        <f>AO$21*shipping_manufacturing!$H$28/100</f>
        <v>959.51513952644382</v>
      </c>
      <c r="AP44" s="130">
        <f>AP$21*shipping_manufacturing!$H$28/100</f>
        <v>0</v>
      </c>
      <c r="AQ44" s="130">
        <f>AQ$21*shipping_manufacturing!$H$28/100</f>
        <v>1919.0302790528876</v>
      </c>
      <c r="AR44" s="130">
        <f>AR$21*shipping_manufacturing!$H$28/100</f>
        <v>959.51513952644382</v>
      </c>
      <c r="AS44" s="130">
        <f>AS$21*shipping_manufacturing!$H$28/100</f>
        <v>852.90234624572781</v>
      </c>
      <c r="AT44" s="130">
        <f>AT$21*shipping_manufacturing!$H$28/100</f>
        <v>852.90234624572781</v>
      </c>
      <c r="AU44" s="130">
        <f>AU$21*shipping_manufacturing!$H$28/100</f>
        <v>852.90234624572781</v>
      </c>
      <c r="AV44" s="130">
        <f>AV$21*shipping_manufacturing!$H$28/100</f>
        <v>852.90234624572781</v>
      </c>
      <c r="AW44" s="130">
        <f>AW$21*shipping_manufacturing!$H$28/100</f>
        <v>852.90234624572781</v>
      </c>
      <c r="AX44" s="130">
        <f>AX$21*shipping_manufacturing!$H$28/100</f>
        <v>852.90234624572781</v>
      </c>
      <c r="AY44" s="130">
        <f>AY$21*shipping_manufacturing!$H$28/100</f>
        <v>852.90234624572781</v>
      </c>
    </row>
    <row r="45" spans="1:52" x14ac:dyDescent="0.2">
      <c r="A45" s="119" t="s">
        <v>339</v>
      </c>
      <c r="B45" s="171" t="s">
        <v>341</v>
      </c>
      <c r="C45" s="116"/>
      <c r="D45" s="116">
        <f>D$22*shipping_manufacturing!$I$28/100</f>
        <v>0</v>
      </c>
      <c r="E45" s="116">
        <f>E$22*shipping_manufacturing!$I$28/100</f>
        <v>0</v>
      </c>
      <c r="F45" s="116">
        <f>F$22*shipping_manufacturing!$I$28/100</f>
        <v>0</v>
      </c>
      <c r="G45" s="116">
        <f>G$22*shipping_manufacturing!$I$28/100</f>
        <v>0</v>
      </c>
      <c r="H45" s="116">
        <f>H$22*shipping_manufacturing!$I$28/100</f>
        <v>0</v>
      </c>
      <c r="I45" s="116">
        <f>I$22*shipping_manufacturing!$I$28/100</f>
        <v>0</v>
      </c>
      <c r="J45" s="116">
        <f>J$22*shipping_manufacturing!$I$28/100</f>
        <v>0</v>
      </c>
      <c r="K45" s="116">
        <f>K$22*shipping_manufacturing!$I$28/100</f>
        <v>0</v>
      </c>
      <c r="L45" s="116">
        <f>L$22*shipping_manufacturing!$I$28/100</f>
        <v>0</v>
      </c>
      <c r="M45" s="116">
        <f>M$22*shipping_manufacturing!$I$28/100</f>
        <v>0</v>
      </c>
      <c r="N45" s="116">
        <f>N$22*shipping_manufacturing!$I$28/100</f>
        <v>0</v>
      </c>
      <c r="O45" s="116">
        <f>O$22*shipping_manufacturing!$I$28/100</f>
        <v>0</v>
      </c>
      <c r="P45" s="116">
        <f>P$22*shipping_manufacturing!$I$28/100</f>
        <v>0</v>
      </c>
      <c r="Q45" s="116">
        <f>Q$22*shipping_manufacturing!$I$28/100</f>
        <v>0</v>
      </c>
      <c r="R45" s="116">
        <f>R$22*shipping_manufacturing!$I$28/100</f>
        <v>0</v>
      </c>
      <c r="S45" s="116">
        <f>S$22*shipping_manufacturing!$I$28/100</f>
        <v>0</v>
      </c>
      <c r="T45" s="116">
        <f>T$22*shipping_manufacturing!$I$28/100</f>
        <v>0</v>
      </c>
      <c r="U45" s="116">
        <f>U$22*shipping_manufacturing!$I$28/100</f>
        <v>0</v>
      </c>
      <c r="V45" s="116">
        <f>V$22*shipping_manufacturing!$I$28/100</f>
        <v>0</v>
      </c>
      <c r="W45" s="116">
        <f>W$22*shipping_manufacturing!$I$28/100</f>
        <v>0</v>
      </c>
      <c r="X45" s="116">
        <f>X$22*shipping_manufacturing!$I$28/100</f>
        <v>0</v>
      </c>
      <c r="Y45" s="116">
        <f>Y$22*shipping_manufacturing!$I$28/100</f>
        <v>0</v>
      </c>
      <c r="Z45" s="116">
        <f>Z$22*shipping_manufacturing!$I$28/100</f>
        <v>0</v>
      </c>
      <c r="AA45" s="116">
        <f>AA$22*shipping_manufacturing!$I$28/100</f>
        <v>0</v>
      </c>
      <c r="AB45" s="116">
        <f>AB$22*shipping_manufacturing!$I$28/100</f>
        <v>0</v>
      </c>
      <c r="AC45" s="116">
        <f>AC$22*shipping_manufacturing!$I$28/100</f>
        <v>0</v>
      </c>
      <c r="AD45" s="116">
        <f>AD$22*shipping_manufacturing!$I$28/100</f>
        <v>0</v>
      </c>
      <c r="AE45" s="116">
        <f>AE$22*shipping_manufacturing!$I$28/100</f>
        <v>0</v>
      </c>
      <c r="AF45" s="116">
        <f>AF$22*shipping_manufacturing!$I$28/100</f>
        <v>0</v>
      </c>
      <c r="AG45" s="116">
        <f>AG$22*shipping_manufacturing!$I$28/100</f>
        <v>0</v>
      </c>
      <c r="AH45" s="116">
        <f>AH$22*shipping_manufacturing!$I$28/100</f>
        <v>0</v>
      </c>
      <c r="AI45" s="116">
        <f>AI$22*shipping_manufacturing!$I$28/100</f>
        <v>0</v>
      </c>
      <c r="AJ45" s="116">
        <f>AJ$22*shipping_manufacturing!$I$28/100</f>
        <v>0</v>
      </c>
      <c r="AK45" s="116">
        <f>AK$22*shipping_manufacturing!$I$28/100</f>
        <v>0</v>
      </c>
      <c r="AL45" s="116">
        <f>AL$22*shipping_manufacturing!$I$28/100</f>
        <v>0</v>
      </c>
      <c r="AM45" s="116">
        <f>AM$22*shipping_manufacturing!$I$28/100</f>
        <v>0</v>
      </c>
      <c r="AN45" s="116">
        <f>AN$22*shipping_manufacturing!$I$28/100</f>
        <v>0</v>
      </c>
      <c r="AO45" s="116">
        <f>AO$22*shipping_manufacturing!$I$28/100</f>
        <v>0</v>
      </c>
      <c r="AP45" s="116">
        <f>AP$22*shipping_manufacturing!$I$28/100</f>
        <v>0</v>
      </c>
      <c r="AQ45" s="116">
        <f>AQ$22*shipping_manufacturing!$I$28/100</f>
        <v>0</v>
      </c>
      <c r="AR45" s="116">
        <f>AR$22*shipping_manufacturing!$I$28/100</f>
        <v>0</v>
      </c>
      <c r="AS45" s="116">
        <f>AS$22*shipping_manufacturing!$I$28/100</f>
        <v>0</v>
      </c>
      <c r="AT45" s="116">
        <f>AT$22*shipping_manufacturing!$I$28/100</f>
        <v>0</v>
      </c>
      <c r="AU45" s="116">
        <f>AU$22*shipping_manufacturing!$I$28/100</f>
        <v>0</v>
      </c>
      <c r="AV45" s="116">
        <f>AV$22*shipping_manufacturing!$I$28/100</f>
        <v>0</v>
      </c>
      <c r="AW45" s="116">
        <f>AW$22*shipping_manufacturing!$I$28/100</f>
        <v>0</v>
      </c>
      <c r="AX45" s="116">
        <f>AX$22*shipping_manufacturing!$I$28/100</f>
        <v>0</v>
      </c>
      <c r="AY45" s="116">
        <f>AY$22*shipping_manufacturing!$I$28/100</f>
        <v>0</v>
      </c>
    </row>
    <row r="46" spans="1:52" x14ac:dyDescent="0.2">
      <c r="A46" s="116">
        <v>495</v>
      </c>
      <c r="B46" s="171" t="s">
        <v>342</v>
      </c>
      <c r="C46" s="116"/>
      <c r="D46" s="116">
        <f>SUM(D44:D45)</f>
        <v>0</v>
      </c>
      <c r="E46" s="116">
        <f t="shared" ref="E46:AY46" si="14">SUM(E44:E45)</f>
        <v>959.51513952644382</v>
      </c>
      <c r="F46" s="116">
        <f t="shared" si="14"/>
        <v>959.51513952644382</v>
      </c>
      <c r="G46" s="116">
        <f t="shared" si="14"/>
        <v>959.51513952644382</v>
      </c>
      <c r="H46" s="116">
        <f t="shared" si="14"/>
        <v>959.51513952644382</v>
      </c>
      <c r="I46" s="116">
        <f t="shared" si="14"/>
        <v>852.90234624572781</v>
      </c>
      <c r="J46" s="116">
        <f t="shared" si="14"/>
        <v>852.90234624572781</v>
      </c>
      <c r="K46" s="116">
        <f t="shared" si="14"/>
        <v>0</v>
      </c>
      <c r="L46" s="116">
        <f t="shared" si="14"/>
        <v>1705.8046924914556</v>
      </c>
      <c r="M46" s="116">
        <f t="shared" si="14"/>
        <v>852.90234624572781</v>
      </c>
      <c r="N46" s="116">
        <f t="shared" si="14"/>
        <v>852.90234624572781</v>
      </c>
      <c r="O46" s="116">
        <f t="shared" si="14"/>
        <v>852.90234624572781</v>
      </c>
      <c r="P46" s="116">
        <f t="shared" si="14"/>
        <v>852.90234624572781</v>
      </c>
      <c r="Q46" s="116">
        <f t="shared" si="14"/>
        <v>959.51513952644382</v>
      </c>
      <c r="R46" s="116">
        <f t="shared" si="14"/>
        <v>959.51513952644382</v>
      </c>
      <c r="S46" s="116">
        <f t="shared" si="14"/>
        <v>959.51513952644382</v>
      </c>
      <c r="T46" s="116">
        <f t="shared" si="14"/>
        <v>959.51513952644382</v>
      </c>
      <c r="U46" s="116">
        <f t="shared" si="14"/>
        <v>852.90234624572781</v>
      </c>
      <c r="V46" s="116">
        <f t="shared" si="14"/>
        <v>852.90234624572781</v>
      </c>
      <c r="W46" s="116">
        <f t="shared" si="14"/>
        <v>852.90234624572781</v>
      </c>
      <c r="X46" s="116">
        <f t="shared" si="14"/>
        <v>852.90234624572781</v>
      </c>
      <c r="Y46" s="116">
        <f t="shared" si="14"/>
        <v>852.90234624572781</v>
      </c>
      <c r="Z46" s="116">
        <f t="shared" si="14"/>
        <v>852.90234624572781</v>
      </c>
      <c r="AA46" s="116">
        <f t="shared" si="14"/>
        <v>0</v>
      </c>
      <c r="AB46" s="116">
        <f t="shared" si="14"/>
        <v>1705.8046924914556</v>
      </c>
      <c r="AC46" s="116">
        <f t="shared" si="14"/>
        <v>959.51513952644382</v>
      </c>
      <c r="AD46" s="116">
        <f t="shared" si="14"/>
        <v>959.51513952644382</v>
      </c>
      <c r="AE46" s="116">
        <f t="shared" si="14"/>
        <v>959.51513952644382</v>
      </c>
      <c r="AF46" s="116">
        <f t="shared" si="14"/>
        <v>959.51513952644382</v>
      </c>
      <c r="AG46" s="116">
        <f t="shared" si="14"/>
        <v>852.90234624572781</v>
      </c>
      <c r="AH46" s="116">
        <f t="shared" si="14"/>
        <v>852.90234624572781</v>
      </c>
      <c r="AI46" s="116">
        <f t="shared" si="14"/>
        <v>852.90234624572781</v>
      </c>
      <c r="AJ46" s="116">
        <f t="shared" si="14"/>
        <v>852.90234624572781</v>
      </c>
      <c r="AK46" s="116">
        <f t="shared" si="14"/>
        <v>852.90234624572781</v>
      </c>
      <c r="AL46" s="116">
        <f t="shared" si="14"/>
        <v>852.90234624572781</v>
      </c>
      <c r="AM46" s="116">
        <f t="shared" si="14"/>
        <v>852.90234624572781</v>
      </c>
      <c r="AN46" s="116">
        <f t="shared" si="14"/>
        <v>852.90234624572781</v>
      </c>
      <c r="AO46" s="116">
        <f t="shared" si="14"/>
        <v>959.51513952644382</v>
      </c>
      <c r="AP46" s="116">
        <f t="shared" si="14"/>
        <v>0</v>
      </c>
      <c r="AQ46" s="116">
        <f t="shared" si="14"/>
        <v>1919.0302790528876</v>
      </c>
      <c r="AR46" s="116">
        <f t="shared" si="14"/>
        <v>959.51513952644382</v>
      </c>
      <c r="AS46" s="116">
        <f t="shared" si="14"/>
        <v>852.90234624572781</v>
      </c>
      <c r="AT46" s="116">
        <f t="shared" si="14"/>
        <v>852.90234624572781</v>
      </c>
      <c r="AU46" s="116">
        <f t="shared" si="14"/>
        <v>852.90234624572781</v>
      </c>
      <c r="AV46" s="116">
        <f t="shared" si="14"/>
        <v>852.90234624572781</v>
      </c>
      <c r="AW46" s="116">
        <f t="shared" si="14"/>
        <v>852.90234624572781</v>
      </c>
      <c r="AX46" s="116">
        <f t="shared" si="14"/>
        <v>852.90234624572781</v>
      </c>
      <c r="AY46" s="116">
        <f t="shared" si="14"/>
        <v>852.90234624572781</v>
      </c>
    </row>
    <row r="47" spans="1:52" x14ac:dyDescent="0.2">
      <c r="A47" s="116"/>
      <c r="B47" s="171" t="s">
        <v>343</v>
      </c>
      <c r="C47" s="116"/>
      <c r="D47" s="116"/>
      <c r="E47" s="116">
        <v>959.51513952644382</v>
      </c>
      <c r="F47" s="116">
        <v>959.51513952644382</v>
      </c>
      <c r="G47" s="116">
        <v>959.51513952644382</v>
      </c>
      <c r="H47" s="116">
        <v>959.51513952644382</v>
      </c>
      <c r="I47" s="116">
        <v>852.90234624572781</v>
      </c>
      <c r="J47" s="116">
        <v>852.90234624572781</v>
      </c>
      <c r="K47" s="116"/>
      <c r="L47" s="116">
        <v>1705.8046924914556</v>
      </c>
      <c r="M47" s="116">
        <v>852.90234624572781</v>
      </c>
      <c r="N47" s="116">
        <v>852.90234624572781</v>
      </c>
      <c r="O47" s="116">
        <v>852.90234624572781</v>
      </c>
      <c r="P47" s="116">
        <v>852.90234624572781</v>
      </c>
      <c r="Q47" s="116">
        <v>959.51513952644382</v>
      </c>
      <c r="R47" s="116">
        <v>959.51513952644382</v>
      </c>
      <c r="S47" s="116">
        <v>959.51513952644382</v>
      </c>
      <c r="T47" s="116">
        <v>959.51513952644382</v>
      </c>
      <c r="U47" s="116">
        <v>852.90234624572781</v>
      </c>
      <c r="V47" s="116">
        <v>852.90234624572781</v>
      </c>
      <c r="W47" s="116">
        <v>852.90234624572781</v>
      </c>
      <c r="X47" s="116">
        <v>852.90234624572781</v>
      </c>
      <c r="Y47" s="116">
        <v>852.90234624572781</v>
      </c>
      <c r="Z47" s="116">
        <v>852.90234624572781</v>
      </c>
      <c r="AA47" s="116"/>
      <c r="AB47" s="116">
        <v>1705.8046924914556</v>
      </c>
      <c r="AC47" s="116">
        <v>959.51513952644382</v>
      </c>
      <c r="AD47" s="116">
        <v>959.51513952644382</v>
      </c>
      <c r="AE47" s="116">
        <v>959.51513952644382</v>
      </c>
      <c r="AF47" s="116">
        <v>959.51513952644382</v>
      </c>
      <c r="AG47" s="116">
        <v>852.90234624572781</v>
      </c>
      <c r="AH47" s="116">
        <v>852.90234624572781</v>
      </c>
      <c r="AI47" s="116">
        <v>852.90234624572781</v>
      </c>
      <c r="AJ47" s="116">
        <v>852.90234624572781</v>
      </c>
      <c r="AK47" s="116">
        <v>852.90234624572781</v>
      </c>
      <c r="AL47" s="116">
        <v>852.90234624572781</v>
      </c>
      <c r="AM47" s="116">
        <v>852.90234624572781</v>
      </c>
      <c r="AN47" s="116">
        <v>852.90234624572781</v>
      </c>
      <c r="AO47" s="116">
        <v>959.51513952644382</v>
      </c>
      <c r="AP47" s="116"/>
      <c r="AQ47" s="116">
        <v>1919.0302790528876</v>
      </c>
      <c r="AR47" s="116">
        <v>959.51513952644382</v>
      </c>
      <c r="AS47" s="116">
        <v>852.90234624572781</v>
      </c>
      <c r="AT47" s="116">
        <v>852.90234624572781</v>
      </c>
      <c r="AU47" s="116">
        <v>852.90234624572781</v>
      </c>
      <c r="AV47" s="116">
        <v>852.90234624572781</v>
      </c>
      <c r="AW47" s="116">
        <v>852.90234624572781</v>
      </c>
      <c r="AX47" s="116">
        <v>852.90234624572781</v>
      </c>
      <c r="AY47" s="116">
        <v>852.90234624572781</v>
      </c>
    </row>
    <row r="48" spans="1:52" x14ac:dyDescent="0.2">
      <c r="A48" s="116"/>
      <c r="B48" s="171" t="s">
        <v>344</v>
      </c>
      <c r="C48" s="116"/>
      <c r="D48" s="116"/>
      <c r="E48" s="116">
        <v>0</v>
      </c>
      <c r="F48" s="116">
        <v>0</v>
      </c>
      <c r="G48" s="116">
        <v>0</v>
      </c>
      <c r="H48" s="116">
        <v>0</v>
      </c>
      <c r="I48" s="116">
        <v>0</v>
      </c>
      <c r="J48" s="116">
        <v>0</v>
      </c>
      <c r="K48" s="116"/>
      <c r="L48" s="116">
        <v>0</v>
      </c>
      <c r="M48" s="116">
        <v>0</v>
      </c>
      <c r="N48" s="116">
        <v>0</v>
      </c>
      <c r="O48" s="116">
        <v>0</v>
      </c>
      <c r="P48" s="116">
        <v>0</v>
      </c>
      <c r="Q48" s="116">
        <v>0</v>
      </c>
      <c r="R48" s="116">
        <v>0</v>
      </c>
      <c r="S48" s="116">
        <v>0</v>
      </c>
      <c r="T48" s="116">
        <v>0</v>
      </c>
      <c r="U48" s="116">
        <v>0</v>
      </c>
      <c r="V48" s="116">
        <v>0</v>
      </c>
      <c r="W48" s="116">
        <v>0</v>
      </c>
      <c r="X48" s="116">
        <v>0</v>
      </c>
      <c r="Y48" s="116">
        <v>0</v>
      </c>
      <c r="Z48" s="116">
        <v>0</v>
      </c>
      <c r="AA48" s="116"/>
      <c r="AB48" s="116">
        <v>0</v>
      </c>
      <c r="AC48" s="116">
        <v>0</v>
      </c>
      <c r="AD48" s="116">
        <v>0</v>
      </c>
      <c r="AE48" s="116">
        <v>0</v>
      </c>
      <c r="AF48" s="116">
        <v>0</v>
      </c>
      <c r="AG48" s="116">
        <v>0</v>
      </c>
      <c r="AH48" s="116">
        <v>0</v>
      </c>
      <c r="AI48" s="116">
        <v>0</v>
      </c>
      <c r="AJ48" s="116">
        <v>0</v>
      </c>
      <c r="AK48" s="116">
        <v>0</v>
      </c>
      <c r="AL48" s="116">
        <v>0</v>
      </c>
      <c r="AM48" s="116">
        <v>0</v>
      </c>
      <c r="AN48" s="116">
        <v>0</v>
      </c>
      <c r="AO48" s="116">
        <v>0</v>
      </c>
      <c r="AP48" s="116"/>
      <c r="AQ48" s="116">
        <v>0</v>
      </c>
      <c r="AR48" s="116">
        <v>0</v>
      </c>
      <c r="AS48" s="116">
        <v>0</v>
      </c>
      <c r="AT48" s="116">
        <v>0</v>
      </c>
      <c r="AU48" s="116">
        <v>0</v>
      </c>
      <c r="AV48" s="116">
        <v>0</v>
      </c>
      <c r="AW48" s="116">
        <v>0</v>
      </c>
      <c r="AX48" s="116">
        <v>0</v>
      </c>
      <c r="AY48" s="116">
        <v>0</v>
      </c>
    </row>
    <row r="49" spans="1:52" x14ac:dyDescent="0.2">
      <c r="A49" s="116"/>
      <c r="B49" s="171" t="s">
        <v>345</v>
      </c>
      <c r="C49" s="116"/>
      <c r="D49" s="116"/>
      <c r="E49" s="116">
        <v>32</v>
      </c>
      <c r="F49" s="116">
        <v>32</v>
      </c>
      <c r="G49" s="116">
        <v>32</v>
      </c>
      <c r="H49" s="116">
        <v>32</v>
      </c>
      <c r="I49" s="116">
        <v>29</v>
      </c>
      <c r="J49" s="116">
        <v>29</v>
      </c>
      <c r="K49" s="116"/>
      <c r="L49" s="116">
        <v>57</v>
      </c>
      <c r="M49" s="116">
        <v>29</v>
      </c>
      <c r="N49" s="116">
        <v>29</v>
      </c>
      <c r="O49" s="116">
        <v>29</v>
      </c>
      <c r="P49" s="116">
        <v>29</v>
      </c>
      <c r="Q49" s="116">
        <v>32</v>
      </c>
      <c r="R49" s="116">
        <v>32</v>
      </c>
      <c r="S49" s="116">
        <v>32</v>
      </c>
      <c r="T49" s="116">
        <v>32</v>
      </c>
      <c r="U49" s="116">
        <v>29</v>
      </c>
      <c r="V49" s="116">
        <v>29</v>
      </c>
      <c r="W49" s="116">
        <v>29</v>
      </c>
      <c r="X49" s="116">
        <v>29</v>
      </c>
      <c r="Y49" s="116">
        <v>29</v>
      </c>
      <c r="Z49" s="116">
        <v>29</v>
      </c>
      <c r="AA49" s="116"/>
      <c r="AB49" s="116">
        <v>57</v>
      </c>
      <c r="AC49" s="116">
        <v>32</v>
      </c>
      <c r="AD49" s="116">
        <v>32</v>
      </c>
      <c r="AE49" s="116">
        <v>32</v>
      </c>
      <c r="AF49" s="116">
        <v>32</v>
      </c>
      <c r="AG49" s="116">
        <v>29</v>
      </c>
      <c r="AH49" s="116">
        <v>29</v>
      </c>
      <c r="AI49" s="116">
        <v>29</v>
      </c>
      <c r="AJ49" s="116">
        <v>29</v>
      </c>
      <c r="AK49" s="116">
        <v>29</v>
      </c>
      <c r="AL49" s="116">
        <v>29</v>
      </c>
      <c r="AM49" s="116">
        <v>29</v>
      </c>
      <c r="AN49" s="116">
        <v>29</v>
      </c>
      <c r="AO49" s="116">
        <v>32</v>
      </c>
      <c r="AP49" s="116"/>
      <c r="AQ49" s="116">
        <v>64</v>
      </c>
      <c r="AR49" s="116">
        <v>32</v>
      </c>
      <c r="AS49" s="116">
        <v>29</v>
      </c>
      <c r="AT49" s="116">
        <v>29</v>
      </c>
      <c r="AU49" s="116">
        <v>29</v>
      </c>
      <c r="AV49" s="116">
        <v>29</v>
      </c>
      <c r="AW49" s="116">
        <v>29</v>
      </c>
      <c r="AX49" s="116">
        <v>29</v>
      </c>
      <c r="AY49" s="116">
        <v>29</v>
      </c>
    </row>
    <row r="50" spans="1:52" x14ac:dyDescent="0.2">
      <c r="A50" s="116"/>
      <c r="B50" s="171" t="s">
        <v>346</v>
      </c>
      <c r="C50" s="116"/>
      <c r="D50" s="116">
        <f>D44-D47</f>
        <v>0</v>
      </c>
      <c r="E50" s="116">
        <f t="shared" ref="E50:AY50" si="15">E44-E47</f>
        <v>0</v>
      </c>
      <c r="F50" s="116">
        <f t="shared" si="15"/>
        <v>0</v>
      </c>
      <c r="G50" s="116">
        <f t="shared" si="15"/>
        <v>0</v>
      </c>
      <c r="H50" s="116">
        <f t="shared" si="15"/>
        <v>0</v>
      </c>
      <c r="I50" s="116">
        <f t="shared" si="15"/>
        <v>0</v>
      </c>
      <c r="J50" s="116">
        <f t="shared" si="15"/>
        <v>0</v>
      </c>
      <c r="K50" s="116">
        <f t="shared" si="15"/>
        <v>0</v>
      </c>
      <c r="L50" s="116">
        <f t="shared" si="15"/>
        <v>0</v>
      </c>
      <c r="M50" s="116">
        <f t="shared" si="15"/>
        <v>0</v>
      </c>
      <c r="N50" s="116">
        <f t="shared" si="15"/>
        <v>0</v>
      </c>
      <c r="O50" s="116">
        <f t="shared" si="15"/>
        <v>0</v>
      </c>
      <c r="P50" s="116">
        <f t="shared" si="15"/>
        <v>0</v>
      </c>
      <c r="Q50" s="116">
        <f t="shared" si="15"/>
        <v>0</v>
      </c>
      <c r="R50" s="116">
        <f t="shared" si="15"/>
        <v>0</v>
      </c>
      <c r="S50" s="116">
        <f t="shared" si="15"/>
        <v>0</v>
      </c>
      <c r="T50" s="116">
        <f t="shared" si="15"/>
        <v>0</v>
      </c>
      <c r="U50" s="116">
        <f t="shared" si="15"/>
        <v>0</v>
      </c>
      <c r="V50" s="116">
        <f t="shared" si="15"/>
        <v>0</v>
      </c>
      <c r="W50" s="116">
        <f t="shared" si="15"/>
        <v>0</v>
      </c>
      <c r="X50" s="116">
        <f t="shared" si="15"/>
        <v>0</v>
      </c>
      <c r="Y50" s="116">
        <f t="shared" si="15"/>
        <v>0</v>
      </c>
      <c r="Z50" s="116">
        <f t="shared" si="15"/>
        <v>0</v>
      </c>
      <c r="AA50" s="116">
        <f t="shared" si="15"/>
        <v>0</v>
      </c>
      <c r="AB50" s="116">
        <f t="shared" si="15"/>
        <v>0</v>
      </c>
      <c r="AC50" s="116">
        <f t="shared" si="15"/>
        <v>0</v>
      </c>
      <c r="AD50" s="116">
        <f t="shared" si="15"/>
        <v>0</v>
      </c>
      <c r="AE50" s="116">
        <f t="shared" si="15"/>
        <v>0</v>
      </c>
      <c r="AF50" s="116">
        <f t="shared" si="15"/>
        <v>0</v>
      </c>
      <c r="AG50" s="116">
        <f t="shared" si="15"/>
        <v>0</v>
      </c>
      <c r="AH50" s="116">
        <f t="shared" si="15"/>
        <v>0</v>
      </c>
      <c r="AI50" s="116">
        <f t="shared" si="15"/>
        <v>0</v>
      </c>
      <c r="AJ50" s="116">
        <f t="shared" si="15"/>
        <v>0</v>
      </c>
      <c r="AK50" s="116">
        <f t="shared" si="15"/>
        <v>0</v>
      </c>
      <c r="AL50" s="116">
        <f t="shared" si="15"/>
        <v>0</v>
      </c>
      <c r="AM50" s="116">
        <f t="shared" si="15"/>
        <v>0</v>
      </c>
      <c r="AN50" s="116">
        <f t="shared" si="15"/>
        <v>0</v>
      </c>
      <c r="AO50" s="116">
        <f t="shared" si="15"/>
        <v>0</v>
      </c>
      <c r="AP50" s="116">
        <f t="shared" si="15"/>
        <v>0</v>
      </c>
      <c r="AQ50" s="116">
        <f t="shared" si="15"/>
        <v>0</v>
      </c>
      <c r="AR50" s="116">
        <f t="shared" si="15"/>
        <v>0</v>
      </c>
      <c r="AS50" s="116">
        <f t="shared" si="15"/>
        <v>0</v>
      </c>
      <c r="AT50" s="116">
        <f t="shared" si="15"/>
        <v>0</v>
      </c>
      <c r="AU50" s="116">
        <f t="shared" si="15"/>
        <v>0</v>
      </c>
      <c r="AV50" s="116">
        <f t="shared" si="15"/>
        <v>0</v>
      </c>
      <c r="AW50" s="116">
        <f t="shared" si="15"/>
        <v>0</v>
      </c>
      <c r="AX50" s="116">
        <f t="shared" si="15"/>
        <v>0</v>
      </c>
      <c r="AY50" s="116">
        <f t="shared" si="15"/>
        <v>0</v>
      </c>
    </row>
    <row r="51" spans="1:52" x14ac:dyDescent="0.2">
      <c r="A51" s="116"/>
      <c r="B51" s="171" t="s">
        <v>347</v>
      </c>
      <c r="C51" s="116"/>
      <c r="D51" s="116">
        <f>D45-D48</f>
        <v>0</v>
      </c>
      <c r="E51" s="116">
        <f t="shared" ref="E51:AY51" si="16">E45-E48</f>
        <v>0</v>
      </c>
      <c r="F51" s="116">
        <f t="shared" si="16"/>
        <v>0</v>
      </c>
      <c r="G51" s="116">
        <f t="shared" si="16"/>
        <v>0</v>
      </c>
      <c r="H51" s="116">
        <f t="shared" si="16"/>
        <v>0</v>
      </c>
      <c r="I51" s="116">
        <f t="shared" si="16"/>
        <v>0</v>
      </c>
      <c r="J51" s="116">
        <f t="shared" si="16"/>
        <v>0</v>
      </c>
      <c r="K51" s="116">
        <f t="shared" si="16"/>
        <v>0</v>
      </c>
      <c r="L51" s="116">
        <f t="shared" si="16"/>
        <v>0</v>
      </c>
      <c r="M51" s="116">
        <f t="shared" si="16"/>
        <v>0</v>
      </c>
      <c r="N51" s="116">
        <f t="shared" si="16"/>
        <v>0</v>
      </c>
      <c r="O51" s="116">
        <f t="shared" si="16"/>
        <v>0</v>
      </c>
      <c r="P51" s="116">
        <f t="shared" si="16"/>
        <v>0</v>
      </c>
      <c r="Q51" s="116">
        <f t="shared" si="16"/>
        <v>0</v>
      </c>
      <c r="R51" s="116">
        <f t="shared" si="16"/>
        <v>0</v>
      </c>
      <c r="S51" s="116">
        <f t="shared" si="16"/>
        <v>0</v>
      </c>
      <c r="T51" s="116">
        <f t="shared" si="16"/>
        <v>0</v>
      </c>
      <c r="U51" s="116">
        <f t="shared" si="16"/>
        <v>0</v>
      </c>
      <c r="V51" s="116">
        <f t="shared" si="16"/>
        <v>0</v>
      </c>
      <c r="W51" s="116">
        <f t="shared" si="16"/>
        <v>0</v>
      </c>
      <c r="X51" s="116">
        <f t="shared" si="16"/>
        <v>0</v>
      </c>
      <c r="Y51" s="116">
        <f t="shared" si="16"/>
        <v>0</v>
      </c>
      <c r="Z51" s="116">
        <f t="shared" si="16"/>
        <v>0</v>
      </c>
      <c r="AA51" s="116">
        <f t="shared" si="16"/>
        <v>0</v>
      </c>
      <c r="AB51" s="116">
        <f t="shared" si="16"/>
        <v>0</v>
      </c>
      <c r="AC51" s="116">
        <f t="shared" si="16"/>
        <v>0</v>
      </c>
      <c r="AD51" s="116">
        <f t="shared" si="16"/>
        <v>0</v>
      </c>
      <c r="AE51" s="116">
        <f t="shared" si="16"/>
        <v>0</v>
      </c>
      <c r="AF51" s="116">
        <f t="shared" si="16"/>
        <v>0</v>
      </c>
      <c r="AG51" s="116">
        <f t="shared" si="16"/>
        <v>0</v>
      </c>
      <c r="AH51" s="116">
        <f t="shared" si="16"/>
        <v>0</v>
      </c>
      <c r="AI51" s="116">
        <f t="shared" si="16"/>
        <v>0</v>
      </c>
      <c r="AJ51" s="116">
        <f t="shared" si="16"/>
        <v>0</v>
      </c>
      <c r="AK51" s="116">
        <f t="shared" si="16"/>
        <v>0</v>
      </c>
      <c r="AL51" s="116">
        <f t="shared" si="16"/>
        <v>0</v>
      </c>
      <c r="AM51" s="116">
        <f t="shared" si="16"/>
        <v>0</v>
      </c>
      <c r="AN51" s="116">
        <f t="shared" si="16"/>
        <v>0</v>
      </c>
      <c r="AO51" s="116">
        <f t="shared" si="16"/>
        <v>0</v>
      </c>
      <c r="AP51" s="116">
        <f t="shared" si="16"/>
        <v>0</v>
      </c>
      <c r="AQ51" s="116">
        <f t="shared" si="16"/>
        <v>0</v>
      </c>
      <c r="AR51" s="116">
        <f t="shared" si="16"/>
        <v>0</v>
      </c>
      <c r="AS51" s="116">
        <f t="shared" si="16"/>
        <v>0</v>
      </c>
      <c r="AT51" s="116">
        <f t="shared" si="16"/>
        <v>0</v>
      </c>
      <c r="AU51" s="116">
        <f t="shared" si="16"/>
        <v>0</v>
      </c>
      <c r="AV51" s="116">
        <f t="shared" si="16"/>
        <v>0</v>
      </c>
      <c r="AW51" s="116">
        <f t="shared" si="16"/>
        <v>0</v>
      </c>
      <c r="AX51" s="116">
        <f t="shared" si="16"/>
        <v>0</v>
      </c>
      <c r="AY51" s="116">
        <f t="shared" si="16"/>
        <v>0</v>
      </c>
    </row>
    <row r="52" spans="1:52" x14ac:dyDescent="0.2">
      <c r="A52" s="116"/>
      <c r="B52" s="171" t="s">
        <v>348</v>
      </c>
      <c r="C52" s="116"/>
      <c r="D52" s="116">
        <v>1</v>
      </c>
      <c r="E52" s="116">
        <v>1</v>
      </c>
      <c r="F52" s="116">
        <v>1</v>
      </c>
      <c r="G52" s="116">
        <v>1</v>
      </c>
      <c r="H52" s="116">
        <v>1</v>
      </c>
      <c r="I52" s="116">
        <v>1</v>
      </c>
      <c r="J52" s="116">
        <v>1</v>
      </c>
      <c r="K52" s="116">
        <v>2</v>
      </c>
      <c r="L52" s="116">
        <v>3</v>
      </c>
      <c r="M52" s="116">
        <v>1</v>
      </c>
      <c r="N52" s="116">
        <v>2</v>
      </c>
      <c r="O52" s="116">
        <v>1</v>
      </c>
      <c r="P52" s="116">
        <v>1</v>
      </c>
      <c r="Q52" s="116">
        <v>1</v>
      </c>
      <c r="R52" s="116">
        <v>1</v>
      </c>
      <c r="S52" s="116">
        <v>1</v>
      </c>
      <c r="T52" s="116">
        <v>1</v>
      </c>
      <c r="U52" s="116">
        <v>1</v>
      </c>
      <c r="V52" s="116">
        <v>1</v>
      </c>
      <c r="W52" s="116">
        <v>1</v>
      </c>
      <c r="X52" s="116">
        <v>2</v>
      </c>
      <c r="Y52" s="116">
        <v>1</v>
      </c>
      <c r="Z52" s="116">
        <v>3</v>
      </c>
      <c r="AA52" s="116">
        <v>1</v>
      </c>
      <c r="AB52" s="116">
        <v>1</v>
      </c>
      <c r="AC52" s="116">
        <v>1</v>
      </c>
      <c r="AD52" s="116">
        <v>1</v>
      </c>
      <c r="AE52" s="116">
        <v>2</v>
      </c>
      <c r="AF52" s="116">
        <v>2</v>
      </c>
      <c r="AG52" s="116">
        <v>2</v>
      </c>
      <c r="AH52" s="116">
        <v>2</v>
      </c>
      <c r="AI52" s="116">
        <v>1</v>
      </c>
      <c r="AJ52" s="116">
        <v>3</v>
      </c>
      <c r="AK52" s="116">
        <v>1</v>
      </c>
      <c r="AL52" s="116">
        <v>1</v>
      </c>
      <c r="AM52" s="116">
        <v>1</v>
      </c>
      <c r="AN52" s="116">
        <v>2</v>
      </c>
      <c r="AO52" s="116">
        <v>3</v>
      </c>
      <c r="AP52" s="116">
        <v>1</v>
      </c>
      <c r="AQ52" s="116">
        <v>2</v>
      </c>
      <c r="AR52" s="116">
        <v>1</v>
      </c>
      <c r="AS52" s="116">
        <v>1</v>
      </c>
      <c r="AT52" s="116">
        <v>1</v>
      </c>
      <c r="AU52" s="116">
        <v>1</v>
      </c>
      <c r="AV52" s="116">
        <v>1</v>
      </c>
      <c r="AW52" s="116">
        <v>2</v>
      </c>
      <c r="AX52" s="116">
        <v>1</v>
      </c>
      <c r="AY52" s="116">
        <v>2</v>
      </c>
    </row>
    <row r="53" spans="1:52" x14ac:dyDescent="0.2">
      <c r="A53" s="116"/>
      <c r="B53" s="184" t="s">
        <v>349</v>
      </c>
      <c r="C53" s="116"/>
      <c r="D53" s="116">
        <v>0</v>
      </c>
      <c r="E53" s="116">
        <v>570240</v>
      </c>
      <c r="F53" s="116">
        <v>570240</v>
      </c>
      <c r="G53" s="116">
        <v>570240</v>
      </c>
      <c r="H53" s="116">
        <v>570240</v>
      </c>
      <c r="I53" s="116">
        <v>516780</v>
      </c>
      <c r="J53" s="116">
        <v>516780</v>
      </c>
      <c r="K53" s="116">
        <v>0</v>
      </c>
      <c r="L53" s="116">
        <v>1015740</v>
      </c>
      <c r="M53" s="116">
        <v>516780</v>
      </c>
      <c r="N53" s="116">
        <v>516780</v>
      </c>
      <c r="O53" s="116">
        <v>516780</v>
      </c>
      <c r="P53" s="116">
        <v>516780</v>
      </c>
      <c r="Q53" s="116">
        <v>570240</v>
      </c>
      <c r="R53" s="116">
        <v>570240</v>
      </c>
      <c r="S53" s="116">
        <v>570240</v>
      </c>
      <c r="T53" s="116">
        <v>570240</v>
      </c>
      <c r="U53" s="116">
        <v>516780</v>
      </c>
      <c r="V53" s="116">
        <v>516780</v>
      </c>
      <c r="W53" s="116">
        <v>516780</v>
      </c>
      <c r="X53" s="116">
        <v>516780</v>
      </c>
      <c r="Y53" s="116">
        <v>516780</v>
      </c>
      <c r="Z53" s="116">
        <v>516780</v>
      </c>
      <c r="AA53" s="116">
        <v>0</v>
      </c>
      <c r="AB53" s="116">
        <v>1015740</v>
      </c>
      <c r="AC53" s="116">
        <v>570240</v>
      </c>
      <c r="AD53" s="116">
        <v>570240</v>
      </c>
      <c r="AE53" s="116">
        <v>570240</v>
      </c>
      <c r="AF53" s="116">
        <v>570240</v>
      </c>
      <c r="AG53" s="116">
        <v>516780</v>
      </c>
      <c r="AH53" s="116">
        <v>516780</v>
      </c>
      <c r="AI53" s="116">
        <v>516780</v>
      </c>
      <c r="AJ53" s="116">
        <v>516780</v>
      </c>
      <c r="AK53" s="116">
        <v>516780</v>
      </c>
      <c r="AL53" s="116">
        <v>516780</v>
      </c>
      <c r="AM53" s="116">
        <v>516780</v>
      </c>
      <c r="AN53" s="116">
        <v>516780</v>
      </c>
      <c r="AO53" s="116">
        <v>570240</v>
      </c>
      <c r="AP53" s="116">
        <v>0</v>
      </c>
      <c r="AQ53" s="116">
        <v>1140480</v>
      </c>
      <c r="AR53" s="116">
        <v>570240</v>
      </c>
      <c r="AS53" s="116">
        <v>516780</v>
      </c>
      <c r="AT53" s="116">
        <v>516780</v>
      </c>
      <c r="AU53" s="116">
        <v>516780</v>
      </c>
      <c r="AV53" s="116">
        <v>516780</v>
      </c>
      <c r="AW53" s="116">
        <v>516780</v>
      </c>
      <c r="AX53" s="116">
        <v>516780</v>
      </c>
      <c r="AY53" s="116">
        <v>516780</v>
      </c>
      <c r="AZ53" s="106">
        <f>SUM($D$53:$AY$53)</f>
        <v>25108380</v>
      </c>
    </row>
    <row r="54" spans="1:52" x14ac:dyDescent="0.2">
      <c r="A54" s="131"/>
      <c r="B54" s="146" t="s">
        <v>350</v>
      </c>
      <c r="C54" s="131"/>
      <c r="D54" s="131">
        <v>0</v>
      </c>
      <c r="E54" s="131">
        <v>0</v>
      </c>
      <c r="F54" s="131">
        <v>0</v>
      </c>
      <c r="G54" s="131">
        <v>0</v>
      </c>
      <c r="H54" s="131">
        <v>0</v>
      </c>
      <c r="I54" s="131">
        <v>0</v>
      </c>
      <c r="J54" s="131">
        <v>0</v>
      </c>
      <c r="K54" s="131">
        <v>0</v>
      </c>
      <c r="L54" s="131">
        <v>0</v>
      </c>
      <c r="M54" s="131">
        <v>0</v>
      </c>
      <c r="N54" s="131">
        <v>0</v>
      </c>
      <c r="O54" s="131">
        <v>0</v>
      </c>
      <c r="P54" s="131">
        <v>0</v>
      </c>
      <c r="Q54" s="131">
        <v>0</v>
      </c>
      <c r="R54" s="131">
        <v>0</v>
      </c>
      <c r="S54" s="131">
        <v>0</v>
      </c>
      <c r="T54" s="131">
        <v>0</v>
      </c>
      <c r="U54" s="131">
        <v>0</v>
      </c>
      <c r="V54" s="131">
        <v>0</v>
      </c>
      <c r="W54" s="131">
        <v>0</v>
      </c>
      <c r="X54" s="131">
        <v>0</v>
      </c>
      <c r="Y54" s="131">
        <v>0</v>
      </c>
      <c r="Z54" s="131">
        <v>0</v>
      </c>
      <c r="AA54" s="131">
        <v>0</v>
      </c>
      <c r="AB54" s="131">
        <v>0</v>
      </c>
      <c r="AC54" s="131">
        <v>0</v>
      </c>
      <c r="AD54" s="131">
        <v>0</v>
      </c>
      <c r="AE54" s="131">
        <v>0</v>
      </c>
      <c r="AF54" s="131">
        <v>0</v>
      </c>
      <c r="AG54" s="131">
        <v>0</v>
      </c>
      <c r="AH54" s="131">
        <v>0</v>
      </c>
      <c r="AI54" s="131">
        <v>0</v>
      </c>
      <c r="AJ54" s="131">
        <v>0</v>
      </c>
      <c r="AK54" s="131">
        <v>0</v>
      </c>
      <c r="AL54" s="131">
        <v>0</v>
      </c>
      <c r="AM54" s="131">
        <v>0</v>
      </c>
      <c r="AN54" s="131">
        <v>0</v>
      </c>
      <c r="AO54" s="131">
        <v>0</v>
      </c>
      <c r="AP54" s="131">
        <v>0</v>
      </c>
      <c r="AQ54" s="131">
        <v>0</v>
      </c>
      <c r="AR54" s="131">
        <v>0</v>
      </c>
      <c r="AS54" s="131">
        <v>0</v>
      </c>
      <c r="AT54" s="131">
        <v>0</v>
      </c>
      <c r="AU54" s="131">
        <v>0</v>
      </c>
      <c r="AV54" s="131">
        <v>0</v>
      </c>
      <c r="AW54" s="131">
        <v>0</v>
      </c>
      <c r="AX54" s="131">
        <v>0</v>
      </c>
      <c r="AY54" s="131">
        <v>0</v>
      </c>
      <c r="AZ54" s="106">
        <f>SUM($D$54:$AY$54)</f>
        <v>0</v>
      </c>
    </row>
  </sheetData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22</v>
      </c>
    </row>
    <row r="3" spans="1:53" x14ac:dyDescent="0.2">
      <c r="A3" s="106" t="s">
        <v>285</v>
      </c>
      <c r="B3" s="114">
        <v>40000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3342.7265635085287</v>
      </c>
      <c r="E9" s="123">
        <v>3342.7265635085287</v>
      </c>
      <c r="F9" s="123">
        <v>3342.7265635085287</v>
      </c>
      <c r="G9" s="123">
        <v>3342.7265635085287</v>
      </c>
      <c r="H9" s="123">
        <v>3124.846563508529</v>
      </c>
      <c r="I9" s="123">
        <v>3124.846563508529</v>
      </c>
      <c r="J9" s="123">
        <v>3124.846563508529</v>
      </c>
      <c r="K9" s="123">
        <v>3124.846563508529</v>
      </c>
      <c r="L9" s="123">
        <v>3124.846563508529</v>
      </c>
      <c r="M9" s="123">
        <v>3124.846563508529</v>
      </c>
      <c r="N9" s="123">
        <v>3124.846563508529</v>
      </c>
      <c r="O9" s="123">
        <v>3124.846563508529</v>
      </c>
      <c r="P9" s="123">
        <v>3342.7265635085287</v>
      </c>
      <c r="Q9" s="123">
        <v>3342.7265635085287</v>
      </c>
      <c r="R9" s="123">
        <v>3342.7265635085287</v>
      </c>
      <c r="S9" s="123">
        <v>3342.7265635085287</v>
      </c>
      <c r="T9" s="123">
        <v>3038.2833437762365</v>
      </c>
      <c r="U9" s="123">
        <v>3038.4532648722593</v>
      </c>
      <c r="V9" s="123">
        <v>3038.6227525809595</v>
      </c>
      <c r="W9" s="123">
        <v>3124.846563508529</v>
      </c>
      <c r="X9" s="123">
        <v>3124.846563508529</v>
      </c>
      <c r="Y9" s="123">
        <v>3124.846563508529</v>
      </c>
      <c r="Z9" s="123">
        <v>3124.846563508529</v>
      </c>
      <c r="AA9" s="123">
        <v>3124.846563508529</v>
      </c>
      <c r="AB9" s="123">
        <v>3342.7265635085287</v>
      </c>
      <c r="AC9" s="123">
        <v>3342.7265635085287</v>
      </c>
      <c r="AD9" s="123">
        <v>2997.603773139384</v>
      </c>
      <c r="AE9" s="123">
        <v>3342.7265635085287</v>
      </c>
      <c r="AF9" s="123">
        <v>3040.2878191929881</v>
      </c>
      <c r="AG9" s="123">
        <v>3124.846563508529</v>
      </c>
      <c r="AH9" s="123">
        <v>3124.846563508529</v>
      </c>
      <c r="AI9" s="123">
        <v>3124.846563508529</v>
      </c>
      <c r="AJ9" s="123">
        <v>3124.846563508529</v>
      </c>
      <c r="AK9" s="123">
        <v>3124.846563508529</v>
      </c>
      <c r="AL9" s="123">
        <v>3124.846563508529</v>
      </c>
      <c r="AM9" s="123">
        <v>3124.846563508529</v>
      </c>
      <c r="AN9" s="123">
        <v>3342.7265635085287</v>
      </c>
      <c r="AO9" s="123">
        <v>3342.7265635085287</v>
      </c>
      <c r="AP9" s="123">
        <v>3342.7265635085287</v>
      </c>
      <c r="AQ9" s="123">
        <v>3342.7265635085287</v>
      </c>
      <c r="AR9" s="123">
        <v>3124.846563508529</v>
      </c>
      <c r="AS9" s="123">
        <v>3124.846563508529</v>
      </c>
      <c r="AT9" s="123">
        <v>3124.846563508529</v>
      </c>
      <c r="AU9" s="123">
        <v>3124.846563508529</v>
      </c>
      <c r="AV9" s="123">
        <v>3124.846563508529</v>
      </c>
      <c r="AW9" s="123">
        <v>3124.846563508529</v>
      </c>
      <c r="AX9" s="123">
        <v>3124.846563508529</v>
      </c>
      <c r="AY9" s="123">
        <v>3124.846563508529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273.74765262492122</v>
      </c>
      <c r="G10" s="106">
        <v>273.74765262492122</v>
      </c>
      <c r="H10" s="106">
        <v>273.74765262492122</v>
      </c>
      <c r="I10" s="106">
        <v>273.74765262492122</v>
      </c>
      <c r="J10" s="106">
        <v>243.33124677770775</v>
      </c>
      <c r="K10" s="106">
        <v>243.33124677770775</v>
      </c>
      <c r="L10" s="106">
        <v>243.33124677770775</v>
      </c>
      <c r="M10" s="106">
        <v>243.33124677770775</v>
      </c>
      <c r="N10" s="106">
        <v>243.33124677770775</v>
      </c>
      <c r="O10" s="106">
        <v>243.33124677770775</v>
      </c>
      <c r="P10" s="106">
        <v>243.33124677770775</v>
      </c>
      <c r="Q10" s="106">
        <v>243.33124677770775</v>
      </c>
      <c r="R10" s="106">
        <v>273.74765262492122</v>
      </c>
      <c r="S10" s="106">
        <v>273.74765262492122</v>
      </c>
      <c r="T10" s="106">
        <v>273.74765262492122</v>
      </c>
      <c r="U10" s="106">
        <v>273.74765262492122</v>
      </c>
      <c r="V10" s="106">
        <v>243.33124677770775</v>
      </c>
      <c r="W10" s="106">
        <v>243.33124677770775</v>
      </c>
      <c r="X10" s="106">
        <v>243.33124677770775</v>
      </c>
      <c r="Y10" s="106">
        <v>243.33124677770775</v>
      </c>
      <c r="Z10" s="106">
        <v>243.33124677770775</v>
      </c>
      <c r="AA10" s="106">
        <v>243.33124677770775</v>
      </c>
      <c r="AB10" s="106">
        <v>243.33124677770775</v>
      </c>
      <c r="AC10" s="106">
        <v>243.33124677770775</v>
      </c>
      <c r="AD10" s="106">
        <v>273.74765262492122</v>
      </c>
      <c r="AE10" s="106">
        <v>273.74765262492122</v>
      </c>
      <c r="AF10" s="106">
        <v>273.74765262492122</v>
      </c>
      <c r="AG10" s="106">
        <v>273.74765262492122</v>
      </c>
      <c r="AH10" s="106">
        <v>243.33124677770775</v>
      </c>
      <c r="AI10" s="106">
        <v>243.33124677770775</v>
      </c>
      <c r="AJ10" s="106">
        <v>243.33124677770775</v>
      </c>
      <c r="AK10" s="106">
        <v>243.33124677770775</v>
      </c>
      <c r="AL10" s="106">
        <v>243.33124677770775</v>
      </c>
      <c r="AM10" s="106">
        <v>243.33124677770775</v>
      </c>
      <c r="AN10" s="106">
        <v>243.33124677770775</v>
      </c>
      <c r="AO10" s="106">
        <v>243.33124677770775</v>
      </c>
      <c r="AP10" s="106">
        <v>273.74765262492122</v>
      </c>
      <c r="AQ10" s="106">
        <v>273.74765262492122</v>
      </c>
      <c r="AR10" s="106">
        <v>273.74765262492122</v>
      </c>
      <c r="AS10" s="106">
        <v>273.74765262492122</v>
      </c>
      <c r="AT10" s="106">
        <v>243.33124677770775</v>
      </c>
      <c r="AU10" s="106">
        <v>0</v>
      </c>
      <c r="AV10" s="106">
        <v>486.66249355541549</v>
      </c>
      <c r="AW10" s="106">
        <v>243.33124677770775</v>
      </c>
      <c r="AX10" s="106">
        <v>243.33124677770775</v>
      </c>
      <c r="AY10" s="106">
        <v>243.33124677770775</v>
      </c>
      <c r="AZ10" s="106">
        <v>243.33124677770775</v>
      </c>
    </row>
    <row r="11" spans="1:53" x14ac:dyDescent="0.2">
      <c r="B11" s="125">
        <v>2</v>
      </c>
      <c r="C11" s="112" t="s">
        <v>292</v>
      </c>
      <c r="F11" s="106">
        <v>0</v>
      </c>
      <c r="G11" s="106">
        <v>0</v>
      </c>
      <c r="H11" s="106">
        <v>0</v>
      </c>
      <c r="I11" s="106">
        <v>0</v>
      </c>
      <c r="K11" s="106">
        <v>0</v>
      </c>
      <c r="M11" s="106">
        <v>0</v>
      </c>
      <c r="N11" s="106">
        <v>0</v>
      </c>
      <c r="O11" s="106">
        <v>0</v>
      </c>
      <c r="P11" s="106">
        <v>0</v>
      </c>
      <c r="T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B11" s="106">
        <v>0</v>
      </c>
      <c r="AC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O11" s="106">
        <v>0</v>
      </c>
      <c r="AR11" s="106">
        <v>0</v>
      </c>
      <c r="AS11" s="106">
        <v>0</v>
      </c>
      <c r="AU11" s="106">
        <v>0</v>
      </c>
      <c r="AV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292</v>
      </c>
      <c r="H12" s="106">
        <v>0</v>
      </c>
      <c r="J12" s="106">
        <v>0</v>
      </c>
      <c r="R12" s="106">
        <v>0</v>
      </c>
      <c r="AB12" s="106">
        <v>0</v>
      </c>
      <c r="AE12" s="106">
        <v>0</v>
      </c>
      <c r="AI12" s="106">
        <v>0</v>
      </c>
      <c r="AN12" s="106">
        <v>0</v>
      </c>
      <c r="AV12" s="106">
        <v>0</v>
      </c>
      <c r="AX12" s="106">
        <v>0</v>
      </c>
      <c r="AZ12" s="106">
        <v>0</v>
      </c>
    </row>
    <row r="13" spans="1:53" x14ac:dyDescent="0.2">
      <c r="B13" s="126">
        <v>4</v>
      </c>
      <c r="C13" s="112" t="s">
        <v>292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0</v>
      </c>
      <c r="J14" s="123">
        <f t="shared" si="0"/>
        <v>0</v>
      </c>
      <c r="K14" s="123">
        <f t="shared" si="0"/>
        <v>0</v>
      </c>
      <c r="L14" s="123">
        <f t="shared" si="0"/>
        <v>0</v>
      </c>
      <c r="M14" s="123">
        <f t="shared" si="0"/>
        <v>0</v>
      </c>
      <c r="N14" s="123">
        <f t="shared" si="0"/>
        <v>0</v>
      </c>
      <c r="O14" s="123">
        <f t="shared" si="0"/>
        <v>0</v>
      </c>
      <c r="P14" s="123">
        <f t="shared" si="0"/>
        <v>0</v>
      </c>
      <c r="Q14" s="123">
        <f t="shared" si="0"/>
        <v>0</v>
      </c>
      <c r="R14" s="123">
        <f t="shared" si="0"/>
        <v>0</v>
      </c>
      <c r="S14" s="123">
        <f t="shared" si="0"/>
        <v>0</v>
      </c>
      <c r="T14" s="123">
        <f t="shared" si="0"/>
        <v>0</v>
      </c>
      <c r="U14" s="123">
        <f t="shared" si="0"/>
        <v>0</v>
      </c>
      <c r="V14" s="123">
        <f t="shared" si="0"/>
        <v>0</v>
      </c>
      <c r="W14" s="123">
        <f t="shared" si="0"/>
        <v>0</v>
      </c>
      <c r="X14" s="123">
        <f t="shared" si="0"/>
        <v>0</v>
      </c>
      <c r="Y14" s="123">
        <f t="shared" si="0"/>
        <v>0</v>
      </c>
      <c r="Z14" s="123">
        <f t="shared" si="0"/>
        <v>0</v>
      </c>
      <c r="AA14" s="123">
        <f t="shared" si="0"/>
        <v>0</v>
      </c>
      <c r="AB14" s="123">
        <f t="shared" si="0"/>
        <v>0</v>
      </c>
      <c r="AC14" s="123">
        <f t="shared" si="0"/>
        <v>0</v>
      </c>
      <c r="AD14" s="123">
        <f t="shared" si="0"/>
        <v>0</v>
      </c>
      <c r="AE14" s="123">
        <f t="shared" si="0"/>
        <v>0</v>
      </c>
      <c r="AF14" s="123">
        <f t="shared" si="0"/>
        <v>0</v>
      </c>
      <c r="AG14" s="123">
        <f t="shared" si="0"/>
        <v>0</v>
      </c>
      <c r="AH14" s="123">
        <f t="shared" si="0"/>
        <v>0</v>
      </c>
      <c r="AI14" s="123">
        <f t="shared" si="0"/>
        <v>0</v>
      </c>
      <c r="AJ14" s="123">
        <f t="shared" si="0"/>
        <v>0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0</v>
      </c>
      <c r="AP14" s="123">
        <f t="shared" si="0"/>
        <v>0</v>
      </c>
      <c r="AQ14" s="123">
        <f t="shared" si="0"/>
        <v>0</v>
      </c>
      <c r="AR14" s="123">
        <f t="shared" si="0"/>
        <v>0</v>
      </c>
      <c r="AS14" s="123">
        <f t="shared" si="0"/>
        <v>0</v>
      </c>
      <c r="AT14" s="123">
        <f t="shared" si="0"/>
        <v>0</v>
      </c>
      <c r="AU14" s="123">
        <f t="shared" si="0"/>
        <v>0</v>
      </c>
      <c r="AV14" s="123">
        <f t="shared" si="0"/>
        <v>0</v>
      </c>
      <c r="AW14" s="123">
        <f t="shared" si="0"/>
        <v>0</v>
      </c>
      <c r="AX14" s="123">
        <f t="shared" si="0"/>
        <v>0</v>
      </c>
      <c r="AY14" s="123">
        <f t="shared" si="0"/>
        <v>0</v>
      </c>
      <c r="AZ14" s="116">
        <f t="shared" si="0"/>
        <v>0</v>
      </c>
      <c r="BA14" s="113">
        <f>SUM($E14:$AZ14)</f>
        <v>0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0</v>
      </c>
      <c r="I15" s="130">
        <v>0</v>
      </c>
      <c r="J15" s="130">
        <v>0</v>
      </c>
      <c r="K15" s="130">
        <v>0</v>
      </c>
      <c r="L15" s="130">
        <v>0</v>
      </c>
      <c r="M15" s="130">
        <v>0</v>
      </c>
      <c r="N15" s="130">
        <v>0</v>
      </c>
      <c r="O15" s="130">
        <v>0</v>
      </c>
      <c r="P15" s="130">
        <v>0</v>
      </c>
      <c r="Q15" s="130">
        <v>0</v>
      </c>
      <c r="R15" s="130">
        <v>0</v>
      </c>
      <c r="S15" s="130">
        <v>0</v>
      </c>
      <c r="T15" s="130">
        <v>0</v>
      </c>
      <c r="U15" s="130">
        <v>0</v>
      </c>
      <c r="V15" s="130">
        <v>0</v>
      </c>
      <c r="W15" s="130">
        <v>0</v>
      </c>
      <c r="X15" s="130">
        <v>0</v>
      </c>
      <c r="Y15" s="130">
        <v>0</v>
      </c>
      <c r="Z15" s="130">
        <v>0</v>
      </c>
      <c r="AA15" s="130">
        <v>0</v>
      </c>
      <c r="AB15" s="130">
        <v>0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0</v>
      </c>
      <c r="AI15" s="130">
        <v>0</v>
      </c>
      <c r="AJ15" s="130">
        <v>0</v>
      </c>
      <c r="AK15" s="130">
        <v>0</v>
      </c>
      <c r="AL15" s="130">
        <v>0</v>
      </c>
      <c r="AM15" s="130">
        <v>0</v>
      </c>
      <c r="AN15" s="130">
        <v>0</v>
      </c>
      <c r="AO15" s="130">
        <v>0</v>
      </c>
      <c r="AP15" s="130">
        <v>0</v>
      </c>
      <c r="AQ15" s="130">
        <v>0</v>
      </c>
      <c r="AR15" s="130">
        <v>0</v>
      </c>
      <c r="AS15" s="130">
        <v>0</v>
      </c>
      <c r="AT15" s="130">
        <v>0</v>
      </c>
      <c r="AU15" s="130">
        <v>0</v>
      </c>
      <c r="AV15" s="130">
        <v>0</v>
      </c>
      <c r="AW15" s="130">
        <v>0</v>
      </c>
      <c r="AX15" s="130">
        <v>0</v>
      </c>
      <c r="AY15" s="130">
        <v>0</v>
      </c>
      <c r="AZ15" s="106">
        <v>0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>
        <v>0</v>
      </c>
      <c r="H16" s="116">
        <v>0</v>
      </c>
      <c r="I16" s="116">
        <v>0</v>
      </c>
      <c r="J16" s="116"/>
      <c r="K16" s="116">
        <v>0</v>
      </c>
      <c r="L16" s="116"/>
      <c r="M16" s="116">
        <v>0</v>
      </c>
      <c r="N16" s="116">
        <v>0</v>
      </c>
      <c r="O16" s="116">
        <v>0</v>
      </c>
      <c r="P16" s="116">
        <v>0</v>
      </c>
      <c r="Q16" s="116"/>
      <c r="R16" s="116"/>
      <c r="S16" s="116"/>
      <c r="T16" s="116">
        <v>0</v>
      </c>
      <c r="U16" s="116"/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/>
      <c r="AB16" s="116">
        <v>0</v>
      </c>
      <c r="AC16" s="116">
        <v>0</v>
      </c>
      <c r="AD16" s="116"/>
      <c r="AE16" s="116"/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/>
      <c r="AN16" s="116"/>
      <c r="AO16" s="116">
        <v>0</v>
      </c>
      <c r="AP16" s="116"/>
      <c r="AQ16" s="116"/>
      <c r="AR16" s="116">
        <v>0</v>
      </c>
      <c r="AS16" s="116">
        <v>0</v>
      </c>
      <c r="AT16" s="116"/>
      <c r="AU16" s="116">
        <v>0</v>
      </c>
      <c r="AV16" s="116">
        <v>0</v>
      </c>
      <c r="AW16" s="116"/>
      <c r="AX16" s="116">
        <v>0</v>
      </c>
      <c r="AY16" s="116">
        <v>0</v>
      </c>
      <c r="AZ16" s="106">
        <v>0</v>
      </c>
      <c r="BA16" s="106">
        <v>0</v>
      </c>
    </row>
    <row r="17" spans="1:52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>
        <v>0</v>
      </c>
      <c r="I17" s="116"/>
      <c r="J17" s="116">
        <v>0</v>
      </c>
      <c r="K17" s="116"/>
      <c r="L17" s="116"/>
      <c r="M17" s="116"/>
      <c r="N17" s="116"/>
      <c r="O17" s="116"/>
      <c r="P17" s="116"/>
      <c r="Q17" s="116"/>
      <c r="R17" s="116">
        <v>0</v>
      </c>
      <c r="S17" s="116"/>
      <c r="T17" s="116"/>
      <c r="U17" s="116"/>
      <c r="V17" s="116"/>
      <c r="W17" s="116"/>
      <c r="X17" s="116"/>
      <c r="Y17" s="116"/>
      <c r="Z17" s="116"/>
      <c r="AA17" s="116"/>
      <c r="AB17" s="116">
        <v>0</v>
      </c>
      <c r="AC17" s="116"/>
      <c r="AD17" s="116"/>
      <c r="AE17" s="116">
        <v>0</v>
      </c>
      <c r="AF17" s="116"/>
      <c r="AG17" s="116"/>
      <c r="AH17" s="116"/>
      <c r="AI17" s="116">
        <v>0</v>
      </c>
      <c r="AJ17" s="116"/>
      <c r="AK17" s="116"/>
      <c r="AL17" s="116"/>
      <c r="AM17" s="116"/>
      <c r="AN17" s="116">
        <v>0</v>
      </c>
      <c r="AO17" s="116"/>
      <c r="AP17" s="116"/>
      <c r="AQ17" s="116"/>
      <c r="AR17" s="116"/>
      <c r="AS17" s="116"/>
      <c r="AT17" s="116"/>
      <c r="AU17" s="116"/>
      <c r="AV17" s="116">
        <v>0</v>
      </c>
      <c r="AW17" s="116"/>
      <c r="AX17" s="116">
        <v>0</v>
      </c>
      <c r="AY17" s="116"/>
      <c r="AZ17" s="106">
        <v>0</v>
      </c>
    </row>
    <row r="18" spans="1:52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2" x14ac:dyDescent="0.2">
      <c r="A20" s="108" t="s">
        <v>293</v>
      </c>
    </row>
    <row r="21" spans="1:52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2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2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2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2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2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2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2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2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2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2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2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3342.7265635085287</v>
      </c>
      <c r="E95" s="116">
        <v>3342.7265635085287</v>
      </c>
      <c r="F95" s="116">
        <v>3342.7265635085287</v>
      </c>
      <c r="G95" s="116">
        <v>3342.7265635085287</v>
      </c>
      <c r="H95" s="116">
        <v>3124.846563508529</v>
      </c>
      <c r="I95" s="116">
        <v>3124.846563508529</v>
      </c>
      <c r="J95" s="116">
        <v>3124.846563508529</v>
      </c>
      <c r="K95" s="116">
        <v>3124.846563508529</v>
      </c>
      <c r="L95" s="116">
        <v>3124.846563508529</v>
      </c>
      <c r="M95" s="116">
        <v>3124.846563508529</v>
      </c>
      <c r="N95" s="116">
        <v>3124.846563508529</v>
      </c>
      <c r="O95" s="116">
        <v>3124.846563508529</v>
      </c>
      <c r="P95" s="116">
        <v>3342.7265635085287</v>
      </c>
      <c r="Q95" s="116">
        <v>3342.7265635085287</v>
      </c>
      <c r="R95" s="116">
        <v>3342.7265635085287</v>
      </c>
      <c r="S95" s="116">
        <v>3342.7265635085287</v>
      </c>
      <c r="T95" s="116">
        <v>3038.2833437762365</v>
      </c>
      <c r="U95" s="116">
        <v>3038.4532648722593</v>
      </c>
      <c r="V95" s="116">
        <v>3038.6227525809595</v>
      </c>
      <c r="W95" s="116">
        <v>3124.846563508529</v>
      </c>
      <c r="X95" s="116">
        <v>3124.846563508529</v>
      </c>
      <c r="Y95" s="116">
        <v>3124.846563508529</v>
      </c>
      <c r="Z95" s="116">
        <v>3124.846563508529</v>
      </c>
      <c r="AA95" s="116">
        <v>3124.846563508529</v>
      </c>
      <c r="AB95" s="116">
        <v>3342.7265635085287</v>
      </c>
      <c r="AC95" s="116">
        <v>3342.7265635085287</v>
      </c>
      <c r="AD95" s="116">
        <v>2997.603773139384</v>
      </c>
      <c r="AE95" s="116">
        <v>3342.7265635085287</v>
      </c>
      <c r="AF95" s="116">
        <v>3040.2878191929881</v>
      </c>
      <c r="AG95" s="116">
        <v>3124.846563508529</v>
      </c>
      <c r="AH95" s="116">
        <v>3124.846563508529</v>
      </c>
      <c r="AI95" s="116">
        <v>3124.846563508529</v>
      </c>
      <c r="AJ95" s="116">
        <v>3124.846563508529</v>
      </c>
      <c r="AK95" s="116">
        <v>3124.846563508529</v>
      </c>
      <c r="AL95" s="116">
        <v>3124.846563508529</v>
      </c>
      <c r="AM95" s="116">
        <v>3124.846563508529</v>
      </c>
      <c r="AN95" s="116">
        <v>3342.7265635085287</v>
      </c>
      <c r="AO95" s="116">
        <v>3342.7265635085287</v>
      </c>
      <c r="AP95" s="116">
        <v>3342.7265635085287</v>
      </c>
      <c r="AQ95" s="116">
        <v>3342.7265635085287</v>
      </c>
      <c r="AR95" s="116">
        <v>3124.846563508529</v>
      </c>
      <c r="AS95" s="116">
        <v>3124.846563508529</v>
      </c>
      <c r="AT95" s="116">
        <v>3124.846563508529</v>
      </c>
      <c r="AU95" s="116">
        <v>3124.846563508529</v>
      </c>
      <c r="AV95" s="116">
        <v>3124.846563508529</v>
      </c>
      <c r="AW95" s="116">
        <v>3124.846563508529</v>
      </c>
      <c r="AX95" s="116">
        <v>3124.846563508529</v>
      </c>
      <c r="AY95" s="116">
        <v>3124.846563508529</v>
      </c>
    </row>
    <row r="96" spans="1:52" x14ac:dyDescent="0.2">
      <c r="A96" s="115"/>
      <c r="B96" s="126">
        <v>2</v>
      </c>
      <c r="C96" s="116"/>
      <c r="D96" s="116">
        <v>0</v>
      </c>
      <c r="E96" s="116">
        <v>2717.7265635085287</v>
      </c>
      <c r="F96" s="116">
        <v>3342.7265635085287</v>
      </c>
      <c r="G96" s="116">
        <v>3342.7265635085287</v>
      </c>
      <c r="H96" s="116">
        <v>3342.7265635085287</v>
      </c>
      <c r="I96" s="116">
        <v>3124.846563508529</v>
      </c>
      <c r="J96" s="116">
        <v>3124.846563508529</v>
      </c>
      <c r="K96" s="116">
        <v>3124.846563508529</v>
      </c>
      <c r="L96" s="116">
        <v>3124.846563508529</v>
      </c>
      <c r="M96" s="116">
        <v>3124.846563508529</v>
      </c>
      <c r="N96" s="116">
        <v>3124.846563508529</v>
      </c>
      <c r="O96" s="116">
        <v>3124.846563508529</v>
      </c>
      <c r="P96" s="116">
        <v>3124.846563508529</v>
      </c>
      <c r="Q96" s="116">
        <v>3342.7265635085287</v>
      </c>
      <c r="R96" s="116">
        <v>3342.7265635085287</v>
      </c>
      <c r="S96" s="116">
        <v>3342.7265635085287</v>
      </c>
      <c r="T96" s="116">
        <v>3342.7265635085287</v>
      </c>
      <c r="U96" s="116">
        <v>3038.2833437762365</v>
      </c>
      <c r="V96" s="116">
        <v>3038.4532648722593</v>
      </c>
      <c r="W96" s="116">
        <v>3038.6227525809595</v>
      </c>
      <c r="X96" s="116">
        <v>3124.846563508529</v>
      </c>
      <c r="Y96" s="116">
        <v>3124.846563508529</v>
      </c>
      <c r="Z96" s="116">
        <v>3124.846563508529</v>
      </c>
      <c r="AA96" s="116">
        <v>3124.846563508529</v>
      </c>
      <c r="AB96" s="116">
        <v>3124.846563508529</v>
      </c>
      <c r="AC96" s="116">
        <v>3342.7265635085287</v>
      </c>
      <c r="AD96" s="116">
        <v>3342.7265635085287</v>
      </c>
      <c r="AE96" s="116">
        <v>2997.603773139384</v>
      </c>
      <c r="AF96" s="116">
        <v>3342.7265635085287</v>
      </c>
      <c r="AG96" s="116">
        <v>3040.2878191929881</v>
      </c>
      <c r="AH96" s="116">
        <v>3124.846563508529</v>
      </c>
      <c r="AI96" s="116">
        <v>3124.846563508529</v>
      </c>
      <c r="AJ96" s="116">
        <v>3124.846563508529</v>
      </c>
      <c r="AK96" s="116">
        <v>3124.846563508529</v>
      </c>
      <c r="AL96" s="116">
        <v>3124.846563508529</v>
      </c>
      <c r="AM96" s="116">
        <v>3124.846563508529</v>
      </c>
      <c r="AN96" s="116">
        <v>3124.846563508529</v>
      </c>
      <c r="AO96" s="116">
        <v>3342.7265635085287</v>
      </c>
      <c r="AP96" s="116">
        <v>3342.7265635085287</v>
      </c>
      <c r="AQ96" s="116">
        <v>3342.7265635085287</v>
      </c>
      <c r="AR96" s="116">
        <v>3342.7265635085287</v>
      </c>
      <c r="AS96" s="116">
        <v>3124.846563508529</v>
      </c>
      <c r="AT96" s="116">
        <v>3124.846563508529</v>
      </c>
      <c r="AU96" s="116">
        <v>3124.846563508529</v>
      </c>
      <c r="AV96" s="116">
        <v>3124.846563508529</v>
      </c>
      <c r="AW96" s="116">
        <v>3124.846563508529</v>
      </c>
      <c r="AX96" s="116">
        <v>3124.846563508529</v>
      </c>
      <c r="AY96" s="116">
        <v>3124.846563508529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1978.7265635085287</v>
      </c>
      <c r="G97" s="116">
        <v>3342.7265635085287</v>
      </c>
      <c r="H97" s="116">
        <v>3342.7265635085287</v>
      </c>
      <c r="I97" s="116">
        <v>3342.7265635085287</v>
      </c>
      <c r="J97" s="116">
        <v>3124.846563508529</v>
      </c>
      <c r="K97" s="116">
        <v>3124.846563508529</v>
      </c>
      <c r="L97" s="116">
        <v>3124.846563508529</v>
      </c>
      <c r="M97" s="116">
        <v>3124.846563508529</v>
      </c>
      <c r="N97" s="116">
        <v>3124.846563508529</v>
      </c>
      <c r="O97" s="116">
        <v>3124.846563508529</v>
      </c>
      <c r="P97" s="116">
        <v>3124.846563508529</v>
      </c>
      <c r="Q97" s="116">
        <v>3124.846563508529</v>
      </c>
      <c r="R97" s="116">
        <v>3342.7265635085287</v>
      </c>
      <c r="S97" s="116">
        <v>3342.7265635085287</v>
      </c>
      <c r="T97" s="116">
        <v>3342.7265635085287</v>
      </c>
      <c r="U97" s="116">
        <v>3342.7265635085287</v>
      </c>
      <c r="V97" s="116">
        <v>3038.2833437762365</v>
      </c>
      <c r="W97" s="116">
        <v>3038.4532648722593</v>
      </c>
      <c r="X97" s="116">
        <v>3038.6227525809595</v>
      </c>
      <c r="Y97" s="116">
        <v>3124.846563508529</v>
      </c>
      <c r="Z97" s="116">
        <v>3124.846563508529</v>
      </c>
      <c r="AA97" s="116">
        <v>3124.846563508529</v>
      </c>
      <c r="AB97" s="116">
        <v>3124.846563508529</v>
      </c>
      <c r="AC97" s="116">
        <v>3124.846563508529</v>
      </c>
      <c r="AD97" s="116">
        <v>3342.7265635085287</v>
      </c>
      <c r="AE97" s="116">
        <v>3342.7265635085287</v>
      </c>
      <c r="AF97" s="116">
        <v>2997.603773139384</v>
      </c>
      <c r="AG97" s="116">
        <v>3342.7265635085287</v>
      </c>
      <c r="AH97" s="116">
        <v>3040.2878191929881</v>
      </c>
      <c r="AI97" s="116">
        <v>3124.846563508529</v>
      </c>
      <c r="AJ97" s="116">
        <v>3124.846563508529</v>
      </c>
      <c r="AK97" s="116">
        <v>3124.846563508529</v>
      </c>
      <c r="AL97" s="116">
        <v>3124.846563508529</v>
      </c>
      <c r="AM97" s="116">
        <v>3124.846563508529</v>
      </c>
      <c r="AN97" s="116">
        <v>3124.846563508529</v>
      </c>
      <c r="AO97" s="116">
        <v>3124.846563508529</v>
      </c>
      <c r="AP97" s="116">
        <v>3342.7265635085287</v>
      </c>
      <c r="AQ97" s="116">
        <v>3342.7265635085287</v>
      </c>
      <c r="AR97" s="116">
        <v>3342.7265635085287</v>
      </c>
      <c r="AS97" s="116">
        <v>3342.7265635085287</v>
      </c>
      <c r="AT97" s="116">
        <v>3124.846563508529</v>
      </c>
      <c r="AU97" s="116">
        <v>3124.846563508529</v>
      </c>
      <c r="AV97" s="116">
        <v>3124.846563508529</v>
      </c>
      <c r="AW97" s="116">
        <v>3124.846563508529</v>
      </c>
      <c r="AX97" s="116">
        <v>3124.846563508529</v>
      </c>
      <c r="AY97" s="116">
        <v>3124.846563508529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1311.7265635085287</v>
      </c>
      <c r="H98" s="116">
        <v>3342.7265635085287</v>
      </c>
      <c r="I98" s="116">
        <v>3342.7265635085287</v>
      </c>
      <c r="J98" s="116">
        <v>3342.7265635085287</v>
      </c>
      <c r="K98" s="116">
        <v>3124.846563508529</v>
      </c>
      <c r="L98" s="116">
        <v>3124.846563508529</v>
      </c>
      <c r="M98" s="116">
        <v>3124.846563508529</v>
      </c>
      <c r="N98" s="116">
        <v>3124.846563508529</v>
      </c>
      <c r="O98" s="116">
        <v>3124.846563508529</v>
      </c>
      <c r="P98" s="116">
        <v>3124.846563508529</v>
      </c>
      <c r="Q98" s="116">
        <v>3124.846563508529</v>
      </c>
      <c r="R98" s="116">
        <v>3124.846563508529</v>
      </c>
      <c r="S98" s="116">
        <v>3342.7265635085287</v>
      </c>
      <c r="T98" s="116">
        <v>3342.7265635085287</v>
      </c>
      <c r="U98" s="116">
        <v>3342.7265635085287</v>
      </c>
      <c r="V98" s="116">
        <v>3342.7265635085287</v>
      </c>
      <c r="W98" s="116">
        <v>3038.2833437762365</v>
      </c>
      <c r="X98" s="116">
        <v>3038.4532648722593</v>
      </c>
      <c r="Y98" s="116">
        <v>3038.6227525809595</v>
      </c>
      <c r="Z98" s="116">
        <v>3124.846563508529</v>
      </c>
      <c r="AA98" s="116">
        <v>3124.846563508529</v>
      </c>
      <c r="AB98" s="116">
        <v>3124.846563508529</v>
      </c>
      <c r="AC98" s="116">
        <v>3124.846563508529</v>
      </c>
      <c r="AD98" s="116">
        <v>3124.846563508529</v>
      </c>
      <c r="AE98" s="116">
        <v>3342.7265635085287</v>
      </c>
      <c r="AF98" s="116">
        <v>3342.7265635085287</v>
      </c>
      <c r="AG98" s="116">
        <v>2997.603773139384</v>
      </c>
      <c r="AH98" s="116">
        <v>3342.7265635085287</v>
      </c>
      <c r="AI98" s="116">
        <v>3040.2878191929881</v>
      </c>
      <c r="AJ98" s="116">
        <v>3124.846563508529</v>
      </c>
      <c r="AK98" s="116">
        <v>3124.846563508529</v>
      </c>
      <c r="AL98" s="116">
        <v>3124.846563508529</v>
      </c>
      <c r="AM98" s="116">
        <v>3124.846563508529</v>
      </c>
      <c r="AN98" s="116">
        <v>3124.846563508529</v>
      </c>
      <c r="AO98" s="116">
        <v>3124.846563508529</v>
      </c>
      <c r="AP98" s="116">
        <v>3124.846563508529</v>
      </c>
      <c r="AQ98" s="116">
        <v>3342.7265635085287</v>
      </c>
      <c r="AR98" s="116">
        <v>3342.7265635085287</v>
      </c>
      <c r="AS98" s="116">
        <v>3342.7265635085287</v>
      </c>
      <c r="AT98" s="116">
        <v>3342.7265635085287</v>
      </c>
      <c r="AU98" s="116">
        <v>3124.846563508529</v>
      </c>
      <c r="AV98" s="116">
        <v>3124.846563508529</v>
      </c>
      <c r="AW98" s="116">
        <v>3124.846563508529</v>
      </c>
      <c r="AX98" s="116">
        <v>3124.846563508529</v>
      </c>
      <c r="AY98" s="116">
        <v>3124.846563508529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543.72656350852867</v>
      </c>
      <c r="I99" s="131">
        <v>2341.7265635085287</v>
      </c>
      <c r="J99" s="131">
        <v>2428.7265635085287</v>
      </c>
      <c r="K99" s="131">
        <v>2618.7265635085287</v>
      </c>
      <c r="L99" s="131">
        <v>2262.846563508529</v>
      </c>
      <c r="M99" s="131">
        <v>2364.846563508529</v>
      </c>
      <c r="N99" s="131">
        <v>2591.846563508529</v>
      </c>
      <c r="O99" s="131">
        <v>2529.846563508529</v>
      </c>
      <c r="P99" s="131">
        <v>2547.846563508529</v>
      </c>
      <c r="Q99" s="131">
        <v>2717.846563508529</v>
      </c>
      <c r="R99" s="131">
        <v>2690.846563508529</v>
      </c>
      <c r="S99" s="131">
        <v>2714.846563508529</v>
      </c>
      <c r="T99" s="131">
        <v>2832.7265635085287</v>
      </c>
      <c r="U99" s="131">
        <v>2769.7265635085287</v>
      </c>
      <c r="V99" s="131">
        <v>2786.7265635085287</v>
      </c>
      <c r="W99" s="131">
        <v>2675.7265635085287</v>
      </c>
      <c r="X99" s="131">
        <v>2479.2833437762365</v>
      </c>
      <c r="Y99" s="131">
        <v>2307.4532648722593</v>
      </c>
      <c r="Z99" s="131">
        <v>2344.6227525809595</v>
      </c>
      <c r="AA99" s="131">
        <v>2390.846563508529</v>
      </c>
      <c r="AB99" s="131">
        <v>2234.846563508529</v>
      </c>
      <c r="AC99" s="131">
        <v>2906.846563508529</v>
      </c>
      <c r="AD99" s="131">
        <v>2915.846563508529</v>
      </c>
      <c r="AE99" s="131">
        <v>2908.846563508529</v>
      </c>
      <c r="AF99" s="131">
        <v>3060.7265635085287</v>
      </c>
      <c r="AG99" s="131">
        <v>3017.7265635085287</v>
      </c>
      <c r="AH99" s="131">
        <v>2675.603773139384</v>
      </c>
      <c r="AI99" s="131">
        <v>3083.7265635085287</v>
      </c>
      <c r="AJ99" s="131">
        <v>2729.2878191929881</v>
      </c>
      <c r="AK99" s="131">
        <v>2827.846563508529</v>
      </c>
      <c r="AL99" s="131">
        <v>2810.846563508529</v>
      </c>
      <c r="AM99" s="131">
        <v>2827.846563508529</v>
      </c>
      <c r="AN99" s="131">
        <v>2778.846563508529</v>
      </c>
      <c r="AO99" s="131">
        <v>2621.846563508529</v>
      </c>
      <c r="AP99" s="131">
        <v>2555.846563508529</v>
      </c>
      <c r="AQ99" s="131">
        <v>2464.846563508529</v>
      </c>
      <c r="AR99" s="131">
        <v>2687.7265635085287</v>
      </c>
      <c r="AS99" s="131">
        <v>2954.7265635085287</v>
      </c>
      <c r="AT99" s="131">
        <v>2967.7265635085287</v>
      </c>
      <c r="AU99" s="131">
        <v>3023.7265635085287</v>
      </c>
      <c r="AV99" s="131">
        <v>2807.846563508529</v>
      </c>
      <c r="AW99" s="131">
        <v>2856.846563508529</v>
      </c>
      <c r="AX99" s="131">
        <v>2868.846563508529</v>
      </c>
      <c r="AY99" s="131">
        <v>2912.846563508529</v>
      </c>
      <c r="AZ99" s="113">
        <f>SUM($D99:$AY99)</f>
        <v>116442.46693039453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273.74765262492122</v>
      </c>
      <c r="G100" s="112">
        <v>273.74765262492122</v>
      </c>
      <c r="H100" s="112">
        <v>273.74765262492122</v>
      </c>
      <c r="I100" s="112">
        <v>273.74765262492122</v>
      </c>
      <c r="J100" s="112">
        <v>243.33124677770775</v>
      </c>
      <c r="K100" s="112">
        <v>243.33124677770775</v>
      </c>
      <c r="L100" s="112">
        <v>243.33124677770775</v>
      </c>
      <c r="M100" s="112">
        <v>243.33124677770775</v>
      </c>
      <c r="N100" s="112">
        <v>243.33124677770775</v>
      </c>
      <c r="O100" s="112">
        <v>243.33124677770775</v>
      </c>
      <c r="P100" s="112">
        <v>243.33124677770775</v>
      </c>
      <c r="Q100" s="112">
        <v>243.33124677770775</v>
      </c>
      <c r="R100" s="112">
        <v>273.74765262492122</v>
      </c>
      <c r="S100" s="112">
        <v>273.74765262492122</v>
      </c>
      <c r="T100" s="112">
        <v>273.74765262492122</v>
      </c>
      <c r="U100" s="112">
        <v>273.74765262492122</v>
      </c>
      <c r="V100" s="112">
        <v>243.33124677770775</v>
      </c>
      <c r="W100" s="112">
        <v>243.33124677770775</v>
      </c>
      <c r="X100" s="112">
        <v>243.33124677770775</v>
      </c>
      <c r="Y100" s="112">
        <v>243.33124677770775</v>
      </c>
      <c r="Z100" s="112">
        <v>243.33124677770775</v>
      </c>
      <c r="AA100" s="112">
        <v>243.33124677770775</v>
      </c>
      <c r="AB100" s="112">
        <v>243.33124677770775</v>
      </c>
      <c r="AC100" s="112">
        <v>243.33124677770775</v>
      </c>
      <c r="AD100" s="112">
        <v>273.74765262492122</v>
      </c>
      <c r="AE100" s="112">
        <v>273.74765262492122</v>
      </c>
      <c r="AF100" s="112">
        <v>273.74765262492122</v>
      </c>
      <c r="AG100" s="112">
        <v>273.74765262492122</v>
      </c>
      <c r="AH100" s="112">
        <v>243.33124677770775</v>
      </c>
      <c r="AI100" s="112">
        <v>243.33124677770775</v>
      </c>
      <c r="AJ100" s="112">
        <v>243.33124677770775</v>
      </c>
      <c r="AK100" s="112">
        <v>243.33124677770775</v>
      </c>
      <c r="AL100" s="112">
        <v>243.33124677770775</v>
      </c>
      <c r="AM100" s="112">
        <v>243.33124677770775</v>
      </c>
      <c r="AN100" s="112">
        <v>243.33124677770775</v>
      </c>
      <c r="AO100" s="112">
        <v>243.33124677770775</v>
      </c>
      <c r="AP100" s="112">
        <v>273.74765262492122</v>
      </c>
      <c r="AQ100" s="112">
        <v>273.74765262492122</v>
      </c>
      <c r="AR100" s="112">
        <v>273.74765262492122</v>
      </c>
      <c r="AS100" s="112">
        <v>273.74765262492122</v>
      </c>
      <c r="AT100" s="112">
        <v>243.33124677770775</v>
      </c>
      <c r="AU100" s="112">
        <v>0</v>
      </c>
      <c r="AV100" s="112">
        <v>486.66249355541549</v>
      </c>
      <c r="AW100" s="112">
        <v>243.33124677770775</v>
      </c>
      <c r="AX100" s="112">
        <v>243.33124677770775</v>
      </c>
      <c r="AY100" s="112">
        <v>243.33124677770775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N101" s="112">
        <v>0</v>
      </c>
      <c r="O101" s="112">
        <v>0</v>
      </c>
      <c r="P101" s="112">
        <v>0</v>
      </c>
      <c r="Q101" s="112">
        <v>0</v>
      </c>
      <c r="R101" s="112">
        <v>0</v>
      </c>
      <c r="S101" s="112">
        <v>0</v>
      </c>
      <c r="T101" s="112">
        <v>0</v>
      </c>
      <c r="U101" s="112">
        <v>0</v>
      </c>
      <c r="V101" s="112">
        <v>0</v>
      </c>
      <c r="W101" s="112">
        <v>0</v>
      </c>
      <c r="X101" s="112">
        <v>0</v>
      </c>
      <c r="Y101" s="112">
        <v>0</v>
      </c>
      <c r="Z101" s="112">
        <v>0</v>
      </c>
      <c r="AA101" s="112">
        <v>0</v>
      </c>
      <c r="AB101" s="112">
        <v>0</v>
      </c>
      <c r="AC101" s="112">
        <v>0</v>
      </c>
      <c r="AD101" s="112">
        <v>0</v>
      </c>
      <c r="AE101" s="112">
        <v>0</v>
      </c>
      <c r="AF101" s="112">
        <v>0</v>
      </c>
      <c r="AG101" s="112">
        <v>0</v>
      </c>
      <c r="AH101" s="112">
        <v>0</v>
      </c>
      <c r="AI101" s="112">
        <v>0</v>
      </c>
      <c r="AJ101" s="112">
        <v>0</v>
      </c>
      <c r="AK101" s="112">
        <v>0</v>
      </c>
      <c r="AL101" s="112">
        <v>0</v>
      </c>
      <c r="AM101" s="112">
        <v>0</v>
      </c>
      <c r="AN101" s="112">
        <v>0</v>
      </c>
      <c r="AO101" s="112">
        <v>0</v>
      </c>
      <c r="AP101" s="112">
        <v>0</v>
      </c>
      <c r="AQ101" s="112">
        <v>0</v>
      </c>
      <c r="AR101" s="112">
        <v>0</v>
      </c>
      <c r="AS101" s="112">
        <v>0</v>
      </c>
      <c r="AT101" s="112">
        <v>0</v>
      </c>
      <c r="AU101" s="112">
        <v>0</v>
      </c>
      <c r="AV101" s="112">
        <v>0</v>
      </c>
      <c r="AW101" s="112">
        <v>0</v>
      </c>
      <c r="AX101" s="112">
        <v>0</v>
      </c>
      <c r="AY101" s="112">
        <v>0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N102" s="112">
        <v>0</v>
      </c>
      <c r="O102" s="112">
        <v>0</v>
      </c>
      <c r="P102" s="112">
        <v>0</v>
      </c>
      <c r="Q102" s="112">
        <v>0</v>
      </c>
      <c r="R102" s="112">
        <v>0</v>
      </c>
      <c r="S102" s="112">
        <v>0</v>
      </c>
      <c r="T102" s="112">
        <v>0</v>
      </c>
      <c r="U102" s="112">
        <v>0</v>
      </c>
      <c r="V102" s="112">
        <v>0</v>
      </c>
      <c r="W102" s="112">
        <v>0</v>
      </c>
      <c r="X102" s="112">
        <v>0</v>
      </c>
      <c r="Y102" s="112">
        <v>0</v>
      </c>
      <c r="Z102" s="112">
        <v>0</v>
      </c>
      <c r="AA102" s="112">
        <v>0</v>
      </c>
      <c r="AB102" s="112">
        <v>0</v>
      </c>
      <c r="AC102" s="112">
        <v>0</v>
      </c>
      <c r="AD102" s="112">
        <v>0</v>
      </c>
      <c r="AE102" s="112">
        <v>0</v>
      </c>
      <c r="AF102" s="112">
        <v>0</v>
      </c>
      <c r="AG102" s="112">
        <v>0</v>
      </c>
      <c r="AH102" s="112">
        <v>0</v>
      </c>
      <c r="AI102" s="112">
        <v>0</v>
      </c>
      <c r="AJ102" s="112">
        <v>0</v>
      </c>
      <c r="AK102" s="112">
        <v>0</v>
      </c>
      <c r="AL102" s="112">
        <v>0</v>
      </c>
      <c r="AM102" s="112">
        <v>0</v>
      </c>
      <c r="AN102" s="112">
        <v>0</v>
      </c>
      <c r="AO102" s="112">
        <v>0</v>
      </c>
      <c r="AP102" s="112">
        <v>0</v>
      </c>
      <c r="AQ102" s="112">
        <v>0</v>
      </c>
      <c r="AR102" s="112">
        <v>0</v>
      </c>
      <c r="AS102" s="112">
        <v>0</v>
      </c>
      <c r="AT102" s="112">
        <v>0</v>
      </c>
      <c r="AU102" s="112">
        <v>0</v>
      </c>
      <c r="AV102" s="112">
        <v>0</v>
      </c>
      <c r="AW102" s="112">
        <v>0</v>
      </c>
      <c r="AX102" s="112">
        <v>0</v>
      </c>
      <c r="AY102" s="112">
        <v>0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0</v>
      </c>
      <c r="N103" s="112">
        <v>0</v>
      </c>
      <c r="O103" s="112">
        <v>0</v>
      </c>
      <c r="P103" s="112">
        <v>0</v>
      </c>
      <c r="Q103" s="112">
        <v>0</v>
      </c>
      <c r="R103" s="112">
        <v>0</v>
      </c>
      <c r="S103" s="112">
        <v>0</v>
      </c>
      <c r="T103" s="112">
        <v>0</v>
      </c>
      <c r="U103" s="112">
        <v>0</v>
      </c>
      <c r="V103" s="112">
        <v>0</v>
      </c>
      <c r="W103" s="112">
        <v>0</v>
      </c>
      <c r="X103" s="112">
        <v>0</v>
      </c>
      <c r="Y103" s="112">
        <v>0</v>
      </c>
      <c r="Z103" s="112">
        <v>0</v>
      </c>
      <c r="AA103" s="112">
        <v>0</v>
      </c>
      <c r="AB103" s="112">
        <v>0</v>
      </c>
      <c r="AC103" s="112">
        <v>0</v>
      </c>
      <c r="AD103" s="112">
        <v>0</v>
      </c>
      <c r="AE103" s="112">
        <v>0</v>
      </c>
      <c r="AF103" s="112">
        <v>0</v>
      </c>
      <c r="AG103" s="112">
        <v>0</v>
      </c>
      <c r="AH103" s="112">
        <v>0</v>
      </c>
      <c r="AI103" s="112">
        <v>0</v>
      </c>
      <c r="AJ103" s="112">
        <v>0</v>
      </c>
      <c r="AK103" s="112">
        <v>0</v>
      </c>
      <c r="AL103" s="112">
        <v>0</v>
      </c>
      <c r="AM103" s="112">
        <v>0</v>
      </c>
      <c r="AN103" s="112">
        <v>0</v>
      </c>
      <c r="AO103" s="112">
        <v>0</v>
      </c>
      <c r="AP103" s="112">
        <v>0</v>
      </c>
      <c r="AQ103" s="112">
        <v>0</v>
      </c>
      <c r="AR103" s="112">
        <v>0</v>
      </c>
      <c r="AS103" s="112">
        <v>0</v>
      </c>
      <c r="AT103" s="112">
        <v>0</v>
      </c>
      <c r="AU103" s="112">
        <v>0</v>
      </c>
      <c r="AV103" s="112">
        <v>0</v>
      </c>
      <c r="AW103" s="112">
        <v>0</v>
      </c>
      <c r="AX103" s="112">
        <v>0</v>
      </c>
      <c r="AY103" s="112">
        <v>0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0</v>
      </c>
      <c r="P104" s="112">
        <v>0</v>
      </c>
      <c r="Q104" s="112">
        <v>0</v>
      </c>
      <c r="R104" s="112">
        <v>0</v>
      </c>
      <c r="S104" s="112">
        <v>0</v>
      </c>
      <c r="T104" s="112">
        <v>0</v>
      </c>
      <c r="U104" s="112">
        <v>0</v>
      </c>
      <c r="V104" s="112">
        <v>0</v>
      </c>
      <c r="W104" s="112">
        <v>0</v>
      </c>
      <c r="X104" s="112">
        <v>0</v>
      </c>
      <c r="Y104" s="112">
        <v>0</v>
      </c>
      <c r="Z104" s="112">
        <v>0</v>
      </c>
      <c r="AA104" s="112">
        <v>0</v>
      </c>
      <c r="AB104" s="112">
        <v>0</v>
      </c>
      <c r="AC104" s="112">
        <v>0</v>
      </c>
      <c r="AD104" s="112">
        <v>0</v>
      </c>
      <c r="AE104" s="112">
        <v>0</v>
      </c>
      <c r="AF104" s="112">
        <v>0</v>
      </c>
      <c r="AG104" s="112">
        <v>0</v>
      </c>
      <c r="AH104" s="112">
        <v>0</v>
      </c>
      <c r="AI104" s="112">
        <v>0</v>
      </c>
      <c r="AJ104" s="112">
        <v>0</v>
      </c>
      <c r="AK104" s="112">
        <v>0</v>
      </c>
      <c r="AL104" s="112">
        <v>0</v>
      </c>
      <c r="AM104" s="112">
        <v>0</v>
      </c>
      <c r="AN104" s="112">
        <v>0</v>
      </c>
      <c r="AO104" s="112">
        <v>0</v>
      </c>
      <c r="AP104" s="112">
        <v>0</v>
      </c>
      <c r="AQ104" s="112">
        <v>0</v>
      </c>
      <c r="AR104" s="112">
        <v>0</v>
      </c>
      <c r="AS104" s="112">
        <v>0</v>
      </c>
      <c r="AT104" s="112">
        <v>0</v>
      </c>
      <c r="AU104" s="112">
        <v>0</v>
      </c>
      <c r="AV104" s="112">
        <v>0</v>
      </c>
      <c r="AW104" s="112">
        <v>0</v>
      </c>
      <c r="AX104" s="112">
        <v>0</v>
      </c>
      <c r="AY104" s="112">
        <v>0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0</v>
      </c>
      <c r="Q105" s="112">
        <v>0</v>
      </c>
      <c r="R105" s="112">
        <v>0</v>
      </c>
      <c r="S105" s="112">
        <v>0</v>
      </c>
      <c r="T105" s="112">
        <v>0</v>
      </c>
      <c r="U105" s="112">
        <v>0</v>
      </c>
      <c r="V105" s="112">
        <v>0</v>
      </c>
      <c r="W105" s="112">
        <v>0</v>
      </c>
      <c r="X105" s="112">
        <v>0</v>
      </c>
      <c r="Y105" s="112">
        <v>0</v>
      </c>
      <c r="Z105" s="112">
        <v>0</v>
      </c>
      <c r="AA105" s="112">
        <v>0</v>
      </c>
      <c r="AB105" s="112">
        <v>0</v>
      </c>
      <c r="AC105" s="112">
        <v>0</v>
      </c>
      <c r="AD105" s="112">
        <v>0</v>
      </c>
      <c r="AE105" s="112">
        <v>0</v>
      </c>
      <c r="AF105" s="112">
        <v>0</v>
      </c>
      <c r="AG105" s="112">
        <v>0</v>
      </c>
      <c r="AH105" s="112">
        <v>0</v>
      </c>
      <c r="AI105" s="112">
        <v>0</v>
      </c>
      <c r="AJ105" s="112">
        <v>0</v>
      </c>
      <c r="AK105" s="112">
        <v>0</v>
      </c>
      <c r="AL105" s="112">
        <v>0</v>
      </c>
      <c r="AM105" s="112">
        <v>0</v>
      </c>
      <c r="AN105" s="112">
        <v>0</v>
      </c>
      <c r="AO105" s="112">
        <v>0</v>
      </c>
      <c r="AP105" s="112">
        <v>0</v>
      </c>
      <c r="AQ105" s="112">
        <v>0</v>
      </c>
      <c r="AR105" s="112">
        <v>0</v>
      </c>
      <c r="AS105" s="112">
        <v>0</v>
      </c>
      <c r="AT105" s="112">
        <v>0</v>
      </c>
      <c r="AU105" s="112">
        <v>0</v>
      </c>
      <c r="AV105" s="112">
        <v>0</v>
      </c>
      <c r="AW105" s="112">
        <v>0</v>
      </c>
      <c r="AX105" s="112">
        <v>0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0</v>
      </c>
      <c r="T106" s="112">
        <v>0</v>
      </c>
      <c r="U106" s="112">
        <v>0</v>
      </c>
      <c r="V106" s="112">
        <v>0</v>
      </c>
      <c r="W106" s="112">
        <v>0</v>
      </c>
      <c r="X106" s="112">
        <v>0</v>
      </c>
      <c r="Y106" s="112">
        <v>0</v>
      </c>
      <c r="Z106" s="112">
        <v>0</v>
      </c>
      <c r="AA106" s="112">
        <v>0</v>
      </c>
      <c r="AB106" s="112">
        <v>0</v>
      </c>
      <c r="AC106" s="112">
        <v>0</v>
      </c>
      <c r="AD106" s="112">
        <v>0</v>
      </c>
      <c r="AE106" s="112">
        <v>0</v>
      </c>
      <c r="AF106" s="112">
        <v>0</v>
      </c>
      <c r="AG106" s="112">
        <v>0</v>
      </c>
      <c r="AH106" s="112">
        <v>0</v>
      </c>
      <c r="AI106" s="112">
        <v>0</v>
      </c>
      <c r="AJ106" s="112">
        <v>0</v>
      </c>
      <c r="AK106" s="112">
        <v>0</v>
      </c>
      <c r="AL106" s="112">
        <v>0</v>
      </c>
      <c r="AM106" s="112">
        <v>0</v>
      </c>
      <c r="AN106" s="112">
        <v>0</v>
      </c>
      <c r="AO106" s="112">
        <v>0</v>
      </c>
      <c r="AP106" s="112">
        <v>0</v>
      </c>
      <c r="AQ106" s="112">
        <v>0</v>
      </c>
      <c r="AR106" s="112">
        <v>0</v>
      </c>
      <c r="AS106" s="112">
        <v>0</v>
      </c>
      <c r="AT106" s="112">
        <v>0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0</v>
      </c>
      <c r="U107" s="112">
        <v>0</v>
      </c>
      <c r="V107" s="112">
        <v>0</v>
      </c>
      <c r="W107" s="112">
        <v>0</v>
      </c>
      <c r="X107" s="112">
        <v>0</v>
      </c>
      <c r="Y107" s="112">
        <v>0</v>
      </c>
      <c r="Z107" s="112">
        <v>0</v>
      </c>
      <c r="AA107" s="112">
        <v>0</v>
      </c>
      <c r="AB107" s="112">
        <v>0</v>
      </c>
      <c r="AC107" s="112">
        <v>0</v>
      </c>
      <c r="AD107" s="112">
        <v>0</v>
      </c>
      <c r="AE107" s="112">
        <v>0</v>
      </c>
      <c r="AF107" s="112">
        <v>0</v>
      </c>
      <c r="AG107" s="112">
        <v>0</v>
      </c>
      <c r="AH107" s="112">
        <v>0</v>
      </c>
      <c r="AI107" s="112">
        <v>0</v>
      </c>
      <c r="AJ107" s="112">
        <v>0</v>
      </c>
      <c r="AK107" s="112">
        <v>0</v>
      </c>
      <c r="AL107" s="112">
        <v>0</v>
      </c>
      <c r="AM107" s="112">
        <v>0</v>
      </c>
      <c r="AN107" s="112">
        <v>0</v>
      </c>
      <c r="AO107" s="112">
        <v>0</v>
      </c>
      <c r="AP107" s="112">
        <v>0</v>
      </c>
      <c r="AQ107" s="112">
        <v>0</v>
      </c>
      <c r="AR107" s="112">
        <v>0</v>
      </c>
      <c r="AS107" s="112">
        <v>0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0</v>
      </c>
      <c r="W108" s="131">
        <v>0</v>
      </c>
      <c r="X108" s="131">
        <v>0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0</v>
      </c>
      <c r="AL108" s="131">
        <v>0</v>
      </c>
      <c r="AM108" s="131">
        <v>0</v>
      </c>
      <c r="AN108" s="131">
        <v>0</v>
      </c>
      <c r="AO108" s="131">
        <v>0</v>
      </c>
      <c r="AP108" s="131">
        <v>0</v>
      </c>
      <c r="AQ108" s="131">
        <v>0</v>
      </c>
      <c r="AR108" s="131">
        <v>0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0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0</v>
      </c>
      <c r="N122" s="112">
        <v>0</v>
      </c>
      <c r="O122" s="112">
        <v>0</v>
      </c>
      <c r="P122" s="112">
        <v>0</v>
      </c>
      <c r="Q122" s="112">
        <v>0</v>
      </c>
      <c r="R122" s="112">
        <v>0</v>
      </c>
      <c r="S122" s="112">
        <v>0</v>
      </c>
      <c r="T122" s="112">
        <v>0</v>
      </c>
      <c r="U122" s="112">
        <v>0</v>
      </c>
      <c r="V122" s="112">
        <v>0</v>
      </c>
      <c r="W122" s="112">
        <v>0</v>
      </c>
      <c r="X122" s="112">
        <v>0</v>
      </c>
      <c r="Y122" s="112">
        <v>0</v>
      </c>
      <c r="Z122" s="112">
        <v>0</v>
      </c>
      <c r="AA122" s="112">
        <v>0</v>
      </c>
      <c r="AB122" s="112">
        <v>0</v>
      </c>
      <c r="AC122" s="112">
        <v>0</v>
      </c>
      <c r="AD122" s="112">
        <v>0</v>
      </c>
      <c r="AE122" s="112">
        <v>0</v>
      </c>
      <c r="AF122" s="112">
        <v>0</v>
      </c>
      <c r="AG122" s="112">
        <v>0</v>
      </c>
      <c r="AH122" s="112">
        <v>0</v>
      </c>
      <c r="AI122" s="112">
        <v>0</v>
      </c>
      <c r="AJ122" s="112">
        <v>0</v>
      </c>
      <c r="AK122" s="112">
        <v>0</v>
      </c>
      <c r="AL122" s="112">
        <v>0</v>
      </c>
      <c r="AM122" s="112">
        <v>0</v>
      </c>
      <c r="AN122" s="112">
        <v>0</v>
      </c>
      <c r="AO122" s="112">
        <v>0</v>
      </c>
      <c r="AP122" s="112">
        <v>0</v>
      </c>
      <c r="AQ122" s="112">
        <v>0</v>
      </c>
      <c r="AR122" s="112">
        <v>0</v>
      </c>
      <c r="AS122" s="112">
        <v>0</v>
      </c>
      <c r="AT122" s="112">
        <v>0</v>
      </c>
      <c r="AU122" s="112">
        <v>0</v>
      </c>
      <c r="AV122" s="112">
        <v>0</v>
      </c>
      <c r="AW122" s="112">
        <v>0</v>
      </c>
      <c r="AX122" s="112">
        <v>0</v>
      </c>
      <c r="AY122" s="112">
        <v>0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0</v>
      </c>
      <c r="S123" s="112">
        <v>0</v>
      </c>
      <c r="T123" s="112">
        <v>0</v>
      </c>
      <c r="U123" s="112">
        <v>0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0</v>
      </c>
      <c r="AP123" s="112">
        <v>0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0.27540347480877819</v>
      </c>
      <c r="E172" s="140">
        <v>0.27540347480877819</v>
      </c>
      <c r="F172" s="140">
        <v>0.27540347480877819</v>
      </c>
      <c r="G172" s="140">
        <v>0.27540347480877819</v>
      </c>
      <c r="H172" s="140">
        <v>0.27540347480877819</v>
      </c>
      <c r="I172" s="140">
        <v>0.27540347480877819</v>
      </c>
      <c r="J172" s="140">
        <v>0.27540347480877819</v>
      </c>
      <c r="K172" s="140">
        <v>0.27540347480877819</v>
      </c>
      <c r="L172" s="140">
        <v>0.27540347480877819</v>
      </c>
      <c r="M172" s="140">
        <v>0.27540347480877819</v>
      </c>
      <c r="N172" s="140">
        <v>0.27540347480877819</v>
      </c>
      <c r="O172" s="140">
        <v>0.27540347480877819</v>
      </c>
      <c r="P172" s="140">
        <v>0.27540347480877819</v>
      </c>
      <c r="Q172" s="140">
        <v>0.27540347480877819</v>
      </c>
      <c r="R172" s="140">
        <v>0.27540347480877819</v>
      </c>
      <c r="S172" s="140">
        <v>0.27540347480877819</v>
      </c>
      <c r="T172" s="140">
        <v>0.27540347480877819</v>
      </c>
      <c r="U172" s="140">
        <v>0.27540347480877819</v>
      </c>
      <c r="V172" s="140">
        <v>0.27540347480877819</v>
      </c>
      <c r="W172" s="140">
        <v>0.27540347480877819</v>
      </c>
      <c r="X172" s="140">
        <v>0.27540347480877819</v>
      </c>
      <c r="Y172" s="140">
        <v>0.27540347480877819</v>
      </c>
      <c r="Z172" s="140">
        <v>0.27540347480877819</v>
      </c>
      <c r="AA172" s="140">
        <v>0.27540347480877819</v>
      </c>
      <c r="AB172" s="140">
        <v>0.27540347480877819</v>
      </c>
      <c r="AC172" s="140">
        <v>0.27540347480877819</v>
      </c>
      <c r="AD172" s="140">
        <v>0.27540347480877819</v>
      </c>
      <c r="AE172" s="140">
        <v>0.27540347480877819</v>
      </c>
      <c r="AF172" s="140">
        <v>0.27540347480877819</v>
      </c>
      <c r="AG172" s="140">
        <v>0.27540347480877819</v>
      </c>
      <c r="AH172" s="140">
        <v>0.27540347480877819</v>
      </c>
      <c r="AI172" s="140">
        <v>0.27540347480877819</v>
      </c>
      <c r="AJ172" s="140">
        <v>0.27540347480877819</v>
      </c>
      <c r="AK172" s="140">
        <v>0.27540347480877819</v>
      </c>
      <c r="AL172" s="140">
        <v>0.27540347480877819</v>
      </c>
      <c r="AM172" s="140">
        <v>0.27540347480877819</v>
      </c>
      <c r="AN172" s="140">
        <v>0.27540347480877819</v>
      </c>
      <c r="AO172" s="140">
        <v>0.27540347480877819</v>
      </c>
      <c r="AP172" s="140">
        <v>0.27540347480877819</v>
      </c>
      <c r="AQ172" s="140">
        <v>0.27540347480877819</v>
      </c>
      <c r="AR172" s="140">
        <v>0.27540347480877819</v>
      </c>
      <c r="AS172" s="140">
        <v>0.27540347480877819</v>
      </c>
      <c r="AT172" s="140">
        <v>0.27540347480877819</v>
      </c>
      <c r="AU172" s="140">
        <v>0.27540347480877819</v>
      </c>
      <c r="AV172" s="140">
        <v>0.27540347480877819</v>
      </c>
      <c r="AW172" s="140">
        <v>0.27540347480877819</v>
      </c>
      <c r="AX172" s="140">
        <v>0.27540347480877819</v>
      </c>
      <c r="AY172" s="140">
        <v>0.27540347480877819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3342.7265635085287</v>
      </c>
      <c r="E175" s="130">
        <f t="shared" si="1"/>
        <v>6060.4531270170573</v>
      </c>
      <c r="F175" s="130">
        <f t="shared" si="1"/>
        <v>8664.1796905255869</v>
      </c>
      <c r="G175" s="130">
        <f t="shared" si="1"/>
        <v>11339.906254034115</v>
      </c>
      <c r="H175" s="130">
        <f t="shared" si="1"/>
        <v>13153.026254034114</v>
      </c>
      <c r="I175" s="130">
        <f t="shared" si="1"/>
        <v>12935.146254034116</v>
      </c>
      <c r="J175" s="130">
        <f t="shared" si="1"/>
        <v>12717.266254034115</v>
      </c>
      <c r="K175" s="130">
        <f t="shared" si="1"/>
        <v>12499.386254034116</v>
      </c>
      <c r="L175" s="130">
        <f t="shared" si="1"/>
        <v>12499.386254034116</v>
      </c>
      <c r="M175" s="130">
        <f t="shared" si="1"/>
        <v>12499.386254034116</v>
      </c>
      <c r="N175" s="130">
        <f t="shared" si="1"/>
        <v>12499.386254034116</v>
      </c>
      <c r="O175" s="130">
        <f t="shared" si="1"/>
        <v>12499.386254034116</v>
      </c>
      <c r="P175" s="130">
        <f t="shared" si="1"/>
        <v>12717.266254034115</v>
      </c>
      <c r="Q175" s="130">
        <f t="shared" si="1"/>
        <v>12935.146254034114</v>
      </c>
      <c r="R175" s="130">
        <f t="shared" si="1"/>
        <v>13153.026254034115</v>
      </c>
      <c r="S175" s="130">
        <f t="shared" si="1"/>
        <v>13370.906254034115</v>
      </c>
      <c r="T175" s="130">
        <f t="shared" si="1"/>
        <v>13066.463034301822</v>
      </c>
      <c r="U175" s="130">
        <f t="shared" si="1"/>
        <v>12762.189735665554</v>
      </c>
      <c r="V175" s="130">
        <f t="shared" si="1"/>
        <v>12458.085924737985</v>
      </c>
      <c r="W175" s="130">
        <f t="shared" si="1"/>
        <v>12240.205924737984</v>
      </c>
      <c r="X175" s="130">
        <f t="shared" si="1"/>
        <v>12326.769144470278</v>
      </c>
      <c r="Y175" s="130">
        <f t="shared" si="1"/>
        <v>12413.162443106547</v>
      </c>
      <c r="Z175" s="130">
        <f t="shared" si="1"/>
        <v>12499.386254034116</v>
      </c>
      <c r="AA175" s="130">
        <f t="shared" si="1"/>
        <v>12499.386254034116</v>
      </c>
      <c r="AB175" s="130">
        <f t="shared" si="1"/>
        <v>12717.266254034115</v>
      </c>
      <c r="AC175" s="130">
        <f t="shared" si="1"/>
        <v>12935.146254034114</v>
      </c>
      <c r="AD175" s="130">
        <f t="shared" si="1"/>
        <v>12807.903463664969</v>
      </c>
      <c r="AE175" s="130">
        <f t="shared" si="1"/>
        <v>13025.783463664968</v>
      </c>
      <c r="AF175" s="130">
        <f t="shared" si="1"/>
        <v>12723.344719349428</v>
      </c>
      <c r="AG175" s="130">
        <f t="shared" si="1"/>
        <v>12505.464719349431</v>
      </c>
      <c r="AH175" s="130">
        <f t="shared" si="1"/>
        <v>12632.707509718573</v>
      </c>
      <c r="AI175" s="130">
        <f t="shared" si="1"/>
        <v>12414.827509718576</v>
      </c>
      <c r="AJ175" s="130">
        <f t="shared" si="1"/>
        <v>12499.386254034116</v>
      </c>
      <c r="AK175" s="130">
        <f t="shared" si="1"/>
        <v>12499.386254034116</v>
      </c>
      <c r="AL175" s="130">
        <f t="shared" si="1"/>
        <v>12499.386254034116</v>
      </c>
      <c r="AM175" s="130">
        <f t="shared" si="1"/>
        <v>12499.386254034116</v>
      </c>
      <c r="AN175" s="130">
        <f t="shared" si="1"/>
        <v>12717.266254034115</v>
      </c>
      <c r="AO175" s="130">
        <f t="shared" si="1"/>
        <v>12935.146254034114</v>
      </c>
      <c r="AP175" s="130">
        <f t="shared" si="1"/>
        <v>13153.026254034115</v>
      </c>
      <c r="AQ175" s="130">
        <f t="shared" si="1"/>
        <v>13370.906254034115</v>
      </c>
      <c r="AR175" s="130">
        <f t="shared" si="1"/>
        <v>13153.026254034114</v>
      </c>
      <c r="AS175" s="130">
        <f t="shared" si="1"/>
        <v>12935.146254034116</v>
      </c>
      <c r="AT175" s="130">
        <f t="shared" si="1"/>
        <v>12717.266254034115</v>
      </c>
      <c r="AU175" s="130">
        <f t="shared" si="1"/>
        <v>12499.386254034116</v>
      </c>
      <c r="AV175" s="130">
        <f t="shared" si="1"/>
        <v>12499.386254034116</v>
      </c>
      <c r="AW175" s="130">
        <f t="shared" si="1"/>
        <v>12499.386254034116</v>
      </c>
      <c r="AX175" s="130">
        <f t="shared" si="1"/>
        <v>12499.386254034116</v>
      </c>
      <c r="AY175" s="130">
        <f t="shared" si="1"/>
        <v>12499.386254034116</v>
      </c>
    </row>
    <row r="176" spans="1:52" x14ac:dyDescent="0.2">
      <c r="A176" s="131"/>
      <c r="B176" s="142" t="s">
        <v>298</v>
      </c>
      <c r="C176" s="131" t="s">
        <v>292</v>
      </c>
      <c r="D176" s="131">
        <v>625</v>
      </c>
      <c r="E176" s="131">
        <v>739</v>
      </c>
      <c r="F176" s="131">
        <v>667</v>
      </c>
      <c r="G176" s="131">
        <v>768</v>
      </c>
      <c r="H176" s="131">
        <v>1001</v>
      </c>
      <c r="I176" s="131">
        <v>914</v>
      </c>
      <c r="J176" s="131">
        <v>724</v>
      </c>
      <c r="K176" s="131">
        <v>862</v>
      </c>
      <c r="L176" s="131">
        <v>760</v>
      </c>
      <c r="M176" s="131">
        <v>533</v>
      </c>
      <c r="N176" s="131">
        <v>595</v>
      </c>
      <c r="O176" s="131">
        <v>577</v>
      </c>
      <c r="P176" s="131">
        <v>407</v>
      </c>
      <c r="Q176" s="131">
        <v>434</v>
      </c>
      <c r="R176" s="131">
        <v>410</v>
      </c>
      <c r="S176" s="131">
        <v>510</v>
      </c>
      <c r="T176" s="131">
        <v>573</v>
      </c>
      <c r="U176" s="131">
        <v>556</v>
      </c>
      <c r="V176" s="131">
        <v>667</v>
      </c>
      <c r="W176" s="131">
        <v>559</v>
      </c>
      <c r="X176" s="131">
        <v>731</v>
      </c>
      <c r="Y176" s="131">
        <v>694</v>
      </c>
      <c r="Z176" s="131">
        <v>734</v>
      </c>
      <c r="AA176" s="131">
        <v>890</v>
      </c>
      <c r="AB176" s="131">
        <v>218</v>
      </c>
      <c r="AC176" s="131">
        <v>209</v>
      </c>
      <c r="AD176" s="131">
        <v>216</v>
      </c>
      <c r="AE176" s="131">
        <v>282</v>
      </c>
      <c r="AF176" s="131">
        <v>325</v>
      </c>
      <c r="AG176" s="131">
        <v>322</v>
      </c>
      <c r="AH176" s="131">
        <v>259</v>
      </c>
      <c r="AI176" s="131">
        <v>311</v>
      </c>
      <c r="AJ176" s="131">
        <v>297</v>
      </c>
      <c r="AK176" s="131">
        <v>314</v>
      </c>
      <c r="AL176" s="131">
        <v>297</v>
      </c>
      <c r="AM176" s="131">
        <v>346</v>
      </c>
      <c r="AN176" s="131">
        <v>503</v>
      </c>
      <c r="AO176" s="131">
        <v>569</v>
      </c>
      <c r="AP176" s="131">
        <v>660</v>
      </c>
      <c r="AQ176" s="131">
        <v>655</v>
      </c>
      <c r="AR176" s="131">
        <v>388</v>
      </c>
      <c r="AS176" s="131">
        <v>375</v>
      </c>
      <c r="AT176" s="131">
        <v>319</v>
      </c>
      <c r="AU176" s="131">
        <v>317</v>
      </c>
      <c r="AV176" s="131">
        <v>268</v>
      </c>
      <c r="AW176" s="131">
        <v>256</v>
      </c>
      <c r="AX176" s="131">
        <v>212</v>
      </c>
      <c r="AY176" s="131">
        <v>277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273.74765262492122</v>
      </c>
      <c r="G177" s="130">
        <f t="shared" si="2"/>
        <v>273.74765262492122</v>
      </c>
      <c r="H177" s="130">
        <f t="shared" si="2"/>
        <v>273.74765262492122</v>
      </c>
      <c r="I177" s="130">
        <f t="shared" si="2"/>
        <v>273.74765262492122</v>
      </c>
      <c r="J177" s="130">
        <f t="shared" si="2"/>
        <v>243.33124677770775</v>
      </c>
      <c r="K177" s="130">
        <f t="shared" si="2"/>
        <v>243.33124677770775</v>
      </c>
      <c r="L177" s="130">
        <f t="shared" si="2"/>
        <v>243.33124677770775</v>
      </c>
      <c r="M177" s="130">
        <f t="shared" si="2"/>
        <v>243.33124677770775</v>
      </c>
      <c r="N177" s="130">
        <f t="shared" si="2"/>
        <v>243.33124677770775</v>
      </c>
      <c r="O177" s="130">
        <f t="shared" si="2"/>
        <v>243.33124677770775</v>
      </c>
      <c r="P177" s="130">
        <f t="shared" si="2"/>
        <v>243.33124677770775</v>
      </c>
      <c r="Q177" s="130">
        <f t="shared" si="2"/>
        <v>243.33124677770775</v>
      </c>
      <c r="R177" s="130">
        <f t="shared" si="2"/>
        <v>273.74765262492122</v>
      </c>
      <c r="S177" s="130">
        <f t="shared" si="2"/>
        <v>273.74765262492122</v>
      </c>
      <c r="T177" s="130">
        <f t="shared" si="2"/>
        <v>273.74765262492122</v>
      </c>
      <c r="U177" s="130">
        <f t="shared" si="2"/>
        <v>273.74765262492122</v>
      </c>
      <c r="V177" s="130">
        <f t="shared" si="2"/>
        <v>243.33124677770775</v>
      </c>
      <c r="W177" s="130">
        <f t="shared" si="2"/>
        <v>243.33124677770775</v>
      </c>
      <c r="X177" s="130">
        <f t="shared" si="2"/>
        <v>243.33124677770775</v>
      </c>
      <c r="Y177" s="130">
        <f t="shared" si="2"/>
        <v>243.33124677770775</v>
      </c>
      <c r="Z177" s="130">
        <f t="shared" si="2"/>
        <v>243.33124677770775</v>
      </c>
      <c r="AA177" s="130">
        <f t="shared" si="2"/>
        <v>243.33124677770775</v>
      </c>
      <c r="AB177" s="130">
        <f t="shared" si="2"/>
        <v>243.33124677770775</v>
      </c>
      <c r="AC177" s="130">
        <f t="shared" si="2"/>
        <v>243.33124677770775</v>
      </c>
      <c r="AD177" s="130">
        <f t="shared" si="2"/>
        <v>273.74765262492122</v>
      </c>
      <c r="AE177" s="130">
        <f t="shared" si="2"/>
        <v>273.74765262492122</v>
      </c>
      <c r="AF177" s="130">
        <f t="shared" si="2"/>
        <v>273.74765262492122</v>
      </c>
      <c r="AG177" s="130">
        <f t="shared" si="2"/>
        <v>273.74765262492122</v>
      </c>
      <c r="AH177" s="130">
        <f t="shared" si="2"/>
        <v>243.33124677770775</v>
      </c>
      <c r="AI177" s="130">
        <f t="shared" si="2"/>
        <v>243.33124677770775</v>
      </c>
      <c r="AJ177" s="130">
        <f t="shared" si="2"/>
        <v>243.33124677770775</v>
      </c>
      <c r="AK177" s="130">
        <f t="shared" si="2"/>
        <v>243.33124677770775</v>
      </c>
      <c r="AL177" s="130">
        <f t="shared" si="2"/>
        <v>243.33124677770775</v>
      </c>
      <c r="AM177" s="130">
        <f t="shared" si="2"/>
        <v>243.33124677770775</v>
      </c>
      <c r="AN177" s="130">
        <f t="shared" si="2"/>
        <v>243.33124677770775</v>
      </c>
      <c r="AO177" s="130">
        <f t="shared" si="2"/>
        <v>243.33124677770775</v>
      </c>
      <c r="AP177" s="130">
        <f t="shared" si="2"/>
        <v>273.74765262492122</v>
      </c>
      <c r="AQ177" s="130">
        <f t="shared" si="2"/>
        <v>273.74765262492122</v>
      </c>
      <c r="AR177" s="130">
        <f t="shared" si="2"/>
        <v>273.74765262492122</v>
      </c>
      <c r="AS177" s="130">
        <f t="shared" si="2"/>
        <v>273.74765262492122</v>
      </c>
      <c r="AT177" s="130">
        <f t="shared" si="2"/>
        <v>243.33124677770775</v>
      </c>
      <c r="AU177" s="130">
        <f t="shared" si="2"/>
        <v>0</v>
      </c>
      <c r="AV177" s="130">
        <f t="shared" si="2"/>
        <v>486.66249355541549</v>
      </c>
      <c r="AW177" s="130">
        <f t="shared" si="2"/>
        <v>243.33124677770775</v>
      </c>
      <c r="AX177" s="130">
        <f t="shared" si="2"/>
        <v>243.33124677770775</v>
      </c>
      <c r="AY177" s="130">
        <f t="shared" si="2"/>
        <v>243.33124677770775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273.74765262492122</v>
      </c>
      <c r="G178" s="131">
        <v>273.74765262492122</v>
      </c>
      <c r="H178" s="131">
        <v>273.74765262492122</v>
      </c>
      <c r="I178" s="131">
        <v>273.74765262492122</v>
      </c>
      <c r="J178" s="131">
        <v>243.33124677770775</v>
      </c>
      <c r="K178" s="131">
        <v>243.33124677770775</v>
      </c>
      <c r="L178" s="131">
        <v>243.33124677770775</v>
      </c>
      <c r="M178" s="131">
        <v>243.33124677770775</v>
      </c>
      <c r="N178" s="131">
        <v>243.33124677770775</v>
      </c>
      <c r="O178" s="131">
        <v>243.33124677770775</v>
      </c>
      <c r="P178" s="131">
        <v>243.33124677770775</v>
      </c>
      <c r="Q178" s="131">
        <v>243.33124677770775</v>
      </c>
      <c r="R178" s="131">
        <v>273.74765262492122</v>
      </c>
      <c r="S178" s="131">
        <v>273.74765262492122</v>
      </c>
      <c r="T178" s="131">
        <v>273.74765262492122</v>
      </c>
      <c r="U178" s="131">
        <v>273.74765262492122</v>
      </c>
      <c r="V178" s="131">
        <v>243.33124677770775</v>
      </c>
      <c r="W178" s="131">
        <v>243.33124677770775</v>
      </c>
      <c r="X178" s="131">
        <v>243.33124677770775</v>
      </c>
      <c r="Y178" s="131">
        <v>243.33124677770775</v>
      </c>
      <c r="Z178" s="131">
        <v>243.33124677770775</v>
      </c>
      <c r="AA178" s="131">
        <v>243.33124677770775</v>
      </c>
      <c r="AB178" s="131">
        <v>243.33124677770775</v>
      </c>
      <c r="AC178" s="131">
        <v>243.33124677770775</v>
      </c>
      <c r="AD178" s="131">
        <v>273.74765262492122</v>
      </c>
      <c r="AE178" s="131">
        <v>273.74765262492122</v>
      </c>
      <c r="AF178" s="131">
        <v>273.74765262492122</v>
      </c>
      <c r="AG178" s="131">
        <v>273.74765262492122</v>
      </c>
      <c r="AH178" s="131">
        <v>243.33124677770775</v>
      </c>
      <c r="AI178" s="131">
        <v>243.33124677770775</v>
      </c>
      <c r="AJ178" s="131">
        <v>243.33124677770775</v>
      </c>
      <c r="AK178" s="131">
        <v>243.33124677770775</v>
      </c>
      <c r="AL178" s="131">
        <v>243.33124677770775</v>
      </c>
      <c r="AM178" s="131">
        <v>243.33124677770775</v>
      </c>
      <c r="AN178" s="131">
        <v>243.33124677770775</v>
      </c>
      <c r="AO178" s="131">
        <v>243.33124677770775</v>
      </c>
      <c r="AP178" s="131">
        <v>273.74765262492122</v>
      </c>
      <c r="AQ178" s="131">
        <v>273.74765262492122</v>
      </c>
      <c r="AR178" s="131">
        <v>273.74765262492122</v>
      </c>
      <c r="AS178" s="131">
        <v>273.74765262492122</v>
      </c>
      <c r="AT178" s="131">
        <v>243.33124677770775</v>
      </c>
      <c r="AU178" s="131">
        <v>0</v>
      </c>
      <c r="AV178" s="131">
        <v>486.66249355541549</v>
      </c>
      <c r="AW178" s="131">
        <v>243.33124677770775</v>
      </c>
      <c r="AX178" s="131">
        <v>243.33124677770775</v>
      </c>
      <c r="AY178" s="131">
        <v>243.33124677770775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0</v>
      </c>
      <c r="I181" s="130">
        <f t="shared" si="4"/>
        <v>0</v>
      </c>
      <c r="J181" s="130">
        <f t="shared" si="4"/>
        <v>0</v>
      </c>
      <c r="K181" s="130">
        <f t="shared" si="4"/>
        <v>0</v>
      </c>
      <c r="L181" s="130">
        <f t="shared" si="4"/>
        <v>0</v>
      </c>
      <c r="M181" s="130">
        <f t="shared" si="4"/>
        <v>0</v>
      </c>
      <c r="N181" s="130">
        <f t="shared" si="4"/>
        <v>0</v>
      </c>
      <c r="O181" s="130">
        <f t="shared" si="4"/>
        <v>0</v>
      </c>
      <c r="P181" s="130">
        <f t="shared" si="4"/>
        <v>0</v>
      </c>
      <c r="Q181" s="130">
        <f t="shared" si="4"/>
        <v>0</v>
      </c>
      <c r="R181" s="130">
        <f t="shared" si="4"/>
        <v>0</v>
      </c>
      <c r="S181" s="130">
        <f t="shared" si="4"/>
        <v>0</v>
      </c>
      <c r="T181" s="130">
        <f t="shared" si="4"/>
        <v>0</v>
      </c>
      <c r="U181" s="130">
        <f t="shared" si="4"/>
        <v>0</v>
      </c>
      <c r="V181" s="130">
        <f t="shared" si="4"/>
        <v>0</v>
      </c>
      <c r="W181" s="130">
        <f t="shared" si="4"/>
        <v>0</v>
      </c>
      <c r="X181" s="130">
        <f t="shared" si="4"/>
        <v>0</v>
      </c>
      <c r="Y181" s="130">
        <f t="shared" si="4"/>
        <v>0</v>
      </c>
      <c r="Z181" s="130">
        <f t="shared" si="4"/>
        <v>0</v>
      </c>
      <c r="AA181" s="130">
        <f t="shared" si="4"/>
        <v>0</v>
      </c>
      <c r="AB181" s="130">
        <f t="shared" si="4"/>
        <v>0</v>
      </c>
      <c r="AC181" s="130">
        <f t="shared" si="4"/>
        <v>0</v>
      </c>
      <c r="AD181" s="130">
        <f t="shared" si="4"/>
        <v>0</v>
      </c>
      <c r="AE181" s="130">
        <f t="shared" si="4"/>
        <v>0</v>
      </c>
      <c r="AF181" s="130">
        <f t="shared" si="4"/>
        <v>0</v>
      </c>
      <c r="AG181" s="130">
        <f t="shared" si="4"/>
        <v>0</v>
      </c>
      <c r="AH181" s="130">
        <f t="shared" si="4"/>
        <v>0</v>
      </c>
      <c r="AI181" s="130">
        <f t="shared" si="4"/>
        <v>0</v>
      </c>
      <c r="AJ181" s="130">
        <f t="shared" si="4"/>
        <v>0</v>
      </c>
      <c r="AK181" s="130">
        <f t="shared" si="4"/>
        <v>0</v>
      </c>
      <c r="AL181" s="130">
        <f t="shared" si="4"/>
        <v>0</v>
      </c>
      <c r="AM181" s="130">
        <f t="shared" si="4"/>
        <v>0</v>
      </c>
      <c r="AN181" s="130">
        <f t="shared" si="4"/>
        <v>0</v>
      </c>
      <c r="AO181" s="130">
        <f t="shared" si="4"/>
        <v>0</v>
      </c>
      <c r="AP181" s="130">
        <f t="shared" si="4"/>
        <v>0</v>
      </c>
      <c r="AQ181" s="130">
        <f t="shared" si="4"/>
        <v>0</v>
      </c>
      <c r="AR181" s="130">
        <f t="shared" si="4"/>
        <v>0</v>
      </c>
      <c r="AS181" s="130">
        <f t="shared" si="4"/>
        <v>0</v>
      </c>
      <c r="AT181" s="130">
        <f t="shared" si="4"/>
        <v>0</v>
      </c>
      <c r="AU181" s="130">
        <f t="shared" si="4"/>
        <v>0</v>
      </c>
      <c r="AV181" s="130">
        <f t="shared" si="4"/>
        <v>0</v>
      </c>
      <c r="AW181" s="130">
        <f t="shared" si="4"/>
        <v>0</v>
      </c>
      <c r="AX181" s="130">
        <f t="shared" si="4"/>
        <v>0</v>
      </c>
      <c r="AY181" s="130">
        <f t="shared" si="4"/>
        <v>0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0</v>
      </c>
      <c r="I182" s="131">
        <v>0</v>
      </c>
      <c r="J182" s="131">
        <v>0</v>
      </c>
      <c r="K182" s="131">
        <v>0</v>
      </c>
      <c r="L182" s="131">
        <v>0</v>
      </c>
      <c r="M182" s="131">
        <v>0</v>
      </c>
      <c r="N182" s="131">
        <v>0</v>
      </c>
      <c r="O182" s="131">
        <v>0</v>
      </c>
      <c r="P182" s="131">
        <v>0</v>
      </c>
      <c r="Q182" s="131">
        <v>0</v>
      </c>
      <c r="R182" s="131">
        <v>0</v>
      </c>
      <c r="S182" s="131">
        <v>0</v>
      </c>
      <c r="T182" s="131">
        <v>0</v>
      </c>
      <c r="U182" s="131">
        <v>0</v>
      </c>
      <c r="V182" s="131">
        <v>0</v>
      </c>
      <c r="W182" s="131">
        <v>0</v>
      </c>
      <c r="X182" s="131">
        <v>0</v>
      </c>
      <c r="Y182" s="131">
        <v>0</v>
      </c>
      <c r="Z182" s="131">
        <v>0</v>
      </c>
      <c r="AA182" s="131">
        <v>0</v>
      </c>
      <c r="AB182" s="131">
        <v>0</v>
      </c>
      <c r="AC182" s="131">
        <v>0</v>
      </c>
      <c r="AD182" s="131">
        <v>0</v>
      </c>
      <c r="AE182" s="131">
        <v>0</v>
      </c>
      <c r="AF182" s="131">
        <v>0</v>
      </c>
      <c r="AG182" s="131">
        <v>0</v>
      </c>
      <c r="AH182" s="131">
        <v>0</v>
      </c>
      <c r="AI182" s="131">
        <v>0</v>
      </c>
      <c r="AJ182" s="131">
        <v>0</v>
      </c>
      <c r="AK182" s="131">
        <v>0</v>
      </c>
      <c r="AL182" s="131">
        <v>0</v>
      </c>
      <c r="AM182" s="131">
        <v>0</v>
      </c>
      <c r="AN182" s="131">
        <v>0</v>
      </c>
      <c r="AO182" s="131">
        <v>0</v>
      </c>
      <c r="AP182" s="131">
        <v>0</v>
      </c>
      <c r="AQ182" s="131">
        <v>0</v>
      </c>
      <c r="AR182" s="131">
        <v>0</v>
      </c>
      <c r="AS182" s="131">
        <v>0</v>
      </c>
      <c r="AT182" s="131">
        <v>0</v>
      </c>
      <c r="AU182" s="131">
        <v>0</v>
      </c>
      <c r="AV182" s="131">
        <v>0</v>
      </c>
      <c r="AW182" s="131">
        <v>0</v>
      </c>
      <c r="AX182" s="131">
        <v>0</v>
      </c>
      <c r="AY182" s="131">
        <v>0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625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739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667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768</v>
      </c>
      <c r="H188" s="112">
        <v>1001</v>
      </c>
      <c r="I188" s="112">
        <v>914</v>
      </c>
      <c r="J188" s="112">
        <v>724</v>
      </c>
      <c r="K188" s="112">
        <v>862</v>
      </c>
      <c r="L188" s="112">
        <v>760</v>
      </c>
      <c r="M188" s="112">
        <v>533</v>
      </c>
      <c r="N188" s="112">
        <v>595</v>
      </c>
      <c r="O188" s="112">
        <v>577</v>
      </c>
      <c r="P188" s="112">
        <v>407</v>
      </c>
      <c r="Q188" s="112">
        <v>434</v>
      </c>
      <c r="R188" s="112">
        <v>410</v>
      </c>
      <c r="S188" s="112">
        <v>510</v>
      </c>
      <c r="T188" s="112">
        <v>573</v>
      </c>
      <c r="U188" s="112">
        <v>556</v>
      </c>
      <c r="V188" s="112">
        <v>667</v>
      </c>
      <c r="W188" s="112">
        <v>559</v>
      </c>
      <c r="X188" s="112">
        <v>731</v>
      </c>
      <c r="Y188" s="112">
        <v>694</v>
      </c>
      <c r="Z188" s="112">
        <v>734</v>
      </c>
      <c r="AA188" s="112">
        <v>890</v>
      </c>
      <c r="AB188" s="112">
        <v>218</v>
      </c>
      <c r="AC188" s="112">
        <v>209</v>
      </c>
      <c r="AD188" s="112">
        <v>216</v>
      </c>
      <c r="AE188" s="112">
        <v>282</v>
      </c>
      <c r="AF188" s="112">
        <v>325</v>
      </c>
      <c r="AG188" s="112">
        <v>322</v>
      </c>
      <c r="AH188" s="112">
        <v>259</v>
      </c>
      <c r="AI188" s="112">
        <v>311</v>
      </c>
      <c r="AJ188" s="112">
        <v>297</v>
      </c>
      <c r="AK188" s="112">
        <v>314</v>
      </c>
      <c r="AL188" s="112">
        <v>297</v>
      </c>
      <c r="AM188" s="112">
        <v>346</v>
      </c>
      <c r="AN188" s="112">
        <v>503</v>
      </c>
      <c r="AO188" s="112">
        <v>569</v>
      </c>
      <c r="AP188" s="112">
        <v>660</v>
      </c>
      <c r="AQ188" s="112">
        <v>655</v>
      </c>
      <c r="AR188" s="112">
        <v>388</v>
      </c>
      <c r="AS188" s="112">
        <v>375</v>
      </c>
      <c r="AT188" s="112">
        <v>319</v>
      </c>
      <c r="AU188" s="112">
        <v>317</v>
      </c>
      <c r="AV188" s="112">
        <v>268</v>
      </c>
      <c r="AW188" s="112">
        <v>256</v>
      </c>
      <c r="AX188" s="112">
        <v>212</v>
      </c>
      <c r="AY188" s="112">
        <v>277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273.74765262492122</v>
      </c>
      <c r="G189" s="130">
        <v>273.74765262492122</v>
      </c>
      <c r="H189" s="130">
        <v>273.74765262492122</v>
      </c>
      <c r="I189" s="130">
        <v>273.74765262492122</v>
      </c>
      <c r="J189" s="130">
        <v>243.33124677770775</v>
      </c>
      <c r="K189" s="130">
        <v>243.33124677770775</v>
      </c>
      <c r="L189" s="130">
        <v>243.33124677770775</v>
      </c>
      <c r="M189" s="130">
        <v>243.33124677770775</v>
      </c>
      <c r="N189" s="130">
        <v>243.33124677770775</v>
      </c>
      <c r="O189" s="130">
        <v>243.33124677770775</v>
      </c>
      <c r="P189" s="130">
        <v>243.33124677770775</v>
      </c>
      <c r="Q189" s="130">
        <v>243.33124677770775</v>
      </c>
      <c r="R189" s="130">
        <v>273.74765262492122</v>
      </c>
      <c r="S189" s="130">
        <v>273.74765262492122</v>
      </c>
      <c r="T189" s="130">
        <v>273.74765262492122</v>
      </c>
      <c r="U189" s="130">
        <v>273.74765262492122</v>
      </c>
      <c r="V189" s="130">
        <v>243.33124677770775</v>
      </c>
      <c r="W189" s="130">
        <v>243.33124677770775</v>
      </c>
      <c r="X189" s="130">
        <v>243.33124677770775</v>
      </c>
      <c r="Y189" s="130">
        <v>243.33124677770775</v>
      </c>
      <c r="Z189" s="130">
        <v>243.33124677770775</v>
      </c>
      <c r="AA189" s="130">
        <v>243.33124677770775</v>
      </c>
      <c r="AB189" s="130">
        <v>243.33124677770775</v>
      </c>
      <c r="AC189" s="130">
        <v>243.33124677770775</v>
      </c>
      <c r="AD189" s="130">
        <v>273.74765262492122</v>
      </c>
      <c r="AE189" s="130">
        <v>273.74765262492122</v>
      </c>
      <c r="AF189" s="130">
        <v>273.74765262492122</v>
      </c>
      <c r="AG189" s="130">
        <v>273.74765262492122</v>
      </c>
      <c r="AH189" s="130">
        <v>243.33124677770775</v>
      </c>
      <c r="AI189" s="130">
        <v>243.33124677770775</v>
      </c>
      <c r="AJ189" s="130">
        <v>243.33124677770775</v>
      </c>
      <c r="AK189" s="130">
        <v>243.33124677770775</v>
      </c>
      <c r="AL189" s="130">
        <v>243.33124677770775</v>
      </c>
      <c r="AM189" s="130">
        <v>243.33124677770775</v>
      </c>
      <c r="AN189" s="130">
        <v>243.33124677770775</v>
      </c>
      <c r="AO189" s="130">
        <v>243.33124677770775</v>
      </c>
      <c r="AP189" s="130">
        <v>273.74765262492122</v>
      </c>
      <c r="AQ189" s="130">
        <v>273.74765262492122</v>
      </c>
      <c r="AR189" s="130">
        <v>273.74765262492122</v>
      </c>
      <c r="AS189" s="130">
        <v>273.74765262492122</v>
      </c>
      <c r="AT189" s="130">
        <v>243.33124677770775</v>
      </c>
      <c r="AU189" s="130">
        <v>0</v>
      </c>
      <c r="AV189" s="130">
        <v>486.66249355541549</v>
      </c>
      <c r="AW189" s="130">
        <v>243.33124677770775</v>
      </c>
      <c r="AX189" s="130">
        <v>243.33124677770775</v>
      </c>
      <c r="AY189" s="130">
        <v>243.33124677770775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0</v>
      </c>
      <c r="J190" s="112">
        <v>0</v>
      </c>
      <c r="K190" s="112">
        <v>0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0</v>
      </c>
      <c r="L191" s="112">
        <v>0</v>
      </c>
      <c r="M191" s="112">
        <v>0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0</v>
      </c>
      <c r="N192" s="112">
        <v>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0</v>
      </c>
      <c r="AY192" s="112">
        <v>0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0</v>
      </c>
      <c r="P193" s="112">
        <v>0</v>
      </c>
      <c r="Q193" s="112">
        <v>0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0</v>
      </c>
      <c r="AU193" s="112">
        <v>0</v>
      </c>
      <c r="AV193" s="112">
        <v>0</v>
      </c>
      <c r="AW193" s="112">
        <v>0</v>
      </c>
      <c r="AX193" s="112">
        <v>0</v>
      </c>
      <c r="AY193" s="112">
        <v>0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0</v>
      </c>
      <c r="Q194" s="112">
        <v>0</v>
      </c>
      <c r="R194" s="112">
        <v>0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0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0</v>
      </c>
      <c r="AT194" s="112">
        <v>0</v>
      </c>
      <c r="AU194" s="112">
        <v>0</v>
      </c>
      <c r="AV194" s="112">
        <v>0</v>
      </c>
      <c r="AW194" s="112">
        <v>0</v>
      </c>
      <c r="AX194" s="112">
        <v>0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0</v>
      </c>
      <c r="T195" s="112">
        <v>0</v>
      </c>
      <c r="U195" s="112">
        <v>0</v>
      </c>
      <c r="V195" s="112">
        <v>0</v>
      </c>
      <c r="W195" s="112">
        <v>0</v>
      </c>
      <c r="X195" s="112">
        <v>0</v>
      </c>
      <c r="Y195" s="112">
        <v>0</v>
      </c>
      <c r="Z195" s="112">
        <v>0</v>
      </c>
      <c r="AA195" s="112">
        <v>0</v>
      </c>
      <c r="AB195" s="112">
        <v>0</v>
      </c>
      <c r="AC195" s="112">
        <v>0</v>
      </c>
      <c r="AD195" s="112">
        <v>0</v>
      </c>
      <c r="AE195" s="112">
        <v>0</v>
      </c>
      <c r="AF195" s="112">
        <v>0</v>
      </c>
      <c r="AG195" s="112">
        <v>0</v>
      </c>
      <c r="AH195" s="112">
        <v>0</v>
      </c>
      <c r="AI195" s="112">
        <v>0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0</v>
      </c>
      <c r="AS195" s="112">
        <v>0</v>
      </c>
      <c r="AT195" s="112">
        <v>0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0</v>
      </c>
      <c r="U196" s="120">
        <v>0</v>
      </c>
      <c r="V196" s="120">
        <v>0</v>
      </c>
      <c r="W196" s="120">
        <v>0</v>
      </c>
      <c r="X196" s="120">
        <v>0</v>
      </c>
      <c r="Y196" s="120">
        <v>0</v>
      </c>
      <c r="Z196" s="120">
        <v>0</v>
      </c>
      <c r="AA196" s="120">
        <v>0</v>
      </c>
      <c r="AB196" s="120">
        <v>0</v>
      </c>
      <c r="AC196" s="120">
        <v>0</v>
      </c>
      <c r="AD196" s="120">
        <v>0</v>
      </c>
      <c r="AE196" s="120">
        <v>0</v>
      </c>
      <c r="AF196" s="120">
        <v>0</v>
      </c>
      <c r="AG196" s="120">
        <v>0</v>
      </c>
      <c r="AH196" s="120">
        <v>0</v>
      </c>
      <c r="AI196" s="120">
        <v>0</v>
      </c>
      <c r="AJ196" s="120">
        <v>0</v>
      </c>
      <c r="AK196" s="120">
        <v>0</v>
      </c>
      <c r="AL196" s="120">
        <v>0</v>
      </c>
      <c r="AM196" s="120">
        <v>0</v>
      </c>
      <c r="AN196" s="120">
        <v>0</v>
      </c>
      <c r="AO196" s="120">
        <v>0</v>
      </c>
      <c r="AP196" s="120">
        <v>0</v>
      </c>
      <c r="AQ196" s="120">
        <v>0</v>
      </c>
      <c r="AR196" s="120">
        <v>0</v>
      </c>
      <c r="AS196" s="120">
        <v>0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0</v>
      </c>
      <c r="I259" s="130">
        <f t="shared" si="5"/>
        <v>0</v>
      </c>
      <c r="J259" s="130">
        <f t="shared" si="5"/>
        <v>0</v>
      </c>
      <c r="K259" s="130">
        <f t="shared" si="5"/>
        <v>0</v>
      </c>
      <c r="L259" s="130">
        <f t="shared" si="5"/>
        <v>0</v>
      </c>
      <c r="M259" s="130">
        <f t="shared" si="5"/>
        <v>0</v>
      </c>
      <c r="N259" s="130">
        <f t="shared" si="5"/>
        <v>0</v>
      </c>
      <c r="O259" s="130">
        <f t="shared" si="5"/>
        <v>0</v>
      </c>
      <c r="P259" s="130">
        <f t="shared" si="5"/>
        <v>0</v>
      </c>
      <c r="Q259" s="130">
        <f t="shared" si="5"/>
        <v>0</v>
      </c>
      <c r="R259" s="130">
        <f t="shared" si="5"/>
        <v>0</v>
      </c>
      <c r="S259" s="130">
        <f t="shared" si="5"/>
        <v>0</v>
      </c>
      <c r="T259" s="130">
        <f t="shared" si="5"/>
        <v>0</v>
      </c>
      <c r="U259" s="130">
        <f t="shared" si="5"/>
        <v>0</v>
      </c>
      <c r="V259" s="130">
        <f t="shared" si="5"/>
        <v>0</v>
      </c>
      <c r="W259" s="130">
        <f t="shared" si="5"/>
        <v>0</v>
      </c>
      <c r="X259" s="130">
        <f t="shared" si="5"/>
        <v>0</v>
      </c>
      <c r="Y259" s="130">
        <f t="shared" si="5"/>
        <v>0</v>
      </c>
      <c r="Z259" s="130">
        <f t="shared" si="5"/>
        <v>0</v>
      </c>
      <c r="AA259" s="130">
        <f t="shared" si="5"/>
        <v>0</v>
      </c>
      <c r="AB259" s="130">
        <f t="shared" si="5"/>
        <v>0</v>
      </c>
      <c r="AC259" s="130">
        <f t="shared" si="5"/>
        <v>0</v>
      </c>
      <c r="AD259" s="130">
        <f t="shared" si="5"/>
        <v>0</v>
      </c>
      <c r="AE259" s="130">
        <f t="shared" si="5"/>
        <v>0</v>
      </c>
      <c r="AF259" s="130">
        <f t="shared" si="5"/>
        <v>0</v>
      </c>
      <c r="AG259" s="130">
        <f t="shared" si="5"/>
        <v>0</v>
      </c>
      <c r="AH259" s="130">
        <f t="shared" si="5"/>
        <v>0</v>
      </c>
      <c r="AI259" s="130">
        <f t="shared" si="5"/>
        <v>0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0</v>
      </c>
      <c r="AO259" s="130">
        <f t="shared" si="5"/>
        <v>0</v>
      </c>
      <c r="AP259" s="130">
        <f t="shared" si="5"/>
        <v>0</v>
      </c>
      <c r="AQ259" s="130">
        <f t="shared" si="5"/>
        <v>0</v>
      </c>
      <c r="AR259" s="130">
        <f t="shared" si="5"/>
        <v>0</v>
      </c>
      <c r="AS259" s="130">
        <f t="shared" si="5"/>
        <v>0</v>
      </c>
      <c r="AT259" s="130">
        <f t="shared" si="5"/>
        <v>0</v>
      </c>
      <c r="AU259" s="130">
        <f t="shared" si="5"/>
        <v>0</v>
      </c>
      <c r="AV259" s="130">
        <f t="shared" si="5"/>
        <v>0</v>
      </c>
      <c r="AW259" s="130">
        <f t="shared" si="5"/>
        <v>0</v>
      </c>
      <c r="AX259" s="130">
        <f t="shared" si="5"/>
        <v>0</v>
      </c>
      <c r="AY259" s="130">
        <f>AZ$14*$B$259</f>
        <v>0</v>
      </c>
      <c r="AZ259" s="145">
        <f>SUM($D259:$AY259)</f>
        <v>0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163063.59381051172</v>
      </c>
      <c r="E260" s="131">
        <f t="shared" ref="E260:AY260" si="6">(E$175-E$176+E$177-E$178+E$179-E$180+E$181-E$182)*$B$260</f>
        <v>319287.18762102345</v>
      </c>
      <c r="F260" s="131">
        <f t="shared" si="6"/>
        <v>479830.7814315352</v>
      </c>
      <c r="G260" s="131">
        <f t="shared" si="6"/>
        <v>634314.3752420469</v>
      </c>
      <c r="H260" s="131">
        <f t="shared" si="6"/>
        <v>729121.57524204685</v>
      </c>
      <c r="I260" s="131">
        <f t="shared" si="6"/>
        <v>721268.77524204692</v>
      </c>
      <c r="J260" s="131">
        <f t="shared" si="6"/>
        <v>719595.97524204687</v>
      </c>
      <c r="K260" s="131">
        <f t="shared" si="6"/>
        <v>698243.17524204706</v>
      </c>
      <c r="L260" s="131">
        <f t="shared" si="6"/>
        <v>704363.17524204706</v>
      </c>
      <c r="M260" s="131">
        <f t="shared" si="6"/>
        <v>717983.17524204706</v>
      </c>
      <c r="N260" s="131">
        <f t="shared" si="6"/>
        <v>714263.17524204706</v>
      </c>
      <c r="O260" s="131">
        <f t="shared" si="6"/>
        <v>715343.17524204706</v>
      </c>
      <c r="P260" s="131">
        <f t="shared" si="6"/>
        <v>738615.97524204687</v>
      </c>
      <c r="Q260" s="131">
        <f t="shared" si="6"/>
        <v>750068.77524204692</v>
      </c>
      <c r="R260" s="131">
        <f t="shared" si="6"/>
        <v>764581.57524204697</v>
      </c>
      <c r="S260" s="131">
        <f t="shared" si="6"/>
        <v>771654.3752420469</v>
      </c>
      <c r="T260" s="131">
        <f t="shared" si="6"/>
        <v>749607.7820581093</v>
      </c>
      <c r="U260" s="131">
        <f t="shared" si="6"/>
        <v>732371.38413993316</v>
      </c>
      <c r="V260" s="131">
        <f t="shared" si="6"/>
        <v>707465.15548427915</v>
      </c>
      <c r="W260" s="131">
        <f t="shared" si="6"/>
        <v>700872.35548427899</v>
      </c>
      <c r="X260" s="131">
        <f t="shared" si="6"/>
        <v>695746.14866821677</v>
      </c>
      <c r="Y260" s="131">
        <f t="shared" si="6"/>
        <v>703149.74658639275</v>
      </c>
      <c r="Z260" s="131">
        <f t="shared" si="6"/>
        <v>705923.17524204706</v>
      </c>
      <c r="AA260" s="131">
        <f t="shared" si="6"/>
        <v>696563.17524204706</v>
      </c>
      <c r="AB260" s="131">
        <f t="shared" si="6"/>
        <v>749955.97524204687</v>
      </c>
      <c r="AC260" s="131">
        <f t="shared" si="6"/>
        <v>763568.77524204692</v>
      </c>
      <c r="AD260" s="131">
        <f t="shared" si="6"/>
        <v>755514.20781989815</v>
      </c>
      <c r="AE260" s="131">
        <f t="shared" si="6"/>
        <v>764627.00781989808</v>
      </c>
      <c r="AF260" s="131">
        <f t="shared" si="6"/>
        <v>743900.68316096568</v>
      </c>
      <c r="AG260" s="131">
        <f t="shared" si="6"/>
        <v>731007.88316096587</v>
      </c>
      <c r="AH260" s="131">
        <f t="shared" si="6"/>
        <v>742422.45058311441</v>
      </c>
      <c r="AI260" s="131">
        <f t="shared" si="6"/>
        <v>726229.65058311459</v>
      </c>
      <c r="AJ260" s="131">
        <f t="shared" si="6"/>
        <v>732143.17524204706</v>
      </c>
      <c r="AK260" s="131">
        <f t="shared" si="6"/>
        <v>731123.17524204706</v>
      </c>
      <c r="AL260" s="131">
        <f t="shared" si="6"/>
        <v>732143.17524204706</v>
      </c>
      <c r="AM260" s="131">
        <f t="shared" si="6"/>
        <v>729203.17524204706</v>
      </c>
      <c r="AN260" s="131">
        <f t="shared" si="6"/>
        <v>732855.97524204687</v>
      </c>
      <c r="AO260" s="131">
        <f t="shared" si="6"/>
        <v>741968.77524204692</v>
      </c>
      <c r="AP260" s="131">
        <f t="shared" si="6"/>
        <v>749581.57524204697</v>
      </c>
      <c r="AQ260" s="131">
        <f t="shared" si="6"/>
        <v>762954.3752420469</v>
      </c>
      <c r="AR260" s="131">
        <f t="shared" si="6"/>
        <v>765901.57524204685</v>
      </c>
      <c r="AS260" s="131">
        <f t="shared" si="6"/>
        <v>753608.77524204692</v>
      </c>
      <c r="AT260" s="131">
        <f t="shared" si="6"/>
        <v>743895.97524204687</v>
      </c>
      <c r="AU260" s="131">
        <f t="shared" si="6"/>
        <v>730943.17524204694</v>
      </c>
      <c r="AV260" s="131">
        <f t="shared" si="6"/>
        <v>733883.17524204694</v>
      </c>
      <c r="AW260" s="131">
        <f t="shared" si="6"/>
        <v>734603.17524204706</v>
      </c>
      <c r="AX260" s="131">
        <f t="shared" si="6"/>
        <v>737243.17524204706</v>
      </c>
      <c r="AY260" s="131">
        <f t="shared" si="6"/>
        <v>733343.17524204706</v>
      </c>
      <c r="AZ260" s="147">
        <f>SUM($D260:$AY260)</f>
        <v>33855920.001399793</v>
      </c>
    </row>
  </sheetData>
  <pageMargins left="0.75" right="0.75" top="1" bottom="1" header="0.5" footer="0.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14.7109375" style="106" customWidth="1"/>
    <col min="2" max="2" width="12.7109375" style="106" customWidth="1"/>
    <col min="3" max="16384" width="9.140625" style="106"/>
  </cols>
  <sheetData>
    <row r="1" spans="1:53" x14ac:dyDescent="0.2">
      <c r="A1" s="108" t="s">
        <v>283</v>
      </c>
    </row>
    <row r="2" spans="1:53" x14ac:dyDescent="0.2">
      <c r="A2" s="106" t="s">
        <v>284</v>
      </c>
      <c r="B2" s="113" t="s">
        <v>59</v>
      </c>
    </row>
    <row r="3" spans="1:53" x14ac:dyDescent="0.2">
      <c r="A3" s="106" t="s">
        <v>285</v>
      </c>
      <c r="B3" s="114">
        <v>43000</v>
      </c>
      <c r="C3" s="115"/>
    </row>
    <row r="4" spans="1:53" x14ac:dyDescent="0.2">
      <c r="B4" s="116"/>
      <c r="C4" s="116"/>
    </row>
    <row r="5" spans="1:53" x14ac:dyDescent="0.2">
      <c r="C5" s="117" t="s">
        <v>286</v>
      </c>
    </row>
    <row r="6" spans="1:53" x14ac:dyDescent="0.2">
      <c r="C6" s="118">
        <v>0</v>
      </c>
      <c r="D6" s="118">
        <v>1</v>
      </c>
      <c r="E6" s="118">
        <v>2</v>
      </c>
      <c r="F6" s="118">
        <v>3</v>
      </c>
      <c r="G6" s="118">
        <v>4</v>
      </c>
      <c r="H6" s="118">
        <v>5</v>
      </c>
      <c r="I6" s="118">
        <v>6</v>
      </c>
      <c r="J6" s="118">
        <v>7</v>
      </c>
      <c r="K6" s="118">
        <v>8</v>
      </c>
      <c r="L6" s="118">
        <v>9</v>
      </c>
      <c r="M6" s="118">
        <v>10</v>
      </c>
      <c r="N6" s="118">
        <v>11</v>
      </c>
      <c r="O6" s="118">
        <v>12</v>
      </c>
      <c r="P6" s="118">
        <v>13</v>
      </c>
      <c r="Q6" s="118">
        <v>14</v>
      </c>
      <c r="R6" s="118">
        <v>15</v>
      </c>
      <c r="S6" s="118">
        <v>16</v>
      </c>
      <c r="T6" s="118">
        <v>17</v>
      </c>
      <c r="U6" s="118">
        <v>18</v>
      </c>
      <c r="V6" s="118">
        <v>19</v>
      </c>
      <c r="W6" s="118">
        <v>20</v>
      </c>
      <c r="X6" s="118">
        <v>21</v>
      </c>
      <c r="Y6" s="118">
        <v>22</v>
      </c>
      <c r="Z6" s="118">
        <v>23</v>
      </c>
      <c r="AA6" s="118">
        <v>24</v>
      </c>
      <c r="AB6" s="118">
        <v>25</v>
      </c>
      <c r="AC6" s="118">
        <v>26</v>
      </c>
      <c r="AD6" s="118">
        <v>27</v>
      </c>
      <c r="AE6" s="118">
        <v>28</v>
      </c>
      <c r="AF6" s="118">
        <v>29</v>
      </c>
      <c r="AG6" s="118">
        <v>30</v>
      </c>
      <c r="AH6" s="118">
        <v>31</v>
      </c>
      <c r="AI6" s="118">
        <v>32</v>
      </c>
      <c r="AJ6" s="118">
        <v>33</v>
      </c>
      <c r="AK6" s="118">
        <v>34</v>
      </c>
      <c r="AL6" s="118">
        <v>35</v>
      </c>
      <c r="AM6" s="118">
        <v>36</v>
      </c>
      <c r="AN6" s="118">
        <v>37</v>
      </c>
      <c r="AO6" s="118">
        <v>38</v>
      </c>
      <c r="AP6" s="118">
        <v>39</v>
      </c>
      <c r="AQ6" s="118">
        <v>40</v>
      </c>
      <c r="AR6" s="118">
        <v>41</v>
      </c>
      <c r="AS6" s="118">
        <v>42</v>
      </c>
      <c r="AT6" s="118">
        <v>43</v>
      </c>
      <c r="AU6" s="118">
        <v>44</v>
      </c>
      <c r="AV6" s="118">
        <v>45</v>
      </c>
      <c r="AW6" s="118">
        <v>46</v>
      </c>
      <c r="AX6" s="118">
        <v>47</v>
      </c>
      <c r="AY6" s="118">
        <v>48</v>
      </c>
    </row>
    <row r="7" spans="1:53" x14ac:dyDescent="0.2">
      <c r="B7" s="116"/>
      <c r="C7" s="119" t="s">
        <v>287</v>
      </c>
      <c r="D7" s="118" t="s">
        <v>288</v>
      </c>
      <c r="E7" s="118" t="s">
        <v>288</v>
      </c>
      <c r="F7" s="118" t="s">
        <v>288</v>
      </c>
      <c r="G7" s="118" t="s">
        <v>288</v>
      </c>
      <c r="H7" s="118" t="s">
        <v>288</v>
      </c>
      <c r="I7" s="118" t="s">
        <v>288</v>
      </c>
      <c r="J7" s="118" t="s">
        <v>288</v>
      </c>
      <c r="K7" s="118" t="s">
        <v>288</v>
      </c>
      <c r="L7" s="118" t="s">
        <v>288</v>
      </c>
      <c r="M7" s="118" t="s">
        <v>288</v>
      </c>
      <c r="N7" s="118" t="s">
        <v>288</v>
      </c>
      <c r="O7" s="118" t="s">
        <v>288</v>
      </c>
      <c r="P7" s="118" t="s">
        <v>288</v>
      </c>
      <c r="Q7" s="118" t="s">
        <v>288</v>
      </c>
      <c r="R7" s="118" t="s">
        <v>288</v>
      </c>
      <c r="S7" s="118" t="s">
        <v>288</v>
      </c>
      <c r="T7" s="118" t="s">
        <v>288</v>
      </c>
      <c r="U7" s="118" t="s">
        <v>288</v>
      </c>
      <c r="V7" s="118" t="s">
        <v>288</v>
      </c>
      <c r="W7" s="118" t="s">
        <v>288</v>
      </c>
      <c r="X7" s="118" t="s">
        <v>288</v>
      </c>
      <c r="Y7" s="118" t="s">
        <v>288</v>
      </c>
      <c r="Z7" s="118" t="s">
        <v>288</v>
      </c>
      <c r="AA7" s="118" t="s">
        <v>288</v>
      </c>
      <c r="AB7" s="118" t="s">
        <v>288</v>
      </c>
      <c r="AC7" s="118" t="s">
        <v>288</v>
      </c>
      <c r="AD7" s="118" t="s">
        <v>288</v>
      </c>
      <c r="AE7" s="118" t="s">
        <v>288</v>
      </c>
      <c r="AF7" s="118" t="s">
        <v>288</v>
      </c>
      <c r="AG7" s="118" t="s">
        <v>288</v>
      </c>
      <c r="AH7" s="118" t="s">
        <v>288</v>
      </c>
      <c r="AI7" s="118" t="s">
        <v>288</v>
      </c>
      <c r="AJ7" s="118" t="s">
        <v>288</v>
      </c>
      <c r="AK7" s="118" t="s">
        <v>288</v>
      </c>
      <c r="AL7" s="118" t="s">
        <v>288</v>
      </c>
      <c r="AM7" s="118" t="s">
        <v>288</v>
      </c>
      <c r="AN7" s="118" t="s">
        <v>288</v>
      </c>
      <c r="AO7" s="118" t="s">
        <v>288</v>
      </c>
      <c r="AP7" s="118" t="s">
        <v>288</v>
      </c>
      <c r="AQ7" s="118" t="s">
        <v>288</v>
      </c>
      <c r="AR7" s="118" t="s">
        <v>288</v>
      </c>
      <c r="AS7" s="118" t="s">
        <v>288</v>
      </c>
      <c r="AT7" s="118" t="s">
        <v>288</v>
      </c>
      <c r="AU7" s="118" t="s">
        <v>288</v>
      </c>
      <c r="AV7" s="118" t="s">
        <v>288</v>
      </c>
      <c r="AW7" s="118" t="s">
        <v>288</v>
      </c>
      <c r="AX7" s="118" t="s">
        <v>288</v>
      </c>
      <c r="AY7" s="117" t="s">
        <v>289</v>
      </c>
      <c r="AZ7" s="117" t="s">
        <v>290</v>
      </c>
    </row>
    <row r="8" spans="1:53" x14ac:dyDescent="0.2">
      <c r="A8" s="108" t="s">
        <v>291</v>
      </c>
      <c r="B8" s="120"/>
      <c r="AY8" s="116"/>
    </row>
    <row r="9" spans="1:53" x14ac:dyDescent="0.2">
      <c r="A9" s="121" t="s">
        <v>125</v>
      </c>
      <c r="B9" s="122">
        <v>1</v>
      </c>
      <c r="C9" s="123" t="s">
        <v>292</v>
      </c>
      <c r="D9" s="123">
        <v>4754.0556038556606</v>
      </c>
      <c r="E9" s="123">
        <v>4754.0556038556606</v>
      </c>
      <c r="F9" s="123">
        <v>4754.0556038556606</v>
      </c>
      <c r="G9" s="123">
        <v>4754.0556038556606</v>
      </c>
      <c r="H9" s="123">
        <v>4608.9648029835898</v>
      </c>
      <c r="I9" s="123">
        <v>4608.9648029835898</v>
      </c>
      <c r="J9" s="123">
        <v>4608.9648029835898</v>
      </c>
      <c r="K9" s="123">
        <v>4608.9648029835898</v>
      </c>
      <c r="L9" s="123">
        <v>4608.9648029835898</v>
      </c>
      <c r="M9" s="123">
        <v>4608.9648029835898</v>
      </c>
      <c r="N9" s="123">
        <v>4608.9648029835898</v>
      </c>
      <c r="O9" s="123">
        <v>4608.9648029835898</v>
      </c>
      <c r="P9" s="123">
        <v>4754.0556038556606</v>
      </c>
      <c r="Q9" s="123">
        <v>4754.0556038556606</v>
      </c>
      <c r="R9" s="123">
        <v>4754.0556038556606</v>
      </c>
      <c r="S9" s="123">
        <v>4754.0556038556606</v>
      </c>
      <c r="T9" s="123">
        <v>3530.1904508145658</v>
      </c>
      <c r="U9" s="123">
        <v>3532.3080536584635</v>
      </c>
      <c r="V9" s="123">
        <v>3534.4202555118527</v>
      </c>
      <c r="W9" s="123">
        <v>4608.9648029835898</v>
      </c>
      <c r="X9" s="123">
        <v>4608.9648029835898</v>
      </c>
      <c r="Y9" s="123">
        <v>4608.9648029835898</v>
      </c>
      <c r="Z9" s="123">
        <v>4608.9648029835898</v>
      </c>
      <c r="AA9" s="123">
        <v>4608.9648029835898</v>
      </c>
      <c r="AB9" s="123">
        <v>4754.0556038556606</v>
      </c>
      <c r="AC9" s="123">
        <v>4754.0556038556606</v>
      </c>
      <c r="AD9" s="123">
        <v>4369.8656446029891</v>
      </c>
      <c r="AE9" s="123">
        <v>4754.0556038556606</v>
      </c>
      <c r="AF9" s="123">
        <v>3555.1707678110074</v>
      </c>
      <c r="AG9" s="123">
        <v>4608.9648029835898</v>
      </c>
      <c r="AH9" s="123">
        <v>4608.9648029835898</v>
      </c>
      <c r="AI9" s="123">
        <v>4608.9648029835898</v>
      </c>
      <c r="AJ9" s="123">
        <v>4608.9648029835898</v>
      </c>
      <c r="AK9" s="123">
        <v>4608.9648029835898</v>
      </c>
      <c r="AL9" s="123">
        <v>4608.9648029835898</v>
      </c>
      <c r="AM9" s="123">
        <v>4608.9648029835898</v>
      </c>
      <c r="AN9" s="123">
        <v>4754.0556038556606</v>
      </c>
      <c r="AO9" s="123">
        <v>4754.0556038556606</v>
      </c>
      <c r="AP9" s="123">
        <v>4754.0556038556606</v>
      </c>
      <c r="AQ9" s="123">
        <v>4754.0556038556606</v>
      </c>
      <c r="AR9" s="123">
        <v>4608.9648029835898</v>
      </c>
      <c r="AS9" s="123">
        <v>4608.9648029835898</v>
      </c>
      <c r="AT9" s="123">
        <v>4608.9648029835898</v>
      </c>
      <c r="AU9" s="123">
        <v>4608.9648029835898</v>
      </c>
      <c r="AV9" s="123">
        <v>4608.9648029835898</v>
      </c>
      <c r="AW9" s="123">
        <v>4608.9648029835898</v>
      </c>
      <c r="AX9" s="123">
        <v>4608.9648029835898</v>
      </c>
      <c r="AY9" s="123">
        <v>4608.9648029835898</v>
      </c>
    </row>
    <row r="10" spans="1:53" x14ac:dyDescent="0.2">
      <c r="A10" s="124" t="s">
        <v>133</v>
      </c>
      <c r="B10" s="125">
        <v>1</v>
      </c>
      <c r="C10" s="112" t="s">
        <v>292</v>
      </c>
      <c r="E10" s="106">
        <v>0</v>
      </c>
      <c r="F10" s="106">
        <v>2291.0367068297519</v>
      </c>
      <c r="G10" s="106">
        <v>2291.0367068297519</v>
      </c>
      <c r="H10" s="106">
        <v>2291.0367068297519</v>
      </c>
      <c r="I10" s="106">
        <v>2291.0367068297519</v>
      </c>
      <c r="J10" s="106">
        <v>2184.4239135490361</v>
      </c>
      <c r="K10" s="106">
        <v>2184.4239135490361</v>
      </c>
      <c r="L10" s="106">
        <v>1331.5215673033081</v>
      </c>
      <c r="M10" s="106">
        <v>3037.3262597947637</v>
      </c>
      <c r="N10" s="106">
        <v>2184.4239135490361</v>
      </c>
      <c r="O10" s="106">
        <v>2184.4239135490361</v>
      </c>
      <c r="P10" s="106">
        <v>2184.4239135490361</v>
      </c>
      <c r="Q10" s="106">
        <v>2184.4239135490361</v>
      </c>
      <c r="R10" s="106">
        <v>959.51513952644382</v>
      </c>
      <c r="S10" s="106">
        <v>3413.5151395264438</v>
      </c>
      <c r="T10" s="106">
        <v>1229.5151395264438</v>
      </c>
      <c r="U10" s="106">
        <v>959.51513952644382</v>
      </c>
      <c r="V10" s="106">
        <v>3033.6201196835036</v>
      </c>
      <c r="W10" s="106">
        <v>1392.9023462457278</v>
      </c>
      <c r="X10" s="106">
        <v>1703.989719030747</v>
      </c>
      <c r="Y10" s="106">
        <v>2184.4239135490361</v>
      </c>
      <c r="Z10" s="106">
        <v>2184.4239135490361</v>
      </c>
      <c r="AA10" s="106">
        <v>2184.4239135490361</v>
      </c>
      <c r="AB10" s="106">
        <v>1331.5215673033081</v>
      </c>
      <c r="AC10" s="106">
        <v>3037.3262597947637</v>
      </c>
      <c r="AD10" s="106">
        <v>2291.0367068297519</v>
      </c>
      <c r="AE10" s="106">
        <v>2291.0367068297519</v>
      </c>
      <c r="AF10" s="106">
        <v>2179.0452930637712</v>
      </c>
      <c r="AG10" s="106">
        <v>2291.0367068297519</v>
      </c>
      <c r="AH10" s="106">
        <v>1713.2673759559464</v>
      </c>
      <c r="AI10" s="106">
        <v>2184.4239135490361</v>
      </c>
      <c r="AJ10" s="106">
        <v>2184.4239135490361</v>
      </c>
      <c r="AK10" s="106">
        <v>2184.4239135490361</v>
      </c>
      <c r="AL10" s="106">
        <v>2184.4239135490361</v>
      </c>
      <c r="AM10" s="106">
        <v>2184.4239135490361</v>
      </c>
      <c r="AN10" s="106">
        <v>2184.4239135490361</v>
      </c>
      <c r="AO10" s="106">
        <v>2184.4239135490361</v>
      </c>
      <c r="AP10" s="106">
        <v>2291.0367068297519</v>
      </c>
      <c r="AQ10" s="106">
        <v>1331.5215673033081</v>
      </c>
      <c r="AR10" s="106">
        <v>3250.5518463561957</v>
      </c>
      <c r="AS10" s="106">
        <v>2291.0367068297519</v>
      </c>
      <c r="AT10" s="106">
        <v>2184.4239135490361</v>
      </c>
      <c r="AU10" s="106">
        <v>2184.4239135490361</v>
      </c>
      <c r="AV10" s="106">
        <v>2184.4239135490361</v>
      </c>
      <c r="AW10" s="106">
        <v>2184.4239135490361</v>
      </c>
      <c r="AX10" s="106">
        <v>2184.4239135490361</v>
      </c>
      <c r="AY10" s="106">
        <v>2184.4239135490361</v>
      </c>
      <c r="AZ10" s="106">
        <v>852.90234624572781</v>
      </c>
    </row>
    <row r="11" spans="1:53" x14ac:dyDescent="0.2">
      <c r="B11" s="125">
        <v>2</v>
      </c>
      <c r="C11" s="112" t="s">
        <v>292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U11" s="106">
        <v>1061.5215673033081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</row>
    <row r="12" spans="1:53" x14ac:dyDescent="0.2">
      <c r="B12" s="126">
        <v>3</v>
      </c>
      <c r="C12" s="112" t="s">
        <v>292</v>
      </c>
      <c r="O12" s="106">
        <v>0</v>
      </c>
      <c r="Q12" s="106">
        <v>0</v>
      </c>
      <c r="S12" s="106">
        <v>0</v>
      </c>
      <c r="T12" s="106">
        <v>0</v>
      </c>
      <c r="U12" s="106">
        <v>0</v>
      </c>
      <c r="X12" s="106">
        <v>0</v>
      </c>
      <c r="Y12" s="106">
        <v>310.14299686456002</v>
      </c>
      <c r="AC12" s="106">
        <v>0</v>
      </c>
      <c r="AM12" s="106">
        <v>0</v>
      </c>
      <c r="AN12" s="106">
        <v>0</v>
      </c>
      <c r="AP12" s="106">
        <v>0</v>
      </c>
      <c r="AQ12" s="106">
        <v>0</v>
      </c>
      <c r="AR12" s="106">
        <v>0</v>
      </c>
      <c r="AT12" s="106">
        <v>0</v>
      </c>
      <c r="AV12" s="106">
        <v>0</v>
      </c>
      <c r="AW12" s="106">
        <v>0</v>
      </c>
      <c r="AZ12" s="106">
        <v>0</v>
      </c>
    </row>
    <row r="13" spans="1:53" x14ac:dyDescent="0.2">
      <c r="B13" s="126">
        <v>4</v>
      </c>
      <c r="C13" s="112" t="s">
        <v>292</v>
      </c>
      <c r="AB13" s="106">
        <v>0</v>
      </c>
      <c r="AD13" s="106">
        <v>0</v>
      </c>
    </row>
    <row r="14" spans="1:53" x14ac:dyDescent="0.2">
      <c r="A14" s="121" t="s">
        <v>134</v>
      </c>
      <c r="B14" s="127">
        <v>1</v>
      </c>
      <c r="C14" s="123" t="s">
        <v>292</v>
      </c>
      <c r="D14" s="123"/>
      <c r="E14" s="123">
        <f t="shared" ref="E14:AZ14" si="0">D$172*SUM(D$122:D$169)</f>
        <v>0</v>
      </c>
      <c r="F14" s="123">
        <f t="shared" si="0"/>
        <v>0</v>
      </c>
      <c r="G14" s="123">
        <f t="shared" si="0"/>
        <v>0</v>
      </c>
      <c r="H14" s="123">
        <f t="shared" si="0"/>
        <v>0</v>
      </c>
      <c r="I14" s="123">
        <f t="shared" si="0"/>
        <v>0</v>
      </c>
      <c r="J14" s="123">
        <f t="shared" si="0"/>
        <v>0</v>
      </c>
      <c r="K14" s="123">
        <f t="shared" si="0"/>
        <v>0</v>
      </c>
      <c r="L14" s="123">
        <f t="shared" si="0"/>
        <v>0</v>
      </c>
      <c r="M14" s="123">
        <f t="shared" si="0"/>
        <v>0</v>
      </c>
      <c r="N14" s="123">
        <f t="shared" si="0"/>
        <v>0</v>
      </c>
      <c r="O14" s="123">
        <f t="shared" si="0"/>
        <v>0</v>
      </c>
      <c r="P14" s="123">
        <f t="shared" si="0"/>
        <v>0</v>
      </c>
      <c r="Q14" s="123">
        <f t="shared" si="0"/>
        <v>0</v>
      </c>
      <c r="R14" s="123">
        <f t="shared" si="0"/>
        <v>0</v>
      </c>
      <c r="S14" s="123">
        <f t="shared" si="0"/>
        <v>0</v>
      </c>
      <c r="T14" s="123">
        <f t="shared" si="0"/>
        <v>0</v>
      </c>
      <c r="U14" s="123">
        <f t="shared" si="0"/>
        <v>0</v>
      </c>
      <c r="V14" s="123">
        <f t="shared" si="0"/>
        <v>0</v>
      </c>
      <c r="W14" s="123">
        <f t="shared" si="0"/>
        <v>0</v>
      </c>
      <c r="X14" s="123">
        <f t="shared" si="0"/>
        <v>0</v>
      </c>
      <c r="Y14" s="123">
        <f t="shared" si="0"/>
        <v>0</v>
      </c>
      <c r="Z14" s="123">
        <f t="shared" si="0"/>
        <v>0</v>
      </c>
      <c r="AA14" s="123">
        <f t="shared" si="0"/>
        <v>0</v>
      </c>
      <c r="AB14" s="123">
        <f t="shared" si="0"/>
        <v>0</v>
      </c>
      <c r="AC14" s="123">
        <f t="shared" si="0"/>
        <v>0</v>
      </c>
      <c r="AD14" s="123">
        <f t="shared" si="0"/>
        <v>0</v>
      </c>
      <c r="AE14" s="123">
        <f t="shared" si="0"/>
        <v>0</v>
      </c>
      <c r="AF14" s="123">
        <f t="shared" si="0"/>
        <v>0</v>
      </c>
      <c r="AG14" s="123">
        <f t="shared" si="0"/>
        <v>0</v>
      </c>
      <c r="AH14" s="123">
        <f t="shared" si="0"/>
        <v>0</v>
      </c>
      <c r="AI14" s="123">
        <f t="shared" si="0"/>
        <v>0</v>
      </c>
      <c r="AJ14" s="123">
        <f t="shared" si="0"/>
        <v>0</v>
      </c>
      <c r="AK14" s="123">
        <f t="shared" si="0"/>
        <v>0</v>
      </c>
      <c r="AL14" s="123">
        <f t="shared" si="0"/>
        <v>0</v>
      </c>
      <c r="AM14" s="123">
        <f t="shared" si="0"/>
        <v>0</v>
      </c>
      <c r="AN14" s="123">
        <f t="shared" si="0"/>
        <v>0</v>
      </c>
      <c r="AO14" s="123">
        <f t="shared" si="0"/>
        <v>0</v>
      </c>
      <c r="AP14" s="123">
        <f t="shared" si="0"/>
        <v>0</v>
      </c>
      <c r="AQ14" s="123">
        <f t="shared" si="0"/>
        <v>0</v>
      </c>
      <c r="AR14" s="123">
        <f t="shared" si="0"/>
        <v>0</v>
      </c>
      <c r="AS14" s="123">
        <f t="shared" si="0"/>
        <v>0</v>
      </c>
      <c r="AT14" s="123">
        <f t="shared" si="0"/>
        <v>0</v>
      </c>
      <c r="AU14" s="123">
        <f t="shared" si="0"/>
        <v>0</v>
      </c>
      <c r="AV14" s="123">
        <f t="shared" si="0"/>
        <v>0</v>
      </c>
      <c r="AW14" s="123">
        <f t="shared" si="0"/>
        <v>0</v>
      </c>
      <c r="AX14" s="123">
        <f t="shared" si="0"/>
        <v>0</v>
      </c>
      <c r="AY14" s="123">
        <f t="shared" si="0"/>
        <v>0</v>
      </c>
      <c r="AZ14" s="116">
        <f t="shared" si="0"/>
        <v>0</v>
      </c>
      <c r="BA14" s="113">
        <f>SUM($E14:$AZ14)</f>
        <v>0</v>
      </c>
    </row>
    <row r="15" spans="1:53" x14ac:dyDescent="0.2">
      <c r="A15" s="128" t="s">
        <v>123</v>
      </c>
      <c r="B15" s="129">
        <v>1</v>
      </c>
      <c r="C15" s="130" t="s">
        <v>292</v>
      </c>
      <c r="D15" s="130">
        <v>0</v>
      </c>
      <c r="E15" s="130">
        <v>0</v>
      </c>
      <c r="F15" s="130">
        <v>0</v>
      </c>
      <c r="G15" s="130">
        <v>0</v>
      </c>
      <c r="H15" s="130">
        <v>0</v>
      </c>
      <c r="I15" s="130">
        <v>0</v>
      </c>
      <c r="J15" s="130">
        <v>0</v>
      </c>
      <c r="K15" s="130">
        <v>0</v>
      </c>
      <c r="L15" s="130">
        <v>0</v>
      </c>
      <c r="M15" s="130">
        <v>0</v>
      </c>
      <c r="N15" s="130">
        <v>0</v>
      </c>
      <c r="O15" s="130">
        <v>0</v>
      </c>
      <c r="P15" s="130">
        <v>0</v>
      </c>
      <c r="Q15" s="130">
        <v>0</v>
      </c>
      <c r="R15" s="130">
        <v>0</v>
      </c>
      <c r="S15" s="130">
        <v>0</v>
      </c>
      <c r="T15" s="130">
        <v>0</v>
      </c>
      <c r="U15" s="130">
        <v>0</v>
      </c>
      <c r="V15" s="130">
        <v>0</v>
      </c>
      <c r="W15" s="130">
        <v>0</v>
      </c>
      <c r="X15" s="130">
        <v>0</v>
      </c>
      <c r="Y15" s="130">
        <v>0</v>
      </c>
      <c r="Z15" s="130">
        <v>0</v>
      </c>
      <c r="AA15" s="130">
        <v>0</v>
      </c>
      <c r="AB15" s="130">
        <v>0</v>
      </c>
      <c r="AC15" s="130">
        <v>0</v>
      </c>
      <c r="AD15" s="130">
        <v>0</v>
      </c>
      <c r="AE15" s="130">
        <v>0</v>
      </c>
      <c r="AF15" s="130">
        <v>0</v>
      </c>
      <c r="AG15" s="130">
        <v>0</v>
      </c>
      <c r="AH15" s="130">
        <v>0</v>
      </c>
      <c r="AI15" s="130">
        <v>0</v>
      </c>
      <c r="AJ15" s="130">
        <v>0</v>
      </c>
      <c r="AK15" s="130">
        <v>0</v>
      </c>
      <c r="AL15" s="130">
        <v>0</v>
      </c>
      <c r="AM15" s="130">
        <v>0</v>
      </c>
      <c r="AN15" s="130">
        <v>0</v>
      </c>
      <c r="AO15" s="130">
        <v>0</v>
      </c>
      <c r="AP15" s="130">
        <v>0</v>
      </c>
      <c r="AQ15" s="130">
        <v>0</v>
      </c>
      <c r="AR15" s="130">
        <v>0</v>
      </c>
      <c r="AS15" s="130">
        <v>0</v>
      </c>
      <c r="AT15" s="130">
        <v>0</v>
      </c>
      <c r="AU15" s="130">
        <v>0</v>
      </c>
      <c r="AV15" s="130">
        <v>0</v>
      </c>
      <c r="AW15" s="130">
        <v>0</v>
      </c>
      <c r="AX15" s="130">
        <v>0</v>
      </c>
      <c r="AY15" s="130">
        <v>0</v>
      </c>
      <c r="AZ15" s="106">
        <v>0</v>
      </c>
    </row>
    <row r="16" spans="1:53" x14ac:dyDescent="0.2">
      <c r="A16" s="116"/>
      <c r="B16" s="125">
        <v>2</v>
      </c>
      <c r="C16" s="115" t="s">
        <v>292</v>
      </c>
      <c r="D16" s="112"/>
      <c r="E16" s="116"/>
      <c r="F16" s="116">
        <v>0</v>
      </c>
      <c r="G16" s="116">
        <v>0</v>
      </c>
      <c r="H16" s="116">
        <v>0</v>
      </c>
      <c r="I16" s="116">
        <v>0</v>
      </c>
      <c r="J16" s="116">
        <v>0</v>
      </c>
      <c r="K16" s="116">
        <v>0</v>
      </c>
      <c r="L16" s="116">
        <v>0</v>
      </c>
      <c r="M16" s="116">
        <v>0</v>
      </c>
      <c r="N16" s="116">
        <v>0</v>
      </c>
      <c r="O16" s="116">
        <v>0</v>
      </c>
      <c r="P16" s="116">
        <v>0</v>
      </c>
      <c r="Q16" s="116">
        <v>0</v>
      </c>
      <c r="R16" s="116"/>
      <c r="S16" s="116"/>
      <c r="T16" s="116"/>
      <c r="U16" s="116">
        <v>0</v>
      </c>
      <c r="V16" s="116">
        <v>0</v>
      </c>
      <c r="W16" s="116">
        <v>0</v>
      </c>
      <c r="X16" s="116">
        <v>0</v>
      </c>
      <c r="Y16" s="116">
        <v>0</v>
      </c>
      <c r="Z16" s="116">
        <v>0</v>
      </c>
      <c r="AA16" s="116">
        <v>0</v>
      </c>
      <c r="AB16" s="116"/>
      <c r="AC16" s="116">
        <v>0</v>
      </c>
      <c r="AD16" s="116">
        <v>0</v>
      </c>
      <c r="AE16" s="116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116">
        <v>0</v>
      </c>
      <c r="AO16" s="116"/>
      <c r="AP16" s="116">
        <v>0</v>
      </c>
      <c r="AQ16" s="116">
        <v>0</v>
      </c>
      <c r="AR16" s="116">
        <v>0</v>
      </c>
      <c r="AS16" s="116">
        <v>0</v>
      </c>
      <c r="AT16" s="116">
        <v>0</v>
      </c>
      <c r="AU16" s="116"/>
      <c r="AV16" s="116">
        <v>0</v>
      </c>
      <c r="AW16" s="116">
        <v>0</v>
      </c>
      <c r="AX16" s="116">
        <v>0</v>
      </c>
      <c r="AY16" s="116">
        <v>0</v>
      </c>
      <c r="AZ16" s="106">
        <v>0</v>
      </c>
      <c r="BA16" s="106">
        <v>0</v>
      </c>
    </row>
    <row r="17" spans="1:52" x14ac:dyDescent="0.2">
      <c r="A17" s="116"/>
      <c r="B17" s="125">
        <v>3</v>
      </c>
      <c r="C17" s="115" t="s">
        <v>292</v>
      </c>
      <c r="D17" s="112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>
        <v>0</v>
      </c>
      <c r="P17" s="116"/>
      <c r="Q17" s="116">
        <v>0</v>
      </c>
      <c r="R17" s="116"/>
      <c r="S17" s="116">
        <v>0</v>
      </c>
      <c r="T17" s="116">
        <v>0</v>
      </c>
      <c r="U17" s="116">
        <v>0</v>
      </c>
      <c r="V17" s="116"/>
      <c r="W17" s="116"/>
      <c r="X17" s="116">
        <v>0</v>
      </c>
      <c r="Y17" s="116">
        <v>0</v>
      </c>
      <c r="Z17" s="116"/>
      <c r="AA17" s="116"/>
      <c r="AB17" s="116"/>
      <c r="AC17" s="116">
        <v>0</v>
      </c>
      <c r="AD17" s="116"/>
      <c r="AE17" s="116"/>
      <c r="AF17" s="116"/>
      <c r="AG17" s="116"/>
      <c r="AH17" s="116"/>
      <c r="AI17" s="116"/>
      <c r="AJ17" s="116"/>
      <c r="AK17" s="116"/>
      <c r="AL17" s="116"/>
      <c r="AM17" s="116">
        <v>0</v>
      </c>
      <c r="AN17" s="116">
        <v>0</v>
      </c>
      <c r="AO17" s="116"/>
      <c r="AP17" s="116">
        <v>0</v>
      </c>
      <c r="AQ17" s="116">
        <v>0</v>
      </c>
      <c r="AR17" s="116">
        <v>0</v>
      </c>
      <c r="AS17" s="116"/>
      <c r="AT17" s="116">
        <v>0</v>
      </c>
      <c r="AU17" s="116"/>
      <c r="AV17" s="116">
        <v>0</v>
      </c>
      <c r="AW17" s="116">
        <v>0</v>
      </c>
      <c r="AX17" s="116"/>
      <c r="AY17" s="116"/>
      <c r="AZ17" s="106">
        <v>0</v>
      </c>
    </row>
    <row r="18" spans="1:52" x14ac:dyDescent="0.2">
      <c r="A18" s="131"/>
      <c r="B18" s="122">
        <v>4</v>
      </c>
      <c r="C18" s="131" t="s">
        <v>292</v>
      </c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>
        <v>0</v>
      </c>
      <c r="AC18" s="131"/>
      <c r="AD18" s="131">
        <v>0</v>
      </c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31"/>
      <c r="AW18" s="131"/>
      <c r="AX18" s="131"/>
      <c r="AY18" s="131"/>
    </row>
    <row r="20" spans="1:52" x14ac:dyDescent="0.2">
      <c r="A20" s="108" t="s">
        <v>293</v>
      </c>
    </row>
    <row r="21" spans="1:52" x14ac:dyDescent="0.2">
      <c r="A21" s="132" t="s">
        <v>125</v>
      </c>
      <c r="B21" s="129">
        <v>1</v>
      </c>
      <c r="C21" s="130" t="s">
        <v>292</v>
      </c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/>
      <c r="AX21" s="130"/>
      <c r="AY21" s="130"/>
    </row>
    <row r="22" spans="1:52" x14ac:dyDescent="0.2">
      <c r="A22" s="115"/>
      <c r="B22" s="126">
        <v>2</v>
      </c>
      <c r="C22" s="116" t="s">
        <v>292</v>
      </c>
      <c r="D22" s="116"/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16"/>
      <c r="AL22" s="116"/>
      <c r="AM22" s="116"/>
      <c r="AN22" s="116"/>
      <c r="AO22" s="116"/>
      <c r="AP22" s="116"/>
      <c r="AQ22" s="116"/>
      <c r="AR22" s="116"/>
      <c r="AS22" s="116"/>
      <c r="AT22" s="116"/>
      <c r="AU22" s="116"/>
      <c r="AV22" s="116"/>
      <c r="AW22" s="116"/>
      <c r="AX22" s="116"/>
      <c r="AY22" s="116"/>
    </row>
    <row r="23" spans="1:52" x14ac:dyDescent="0.2">
      <c r="A23" s="115"/>
      <c r="B23" s="133">
        <v>3</v>
      </c>
      <c r="C23" s="116" t="s">
        <v>292</v>
      </c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16"/>
      <c r="AL23" s="116"/>
      <c r="AM23" s="116"/>
      <c r="AN23" s="116"/>
      <c r="AO23" s="116"/>
      <c r="AP23" s="116"/>
      <c r="AQ23" s="116"/>
      <c r="AR23" s="116"/>
      <c r="AS23" s="116"/>
      <c r="AT23" s="116"/>
      <c r="AU23" s="116"/>
      <c r="AV23" s="116"/>
      <c r="AW23" s="116"/>
      <c r="AX23" s="116"/>
      <c r="AY23" s="116"/>
    </row>
    <row r="24" spans="1:52" x14ac:dyDescent="0.2">
      <c r="A24" s="134"/>
      <c r="B24" s="135">
        <v>4</v>
      </c>
      <c r="C24" s="134" t="s">
        <v>292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  <c r="Y24" s="131">
        <v>0</v>
      </c>
      <c r="Z24" s="131">
        <v>0</v>
      </c>
      <c r="AA24" s="131">
        <v>0</v>
      </c>
      <c r="AB24" s="131">
        <v>0</v>
      </c>
      <c r="AC24" s="131">
        <v>0</v>
      </c>
      <c r="AD24" s="131">
        <v>0</v>
      </c>
      <c r="AE24" s="131">
        <v>0</v>
      </c>
      <c r="AF24" s="131">
        <v>0</v>
      </c>
      <c r="AG24" s="131">
        <v>0</v>
      </c>
      <c r="AH24" s="131">
        <v>0</v>
      </c>
      <c r="AI24" s="131">
        <v>0</v>
      </c>
      <c r="AJ24" s="131">
        <v>0</v>
      </c>
      <c r="AK24" s="131">
        <v>0</v>
      </c>
      <c r="AL24" s="131">
        <v>0</v>
      </c>
      <c r="AM24" s="131">
        <v>0</v>
      </c>
      <c r="AN24" s="131">
        <v>0</v>
      </c>
      <c r="AO24" s="131">
        <v>0</v>
      </c>
      <c r="AP24" s="131">
        <v>0</v>
      </c>
      <c r="AQ24" s="131">
        <v>0</v>
      </c>
      <c r="AR24" s="131">
        <v>0</v>
      </c>
      <c r="AS24" s="131">
        <v>0</v>
      </c>
      <c r="AT24" s="131">
        <v>0</v>
      </c>
      <c r="AU24" s="131">
        <v>0</v>
      </c>
      <c r="AV24" s="131">
        <v>0</v>
      </c>
      <c r="AW24" s="131">
        <v>0</v>
      </c>
      <c r="AX24" s="131">
        <v>0</v>
      </c>
      <c r="AY24" s="131">
        <v>0</v>
      </c>
    </row>
    <row r="25" spans="1:52" x14ac:dyDescent="0.2">
      <c r="A25" s="132" t="s">
        <v>133</v>
      </c>
      <c r="B25" s="129">
        <v>1</v>
      </c>
      <c r="C25" s="115" t="s">
        <v>292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6"/>
      <c r="AL25" s="116"/>
      <c r="AM25" s="116"/>
      <c r="AN25" s="116"/>
      <c r="AO25" s="116"/>
      <c r="AP25" s="116"/>
      <c r="AQ25" s="116"/>
      <c r="AR25" s="116"/>
      <c r="AS25" s="116"/>
      <c r="AT25" s="116"/>
      <c r="AU25" s="116"/>
      <c r="AV25" s="116"/>
      <c r="AW25" s="116"/>
      <c r="AX25" s="116"/>
      <c r="AY25" s="116"/>
    </row>
    <row r="26" spans="1:52" x14ac:dyDescent="0.2">
      <c r="A26" s="115"/>
      <c r="B26" s="125">
        <v>2</v>
      </c>
      <c r="C26" s="115" t="s">
        <v>292</v>
      </c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6"/>
      <c r="AL26" s="116"/>
      <c r="AM26" s="116"/>
      <c r="AN26" s="116"/>
      <c r="AO26" s="116"/>
      <c r="AP26" s="116"/>
      <c r="AQ26" s="116"/>
      <c r="AR26" s="116"/>
      <c r="AS26" s="116"/>
      <c r="AT26" s="116"/>
      <c r="AU26" s="116"/>
      <c r="AV26" s="116"/>
      <c r="AW26" s="116"/>
      <c r="AX26" s="116"/>
      <c r="AY26" s="116"/>
    </row>
    <row r="27" spans="1:52" x14ac:dyDescent="0.2">
      <c r="A27" s="115"/>
      <c r="B27" s="126">
        <v>3</v>
      </c>
      <c r="C27" s="115" t="s">
        <v>292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6"/>
      <c r="AL27" s="116"/>
      <c r="AM27" s="116"/>
      <c r="AN27" s="116"/>
      <c r="AO27" s="116"/>
      <c r="AP27" s="116"/>
      <c r="AQ27" s="116"/>
      <c r="AR27" s="116"/>
      <c r="AS27" s="116"/>
      <c r="AT27" s="116"/>
      <c r="AU27" s="116"/>
      <c r="AV27" s="116"/>
      <c r="AW27" s="116"/>
      <c r="AX27" s="116"/>
      <c r="AY27" s="116"/>
    </row>
    <row r="28" spans="1:52" x14ac:dyDescent="0.2">
      <c r="A28" s="115"/>
      <c r="B28" s="126">
        <v>4</v>
      </c>
      <c r="C28" s="115" t="s">
        <v>292</v>
      </c>
      <c r="D28" s="116"/>
      <c r="E28" s="116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6"/>
      <c r="AL28" s="116"/>
      <c r="AM28" s="116"/>
      <c r="AN28" s="116"/>
      <c r="AO28" s="116"/>
      <c r="AP28" s="116"/>
      <c r="AQ28" s="116"/>
      <c r="AR28" s="116"/>
      <c r="AS28" s="116"/>
      <c r="AT28" s="116"/>
      <c r="AU28" s="116"/>
      <c r="AV28" s="116"/>
      <c r="AW28" s="116"/>
      <c r="AX28" s="116"/>
      <c r="AY28" s="116"/>
    </row>
    <row r="29" spans="1:52" x14ac:dyDescent="0.2">
      <c r="A29" s="115"/>
      <c r="B29" s="133">
        <v>5</v>
      </c>
      <c r="C29" s="115" t="s">
        <v>292</v>
      </c>
      <c r="D29" s="116"/>
      <c r="E29" s="116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16"/>
      <c r="AL29" s="116"/>
      <c r="AM29" s="116"/>
      <c r="AN29" s="116"/>
      <c r="AO29" s="116"/>
      <c r="AP29" s="116"/>
      <c r="AQ29" s="116"/>
      <c r="AR29" s="116"/>
      <c r="AS29" s="116"/>
      <c r="AT29" s="116"/>
      <c r="AU29" s="116"/>
      <c r="AV29" s="116"/>
      <c r="AW29" s="116"/>
      <c r="AX29" s="116"/>
      <c r="AY29" s="116"/>
    </row>
    <row r="30" spans="1:52" x14ac:dyDescent="0.2">
      <c r="A30" s="115"/>
      <c r="B30" s="133">
        <v>6</v>
      </c>
      <c r="C30" s="115" t="s">
        <v>292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</row>
    <row r="31" spans="1:52" x14ac:dyDescent="0.2">
      <c r="A31" s="115"/>
      <c r="B31" s="136">
        <v>7</v>
      </c>
      <c r="C31" s="115" t="s">
        <v>292</v>
      </c>
      <c r="D31" s="116"/>
      <c r="E31" s="116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6"/>
      <c r="AL31" s="116"/>
      <c r="AM31" s="116"/>
      <c r="AN31" s="116"/>
      <c r="AO31" s="116"/>
      <c r="AP31" s="116"/>
      <c r="AQ31" s="116"/>
      <c r="AR31" s="116"/>
      <c r="AS31" s="116"/>
      <c r="AT31" s="116"/>
      <c r="AU31" s="116"/>
      <c r="AV31" s="116"/>
      <c r="AW31" s="116"/>
      <c r="AX31" s="116"/>
      <c r="AY31" s="116"/>
    </row>
    <row r="32" spans="1:52" x14ac:dyDescent="0.2">
      <c r="A32" s="134"/>
      <c r="B32" s="135">
        <v>8</v>
      </c>
      <c r="C32" s="134" t="s">
        <v>292</v>
      </c>
      <c r="D32" s="131">
        <v>0</v>
      </c>
      <c r="E32" s="131">
        <v>0</v>
      </c>
      <c r="F32" s="131">
        <v>0</v>
      </c>
      <c r="G32" s="131">
        <v>0</v>
      </c>
      <c r="H32" s="131">
        <v>0</v>
      </c>
      <c r="I32" s="131">
        <v>0</v>
      </c>
      <c r="J32" s="131">
        <v>0</v>
      </c>
      <c r="K32" s="131">
        <v>0</v>
      </c>
      <c r="L32" s="131">
        <v>0</v>
      </c>
      <c r="M32" s="131">
        <v>0</v>
      </c>
      <c r="N32" s="131">
        <v>0</v>
      </c>
      <c r="O32" s="131">
        <v>0</v>
      </c>
      <c r="P32" s="131">
        <v>0</v>
      </c>
      <c r="Q32" s="131">
        <v>0</v>
      </c>
      <c r="R32" s="131">
        <v>0</v>
      </c>
      <c r="S32" s="131">
        <v>0</v>
      </c>
      <c r="T32" s="131">
        <v>0</v>
      </c>
      <c r="U32" s="131">
        <v>0</v>
      </c>
      <c r="V32" s="131">
        <v>0</v>
      </c>
      <c r="W32" s="131">
        <v>0</v>
      </c>
      <c r="X32" s="131">
        <v>0</v>
      </c>
      <c r="Y32" s="131">
        <v>0</v>
      </c>
      <c r="Z32" s="131">
        <v>0</v>
      </c>
      <c r="AA32" s="131">
        <v>0</v>
      </c>
      <c r="AB32" s="131">
        <v>0</v>
      </c>
      <c r="AC32" s="131">
        <v>0</v>
      </c>
      <c r="AD32" s="131">
        <v>0</v>
      </c>
      <c r="AE32" s="131">
        <v>0</v>
      </c>
      <c r="AF32" s="131">
        <v>0</v>
      </c>
      <c r="AG32" s="131">
        <v>0</v>
      </c>
      <c r="AH32" s="131">
        <v>0</v>
      </c>
      <c r="AI32" s="131">
        <v>0</v>
      </c>
      <c r="AJ32" s="131">
        <v>0</v>
      </c>
      <c r="AK32" s="131">
        <v>0</v>
      </c>
      <c r="AL32" s="131">
        <v>0</v>
      </c>
      <c r="AM32" s="131">
        <v>0</v>
      </c>
      <c r="AN32" s="131">
        <v>0</v>
      </c>
      <c r="AO32" s="131">
        <v>0</v>
      </c>
      <c r="AP32" s="131">
        <v>0</v>
      </c>
      <c r="AQ32" s="131">
        <v>0</v>
      </c>
      <c r="AR32" s="131">
        <v>0</v>
      </c>
      <c r="AS32" s="131">
        <v>0</v>
      </c>
      <c r="AT32" s="131">
        <v>0</v>
      </c>
      <c r="AU32" s="131">
        <v>0</v>
      </c>
      <c r="AV32" s="131">
        <v>0</v>
      </c>
      <c r="AW32" s="131">
        <v>0</v>
      </c>
      <c r="AX32" s="131">
        <v>0</v>
      </c>
      <c r="AY32" s="131">
        <v>0</v>
      </c>
    </row>
    <row r="33" spans="1:51" x14ac:dyDescent="0.2">
      <c r="A33" s="137" t="s">
        <v>134</v>
      </c>
      <c r="B33" s="125">
        <v>1</v>
      </c>
      <c r="C33" s="115" t="s">
        <v>292</v>
      </c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2"/>
      <c r="AJ33" s="112"/>
      <c r="AK33" s="112"/>
      <c r="AL33" s="112"/>
      <c r="AM33" s="112"/>
      <c r="AN33" s="112"/>
      <c r="AO33" s="112"/>
      <c r="AP33" s="112"/>
      <c r="AQ33" s="112"/>
      <c r="AR33" s="112"/>
      <c r="AS33" s="112"/>
      <c r="AT33" s="112"/>
      <c r="AU33" s="112"/>
      <c r="AV33" s="112"/>
      <c r="AW33" s="112"/>
      <c r="AX33" s="112"/>
      <c r="AY33" s="112"/>
    </row>
    <row r="34" spans="1:51" x14ac:dyDescent="0.2">
      <c r="A34" s="115"/>
      <c r="B34" s="125">
        <v>2</v>
      </c>
      <c r="C34" s="115" t="s">
        <v>292</v>
      </c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  <c r="R34" s="112"/>
      <c r="S34" s="112"/>
      <c r="T34" s="112"/>
      <c r="U34" s="112"/>
      <c r="V34" s="112"/>
      <c r="W34" s="112"/>
      <c r="X34" s="112"/>
      <c r="Y34" s="112"/>
      <c r="Z34" s="112"/>
      <c r="AA34" s="112"/>
      <c r="AB34" s="112"/>
      <c r="AC34" s="112"/>
      <c r="AD34" s="112"/>
      <c r="AE34" s="112"/>
      <c r="AF34" s="112"/>
      <c r="AG34" s="112"/>
      <c r="AH34" s="112"/>
      <c r="AI34" s="112"/>
      <c r="AJ34" s="112"/>
      <c r="AK34" s="112"/>
      <c r="AL34" s="112"/>
      <c r="AM34" s="112"/>
      <c r="AN34" s="112"/>
      <c r="AO34" s="112"/>
      <c r="AP34" s="112"/>
      <c r="AQ34" s="112"/>
      <c r="AR34" s="112"/>
      <c r="AS34" s="112"/>
      <c r="AT34" s="112"/>
      <c r="AU34" s="112"/>
      <c r="AV34" s="112"/>
      <c r="AW34" s="112"/>
      <c r="AX34" s="112"/>
      <c r="AY34" s="112"/>
    </row>
    <row r="35" spans="1:51" x14ac:dyDescent="0.2">
      <c r="A35" s="115"/>
      <c r="B35" s="125">
        <v>3</v>
      </c>
      <c r="C35" s="115" t="s">
        <v>292</v>
      </c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  <c r="R35" s="112"/>
      <c r="S35" s="112"/>
      <c r="T35" s="112"/>
      <c r="U35" s="112"/>
      <c r="V35" s="112"/>
      <c r="W35" s="112"/>
      <c r="X35" s="112"/>
      <c r="Y35" s="112"/>
      <c r="Z35" s="112"/>
      <c r="AA35" s="112"/>
      <c r="AB35" s="112"/>
      <c r="AC35" s="112"/>
      <c r="AD35" s="112"/>
      <c r="AE35" s="112"/>
      <c r="AF35" s="112"/>
      <c r="AG35" s="112"/>
      <c r="AH35" s="112"/>
      <c r="AI35" s="112"/>
      <c r="AJ35" s="112"/>
      <c r="AK35" s="112"/>
      <c r="AL35" s="112"/>
      <c r="AM35" s="112"/>
      <c r="AN35" s="112"/>
      <c r="AO35" s="112"/>
      <c r="AP35" s="112"/>
      <c r="AQ35" s="112"/>
      <c r="AR35" s="112"/>
      <c r="AS35" s="112"/>
      <c r="AT35" s="112"/>
      <c r="AU35" s="112"/>
      <c r="AV35" s="112"/>
      <c r="AW35" s="112"/>
      <c r="AX35" s="112"/>
      <c r="AY35" s="112"/>
    </row>
    <row r="36" spans="1:51" x14ac:dyDescent="0.2">
      <c r="A36" s="115"/>
      <c r="B36" s="126">
        <v>4</v>
      </c>
      <c r="C36" s="115" t="s">
        <v>292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  <c r="R36" s="112"/>
      <c r="S36" s="112"/>
      <c r="T36" s="112"/>
      <c r="U36" s="112"/>
      <c r="V36" s="112"/>
      <c r="W36" s="112"/>
      <c r="X36" s="112"/>
      <c r="Y36" s="112"/>
      <c r="Z36" s="112"/>
      <c r="AA36" s="112"/>
      <c r="AB36" s="112"/>
      <c r="AC36" s="112"/>
      <c r="AD36" s="112"/>
      <c r="AE36" s="112"/>
      <c r="AF36" s="112"/>
      <c r="AG36" s="112"/>
      <c r="AH36" s="112"/>
      <c r="AI36" s="112"/>
      <c r="AJ36" s="112"/>
      <c r="AK36" s="112"/>
      <c r="AL36" s="112"/>
      <c r="AM36" s="112"/>
      <c r="AN36" s="112"/>
      <c r="AO36" s="112"/>
      <c r="AP36" s="112"/>
      <c r="AQ36" s="112"/>
      <c r="AR36" s="112"/>
      <c r="AS36" s="112"/>
      <c r="AT36" s="112"/>
      <c r="AU36" s="112"/>
      <c r="AV36" s="112"/>
      <c r="AW36" s="112"/>
      <c r="AX36" s="112"/>
      <c r="AY36" s="112"/>
    </row>
    <row r="37" spans="1:51" x14ac:dyDescent="0.2">
      <c r="A37" s="115"/>
      <c r="B37" s="126">
        <v>5</v>
      </c>
      <c r="C37" s="115" t="s">
        <v>292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  <c r="AJ37" s="112"/>
      <c r="AK37" s="112"/>
      <c r="AL37" s="112"/>
      <c r="AM37" s="112"/>
      <c r="AN37" s="112"/>
      <c r="AO37" s="112"/>
      <c r="AP37" s="112"/>
      <c r="AQ37" s="112"/>
      <c r="AR37" s="112"/>
      <c r="AS37" s="112"/>
      <c r="AT37" s="112"/>
      <c r="AU37" s="112"/>
      <c r="AV37" s="112"/>
      <c r="AW37" s="112"/>
      <c r="AX37" s="112"/>
      <c r="AY37" s="112"/>
    </row>
    <row r="38" spans="1:51" x14ac:dyDescent="0.2">
      <c r="A38" s="115"/>
      <c r="B38" s="126">
        <v>6</v>
      </c>
      <c r="C38" s="115" t="s">
        <v>292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12"/>
      <c r="T38" s="112"/>
      <c r="U38" s="112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112"/>
      <c r="AK38" s="112"/>
      <c r="AL38" s="112"/>
      <c r="AM38" s="112"/>
      <c r="AN38" s="112"/>
      <c r="AO38" s="112"/>
      <c r="AP38" s="112"/>
      <c r="AQ38" s="112"/>
      <c r="AR38" s="112"/>
      <c r="AS38" s="112"/>
      <c r="AT38" s="112"/>
      <c r="AU38" s="112"/>
      <c r="AV38" s="112"/>
      <c r="AW38" s="112"/>
      <c r="AX38" s="112"/>
      <c r="AY38" s="112"/>
    </row>
    <row r="39" spans="1:51" x14ac:dyDescent="0.2">
      <c r="A39" s="115"/>
      <c r="B39" s="133">
        <v>7</v>
      </c>
      <c r="C39" s="115" t="s">
        <v>292</v>
      </c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  <c r="R39" s="112"/>
      <c r="S39" s="112"/>
      <c r="T39" s="112"/>
      <c r="U39" s="112"/>
      <c r="V39" s="112"/>
      <c r="W39" s="112"/>
      <c r="X39" s="112"/>
      <c r="Y39" s="112"/>
      <c r="Z39" s="112"/>
      <c r="AA39" s="112"/>
      <c r="AB39" s="112"/>
      <c r="AC39" s="112"/>
      <c r="AD39" s="112"/>
      <c r="AE39" s="112"/>
      <c r="AF39" s="112"/>
      <c r="AG39" s="112"/>
      <c r="AH39" s="112"/>
      <c r="AI39" s="112"/>
      <c r="AJ39" s="112"/>
      <c r="AK39" s="112"/>
      <c r="AL39" s="112"/>
      <c r="AM39" s="112"/>
      <c r="AN39" s="112"/>
      <c r="AO39" s="112"/>
      <c r="AP39" s="112"/>
      <c r="AQ39" s="112"/>
      <c r="AR39" s="112"/>
      <c r="AS39" s="112"/>
      <c r="AT39" s="112"/>
      <c r="AU39" s="112"/>
      <c r="AV39" s="112"/>
      <c r="AW39" s="112"/>
      <c r="AX39" s="112"/>
      <c r="AY39" s="112"/>
    </row>
    <row r="40" spans="1:51" x14ac:dyDescent="0.2">
      <c r="A40" s="115"/>
      <c r="B40" s="133">
        <v>8</v>
      </c>
      <c r="C40" s="115" t="s">
        <v>292</v>
      </c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  <c r="R40" s="112"/>
      <c r="S40" s="112"/>
      <c r="T40" s="112"/>
      <c r="U40" s="112"/>
      <c r="V40" s="112"/>
      <c r="W40" s="112"/>
      <c r="X40" s="112"/>
      <c r="Y40" s="112"/>
      <c r="Z40" s="112"/>
      <c r="AA40" s="112"/>
      <c r="AB40" s="112"/>
      <c r="AC40" s="112"/>
      <c r="AD40" s="112"/>
      <c r="AE40" s="112"/>
      <c r="AF40" s="112"/>
      <c r="AG40" s="112"/>
      <c r="AH40" s="112"/>
      <c r="AI40" s="112"/>
      <c r="AJ40" s="112"/>
      <c r="AK40" s="112"/>
      <c r="AL40" s="112"/>
      <c r="AM40" s="112"/>
      <c r="AN40" s="112"/>
      <c r="AO40" s="112"/>
      <c r="AP40" s="112"/>
      <c r="AQ40" s="112"/>
      <c r="AR40" s="112"/>
      <c r="AS40" s="112"/>
      <c r="AT40" s="112"/>
      <c r="AU40" s="112"/>
      <c r="AV40" s="112"/>
      <c r="AW40" s="112"/>
      <c r="AX40" s="112"/>
      <c r="AY40" s="112"/>
    </row>
    <row r="41" spans="1:51" x14ac:dyDescent="0.2">
      <c r="A41" s="115"/>
      <c r="B41" s="133">
        <v>9</v>
      </c>
      <c r="C41" s="115" t="s">
        <v>292</v>
      </c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</row>
    <row r="42" spans="1:51" x14ac:dyDescent="0.2">
      <c r="A42" s="115"/>
      <c r="B42" s="136">
        <v>10</v>
      </c>
      <c r="C42" s="115" t="s">
        <v>292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2"/>
      <c r="V42" s="112"/>
      <c r="W42" s="112"/>
      <c r="X42" s="112"/>
      <c r="Y42" s="112"/>
      <c r="Z42" s="112"/>
      <c r="AA42" s="112"/>
      <c r="AB42" s="112"/>
      <c r="AC42" s="112"/>
      <c r="AD42" s="112"/>
      <c r="AE42" s="112"/>
      <c r="AF42" s="112"/>
      <c r="AG42" s="112"/>
      <c r="AH42" s="112"/>
      <c r="AI42" s="112"/>
      <c r="AJ42" s="112"/>
      <c r="AK42" s="112"/>
      <c r="AL42" s="112"/>
      <c r="AM42" s="112"/>
      <c r="AN42" s="112"/>
      <c r="AO42" s="112"/>
      <c r="AP42" s="112"/>
      <c r="AQ42" s="112"/>
      <c r="AR42" s="112"/>
      <c r="AS42" s="112"/>
      <c r="AT42" s="112"/>
      <c r="AU42" s="112"/>
      <c r="AV42" s="112"/>
      <c r="AW42" s="112"/>
      <c r="AX42" s="112"/>
      <c r="AY42" s="112"/>
    </row>
    <row r="43" spans="1:51" x14ac:dyDescent="0.2">
      <c r="A43" s="115"/>
      <c r="B43" s="136">
        <v>11</v>
      </c>
      <c r="C43" s="115" t="s">
        <v>292</v>
      </c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  <c r="R43" s="112"/>
      <c r="S43" s="112"/>
      <c r="T43" s="112"/>
      <c r="U43" s="112"/>
      <c r="V43" s="112"/>
      <c r="W43" s="112"/>
      <c r="X43" s="112"/>
      <c r="Y43" s="112"/>
      <c r="Z43" s="112"/>
      <c r="AA43" s="112"/>
      <c r="AB43" s="112"/>
      <c r="AC43" s="112"/>
      <c r="AD43" s="112"/>
      <c r="AE43" s="112"/>
      <c r="AF43" s="112"/>
      <c r="AG43" s="112"/>
      <c r="AH43" s="112"/>
      <c r="AI43" s="112"/>
      <c r="AJ43" s="112"/>
      <c r="AK43" s="112"/>
      <c r="AL43" s="112"/>
      <c r="AM43" s="112"/>
      <c r="AN43" s="112"/>
      <c r="AO43" s="112"/>
      <c r="AP43" s="112"/>
      <c r="AQ43" s="112"/>
      <c r="AR43" s="112"/>
      <c r="AS43" s="112"/>
      <c r="AT43" s="112"/>
      <c r="AU43" s="112"/>
      <c r="AV43" s="112"/>
      <c r="AW43" s="112"/>
      <c r="AX43" s="112"/>
      <c r="AY43" s="112"/>
    </row>
    <row r="44" spans="1:51" x14ac:dyDescent="0.2">
      <c r="A44" s="115"/>
      <c r="B44" s="136">
        <v>12</v>
      </c>
      <c r="C44" s="134" t="s">
        <v>292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</v>
      </c>
      <c r="AJ44" s="112">
        <v>0</v>
      </c>
      <c r="AK44" s="112">
        <v>0</v>
      </c>
      <c r="AL44" s="112">
        <v>0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</row>
    <row r="45" spans="1:51" x14ac:dyDescent="0.2">
      <c r="A45" s="132" t="s">
        <v>123</v>
      </c>
      <c r="B45" s="129">
        <v>1</v>
      </c>
      <c r="C45" s="115" t="s">
        <v>292</v>
      </c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  <c r="AN45" s="130"/>
      <c r="AO45" s="130"/>
      <c r="AP45" s="130"/>
      <c r="AQ45" s="130"/>
      <c r="AR45" s="130"/>
      <c r="AS45" s="130"/>
      <c r="AT45" s="130"/>
      <c r="AU45" s="130"/>
      <c r="AV45" s="130"/>
      <c r="AW45" s="130"/>
      <c r="AX45" s="130"/>
      <c r="AY45" s="130"/>
    </row>
    <row r="46" spans="1:51" x14ac:dyDescent="0.2">
      <c r="A46" s="115"/>
      <c r="B46" s="125">
        <v>2</v>
      </c>
      <c r="C46" s="115" t="s">
        <v>292</v>
      </c>
      <c r="D46" s="116"/>
      <c r="E46" s="116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W46" s="116"/>
      <c r="AX46" s="116"/>
      <c r="AY46" s="116"/>
    </row>
    <row r="47" spans="1:51" x14ac:dyDescent="0.2">
      <c r="A47" s="115"/>
      <c r="B47" s="125">
        <v>3</v>
      </c>
      <c r="C47" s="115" t="s">
        <v>292</v>
      </c>
      <c r="D47" s="116"/>
      <c r="E47" s="116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</row>
    <row r="48" spans="1:51" x14ac:dyDescent="0.2">
      <c r="A48" s="115"/>
      <c r="B48" s="125">
        <v>4</v>
      </c>
      <c r="C48" s="115" t="s">
        <v>292</v>
      </c>
      <c r="D48" s="116"/>
      <c r="E48" s="116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W48" s="116"/>
      <c r="AX48" s="116"/>
      <c r="AY48" s="116"/>
    </row>
    <row r="49" spans="1:51" x14ac:dyDescent="0.2">
      <c r="A49" s="115"/>
      <c r="B49" s="125">
        <v>5</v>
      </c>
      <c r="C49" s="115" t="s">
        <v>292</v>
      </c>
      <c r="D49" s="116"/>
      <c r="E49" s="116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W49" s="116"/>
      <c r="AX49" s="116"/>
      <c r="AY49" s="116"/>
    </row>
    <row r="50" spans="1:51" x14ac:dyDescent="0.2">
      <c r="A50" s="115"/>
      <c r="B50" s="125">
        <v>6</v>
      </c>
      <c r="C50" s="115" t="s">
        <v>292</v>
      </c>
      <c r="D50" s="116"/>
      <c r="E50" s="116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W50" s="116"/>
      <c r="AX50" s="116"/>
      <c r="AY50" s="116"/>
    </row>
    <row r="51" spans="1:51" x14ac:dyDescent="0.2">
      <c r="A51" s="115"/>
      <c r="B51" s="125">
        <v>7</v>
      </c>
      <c r="C51" s="115" t="s">
        <v>292</v>
      </c>
      <c r="D51" s="116"/>
      <c r="E51" s="116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</row>
    <row r="52" spans="1:51" x14ac:dyDescent="0.2">
      <c r="A52" s="115"/>
      <c r="B52" s="125">
        <v>8</v>
      </c>
      <c r="C52" s="115" t="s">
        <v>292</v>
      </c>
      <c r="D52" s="116"/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W52" s="116"/>
      <c r="AX52" s="116"/>
      <c r="AY52" s="116"/>
    </row>
    <row r="53" spans="1:51" x14ac:dyDescent="0.2">
      <c r="A53" s="115"/>
      <c r="B53" s="125">
        <v>9</v>
      </c>
      <c r="C53" s="115" t="s">
        <v>292</v>
      </c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W53" s="116"/>
      <c r="AX53" s="116"/>
      <c r="AY53" s="116"/>
    </row>
    <row r="54" spans="1:51" x14ac:dyDescent="0.2">
      <c r="A54" s="115"/>
      <c r="B54" s="125">
        <v>10</v>
      </c>
      <c r="C54" s="115" t="s">
        <v>292</v>
      </c>
      <c r="D54" s="116"/>
      <c r="E54" s="116"/>
      <c r="F54" s="116"/>
      <c r="G54" s="116"/>
      <c r="H54" s="116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W54" s="116"/>
      <c r="AX54" s="116"/>
      <c r="AY54" s="116"/>
    </row>
    <row r="55" spans="1:51" x14ac:dyDescent="0.2">
      <c r="A55" s="115"/>
      <c r="B55" s="125">
        <v>11</v>
      </c>
      <c r="C55" s="115" t="s">
        <v>292</v>
      </c>
      <c r="D55" s="116"/>
      <c r="E55" s="116"/>
      <c r="F55" s="116"/>
      <c r="G55" s="116"/>
      <c r="H55" s="116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W55" s="116"/>
      <c r="AX55" s="116"/>
      <c r="AY55" s="116"/>
    </row>
    <row r="56" spans="1:51" x14ac:dyDescent="0.2">
      <c r="A56" s="115"/>
      <c r="B56" s="125">
        <v>12</v>
      </c>
      <c r="C56" s="115" t="s">
        <v>292</v>
      </c>
      <c r="D56" s="116"/>
      <c r="E56" s="116"/>
      <c r="F56" s="116"/>
      <c r="G56" s="116"/>
      <c r="H56" s="116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W56" s="116"/>
      <c r="AX56" s="116"/>
      <c r="AY56" s="116"/>
    </row>
    <row r="57" spans="1:51" x14ac:dyDescent="0.2">
      <c r="A57" s="115"/>
      <c r="B57" s="126">
        <v>13</v>
      </c>
      <c r="C57" s="115" t="s">
        <v>292</v>
      </c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W57" s="116"/>
      <c r="AX57" s="116"/>
      <c r="AY57" s="116"/>
    </row>
    <row r="58" spans="1:51" x14ac:dyDescent="0.2">
      <c r="A58" s="115"/>
      <c r="B58" s="126">
        <v>14</v>
      </c>
      <c r="C58" s="115" t="s">
        <v>292</v>
      </c>
      <c r="D58" s="116"/>
      <c r="E58" s="116"/>
      <c r="F58" s="116"/>
      <c r="G58" s="116"/>
      <c r="H58" s="116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W58" s="116"/>
      <c r="AX58" s="116"/>
      <c r="AY58" s="116"/>
    </row>
    <row r="59" spans="1:51" x14ac:dyDescent="0.2">
      <c r="A59" s="115"/>
      <c r="B59" s="126">
        <v>15</v>
      </c>
      <c r="C59" s="115" t="s">
        <v>292</v>
      </c>
      <c r="D59" s="116"/>
      <c r="E59" s="116"/>
      <c r="F59" s="116"/>
      <c r="G59" s="116"/>
      <c r="H59" s="116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W59" s="116"/>
      <c r="AX59" s="116"/>
      <c r="AY59" s="116"/>
    </row>
    <row r="60" spans="1:51" x14ac:dyDescent="0.2">
      <c r="A60" s="115"/>
      <c r="B60" s="126">
        <v>16</v>
      </c>
      <c r="C60" s="115" t="s">
        <v>292</v>
      </c>
      <c r="D60" s="116"/>
      <c r="E60" s="116"/>
      <c r="F60" s="116"/>
      <c r="G60" s="116"/>
      <c r="H60" s="116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W60" s="116"/>
      <c r="AX60" s="116"/>
      <c r="AY60" s="116"/>
    </row>
    <row r="61" spans="1:51" x14ac:dyDescent="0.2">
      <c r="A61" s="115"/>
      <c r="B61" s="126">
        <v>17</v>
      </c>
      <c r="C61" s="115" t="s">
        <v>292</v>
      </c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W61" s="116"/>
      <c r="AX61" s="116"/>
      <c r="AY61" s="116"/>
    </row>
    <row r="62" spans="1:51" x14ac:dyDescent="0.2">
      <c r="A62" s="115"/>
      <c r="B62" s="126">
        <v>18</v>
      </c>
      <c r="C62" s="115" t="s">
        <v>292</v>
      </c>
      <c r="D62" s="116"/>
      <c r="E62" s="116"/>
      <c r="F62" s="116"/>
      <c r="G62" s="116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W62" s="116"/>
      <c r="AX62" s="116"/>
      <c r="AY62" s="116"/>
    </row>
    <row r="63" spans="1:51" x14ac:dyDescent="0.2">
      <c r="A63" s="115"/>
      <c r="B63" s="126">
        <v>19</v>
      </c>
      <c r="C63" s="115" t="s">
        <v>292</v>
      </c>
      <c r="D63" s="116"/>
      <c r="E63" s="116"/>
      <c r="F63" s="116"/>
      <c r="G63" s="116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W63" s="116"/>
      <c r="AX63" s="116"/>
      <c r="AY63" s="116"/>
    </row>
    <row r="64" spans="1:51" x14ac:dyDescent="0.2">
      <c r="A64" s="115"/>
      <c r="B64" s="126">
        <v>20</v>
      </c>
      <c r="C64" s="115" t="s">
        <v>292</v>
      </c>
      <c r="D64" s="116"/>
      <c r="E64" s="116"/>
      <c r="F64" s="116"/>
      <c r="G64" s="116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W64" s="116"/>
      <c r="AX64" s="116"/>
      <c r="AY64" s="116"/>
    </row>
    <row r="65" spans="1:51" x14ac:dyDescent="0.2">
      <c r="A65" s="115"/>
      <c r="B65" s="126">
        <v>21</v>
      </c>
      <c r="C65" s="115" t="s">
        <v>292</v>
      </c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W65" s="116"/>
      <c r="AX65" s="116"/>
      <c r="AY65" s="116"/>
    </row>
    <row r="66" spans="1:51" x14ac:dyDescent="0.2">
      <c r="A66" s="115"/>
      <c r="B66" s="126">
        <v>22</v>
      </c>
      <c r="C66" s="115" t="s">
        <v>292</v>
      </c>
      <c r="D66" s="116"/>
      <c r="E66" s="116"/>
      <c r="F66" s="116"/>
      <c r="G66" s="116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W66" s="116"/>
      <c r="AX66" s="116"/>
      <c r="AY66" s="116"/>
    </row>
    <row r="67" spans="1:51" x14ac:dyDescent="0.2">
      <c r="A67" s="115"/>
      <c r="B67" s="126">
        <v>23</v>
      </c>
      <c r="C67" s="115" t="s">
        <v>292</v>
      </c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</row>
    <row r="68" spans="1:51" x14ac:dyDescent="0.2">
      <c r="A68" s="115"/>
      <c r="B68" s="126">
        <v>24</v>
      </c>
      <c r="C68" s="115" t="s">
        <v>292</v>
      </c>
      <c r="D68" s="116"/>
      <c r="E68" s="116"/>
      <c r="F68" s="116"/>
      <c r="G68" s="116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6"/>
      <c r="AX68" s="116"/>
      <c r="AY68" s="116"/>
    </row>
    <row r="69" spans="1:51" x14ac:dyDescent="0.2">
      <c r="A69" s="115"/>
      <c r="B69" s="133">
        <v>25</v>
      </c>
      <c r="C69" s="115" t="s">
        <v>292</v>
      </c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W69" s="116"/>
      <c r="AX69" s="116"/>
      <c r="AY69" s="116"/>
    </row>
    <row r="70" spans="1:51" x14ac:dyDescent="0.2">
      <c r="A70" s="115"/>
      <c r="B70" s="133">
        <v>26</v>
      </c>
      <c r="C70" s="115" t="s">
        <v>292</v>
      </c>
      <c r="D70" s="116"/>
      <c r="E70" s="116"/>
      <c r="F70" s="116"/>
      <c r="G70" s="116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AW70" s="116"/>
      <c r="AX70" s="116"/>
      <c r="AY70" s="116"/>
    </row>
    <row r="71" spans="1:51" x14ac:dyDescent="0.2">
      <c r="A71" s="115"/>
      <c r="B71" s="133">
        <v>27</v>
      </c>
      <c r="C71" s="115" t="s">
        <v>292</v>
      </c>
      <c r="D71" s="116"/>
      <c r="E71" s="116"/>
      <c r="F71" s="116"/>
      <c r="G71" s="116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AW71" s="116"/>
      <c r="AX71" s="116"/>
      <c r="AY71" s="116"/>
    </row>
    <row r="72" spans="1:51" x14ac:dyDescent="0.2">
      <c r="A72" s="115"/>
      <c r="B72" s="133">
        <v>28</v>
      </c>
      <c r="C72" s="115" t="s">
        <v>292</v>
      </c>
      <c r="D72" s="116"/>
      <c r="E72" s="116"/>
      <c r="F72" s="116"/>
      <c r="G72" s="116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AW72" s="116"/>
      <c r="AX72" s="116"/>
      <c r="AY72" s="116"/>
    </row>
    <row r="73" spans="1:51" x14ac:dyDescent="0.2">
      <c r="A73" s="115"/>
      <c r="B73" s="133">
        <v>29</v>
      </c>
      <c r="C73" s="115" t="s">
        <v>292</v>
      </c>
      <c r="D73" s="116"/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AW73" s="116"/>
      <c r="AX73" s="116"/>
      <c r="AY73" s="116"/>
    </row>
    <row r="74" spans="1:51" x14ac:dyDescent="0.2">
      <c r="A74" s="115"/>
      <c r="B74" s="133">
        <v>30</v>
      </c>
      <c r="C74" s="115" t="s">
        <v>292</v>
      </c>
      <c r="D74" s="116"/>
      <c r="E74" s="116"/>
      <c r="F74" s="116"/>
      <c r="G74" s="116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AW74" s="116"/>
      <c r="AX74" s="116"/>
      <c r="AY74" s="116"/>
    </row>
    <row r="75" spans="1:51" x14ac:dyDescent="0.2">
      <c r="A75" s="115"/>
      <c r="B75" s="133">
        <v>31</v>
      </c>
      <c r="C75" s="115" t="s">
        <v>292</v>
      </c>
      <c r="D75" s="116"/>
      <c r="E75" s="116"/>
      <c r="F75" s="116"/>
      <c r="G75" s="116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AW75" s="116"/>
      <c r="AX75" s="116"/>
      <c r="AY75" s="116"/>
    </row>
    <row r="76" spans="1:51" x14ac:dyDescent="0.2">
      <c r="A76" s="115"/>
      <c r="B76" s="133">
        <v>32</v>
      </c>
      <c r="C76" s="115" t="s">
        <v>292</v>
      </c>
      <c r="D76" s="116"/>
      <c r="E76" s="116"/>
      <c r="F76" s="116"/>
      <c r="G76" s="116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AW76" s="116"/>
      <c r="AX76" s="116"/>
      <c r="AY76" s="116"/>
    </row>
    <row r="77" spans="1:51" x14ac:dyDescent="0.2">
      <c r="A77" s="115"/>
      <c r="B77" s="133">
        <v>33</v>
      </c>
      <c r="C77" s="115" t="s">
        <v>292</v>
      </c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AW77" s="116"/>
      <c r="AX77" s="116"/>
      <c r="AY77" s="116"/>
    </row>
    <row r="78" spans="1:51" x14ac:dyDescent="0.2">
      <c r="A78" s="115"/>
      <c r="B78" s="133">
        <v>34</v>
      </c>
      <c r="C78" s="115" t="s">
        <v>292</v>
      </c>
      <c r="D78" s="11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AW78" s="116"/>
      <c r="AX78" s="116"/>
      <c r="AY78" s="116"/>
    </row>
    <row r="79" spans="1:51" x14ac:dyDescent="0.2">
      <c r="A79" s="115"/>
      <c r="B79" s="133">
        <v>35</v>
      </c>
      <c r="C79" s="115" t="s">
        <v>292</v>
      </c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AW79" s="116"/>
      <c r="AX79" s="116"/>
      <c r="AY79" s="116"/>
    </row>
    <row r="80" spans="1:51" x14ac:dyDescent="0.2">
      <c r="A80" s="115"/>
      <c r="B80" s="133">
        <v>36</v>
      </c>
      <c r="C80" s="115" t="s">
        <v>292</v>
      </c>
      <c r="D80" s="116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AW80" s="116"/>
      <c r="AX80" s="116"/>
      <c r="AY80" s="116"/>
    </row>
    <row r="81" spans="1:52" x14ac:dyDescent="0.2">
      <c r="A81" s="115"/>
      <c r="B81" s="136">
        <v>37</v>
      </c>
      <c r="C81" s="115" t="s">
        <v>292</v>
      </c>
      <c r="D81" s="116"/>
      <c r="E81" s="116"/>
      <c r="F81" s="116"/>
      <c r="G81" s="116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AW81" s="116"/>
      <c r="AX81" s="116"/>
      <c r="AY81" s="116"/>
    </row>
    <row r="82" spans="1:52" x14ac:dyDescent="0.2">
      <c r="A82" s="115"/>
      <c r="B82" s="136">
        <v>38</v>
      </c>
      <c r="C82" s="115" t="s">
        <v>292</v>
      </c>
      <c r="D82" s="116"/>
      <c r="E82" s="116"/>
      <c r="F82" s="116"/>
      <c r="G82" s="116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AW82" s="116"/>
      <c r="AX82" s="116"/>
      <c r="AY82" s="116"/>
    </row>
    <row r="83" spans="1:52" x14ac:dyDescent="0.2">
      <c r="A83" s="115"/>
      <c r="B83" s="136">
        <v>39</v>
      </c>
      <c r="C83" s="115" t="s">
        <v>292</v>
      </c>
      <c r="D83" s="116"/>
      <c r="E83" s="116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</row>
    <row r="84" spans="1:52" x14ac:dyDescent="0.2">
      <c r="A84" s="115"/>
      <c r="B84" s="136">
        <v>40</v>
      </c>
      <c r="C84" s="115" t="s">
        <v>292</v>
      </c>
      <c r="D84" s="116"/>
      <c r="E84" s="116"/>
      <c r="F84" s="116"/>
      <c r="G84" s="116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AW84" s="116"/>
      <c r="AX84" s="116"/>
      <c r="AY84" s="116"/>
    </row>
    <row r="85" spans="1:52" x14ac:dyDescent="0.2">
      <c r="A85" s="115"/>
      <c r="B85" s="136">
        <v>41</v>
      </c>
      <c r="C85" s="115" t="s">
        <v>292</v>
      </c>
      <c r="D85" s="116"/>
      <c r="E85" s="116"/>
      <c r="F85" s="116"/>
      <c r="G85" s="116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AW85" s="116"/>
      <c r="AX85" s="116"/>
      <c r="AY85" s="116"/>
    </row>
    <row r="86" spans="1:52" x14ac:dyDescent="0.2">
      <c r="A86" s="115"/>
      <c r="B86" s="136">
        <v>42</v>
      </c>
      <c r="C86" s="115" t="s">
        <v>292</v>
      </c>
      <c r="D86" s="116"/>
      <c r="E86" s="116"/>
      <c r="F86" s="116"/>
      <c r="G86" s="116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AW86" s="116"/>
      <c r="AX86" s="116"/>
      <c r="AY86" s="116"/>
    </row>
    <row r="87" spans="1:52" x14ac:dyDescent="0.2">
      <c r="A87" s="115"/>
      <c r="B87" s="136">
        <v>43</v>
      </c>
      <c r="C87" s="115" t="s">
        <v>292</v>
      </c>
      <c r="D87" s="116"/>
      <c r="E87" s="116"/>
      <c r="F87" s="116"/>
      <c r="G87" s="116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AW87" s="116"/>
      <c r="AX87" s="116"/>
      <c r="AY87" s="116"/>
    </row>
    <row r="88" spans="1:52" x14ac:dyDescent="0.2">
      <c r="A88" s="115"/>
      <c r="B88" s="136">
        <v>44</v>
      </c>
      <c r="C88" s="115" t="s">
        <v>292</v>
      </c>
      <c r="D88" s="116"/>
      <c r="E88" s="116"/>
      <c r="F88" s="116"/>
      <c r="G88" s="116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AW88" s="116"/>
      <c r="AX88" s="116"/>
      <c r="AY88" s="116"/>
    </row>
    <row r="89" spans="1:52" x14ac:dyDescent="0.2">
      <c r="A89" s="115"/>
      <c r="B89" s="136">
        <v>45</v>
      </c>
      <c r="C89" s="115" t="s">
        <v>292</v>
      </c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AW89" s="116"/>
      <c r="AX89" s="116"/>
      <c r="AY89" s="116"/>
    </row>
    <row r="90" spans="1:52" x14ac:dyDescent="0.2">
      <c r="A90" s="115"/>
      <c r="B90" s="136">
        <v>46</v>
      </c>
      <c r="C90" s="115" t="s">
        <v>292</v>
      </c>
      <c r="D90" s="11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AW90" s="116"/>
      <c r="AX90" s="116"/>
      <c r="AY90" s="116"/>
    </row>
    <row r="91" spans="1:52" x14ac:dyDescent="0.2">
      <c r="A91" s="115"/>
      <c r="B91" s="136">
        <v>47</v>
      </c>
      <c r="C91" s="115" t="s">
        <v>292</v>
      </c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AW91" s="116"/>
      <c r="AX91" s="116"/>
      <c r="AY91" s="116"/>
    </row>
    <row r="92" spans="1:52" x14ac:dyDescent="0.2">
      <c r="A92" s="134"/>
      <c r="B92" s="135">
        <v>48</v>
      </c>
      <c r="C92" s="134" t="s">
        <v>292</v>
      </c>
      <c r="D92" s="131">
        <v>0</v>
      </c>
      <c r="E92" s="131">
        <v>0</v>
      </c>
      <c r="F92" s="131">
        <v>0</v>
      </c>
      <c r="G92" s="131">
        <v>0</v>
      </c>
      <c r="H92" s="131">
        <v>0</v>
      </c>
      <c r="I92" s="131">
        <v>0</v>
      </c>
      <c r="J92" s="131">
        <v>0</v>
      </c>
      <c r="K92" s="131">
        <v>0</v>
      </c>
      <c r="L92" s="131">
        <v>0</v>
      </c>
      <c r="M92" s="131">
        <v>0</v>
      </c>
      <c r="N92" s="131">
        <v>0</v>
      </c>
      <c r="O92" s="131">
        <v>0</v>
      </c>
      <c r="P92" s="131">
        <v>0</v>
      </c>
      <c r="Q92" s="131">
        <v>0</v>
      </c>
      <c r="R92" s="131">
        <v>0</v>
      </c>
      <c r="S92" s="131">
        <v>0</v>
      </c>
      <c r="T92" s="131">
        <v>0</v>
      </c>
      <c r="U92" s="131">
        <v>0</v>
      </c>
      <c r="V92" s="131">
        <v>0</v>
      </c>
      <c r="W92" s="131">
        <v>0</v>
      </c>
      <c r="X92" s="131">
        <v>0</v>
      </c>
      <c r="Y92" s="131">
        <v>0</v>
      </c>
      <c r="Z92" s="131">
        <v>0</v>
      </c>
      <c r="AA92" s="131">
        <v>0</v>
      </c>
      <c r="AB92" s="131">
        <v>0</v>
      </c>
      <c r="AC92" s="131">
        <v>0</v>
      </c>
      <c r="AD92" s="131">
        <v>0</v>
      </c>
      <c r="AE92" s="131">
        <v>0</v>
      </c>
      <c r="AF92" s="131">
        <v>0</v>
      </c>
      <c r="AG92" s="131">
        <v>0</v>
      </c>
      <c r="AH92" s="131">
        <v>0</v>
      </c>
      <c r="AI92" s="131">
        <v>0</v>
      </c>
      <c r="AJ92" s="131">
        <v>0</v>
      </c>
      <c r="AK92" s="131">
        <v>0</v>
      </c>
      <c r="AL92" s="131">
        <v>0</v>
      </c>
      <c r="AM92" s="131">
        <v>0</v>
      </c>
      <c r="AN92" s="131">
        <v>0</v>
      </c>
      <c r="AO92" s="131">
        <v>0</v>
      </c>
      <c r="AP92" s="131">
        <v>0</v>
      </c>
      <c r="AQ92" s="131">
        <v>0</v>
      </c>
      <c r="AR92" s="131">
        <v>0</v>
      </c>
      <c r="AS92" s="131">
        <v>0</v>
      </c>
      <c r="AT92" s="131">
        <v>0</v>
      </c>
      <c r="AU92" s="131">
        <v>0</v>
      </c>
      <c r="AV92" s="131">
        <v>0</v>
      </c>
      <c r="AW92" s="131">
        <v>0</v>
      </c>
      <c r="AX92" s="131">
        <v>0</v>
      </c>
      <c r="AY92" s="131">
        <v>0</v>
      </c>
      <c r="AZ92" s="113">
        <f>SUM(D21:AY92)</f>
        <v>0</v>
      </c>
    </row>
    <row r="94" spans="1:52" x14ac:dyDescent="0.2">
      <c r="A94" s="108" t="s">
        <v>294</v>
      </c>
      <c r="B94" s="112"/>
      <c r="C94" s="112"/>
      <c r="D94" s="120"/>
      <c r="E94" s="120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20"/>
      <c r="Q94" s="120"/>
      <c r="R94" s="120"/>
      <c r="S94" s="120"/>
      <c r="T94" s="120"/>
      <c r="U94" s="120"/>
      <c r="V94" s="120"/>
      <c r="W94" s="120"/>
      <c r="X94" s="120"/>
      <c r="Y94" s="120"/>
      <c r="Z94" s="120"/>
      <c r="AA94" s="120"/>
      <c r="AB94" s="120"/>
      <c r="AC94" s="120"/>
      <c r="AD94" s="120"/>
      <c r="AE94" s="120"/>
      <c r="AF94" s="120"/>
      <c r="AG94" s="120"/>
      <c r="AH94" s="120"/>
      <c r="AI94" s="120"/>
      <c r="AJ94" s="120"/>
      <c r="AK94" s="120"/>
      <c r="AL94" s="120"/>
      <c r="AM94" s="120"/>
      <c r="AN94" s="120"/>
      <c r="AO94" s="120"/>
      <c r="AP94" s="120"/>
      <c r="AQ94" s="120"/>
      <c r="AR94" s="120"/>
      <c r="AS94" s="120"/>
      <c r="AT94" s="120"/>
      <c r="AU94" s="120"/>
      <c r="AV94" s="120"/>
      <c r="AW94" s="120"/>
      <c r="AX94" s="120"/>
      <c r="AY94" s="120"/>
    </row>
    <row r="95" spans="1:52" x14ac:dyDescent="0.2">
      <c r="A95" s="132" t="s">
        <v>125</v>
      </c>
      <c r="B95" s="129">
        <v>1</v>
      </c>
      <c r="C95" s="130"/>
      <c r="D95" s="116">
        <v>4754.0556038556606</v>
      </c>
      <c r="E95" s="116">
        <v>4754.0556038556606</v>
      </c>
      <c r="F95" s="116">
        <v>4754.0556038556606</v>
      </c>
      <c r="G95" s="116">
        <v>4754.0556038556606</v>
      </c>
      <c r="H95" s="116">
        <v>4608.9648029835898</v>
      </c>
      <c r="I95" s="116">
        <v>4608.9648029835898</v>
      </c>
      <c r="J95" s="116">
        <v>4608.9648029835898</v>
      </c>
      <c r="K95" s="116">
        <v>4608.9648029835898</v>
      </c>
      <c r="L95" s="116">
        <v>4608.9648029835898</v>
      </c>
      <c r="M95" s="116">
        <v>4608.9648029835898</v>
      </c>
      <c r="N95" s="116">
        <v>4608.9648029835898</v>
      </c>
      <c r="O95" s="116">
        <v>4608.9648029835898</v>
      </c>
      <c r="P95" s="116">
        <v>4754.0556038556606</v>
      </c>
      <c r="Q95" s="116">
        <v>4754.0556038556606</v>
      </c>
      <c r="R95" s="116">
        <v>4754.0556038556606</v>
      </c>
      <c r="S95" s="116">
        <v>4754.0556038556606</v>
      </c>
      <c r="T95" s="116">
        <v>3530.1904508145658</v>
      </c>
      <c r="U95" s="116">
        <v>3532.3080536584635</v>
      </c>
      <c r="V95" s="116">
        <v>3534.4202555118527</v>
      </c>
      <c r="W95" s="116">
        <v>4608.9648029835898</v>
      </c>
      <c r="X95" s="116">
        <v>4608.9648029835898</v>
      </c>
      <c r="Y95" s="116">
        <v>4608.9648029835898</v>
      </c>
      <c r="Z95" s="116">
        <v>4608.9648029835898</v>
      </c>
      <c r="AA95" s="116">
        <v>4608.9648029835898</v>
      </c>
      <c r="AB95" s="116">
        <v>4754.0556038556606</v>
      </c>
      <c r="AC95" s="116">
        <v>4754.0556038556606</v>
      </c>
      <c r="AD95" s="116">
        <v>4369.8656446029891</v>
      </c>
      <c r="AE95" s="116">
        <v>4754.0556038556606</v>
      </c>
      <c r="AF95" s="116">
        <v>3555.1707678110074</v>
      </c>
      <c r="AG95" s="116">
        <v>4608.9648029835898</v>
      </c>
      <c r="AH95" s="116">
        <v>4608.9648029835898</v>
      </c>
      <c r="AI95" s="116">
        <v>4608.9648029835898</v>
      </c>
      <c r="AJ95" s="116">
        <v>4608.9648029835898</v>
      </c>
      <c r="AK95" s="116">
        <v>4608.9648029835898</v>
      </c>
      <c r="AL95" s="116">
        <v>4608.9648029835898</v>
      </c>
      <c r="AM95" s="116">
        <v>4608.9648029835898</v>
      </c>
      <c r="AN95" s="116">
        <v>4754.0556038556606</v>
      </c>
      <c r="AO95" s="116">
        <v>4754.0556038556606</v>
      </c>
      <c r="AP95" s="116">
        <v>4754.0556038556606</v>
      </c>
      <c r="AQ95" s="116">
        <v>4754.0556038556606</v>
      </c>
      <c r="AR95" s="116">
        <v>4608.9648029835898</v>
      </c>
      <c r="AS95" s="116">
        <v>4608.9648029835898</v>
      </c>
      <c r="AT95" s="116">
        <v>4608.9648029835898</v>
      </c>
      <c r="AU95" s="116">
        <v>4608.9648029835898</v>
      </c>
      <c r="AV95" s="116">
        <v>4608.9648029835898</v>
      </c>
      <c r="AW95" s="116">
        <v>4608.9648029835898</v>
      </c>
      <c r="AX95" s="116">
        <v>4608.9648029835898</v>
      </c>
      <c r="AY95" s="116">
        <v>4608.9648029835898</v>
      </c>
    </row>
    <row r="96" spans="1:52" x14ac:dyDescent="0.2">
      <c r="A96" s="115"/>
      <c r="B96" s="126">
        <v>2</v>
      </c>
      <c r="C96" s="116"/>
      <c r="D96" s="116">
        <v>0</v>
      </c>
      <c r="E96" s="116">
        <v>4349.0556038556606</v>
      </c>
      <c r="F96" s="116">
        <v>4754.0556038556606</v>
      </c>
      <c r="G96" s="116">
        <v>4754.0556038556606</v>
      </c>
      <c r="H96" s="116">
        <v>4754.0556038556606</v>
      </c>
      <c r="I96" s="116">
        <v>4608.9648029835898</v>
      </c>
      <c r="J96" s="116">
        <v>4608.9648029835898</v>
      </c>
      <c r="K96" s="116">
        <v>4608.9648029835898</v>
      </c>
      <c r="L96" s="116">
        <v>4608.9648029835898</v>
      </c>
      <c r="M96" s="116">
        <v>4608.9648029835898</v>
      </c>
      <c r="N96" s="116">
        <v>4608.9648029835898</v>
      </c>
      <c r="O96" s="116">
        <v>4608.9648029835898</v>
      </c>
      <c r="P96" s="116">
        <v>4608.9648029835898</v>
      </c>
      <c r="Q96" s="116">
        <v>4754.0556038556606</v>
      </c>
      <c r="R96" s="116">
        <v>4754.0556038556606</v>
      </c>
      <c r="S96" s="116">
        <v>4754.0556038556606</v>
      </c>
      <c r="T96" s="116">
        <v>4754.0556038556606</v>
      </c>
      <c r="U96" s="116">
        <v>3530.1904508145658</v>
      </c>
      <c r="V96" s="116">
        <v>3532.3080536584635</v>
      </c>
      <c r="W96" s="116">
        <v>3534.4202555118527</v>
      </c>
      <c r="X96" s="116">
        <v>4608.9648029835898</v>
      </c>
      <c r="Y96" s="116">
        <v>4608.9648029835898</v>
      </c>
      <c r="Z96" s="116">
        <v>4608.9648029835898</v>
      </c>
      <c r="AA96" s="116">
        <v>4608.9648029835898</v>
      </c>
      <c r="AB96" s="116">
        <v>4608.9648029835898</v>
      </c>
      <c r="AC96" s="116">
        <v>4754.0556038556606</v>
      </c>
      <c r="AD96" s="116">
        <v>4754.0556038556606</v>
      </c>
      <c r="AE96" s="116">
        <v>4369.8656446029891</v>
      </c>
      <c r="AF96" s="116">
        <v>4754.0556038556606</v>
      </c>
      <c r="AG96" s="116">
        <v>3555.1707678110074</v>
      </c>
      <c r="AH96" s="116">
        <v>4608.9648029835898</v>
      </c>
      <c r="AI96" s="116">
        <v>4608.9648029835898</v>
      </c>
      <c r="AJ96" s="116">
        <v>4608.9648029835898</v>
      </c>
      <c r="AK96" s="116">
        <v>4608.9648029835898</v>
      </c>
      <c r="AL96" s="116">
        <v>4608.9648029835898</v>
      </c>
      <c r="AM96" s="116">
        <v>4608.9648029835898</v>
      </c>
      <c r="AN96" s="116">
        <v>4608.9648029835898</v>
      </c>
      <c r="AO96" s="116">
        <v>4754.0556038556606</v>
      </c>
      <c r="AP96" s="116">
        <v>4754.0556038556606</v>
      </c>
      <c r="AQ96" s="116">
        <v>4754.0556038556606</v>
      </c>
      <c r="AR96" s="116">
        <v>4754.0556038556606</v>
      </c>
      <c r="AS96" s="116">
        <v>4608.9648029835898</v>
      </c>
      <c r="AT96" s="116">
        <v>4608.9648029835898</v>
      </c>
      <c r="AU96" s="116">
        <v>4608.9648029835898</v>
      </c>
      <c r="AV96" s="116">
        <v>4608.9648029835898</v>
      </c>
      <c r="AW96" s="116">
        <v>4608.9648029835898</v>
      </c>
      <c r="AX96" s="116">
        <v>4608.9648029835898</v>
      </c>
      <c r="AY96" s="116">
        <v>4608.9648029835898</v>
      </c>
    </row>
    <row r="97" spans="1:52" x14ac:dyDescent="0.2">
      <c r="A97" s="115"/>
      <c r="B97" s="133">
        <v>3</v>
      </c>
      <c r="C97" s="116"/>
      <c r="D97" s="116">
        <v>0</v>
      </c>
      <c r="E97" s="116">
        <v>0</v>
      </c>
      <c r="F97" s="116">
        <v>4009.0556038556606</v>
      </c>
      <c r="G97" s="116">
        <v>4754.0556038556606</v>
      </c>
      <c r="H97" s="116">
        <v>4754.0556038556606</v>
      </c>
      <c r="I97" s="116">
        <v>4754.0556038556606</v>
      </c>
      <c r="J97" s="116">
        <v>4608.9648029835898</v>
      </c>
      <c r="K97" s="116">
        <v>4608.9648029835898</v>
      </c>
      <c r="L97" s="116">
        <v>4608.9648029835898</v>
      </c>
      <c r="M97" s="116">
        <v>4608.9648029835898</v>
      </c>
      <c r="N97" s="116">
        <v>4608.9648029835898</v>
      </c>
      <c r="O97" s="116">
        <v>4608.9648029835898</v>
      </c>
      <c r="P97" s="116">
        <v>4608.9648029835898</v>
      </c>
      <c r="Q97" s="116">
        <v>4608.9648029835898</v>
      </c>
      <c r="R97" s="116">
        <v>4754.0556038556606</v>
      </c>
      <c r="S97" s="116">
        <v>4754.0556038556606</v>
      </c>
      <c r="T97" s="116">
        <v>4754.0556038556606</v>
      </c>
      <c r="U97" s="116">
        <v>4754.0556038556606</v>
      </c>
      <c r="V97" s="116">
        <v>3530.1904508145658</v>
      </c>
      <c r="W97" s="116">
        <v>3532.3080536584635</v>
      </c>
      <c r="X97" s="116">
        <v>3534.4202555118527</v>
      </c>
      <c r="Y97" s="116">
        <v>4608.9648029835898</v>
      </c>
      <c r="Z97" s="116">
        <v>4608.9648029835898</v>
      </c>
      <c r="AA97" s="116">
        <v>4608.9648029835898</v>
      </c>
      <c r="AB97" s="116">
        <v>4608.9648029835898</v>
      </c>
      <c r="AC97" s="116">
        <v>4608.9648029835898</v>
      </c>
      <c r="AD97" s="116">
        <v>4754.0556038556606</v>
      </c>
      <c r="AE97" s="116">
        <v>4754.0556038556606</v>
      </c>
      <c r="AF97" s="116">
        <v>4369.8656446029891</v>
      </c>
      <c r="AG97" s="116">
        <v>4754.0556038556606</v>
      </c>
      <c r="AH97" s="116">
        <v>3555.1707678110074</v>
      </c>
      <c r="AI97" s="116">
        <v>4608.9648029835898</v>
      </c>
      <c r="AJ97" s="116">
        <v>4608.9648029835898</v>
      </c>
      <c r="AK97" s="116">
        <v>4608.9648029835898</v>
      </c>
      <c r="AL97" s="116">
        <v>4608.9648029835898</v>
      </c>
      <c r="AM97" s="116">
        <v>4608.9648029835898</v>
      </c>
      <c r="AN97" s="116">
        <v>4608.9648029835898</v>
      </c>
      <c r="AO97" s="116">
        <v>4608.9648029835898</v>
      </c>
      <c r="AP97" s="116">
        <v>4754.0556038556606</v>
      </c>
      <c r="AQ97" s="116">
        <v>4754.0556038556606</v>
      </c>
      <c r="AR97" s="116">
        <v>4754.0556038556606</v>
      </c>
      <c r="AS97" s="116">
        <v>4754.0556038556606</v>
      </c>
      <c r="AT97" s="116">
        <v>4608.9648029835898</v>
      </c>
      <c r="AU97" s="116">
        <v>4608.9648029835898</v>
      </c>
      <c r="AV97" s="116">
        <v>4608.9648029835898</v>
      </c>
      <c r="AW97" s="116">
        <v>4608.9648029835898</v>
      </c>
      <c r="AX97" s="116">
        <v>4608.9648029835898</v>
      </c>
      <c r="AY97" s="116">
        <v>4608.9648029835898</v>
      </c>
    </row>
    <row r="98" spans="1:52" x14ac:dyDescent="0.2">
      <c r="A98" s="115"/>
      <c r="B98" s="136">
        <v>4</v>
      </c>
      <c r="C98" s="112"/>
      <c r="D98" s="116">
        <v>0</v>
      </c>
      <c r="E98" s="116">
        <v>0</v>
      </c>
      <c r="F98" s="116">
        <v>0</v>
      </c>
      <c r="G98" s="116">
        <v>3587.0556038556606</v>
      </c>
      <c r="H98" s="116">
        <v>4754.0556038556606</v>
      </c>
      <c r="I98" s="116">
        <v>4754.0556038556606</v>
      </c>
      <c r="J98" s="116">
        <v>4754.0556038556606</v>
      </c>
      <c r="K98" s="116">
        <v>4608.9648029835898</v>
      </c>
      <c r="L98" s="116">
        <v>4608.9648029835898</v>
      </c>
      <c r="M98" s="116">
        <v>4608.9648029835898</v>
      </c>
      <c r="N98" s="116">
        <v>4608.9648029835898</v>
      </c>
      <c r="O98" s="116">
        <v>4608.9648029835898</v>
      </c>
      <c r="P98" s="116">
        <v>4608.9648029835898</v>
      </c>
      <c r="Q98" s="116">
        <v>4608.9648029835898</v>
      </c>
      <c r="R98" s="116">
        <v>4608.9648029835898</v>
      </c>
      <c r="S98" s="116">
        <v>4754.0556038556606</v>
      </c>
      <c r="T98" s="116">
        <v>4754.0556038556606</v>
      </c>
      <c r="U98" s="116">
        <v>4754.0556038556606</v>
      </c>
      <c r="V98" s="116">
        <v>4754.0556038556606</v>
      </c>
      <c r="W98" s="116">
        <v>3530.1904508145658</v>
      </c>
      <c r="X98" s="116">
        <v>3532.3080536584635</v>
      </c>
      <c r="Y98" s="116">
        <v>3534.4202555118527</v>
      </c>
      <c r="Z98" s="116">
        <v>4608.9648029835898</v>
      </c>
      <c r="AA98" s="116">
        <v>4608.9648029835898</v>
      </c>
      <c r="AB98" s="116">
        <v>4608.9648029835898</v>
      </c>
      <c r="AC98" s="116">
        <v>4608.9648029835898</v>
      </c>
      <c r="AD98" s="116">
        <v>4608.9648029835898</v>
      </c>
      <c r="AE98" s="116">
        <v>4754.0556038556606</v>
      </c>
      <c r="AF98" s="116">
        <v>4754.0556038556606</v>
      </c>
      <c r="AG98" s="116">
        <v>4369.8656446029891</v>
      </c>
      <c r="AH98" s="116">
        <v>4754.0556038556606</v>
      </c>
      <c r="AI98" s="116">
        <v>3555.1707678110074</v>
      </c>
      <c r="AJ98" s="116">
        <v>4608.9648029835898</v>
      </c>
      <c r="AK98" s="116">
        <v>4608.9648029835898</v>
      </c>
      <c r="AL98" s="116">
        <v>4608.9648029835898</v>
      </c>
      <c r="AM98" s="116">
        <v>4608.9648029835898</v>
      </c>
      <c r="AN98" s="116">
        <v>4608.9648029835898</v>
      </c>
      <c r="AO98" s="116">
        <v>4608.9648029835898</v>
      </c>
      <c r="AP98" s="116">
        <v>4608.9648029835898</v>
      </c>
      <c r="AQ98" s="116">
        <v>4754.0556038556606</v>
      </c>
      <c r="AR98" s="116">
        <v>4754.0556038556606</v>
      </c>
      <c r="AS98" s="116">
        <v>4754.0556038556606</v>
      </c>
      <c r="AT98" s="116">
        <v>4754.0556038556606</v>
      </c>
      <c r="AU98" s="116">
        <v>4608.9648029835898</v>
      </c>
      <c r="AV98" s="116">
        <v>4608.9648029835898</v>
      </c>
      <c r="AW98" s="116">
        <v>4608.9648029835898</v>
      </c>
      <c r="AX98" s="116">
        <v>4608.9648029835898</v>
      </c>
      <c r="AY98" s="116">
        <v>4608.9648029835898</v>
      </c>
    </row>
    <row r="99" spans="1:52" x14ac:dyDescent="0.2">
      <c r="A99" s="134"/>
      <c r="B99" s="138" t="s">
        <v>295</v>
      </c>
      <c r="C99" s="131"/>
      <c r="D99" s="131">
        <v>0</v>
      </c>
      <c r="E99" s="131">
        <v>0</v>
      </c>
      <c r="F99" s="131">
        <v>0</v>
      </c>
      <c r="G99" s="131">
        <v>0</v>
      </c>
      <c r="H99" s="131">
        <v>3245.0556038556606</v>
      </c>
      <c r="I99" s="131">
        <v>4222.0556038556606</v>
      </c>
      <c r="J99" s="131">
        <v>4088.0556038556606</v>
      </c>
      <c r="K99" s="131">
        <v>4155.0556038556606</v>
      </c>
      <c r="L99" s="131">
        <v>4064.9648029835898</v>
      </c>
      <c r="M99" s="131">
        <v>1711.9648029835898</v>
      </c>
      <c r="N99" s="131">
        <v>1459.9648029835898</v>
      </c>
      <c r="O99" s="131">
        <v>1677.9648029835898</v>
      </c>
      <c r="P99" s="131">
        <v>1117.9648029835898</v>
      </c>
      <c r="Q99" s="131">
        <v>3234.9648029835898</v>
      </c>
      <c r="R99" s="131">
        <v>3534.9648029835898</v>
      </c>
      <c r="S99" s="131">
        <v>3496.9648029835898</v>
      </c>
      <c r="T99" s="131">
        <v>3709.0556038556606</v>
      </c>
      <c r="U99" s="131">
        <v>3916.0556038556606</v>
      </c>
      <c r="V99" s="131">
        <v>3981.0556038556606</v>
      </c>
      <c r="W99" s="131">
        <v>4044.0556038556606</v>
      </c>
      <c r="X99" s="131">
        <v>2710.1904508145658</v>
      </c>
      <c r="Y99" s="131">
        <v>2484.3080536584635</v>
      </c>
      <c r="Z99" s="131">
        <v>2736.4202555118527</v>
      </c>
      <c r="AA99" s="131">
        <v>3626.9648029835898</v>
      </c>
      <c r="AB99" s="131">
        <v>3604.9648029835898</v>
      </c>
      <c r="AC99" s="131">
        <v>4035.9648029835898</v>
      </c>
      <c r="AD99" s="131">
        <v>4020.9648029835898</v>
      </c>
      <c r="AE99" s="131">
        <v>4110.9648029835898</v>
      </c>
      <c r="AF99" s="131">
        <v>4052.0556038556606</v>
      </c>
      <c r="AG99" s="131">
        <v>4014.0556038556606</v>
      </c>
      <c r="AH99" s="131">
        <v>3470.8656446029891</v>
      </c>
      <c r="AI99" s="131">
        <v>3821.0556038556606</v>
      </c>
      <c r="AJ99" s="131">
        <v>2789.1707678110074</v>
      </c>
      <c r="AK99" s="131">
        <v>3594.9648029835898</v>
      </c>
      <c r="AL99" s="131">
        <v>3531.9648029835898</v>
      </c>
      <c r="AM99" s="131">
        <v>3622.9648029835898</v>
      </c>
      <c r="AN99" s="131">
        <v>3760.9648029835898</v>
      </c>
      <c r="AO99" s="131">
        <v>2496.9648029835898</v>
      </c>
      <c r="AP99" s="131">
        <v>1982.9648029835898</v>
      </c>
      <c r="AQ99" s="131">
        <v>1989.9648029835898</v>
      </c>
      <c r="AR99" s="131">
        <v>3164.0556038556606</v>
      </c>
      <c r="AS99" s="131">
        <v>2020.0556038556606</v>
      </c>
      <c r="AT99" s="131">
        <v>1341.0556038556606</v>
      </c>
      <c r="AU99" s="131">
        <v>1952.0556038556606</v>
      </c>
      <c r="AV99" s="131">
        <v>1790.9648029835898</v>
      </c>
      <c r="AW99" s="131">
        <v>3972.9648029835898</v>
      </c>
      <c r="AX99" s="131">
        <v>3891.9648029835898</v>
      </c>
      <c r="AY99" s="131">
        <v>3850.9648029835898</v>
      </c>
      <c r="AZ99" s="113">
        <f>SUM($D99:$AY99)</f>
        <v>140102.94450184004</v>
      </c>
    </row>
    <row r="100" spans="1:52" x14ac:dyDescent="0.2">
      <c r="A100" s="137" t="s">
        <v>133</v>
      </c>
      <c r="B100" s="125">
        <v>1</v>
      </c>
      <c r="C100" s="112"/>
      <c r="D100" s="112">
        <v>0</v>
      </c>
      <c r="E100" s="112">
        <v>0</v>
      </c>
      <c r="F100" s="112">
        <v>2291.0367068297519</v>
      </c>
      <c r="G100" s="112">
        <v>2291.0367068297519</v>
      </c>
      <c r="H100" s="112">
        <v>2291.0367068297519</v>
      </c>
      <c r="I100" s="112">
        <v>2291.0367068297519</v>
      </c>
      <c r="J100" s="112">
        <v>2184.4239135490361</v>
      </c>
      <c r="K100" s="112">
        <v>2184.4239135490361</v>
      </c>
      <c r="L100" s="112">
        <v>1331.5215673033081</v>
      </c>
      <c r="M100" s="112">
        <v>3037.3262597947637</v>
      </c>
      <c r="N100" s="112">
        <v>2184.4239135490361</v>
      </c>
      <c r="O100" s="112">
        <v>2184.4239135490361</v>
      </c>
      <c r="P100" s="112">
        <v>2184.4239135490361</v>
      </c>
      <c r="Q100" s="112">
        <v>2184.4239135490361</v>
      </c>
      <c r="R100" s="112">
        <v>959.51513952644382</v>
      </c>
      <c r="S100" s="112">
        <v>3413.5151395264438</v>
      </c>
      <c r="T100" s="112">
        <v>1229.5151395264438</v>
      </c>
      <c r="U100" s="112">
        <v>959.51513952644382</v>
      </c>
      <c r="V100" s="112">
        <v>3033.6201196835036</v>
      </c>
      <c r="W100" s="112">
        <v>1392.9023462457278</v>
      </c>
      <c r="X100" s="112">
        <v>1703.989719030747</v>
      </c>
      <c r="Y100" s="112">
        <v>2184.4239135490361</v>
      </c>
      <c r="Z100" s="112">
        <v>2184.4239135490361</v>
      </c>
      <c r="AA100" s="112">
        <v>2184.4239135490361</v>
      </c>
      <c r="AB100" s="112">
        <v>1331.5215673033081</v>
      </c>
      <c r="AC100" s="112">
        <v>3037.3262597947637</v>
      </c>
      <c r="AD100" s="112">
        <v>2291.0367068297519</v>
      </c>
      <c r="AE100" s="112">
        <v>2291.0367068297519</v>
      </c>
      <c r="AF100" s="112">
        <v>2179.0452930637712</v>
      </c>
      <c r="AG100" s="112">
        <v>2291.0367068297519</v>
      </c>
      <c r="AH100" s="112">
        <v>1713.2673759559464</v>
      </c>
      <c r="AI100" s="112">
        <v>2184.4239135490361</v>
      </c>
      <c r="AJ100" s="112">
        <v>2184.4239135490361</v>
      </c>
      <c r="AK100" s="112">
        <v>2184.4239135490361</v>
      </c>
      <c r="AL100" s="112">
        <v>2184.4239135490361</v>
      </c>
      <c r="AM100" s="112">
        <v>2184.4239135490361</v>
      </c>
      <c r="AN100" s="112">
        <v>2184.4239135490361</v>
      </c>
      <c r="AO100" s="112">
        <v>2184.4239135490361</v>
      </c>
      <c r="AP100" s="112">
        <v>2291.0367068297519</v>
      </c>
      <c r="AQ100" s="112">
        <v>1331.5215673033081</v>
      </c>
      <c r="AR100" s="112">
        <v>3250.5518463561957</v>
      </c>
      <c r="AS100" s="112">
        <v>2291.0367068297519</v>
      </c>
      <c r="AT100" s="112">
        <v>2184.4239135490361</v>
      </c>
      <c r="AU100" s="112">
        <v>2184.4239135490361</v>
      </c>
      <c r="AV100" s="112">
        <v>2184.4239135490361</v>
      </c>
      <c r="AW100" s="112">
        <v>2184.4239135490361</v>
      </c>
      <c r="AX100" s="112">
        <v>2184.4239135490361</v>
      </c>
      <c r="AY100" s="112">
        <v>2184.4239135490361</v>
      </c>
    </row>
    <row r="101" spans="1:52" x14ac:dyDescent="0.2">
      <c r="A101" s="115"/>
      <c r="B101" s="125">
        <v>2</v>
      </c>
      <c r="C101" s="112"/>
      <c r="D101" s="112">
        <v>0</v>
      </c>
      <c r="E101" s="112">
        <v>0</v>
      </c>
      <c r="F101" s="112">
        <v>0</v>
      </c>
      <c r="G101" s="112">
        <v>0</v>
      </c>
      <c r="H101" s="112">
        <v>0</v>
      </c>
      <c r="I101" s="112">
        <v>672.03670682975189</v>
      </c>
      <c r="J101" s="112">
        <v>1673.0734136595038</v>
      </c>
      <c r="K101" s="112">
        <v>2184.4239135490361</v>
      </c>
      <c r="L101" s="112">
        <v>2184.4239135490361</v>
      </c>
      <c r="M101" s="112">
        <v>1331.5215673033081</v>
      </c>
      <c r="N101" s="112">
        <v>3037.3262597947637</v>
      </c>
      <c r="O101" s="112">
        <v>2184.4239135490361</v>
      </c>
      <c r="P101" s="112">
        <v>2184.4239135490361</v>
      </c>
      <c r="Q101" s="112">
        <v>2184.4239135490361</v>
      </c>
      <c r="R101" s="112">
        <v>2184.4239135490361</v>
      </c>
      <c r="S101" s="112">
        <v>959.51513952644382</v>
      </c>
      <c r="T101" s="112">
        <v>3413.5151395264438</v>
      </c>
      <c r="U101" s="112">
        <v>2291.0367068297519</v>
      </c>
      <c r="V101" s="112">
        <v>959.51513952644382</v>
      </c>
      <c r="W101" s="112">
        <v>3033.6201196835036</v>
      </c>
      <c r="X101" s="112">
        <v>1392.9023462457278</v>
      </c>
      <c r="Y101" s="112">
        <v>1703.989719030747</v>
      </c>
      <c r="Z101" s="112">
        <v>2184.4239135490361</v>
      </c>
      <c r="AA101" s="112">
        <v>2184.4239135490361</v>
      </c>
      <c r="AB101" s="112">
        <v>2184.4239135490361</v>
      </c>
      <c r="AC101" s="112">
        <v>1331.5215673033081</v>
      </c>
      <c r="AD101" s="112">
        <v>3037.3262597947637</v>
      </c>
      <c r="AE101" s="112">
        <v>2291.0367068297519</v>
      </c>
      <c r="AF101" s="112">
        <v>2291.0367068297519</v>
      </c>
      <c r="AG101" s="112">
        <v>2179.0452930637712</v>
      </c>
      <c r="AH101" s="112">
        <v>2291.0367068297519</v>
      </c>
      <c r="AI101" s="112">
        <v>1713.2673759559464</v>
      </c>
      <c r="AJ101" s="112">
        <v>2184.4239135490361</v>
      </c>
      <c r="AK101" s="112">
        <v>2184.4239135490361</v>
      </c>
      <c r="AL101" s="112">
        <v>2184.4239135490361</v>
      </c>
      <c r="AM101" s="112">
        <v>2184.4239135490361</v>
      </c>
      <c r="AN101" s="112">
        <v>2184.4239135490361</v>
      </c>
      <c r="AO101" s="112">
        <v>2184.4239135490361</v>
      </c>
      <c r="AP101" s="112">
        <v>2184.4239135490361</v>
      </c>
      <c r="AQ101" s="112">
        <v>2291.0367068297519</v>
      </c>
      <c r="AR101" s="112">
        <v>1331.5215673033081</v>
      </c>
      <c r="AS101" s="112">
        <v>3250.5518463561957</v>
      </c>
      <c r="AT101" s="112">
        <v>2291.0367068297519</v>
      </c>
      <c r="AU101" s="112">
        <v>2184.4239135490361</v>
      </c>
      <c r="AV101" s="112">
        <v>2184.4239135490361</v>
      </c>
      <c r="AW101" s="112">
        <v>2184.4239135490361</v>
      </c>
      <c r="AX101" s="112">
        <v>2184.4239135490361</v>
      </c>
      <c r="AY101" s="112">
        <v>2184.4239135490361</v>
      </c>
    </row>
    <row r="102" spans="1:52" x14ac:dyDescent="0.2">
      <c r="A102" s="115"/>
      <c r="B102" s="126">
        <v>3</v>
      </c>
      <c r="C102" s="112"/>
      <c r="D102" s="112">
        <v>0</v>
      </c>
      <c r="E102" s="112">
        <v>0</v>
      </c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29.073413659503785</v>
      </c>
      <c r="L102" s="112">
        <v>970.4973272085399</v>
      </c>
      <c r="M102" s="112">
        <v>2184.4239135490361</v>
      </c>
      <c r="N102" s="112">
        <v>1331.5215673033081</v>
      </c>
      <c r="O102" s="112">
        <v>3037.3262597947637</v>
      </c>
      <c r="P102" s="112">
        <v>2184.4239135490361</v>
      </c>
      <c r="Q102" s="112">
        <v>2184.4239135490361</v>
      </c>
      <c r="R102" s="112">
        <v>2184.4239135490361</v>
      </c>
      <c r="S102" s="112">
        <v>2184.4239135490361</v>
      </c>
      <c r="T102" s="112">
        <v>959.51513952644382</v>
      </c>
      <c r="U102" s="112">
        <v>3413.5151395264438</v>
      </c>
      <c r="V102" s="112">
        <v>2291.0367068297519</v>
      </c>
      <c r="W102" s="112">
        <v>959.51513952644382</v>
      </c>
      <c r="X102" s="112">
        <v>3033.6201196835036</v>
      </c>
      <c r="Y102" s="112">
        <v>1703.0453431102878</v>
      </c>
      <c r="Z102" s="112">
        <v>1703.989719030747</v>
      </c>
      <c r="AA102" s="112">
        <v>2184.4239135490361</v>
      </c>
      <c r="AB102" s="112">
        <v>2184.4239135490361</v>
      </c>
      <c r="AC102" s="112">
        <v>2184.4239135490361</v>
      </c>
      <c r="AD102" s="112">
        <v>1331.5215673033081</v>
      </c>
      <c r="AE102" s="112">
        <v>3037.3262597947637</v>
      </c>
      <c r="AF102" s="112">
        <v>2291.0367068297519</v>
      </c>
      <c r="AG102" s="112">
        <v>2291.0367068297519</v>
      </c>
      <c r="AH102" s="112">
        <v>2179.0452930637712</v>
      </c>
      <c r="AI102" s="112">
        <v>2291.0367068297519</v>
      </c>
      <c r="AJ102" s="112">
        <v>1713.2673759559464</v>
      </c>
      <c r="AK102" s="112">
        <v>2184.4239135490361</v>
      </c>
      <c r="AL102" s="112">
        <v>2184.4239135490361</v>
      </c>
      <c r="AM102" s="112">
        <v>2184.4239135490361</v>
      </c>
      <c r="AN102" s="112">
        <v>2184.4239135490361</v>
      </c>
      <c r="AO102" s="112">
        <v>2184.4239135490361</v>
      </c>
      <c r="AP102" s="112">
        <v>2184.4239135490361</v>
      </c>
      <c r="AQ102" s="112">
        <v>2184.4239135490361</v>
      </c>
      <c r="AR102" s="112">
        <v>2291.0367068297519</v>
      </c>
      <c r="AS102" s="112">
        <v>1331.5215673033081</v>
      </c>
      <c r="AT102" s="112">
        <v>3250.5518463561957</v>
      </c>
      <c r="AU102" s="112">
        <v>2291.0367068297519</v>
      </c>
      <c r="AV102" s="112">
        <v>2184.4239135490361</v>
      </c>
      <c r="AW102" s="112">
        <v>2184.4239135490361</v>
      </c>
      <c r="AX102" s="112">
        <v>2184.4239135490361</v>
      </c>
      <c r="AY102" s="112">
        <v>2184.4239135490361</v>
      </c>
    </row>
    <row r="103" spans="1:52" x14ac:dyDescent="0.2">
      <c r="A103" s="115"/>
      <c r="B103" s="126">
        <v>4</v>
      </c>
      <c r="C103" s="112"/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12">
        <v>0</v>
      </c>
      <c r="J103" s="112">
        <v>0</v>
      </c>
      <c r="K103" s="112">
        <v>0</v>
      </c>
      <c r="L103" s="112">
        <v>0</v>
      </c>
      <c r="M103" s="112">
        <v>185.4973272085399</v>
      </c>
      <c r="N103" s="112">
        <v>1469.921240757576</v>
      </c>
      <c r="O103" s="112">
        <v>1331.5215673033081</v>
      </c>
      <c r="P103" s="112">
        <v>3037.3262597947637</v>
      </c>
      <c r="Q103" s="112">
        <v>2184.4239135490361</v>
      </c>
      <c r="R103" s="112">
        <v>2184.4239135490361</v>
      </c>
      <c r="S103" s="112">
        <v>2184.4239135490361</v>
      </c>
      <c r="T103" s="112">
        <v>2184.4239135490361</v>
      </c>
      <c r="U103" s="112">
        <v>959.51513952644382</v>
      </c>
      <c r="V103" s="112">
        <v>3413.5151395264438</v>
      </c>
      <c r="W103" s="112">
        <v>2291.0367068297519</v>
      </c>
      <c r="X103" s="112">
        <v>959.51513952644382</v>
      </c>
      <c r="Y103" s="112">
        <v>3033.6201196835036</v>
      </c>
      <c r="Z103" s="112">
        <v>1703.0453431102878</v>
      </c>
      <c r="AA103" s="112">
        <v>1703.989719030747</v>
      </c>
      <c r="AB103" s="112">
        <v>2184.4239135490361</v>
      </c>
      <c r="AC103" s="112">
        <v>2184.4239135490361</v>
      </c>
      <c r="AD103" s="112">
        <v>2184.4239135490361</v>
      </c>
      <c r="AE103" s="112">
        <v>1331.5215673033081</v>
      </c>
      <c r="AF103" s="112">
        <v>3037.3262597947637</v>
      </c>
      <c r="AG103" s="112">
        <v>2291.0367068297519</v>
      </c>
      <c r="AH103" s="112">
        <v>2291.0367068297519</v>
      </c>
      <c r="AI103" s="112">
        <v>2179.0452930637712</v>
      </c>
      <c r="AJ103" s="112">
        <v>2291.0367068297519</v>
      </c>
      <c r="AK103" s="112">
        <v>1713.2673759559464</v>
      </c>
      <c r="AL103" s="112">
        <v>2184.4239135490361</v>
      </c>
      <c r="AM103" s="112">
        <v>2184.4239135490361</v>
      </c>
      <c r="AN103" s="112">
        <v>2184.4239135490361</v>
      </c>
      <c r="AO103" s="112">
        <v>2184.4239135490361</v>
      </c>
      <c r="AP103" s="112">
        <v>2184.4239135490361</v>
      </c>
      <c r="AQ103" s="112">
        <v>2184.4239135490361</v>
      </c>
      <c r="AR103" s="112">
        <v>2184.4239135490361</v>
      </c>
      <c r="AS103" s="112">
        <v>2291.0367068297519</v>
      </c>
      <c r="AT103" s="112">
        <v>1331.5215673033081</v>
      </c>
      <c r="AU103" s="112">
        <v>3250.5518463561957</v>
      </c>
      <c r="AV103" s="112">
        <v>2291.0367068297519</v>
      </c>
      <c r="AW103" s="112">
        <v>2184.4239135490361</v>
      </c>
      <c r="AX103" s="112">
        <v>2184.4239135490361</v>
      </c>
      <c r="AY103" s="112">
        <v>2184.4239135490361</v>
      </c>
    </row>
    <row r="104" spans="1:52" x14ac:dyDescent="0.2">
      <c r="A104" s="115"/>
      <c r="B104" s="133">
        <v>5</v>
      </c>
      <c r="C104" s="112"/>
      <c r="D104" s="112">
        <v>0</v>
      </c>
      <c r="E104" s="112">
        <v>0</v>
      </c>
      <c r="F104" s="112">
        <v>0</v>
      </c>
      <c r="G104" s="112">
        <v>0</v>
      </c>
      <c r="H104" s="112">
        <v>0</v>
      </c>
      <c r="I104" s="112">
        <v>0</v>
      </c>
      <c r="J104" s="112">
        <v>0</v>
      </c>
      <c r="K104" s="112">
        <v>0</v>
      </c>
      <c r="L104" s="112">
        <v>0</v>
      </c>
      <c r="M104" s="112">
        <v>0</v>
      </c>
      <c r="N104" s="112">
        <v>0</v>
      </c>
      <c r="O104" s="112">
        <v>759.92124075757602</v>
      </c>
      <c r="P104" s="112">
        <v>1331.5215673033081</v>
      </c>
      <c r="Q104" s="112">
        <v>3037.3262597947637</v>
      </c>
      <c r="R104" s="112">
        <v>2184.4239135490361</v>
      </c>
      <c r="S104" s="112">
        <v>2184.4239135490361</v>
      </c>
      <c r="T104" s="112">
        <v>2184.4239135490361</v>
      </c>
      <c r="U104" s="112">
        <v>2184.4239135490361</v>
      </c>
      <c r="V104" s="112">
        <v>959.51513952644382</v>
      </c>
      <c r="W104" s="112">
        <v>3413.5151395264438</v>
      </c>
      <c r="X104" s="112">
        <v>2291.0367068297519</v>
      </c>
      <c r="Y104" s="112">
        <v>959.51513952644382</v>
      </c>
      <c r="Z104" s="112">
        <v>3033.6201196835036</v>
      </c>
      <c r="AA104" s="112">
        <v>1703.0453431102878</v>
      </c>
      <c r="AB104" s="112">
        <v>1703.989719030747</v>
      </c>
      <c r="AC104" s="112">
        <v>2184.4239135490361</v>
      </c>
      <c r="AD104" s="112">
        <v>2184.4239135490361</v>
      </c>
      <c r="AE104" s="112">
        <v>2184.4239135490361</v>
      </c>
      <c r="AF104" s="112">
        <v>1331.5215673033081</v>
      </c>
      <c r="AG104" s="112">
        <v>3037.3262597947637</v>
      </c>
      <c r="AH104" s="112">
        <v>2291.0367068297519</v>
      </c>
      <c r="AI104" s="112">
        <v>2291.0367068297519</v>
      </c>
      <c r="AJ104" s="112">
        <v>2179.0452930637712</v>
      </c>
      <c r="AK104" s="112">
        <v>2291.0367068297519</v>
      </c>
      <c r="AL104" s="112">
        <v>1713.2673759559464</v>
      </c>
      <c r="AM104" s="112">
        <v>2184.4239135490361</v>
      </c>
      <c r="AN104" s="112">
        <v>2184.4239135490361</v>
      </c>
      <c r="AO104" s="112">
        <v>2184.4239135490361</v>
      </c>
      <c r="AP104" s="112">
        <v>2184.4239135490361</v>
      </c>
      <c r="AQ104" s="112">
        <v>2184.4239135490361</v>
      </c>
      <c r="AR104" s="112">
        <v>2184.4239135490361</v>
      </c>
      <c r="AS104" s="112">
        <v>2184.4239135490361</v>
      </c>
      <c r="AT104" s="112">
        <v>2291.0367068297519</v>
      </c>
      <c r="AU104" s="112">
        <v>1331.5215673033081</v>
      </c>
      <c r="AV104" s="112">
        <v>3250.5518463561957</v>
      </c>
      <c r="AW104" s="112">
        <v>2291.0367068297519</v>
      </c>
      <c r="AX104" s="112">
        <v>2184.4239135490361</v>
      </c>
      <c r="AY104" s="112">
        <v>2055.1142221622604</v>
      </c>
    </row>
    <row r="105" spans="1:52" x14ac:dyDescent="0.2">
      <c r="A105" s="115"/>
      <c r="B105" s="133">
        <v>6</v>
      </c>
      <c r="C105" s="112"/>
      <c r="D105" s="112">
        <v>0</v>
      </c>
      <c r="E105" s="112">
        <v>0</v>
      </c>
      <c r="F105" s="112"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N105" s="112">
        <v>0</v>
      </c>
      <c r="O105" s="112">
        <v>0</v>
      </c>
      <c r="P105" s="112">
        <v>105.92124075757602</v>
      </c>
      <c r="Q105" s="112">
        <v>659.44280806088409</v>
      </c>
      <c r="R105" s="112">
        <v>2890.7690678556478</v>
      </c>
      <c r="S105" s="112">
        <v>2184.4239135490361</v>
      </c>
      <c r="T105" s="112">
        <v>2184.4239135490361</v>
      </c>
      <c r="U105" s="112">
        <v>2184.4239135490361</v>
      </c>
      <c r="V105" s="112">
        <v>2184.4239135490361</v>
      </c>
      <c r="W105" s="112">
        <v>959.51513952644382</v>
      </c>
      <c r="X105" s="112">
        <v>3413.5151395264438</v>
      </c>
      <c r="Y105" s="112">
        <v>2291.0367068297519</v>
      </c>
      <c r="Z105" s="112">
        <v>959.51513952644382</v>
      </c>
      <c r="AA105" s="112">
        <v>3033.6201196835036</v>
      </c>
      <c r="AB105" s="112">
        <v>1703.0453431102878</v>
      </c>
      <c r="AC105" s="112">
        <v>1703.989719030747</v>
      </c>
      <c r="AD105" s="112">
        <v>2184.4239135490361</v>
      </c>
      <c r="AE105" s="112">
        <v>2184.4239135490361</v>
      </c>
      <c r="AF105" s="112">
        <v>2184.4239135490361</v>
      </c>
      <c r="AG105" s="112">
        <v>1331.5215673033081</v>
      </c>
      <c r="AH105" s="112">
        <v>3037.3262597947637</v>
      </c>
      <c r="AI105" s="112">
        <v>2291.0367068297519</v>
      </c>
      <c r="AJ105" s="112">
        <v>2291.0367068297519</v>
      </c>
      <c r="AK105" s="112">
        <v>2179.0452930637712</v>
      </c>
      <c r="AL105" s="112">
        <v>2291.0367068297519</v>
      </c>
      <c r="AM105" s="112">
        <v>1713.2673759559464</v>
      </c>
      <c r="AN105" s="112">
        <v>2184.4239135490361</v>
      </c>
      <c r="AO105" s="112">
        <v>2184.4239135490361</v>
      </c>
      <c r="AP105" s="112">
        <v>2184.4239135490361</v>
      </c>
      <c r="AQ105" s="112">
        <v>2184.4239135490361</v>
      </c>
      <c r="AR105" s="112">
        <v>2184.4239135490361</v>
      </c>
      <c r="AS105" s="112">
        <v>2184.4239135490361</v>
      </c>
      <c r="AT105" s="112">
        <v>2184.4239135490361</v>
      </c>
      <c r="AU105" s="112">
        <v>2183.1562745749325</v>
      </c>
      <c r="AV105" s="112">
        <v>14.677841878240542</v>
      </c>
      <c r="AW105" s="112">
        <v>645.22968823443625</v>
      </c>
      <c r="AX105" s="112">
        <v>222.26639506418815</v>
      </c>
      <c r="AY105" s="112">
        <v>0</v>
      </c>
    </row>
    <row r="106" spans="1:52" x14ac:dyDescent="0.2">
      <c r="A106" s="115"/>
      <c r="B106" s="136">
        <v>7</v>
      </c>
      <c r="C106" s="112"/>
      <c r="D106" s="112">
        <v>0</v>
      </c>
      <c r="E106" s="112">
        <v>0</v>
      </c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N106" s="112">
        <v>0</v>
      </c>
      <c r="O106" s="112">
        <v>0</v>
      </c>
      <c r="P106" s="112">
        <v>0</v>
      </c>
      <c r="Q106" s="112">
        <v>0</v>
      </c>
      <c r="R106" s="112">
        <v>0</v>
      </c>
      <c r="S106" s="112">
        <v>1861.7690678556478</v>
      </c>
      <c r="T106" s="112">
        <v>2184.4239135490361</v>
      </c>
      <c r="U106" s="112">
        <v>2184.4239135490361</v>
      </c>
      <c r="V106" s="112">
        <v>2184.4239135490361</v>
      </c>
      <c r="W106" s="112">
        <v>2184.4239135490361</v>
      </c>
      <c r="X106" s="112">
        <v>959.51513952644382</v>
      </c>
      <c r="Y106" s="112">
        <v>3413.5151395264438</v>
      </c>
      <c r="Z106" s="112">
        <v>2291.0367068297519</v>
      </c>
      <c r="AA106" s="112">
        <v>959.51513952644382</v>
      </c>
      <c r="AB106" s="112">
        <v>3033.6201196835036</v>
      </c>
      <c r="AC106" s="112">
        <v>1703.0453431102878</v>
      </c>
      <c r="AD106" s="112">
        <v>1703.989719030747</v>
      </c>
      <c r="AE106" s="112">
        <v>2184.4239135490361</v>
      </c>
      <c r="AF106" s="112">
        <v>1888.5090478807301</v>
      </c>
      <c r="AG106" s="112">
        <v>2184.4239135490361</v>
      </c>
      <c r="AH106" s="112">
        <v>1331.5215673033081</v>
      </c>
      <c r="AI106" s="112">
        <v>3037.3262597947637</v>
      </c>
      <c r="AJ106" s="112">
        <v>2291.0367068297519</v>
      </c>
      <c r="AK106" s="112">
        <v>2291.0367068297519</v>
      </c>
      <c r="AL106" s="112">
        <v>2179.0452930637712</v>
      </c>
      <c r="AM106" s="112">
        <v>2291.0367068297519</v>
      </c>
      <c r="AN106" s="112">
        <v>1713.2673759559464</v>
      </c>
      <c r="AO106" s="112">
        <v>2184.4239135490361</v>
      </c>
      <c r="AP106" s="112">
        <v>2184.4239135490361</v>
      </c>
      <c r="AQ106" s="112">
        <v>2184.4239135490361</v>
      </c>
      <c r="AR106" s="112">
        <v>2184.4239135490361</v>
      </c>
      <c r="AS106" s="112">
        <v>2184.4239135490361</v>
      </c>
      <c r="AT106" s="112">
        <v>1524.6956541961445</v>
      </c>
      <c r="AU106" s="112">
        <v>0</v>
      </c>
      <c r="AV106" s="112">
        <v>0</v>
      </c>
      <c r="AW106" s="112">
        <v>0</v>
      </c>
      <c r="AX106" s="112">
        <v>0</v>
      </c>
      <c r="AY106" s="112">
        <v>0</v>
      </c>
    </row>
    <row r="107" spans="1:52" x14ac:dyDescent="0.2">
      <c r="A107" s="115"/>
      <c r="B107" s="136">
        <v>8</v>
      </c>
      <c r="C107" s="112"/>
      <c r="D107" s="112">
        <v>0</v>
      </c>
      <c r="E107" s="112">
        <v>0</v>
      </c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N107" s="112">
        <v>0</v>
      </c>
      <c r="O107" s="112">
        <v>0</v>
      </c>
      <c r="P107" s="112">
        <v>0</v>
      </c>
      <c r="Q107" s="112">
        <v>0</v>
      </c>
      <c r="R107" s="112">
        <v>0</v>
      </c>
      <c r="S107" s="112">
        <v>0</v>
      </c>
      <c r="T107" s="112">
        <v>792.76906785564779</v>
      </c>
      <c r="U107" s="112">
        <v>1969.1929814046839</v>
      </c>
      <c r="V107" s="112">
        <v>2184.4239135490361</v>
      </c>
      <c r="W107" s="112">
        <v>2184.4239135490361</v>
      </c>
      <c r="X107" s="112">
        <v>2184.4239135490361</v>
      </c>
      <c r="Y107" s="112">
        <v>790.93905307547993</v>
      </c>
      <c r="Z107" s="112">
        <v>1724.4541926019238</v>
      </c>
      <c r="AA107" s="112">
        <v>1369.4908994316756</v>
      </c>
      <c r="AB107" s="112">
        <v>134.00603895811946</v>
      </c>
      <c r="AC107" s="112">
        <v>800.62615864162308</v>
      </c>
      <c r="AD107" s="112">
        <v>559.67150175191091</v>
      </c>
      <c r="AE107" s="112">
        <v>180.66122078265789</v>
      </c>
      <c r="AF107" s="112">
        <v>0</v>
      </c>
      <c r="AG107" s="112">
        <v>347.50904788073012</v>
      </c>
      <c r="AH107" s="112">
        <v>1153.9329614297662</v>
      </c>
      <c r="AI107" s="112">
        <v>1166.4545287330743</v>
      </c>
      <c r="AJ107" s="112">
        <v>2339.780788527838</v>
      </c>
      <c r="AK107" s="112">
        <v>2291.0367068297519</v>
      </c>
      <c r="AL107" s="112">
        <v>2291.0367068297519</v>
      </c>
      <c r="AM107" s="112">
        <v>2179.0452930637712</v>
      </c>
      <c r="AN107" s="112">
        <v>2291.0367068297519</v>
      </c>
      <c r="AO107" s="112">
        <v>1713.2673759559464</v>
      </c>
      <c r="AP107" s="112">
        <v>2184.4239135490361</v>
      </c>
      <c r="AQ107" s="112">
        <v>2184.4239135490361</v>
      </c>
      <c r="AR107" s="112">
        <v>2184.4239135490361</v>
      </c>
      <c r="AS107" s="112">
        <v>679.84782709807223</v>
      </c>
      <c r="AT107" s="112">
        <v>0</v>
      </c>
      <c r="AU107" s="112">
        <v>0</v>
      </c>
      <c r="AV107" s="112">
        <v>0</v>
      </c>
      <c r="AW107" s="112">
        <v>0</v>
      </c>
      <c r="AX107" s="112">
        <v>0</v>
      </c>
      <c r="AY107" s="112">
        <v>0</v>
      </c>
    </row>
    <row r="108" spans="1:52" x14ac:dyDescent="0.2">
      <c r="A108" s="134"/>
      <c r="B108" s="138" t="s">
        <v>295</v>
      </c>
      <c r="C108" s="120"/>
      <c r="D108" s="131">
        <v>0</v>
      </c>
      <c r="E108" s="131">
        <v>0</v>
      </c>
      <c r="F108" s="131">
        <v>0</v>
      </c>
      <c r="G108" s="131">
        <v>0</v>
      </c>
      <c r="H108" s="131">
        <v>0</v>
      </c>
      <c r="I108" s="131">
        <v>0</v>
      </c>
      <c r="J108" s="131">
        <v>0</v>
      </c>
      <c r="K108" s="131">
        <v>0</v>
      </c>
      <c r="L108" s="131">
        <v>0</v>
      </c>
      <c r="M108" s="131">
        <v>0</v>
      </c>
      <c r="N108" s="131">
        <v>0</v>
      </c>
      <c r="O108" s="131">
        <v>0</v>
      </c>
      <c r="P108" s="131">
        <v>0</v>
      </c>
      <c r="Q108" s="131">
        <v>0</v>
      </c>
      <c r="R108" s="131">
        <v>0</v>
      </c>
      <c r="S108" s="131">
        <v>0</v>
      </c>
      <c r="T108" s="131">
        <v>0</v>
      </c>
      <c r="U108" s="131">
        <v>0</v>
      </c>
      <c r="V108" s="131">
        <v>765.19298140468391</v>
      </c>
      <c r="W108" s="131">
        <v>1294.4239135490361</v>
      </c>
      <c r="X108" s="131">
        <v>1210.4239135490361</v>
      </c>
      <c r="Y108" s="131">
        <v>0</v>
      </c>
      <c r="Z108" s="131">
        <v>0</v>
      </c>
      <c r="AA108" s="131">
        <v>0</v>
      </c>
      <c r="AB108" s="131">
        <v>0</v>
      </c>
      <c r="AC108" s="131">
        <v>0</v>
      </c>
      <c r="AD108" s="131">
        <v>0</v>
      </c>
      <c r="AE108" s="131">
        <v>0</v>
      </c>
      <c r="AF108" s="131">
        <v>0</v>
      </c>
      <c r="AG108" s="131">
        <v>0</v>
      </c>
      <c r="AH108" s="131">
        <v>0</v>
      </c>
      <c r="AI108" s="131">
        <v>0</v>
      </c>
      <c r="AJ108" s="131">
        <v>0</v>
      </c>
      <c r="AK108" s="131">
        <v>193.78078852783801</v>
      </c>
      <c r="AL108" s="131">
        <v>175.03670682975189</v>
      </c>
      <c r="AM108" s="131">
        <v>381.03670682975189</v>
      </c>
      <c r="AN108" s="131">
        <v>386.04529306377117</v>
      </c>
      <c r="AO108" s="131">
        <v>1168.0367068297519</v>
      </c>
      <c r="AP108" s="131">
        <v>575.26737595594636</v>
      </c>
      <c r="AQ108" s="131">
        <v>934.42391354903612</v>
      </c>
      <c r="AR108" s="131">
        <v>1158.4239135490361</v>
      </c>
      <c r="AS108" s="131">
        <v>0</v>
      </c>
      <c r="AT108" s="131">
        <v>0</v>
      </c>
      <c r="AU108" s="131">
        <v>0</v>
      </c>
      <c r="AV108" s="131">
        <v>0</v>
      </c>
      <c r="AW108" s="131">
        <v>0</v>
      </c>
      <c r="AX108" s="131">
        <v>0</v>
      </c>
      <c r="AY108" s="131">
        <v>0</v>
      </c>
      <c r="AZ108" s="113">
        <f>SUM($D108:$AY108)</f>
        <v>8242.0922136376394</v>
      </c>
    </row>
    <row r="109" spans="1:52" x14ac:dyDescent="0.2">
      <c r="A109" s="137" t="s">
        <v>134</v>
      </c>
      <c r="B109" s="125">
        <v>1</v>
      </c>
      <c r="C109" s="112"/>
      <c r="D109" s="112">
        <v>0</v>
      </c>
      <c r="E109" s="112">
        <v>0</v>
      </c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N109" s="112">
        <v>0</v>
      </c>
      <c r="O109" s="112">
        <v>0</v>
      </c>
      <c r="P109" s="112">
        <v>0</v>
      </c>
      <c r="Q109" s="112">
        <v>0</v>
      </c>
      <c r="R109" s="112">
        <v>0</v>
      </c>
      <c r="S109" s="112">
        <v>0</v>
      </c>
      <c r="T109" s="112">
        <v>0</v>
      </c>
      <c r="U109" s="112">
        <v>0</v>
      </c>
      <c r="V109" s="112">
        <v>0</v>
      </c>
      <c r="W109" s="112">
        <v>0</v>
      </c>
      <c r="X109" s="112">
        <v>0</v>
      </c>
      <c r="Y109" s="112">
        <v>0</v>
      </c>
      <c r="Z109" s="112">
        <v>0</v>
      </c>
      <c r="AA109" s="112">
        <v>0</v>
      </c>
      <c r="AB109" s="112">
        <v>0</v>
      </c>
      <c r="AC109" s="112">
        <v>0</v>
      </c>
      <c r="AD109" s="112">
        <v>0</v>
      </c>
      <c r="AE109" s="112">
        <v>0</v>
      </c>
      <c r="AF109" s="112">
        <v>0</v>
      </c>
      <c r="AG109" s="112">
        <v>0</v>
      </c>
      <c r="AH109" s="112">
        <v>0</v>
      </c>
      <c r="AI109" s="112">
        <v>0</v>
      </c>
      <c r="AJ109" s="112">
        <v>0</v>
      </c>
      <c r="AK109" s="112">
        <v>0</v>
      </c>
      <c r="AL109" s="112">
        <v>0</v>
      </c>
      <c r="AM109" s="112">
        <v>0</v>
      </c>
      <c r="AN109" s="112">
        <v>0</v>
      </c>
      <c r="AO109" s="112">
        <v>0</v>
      </c>
      <c r="AP109" s="112">
        <v>0</v>
      </c>
      <c r="AQ109" s="112">
        <v>0</v>
      </c>
      <c r="AR109" s="112">
        <v>0</v>
      </c>
      <c r="AS109" s="112">
        <v>0</v>
      </c>
      <c r="AT109" s="112">
        <v>0</v>
      </c>
      <c r="AU109" s="112">
        <v>0</v>
      </c>
      <c r="AV109" s="112">
        <v>0</v>
      </c>
      <c r="AW109" s="112">
        <v>0</v>
      </c>
      <c r="AX109" s="112">
        <v>0</v>
      </c>
      <c r="AY109" s="112">
        <v>0</v>
      </c>
    </row>
    <row r="110" spans="1:52" x14ac:dyDescent="0.2">
      <c r="A110" s="115"/>
      <c r="B110" s="125">
        <v>2</v>
      </c>
      <c r="C110" s="112"/>
      <c r="D110" s="112">
        <v>0</v>
      </c>
      <c r="E110" s="112">
        <v>0</v>
      </c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N110" s="112">
        <v>0</v>
      </c>
      <c r="O110" s="112">
        <v>0</v>
      </c>
      <c r="P110" s="112">
        <v>0</v>
      </c>
      <c r="Q110" s="112">
        <v>0</v>
      </c>
      <c r="R110" s="112">
        <v>0</v>
      </c>
      <c r="S110" s="112">
        <v>0</v>
      </c>
      <c r="T110" s="112">
        <v>0</v>
      </c>
      <c r="U110" s="112">
        <v>0</v>
      </c>
      <c r="V110" s="112">
        <v>0</v>
      </c>
      <c r="W110" s="112">
        <v>0</v>
      </c>
      <c r="X110" s="112">
        <v>0</v>
      </c>
      <c r="Y110" s="112">
        <v>0</v>
      </c>
      <c r="Z110" s="112">
        <v>0</v>
      </c>
      <c r="AA110" s="112">
        <v>0</v>
      </c>
      <c r="AB110" s="112">
        <v>0</v>
      </c>
      <c r="AC110" s="112">
        <v>0</v>
      </c>
      <c r="AD110" s="112">
        <v>0</v>
      </c>
      <c r="AE110" s="112">
        <v>0</v>
      </c>
      <c r="AF110" s="112">
        <v>0</v>
      </c>
      <c r="AG110" s="112">
        <v>0</v>
      </c>
      <c r="AH110" s="112">
        <v>0</v>
      </c>
      <c r="AI110" s="112">
        <v>0</v>
      </c>
      <c r="AJ110" s="112">
        <v>0</v>
      </c>
      <c r="AK110" s="112">
        <v>0</v>
      </c>
      <c r="AL110" s="112">
        <v>0</v>
      </c>
      <c r="AM110" s="112">
        <v>0</v>
      </c>
      <c r="AN110" s="112">
        <v>0</v>
      </c>
      <c r="AO110" s="112">
        <v>0</v>
      </c>
      <c r="AP110" s="112">
        <v>0</v>
      </c>
      <c r="AQ110" s="112">
        <v>0</v>
      </c>
      <c r="AR110" s="112">
        <v>0</v>
      </c>
      <c r="AS110" s="112">
        <v>0</v>
      </c>
      <c r="AT110" s="112">
        <v>0</v>
      </c>
      <c r="AU110" s="112">
        <v>0</v>
      </c>
      <c r="AV110" s="112">
        <v>0</v>
      </c>
      <c r="AW110" s="112">
        <v>0</v>
      </c>
      <c r="AX110" s="112">
        <v>0</v>
      </c>
      <c r="AY110" s="112">
        <v>0</v>
      </c>
    </row>
    <row r="111" spans="1:52" x14ac:dyDescent="0.2">
      <c r="A111" s="115"/>
      <c r="B111" s="125">
        <v>3</v>
      </c>
      <c r="C111" s="112"/>
      <c r="D111" s="112">
        <v>0</v>
      </c>
      <c r="E111" s="112">
        <v>0</v>
      </c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0</v>
      </c>
      <c r="M111" s="112">
        <v>0</v>
      </c>
      <c r="N111" s="112">
        <v>0</v>
      </c>
      <c r="O111" s="112">
        <v>0</v>
      </c>
      <c r="P111" s="112">
        <v>0</v>
      </c>
      <c r="Q111" s="112">
        <v>0</v>
      </c>
      <c r="R111" s="112">
        <v>0</v>
      </c>
      <c r="S111" s="112">
        <v>0</v>
      </c>
      <c r="T111" s="112">
        <v>0</v>
      </c>
      <c r="U111" s="112">
        <v>0</v>
      </c>
      <c r="V111" s="112">
        <v>0</v>
      </c>
      <c r="W111" s="112">
        <v>0</v>
      </c>
      <c r="X111" s="112">
        <v>0</v>
      </c>
      <c r="Y111" s="112">
        <v>0</v>
      </c>
      <c r="Z111" s="112">
        <v>0</v>
      </c>
      <c r="AA111" s="112">
        <v>0</v>
      </c>
      <c r="AB111" s="112">
        <v>0</v>
      </c>
      <c r="AC111" s="112">
        <v>0</v>
      </c>
      <c r="AD111" s="112">
        <v>0</v>
      </c>
      <c r="AE111" s="112">
        <v>0</v>
      </c>
      <c r="AF111" s="112">
        <v>0</v>
      </c>
      <c r="AG111" s="112">
        <v>0</v>
      </c>
      <c r="AH111" s="112">
        <v>0</v>
      </c>
      <c r="AI111" s="112">
        <v>0</v>
      </c>
      <c r="AJ111" s="112">
        <v>0</v>
      </c>
      <c r="AK111" s="112">
        <v>0</v>
      </c>
      <c r="AL111" s="112">
        <v>0</v>
      </c>
      <c r="AM111" s="112">
        <v>0</v>
      </c>
      <c r="AN111" s="112">
        <v>0</v>
      </c>
      <c r="AO111" s="112">
        <v>0</v>
      </c>
      <c r="AP111" s="112">
        <v>0</v>
      </c>
      <c r="AQ111" s="112">
        <v>0</v>
      </c>
      <c r="AR111" s="112">
        <v>0</v>
      </c>
      <c r="AS111" s="112">
        <v>0</v>
      </c>
      <c r="AT111" s="112">
        <v>0</v>
      </c>
      <c r="AU111" s="112">
        <v>0</v>
      </c>
      <c r="AV111" s="112">
        <v>0</v>
      </c>
      <c r="AW111" s="112">
        <v>0</v>
      </c>
      <c r="AX111" s="112">
        <v>0</v>
      </c>
      <c r="AY111" s="112">
        <v>0</v>
      </c>
    </row>
    <row r="112" spans="1:52" x14ac:dyDescent="0.2">
      <c r="A112" s="115"/>
      <c r="B112" s="126">
        <v>4</v>
      </c>
      <c r="C112" s="112"/>
      <c r="D112" s="112">
        <v>0</v>
      </c>
      <c r="E112" s="112">
        <v>0</v>
      </c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N112" s="112">
        <v>0</v>
      </c>
      <c r="O112" s="112">
        <v>0</v>
      </c>
      <c r="P112" s="112">
        <v>0</v>
      </c>
      <c r="Q112" s="112">
        <v>0</v>
      </c>
      <c r="R112" s="112">
        <v>0</v>
      </c>
      <c r="S112" s="112">
        <v>0</v>
      </c>
      <c r="T112" s="112">
        <v>0</v>
      </c>
      <c r="U112" s="112">
        <v>0</v>
      </c>
      <c r="V112" s="112">
        <v>0</v>
      </c>
      <c r="W112" s="112">
        <v>0</v>
      </c>
      <c r="X112" s="112">
        <v>0</v>
      </c>
      <c r="Y112" s="112">
        <v>0</v>
      </c>
      <c r="Z112" s="112">
        <v>0</v>
      </c>
      <c r="AA112" s="112">
        <v>0</v>
      </c>
      <c r="AB112" s="112">
        <v>0</v>
      </c>
      <c r="AC112" s="112">
        <v>0</v>
      </c>
      <c r="AD112" s="112">
        <v>0</v>
      </c>
      <c r="AE112" s="112">
        <v>0</v>
      </c>
      <c r="AF112" s="112">
        <v>0</v>
      </c>
      <c r="AG112" s="112">
        <v>0</v>
      </c>
      <c r="AH112" s="112">
        <v>0</v>
      </c>
      <c r="AI112" s="112">
        <v>0</v>
      </c>
      <c r="AJ112" s="112">
        <v>0</v>
      </c>
      <c r="AK112" s="112">
        <v>0</v>
      </c>
      <c r="AL112" s="112">
        <v>0</v>
      </c>
      <c r="AM112" s="112">
        <v>0</v>
      </c>
      <c r="AN112" s="112">
        <v>0</v>
      </c>
      <c r="AO112" s="112">
        <v>0</v>
      </c>
      <c r="AP112" s="112">
        <v>0</v>
      </c>
      <c r="AQ112" s="112">
        <v>0</v>
      </c>
      <c r="AR112" s="112">
        <v>0</v>
      </c>
      <c r="AS112" s="112">
        <v>0</v>
      </c>
      <c r="AT112" s="112">
        <v>0</v>
      </c>
      <c r="AU112" s="112">
        <v>0</v>
      </c>
      <c r="AV112" s="112">
        <v>0</v>
      </c>
      <c r="AW112" s="112">
        <v>0</v>
      </c>
      <c r="AX112" s="112">
        <v>0</v>
      </c>
      <c r="AY112" s="112">
        <v>0</v>
      </c>
    </row>
    <row r="113" spans="1:52" x14ac:dyDescent="0.2">
      <c r="A113" s="115"/>
      <c r="B113" s="126">
        <v>5</v>
      </c>
      <c r="C113" s="112"/>
      <c r="D113" s="112">
        <v>0</v>
      </c>
      <c r="E113" s="112">
        <v>0</v>
      </c>
      <c r="F113" s="112">
        <v>0</v>
      </c>
      <c r="G113" s="112">
        <v>0</v>
      </c>
      <c r="H113" s="112">
        <v>0</v>
      </c>
      <c r="I113" s="112">
        <v>0</v>
      </c>
      <c r="J113" s="112">
        <v>0</v>
      </c>
      <c r="K113" s="112">
        <v>0</v>
      </c>
      <c r="L113" s="112">
        <v>0</v>
      </c>
      <c r="M113" s="112">
        <v>0</v>
      </c>
      <c r="N113" s="112">
        <v>0</v>
      </c>
      <c r="O113" s="112">
        <v>0</v>
      </c>
      <c r="P113" s="112">
        <v>0</v>
      </c>
      <c r="Q113" s="112">
        <v>0</v>
      </c>
      <c r="R113" s="112">
        <v>0</v>
      </c>
      <c r="S113" s="112">
        <v>0</v>
      </c>
      <c r="T113" s="112">
        <v>0</v>
      </c>
      <c r="U113" s="112">
        <v>0</v>
      </c>
      <c r="V113" s="112">
        <v>0</v>
      </c>
      <c r="W113" s="112">
        <v>0</v>
      </c>
      <c r="X113" s="112">
        <v>0</v>
      </c>
      <c r="Y113" s="112">
        <v>0</v>
      </c>
      <c r="Z113" s="112">
        <v>0</v>
      </c>
      <c r="AA113" s="112">
        <v>0</v>
      </c>
      <c r="AB113" s="112">
        <v>0</v>
      </c>
      <c r="AC113" s="112">
        <v>0</v>
      </c>
      <c r="AD113" s="112">
        <v>0</v>
      </c>
      <c r="AE113" s="112">
        <v>0</v>
      </c>
      <c r="AF113" s="112">
        <v>0</v>
      </c>
      <c r="AG113" s="112">
        <v>0</v>
      </c>
      <c r="AH113" s="112">
        <v>0</v>
      </c>
      <c r="AI113" s="112">
        <v>0</v>
      </c>
      <c r="AJ113" s="112">
        <v>0</v>
      </c>
      <c r="AK113" s="112">
        <v>0</v>
      </c>
      <c r="AL113" s="112">
        <v>0</v>
      </c>
      <c r="AM113" s="112">
        <v>0</v>
      </c>
      <c r="AN113" s="112">
        <v>0</v>
      </c>
      <c r="AO113" s="112">
        <v>0</v>
      </c>
      <c r="AP113" s="112">
        <v>0</v>
      </c>
      <c r="AQ113" s="112">
        <v>0</v>
      </c>
      <c r="AR113" s="112">
        <v>0</v>
      </c>
      <c r="AS113" s="112">
        <v>0</v>
      </c>
      <c r="AT113" s="112">
        <v>0</v>
      </c>
      <c r="AU113" s="112">
        <v>0</v>
      </c>
      <c r="AV113" s="112">
        <v>0</v>
      </c>
      <c r="AW113" s="112">
        <v>0</v>
      </c>
      <c r="AX113" s="112">
        <v>0</v>
      </c>
      <c r="AY113" s="112">
        <v>0</v>
      </c>
    </row>
    <row r="114" spans="1:52" x14ac:dyDescent="0.2">
      <c r="A114" s="115"/>
      <c r="B114" s="126">
        <v>6</v>
      </c>
      <c r="C114" s="112"/>
      <c r="D114" s="112">
        <v>0</v>
      </c>
      <c r="E114" s="112">
        <v>0</v>
      </c>
      <c r="F114" s="112">
        <v>0</v>
      </c>
      <c r="G114" s="112">
        <v>0</v>
      </c>
      <c r="H114" s="112">
        <v>0</v>
      </c>
      <c r="I114" s="112">
        <v>0</v>
      </c>
      <c r="J114" s="112">
        <v>0</v>
      </c>
      <c r="K114" s="112">
        <v>0</v>
      </c>
      <c r="L114" s="112">
        <v>0</v>
      </c>
      <c r="M114" s="112">
        <v>0</v>
      </c>
      <c r="N114" s="112">
        <v>0</v>
      </c>
      <c r="O114" s="112">
        <v>0</v>
      </c>
      <c r="P114" s="112">
        <v>0</v>
      </c>
      <c r="Q114" s="112">
        <v>0</v>
      </c>
      <c r="R114" s="112">
        <v>0</v>
      </c>
      <c r="S114" s="112">
        <v>0</v>
      </c>
      <c r="T114" s="112">
        <v>0</v>
      </c>
      <c r="U114" s="112">
        <v>0</v>
      </c>
      <c r="V114" s="112">
        <v>0</v>
      </c>
      <c r="W114" s="112">
        <v>0</v>
      </c>
      <c r="X114" s="112">
        <v>0</v>
      </c>
      <c r="Y114" s="112">
        <v>0</v>
      </c>
      <c r="Z114" s="112">
        <v>0</v>
      </c>
      <c r="AA114" s="112">
        <v>0</v>
      </c>
      <c r="AB114" s="112">
        <v>0</v>
      </c>
      <c r="AC114" s="112">
        <v>0</v>
      </c>
      <c r="AD114" s="112">
        <v>0</v>
      </c>
      <c r="AE114" s="112">
        <v>0</v>
      </c>
      <c r="AF114" s="112">
        <v>0</v>
      </c>
      <c r="AG114" s="112">
        <v>0</v>
      </c>
      <c r="AH114" s="112">
        <v>0</v>
      </c>
      <c r="AI114" s="112">
        <v>0</v>
      </c>
      <c r="AJ114" s="112">
        <v>0</v>
      </c>
      <c r="AK114" s="112">
        <v>0</v>
      </c>
      <c r="AL114" s="112">
        <v>0</v>
      </c>
      <c r="AM114" s="112">
        <v>0</v>
      </c>
      <c r="AN114" s="112">
        <v>0</v>
      </c>
      <c r="AO114" s="112">
        <v>0</v>
      </c>
      <c r="AP114" s="112">
        <v>0</v>
      </c>
      <c r="AQ114" s="112">
        <v>0</v>
      </c>
      <c r="AR114" s="112">
        <v>0</v>
      </c>
      <c r="AS114" s="112">
        <v>0</v>
      </c>
      <c r="AT114" s="112">
        <v>0</v>
      </c>
      <c r="AU114" s="112">
        <v>0</v>
      </c>
      <c r="AV114" s="112">
        <v>0</v>
      </c>
      <c r="AW114" s="112">
        <v>0</v>
      </c>
      <c r="AX114" s="112">
        <v>0</v>
      </c>
      <c r="AY114" s="112">
        <v>0</v>
      </c>
    </row>
    <row r="115" spans="1:52" x14ac:dyDescent="0.2">
      <c r="A115" s="115"/>
      <c r="B115" s="133">
        <v>7</v>
      </c>
      <c r="C115" s="112"/>
      <c r="D115" s="112">
        <v>0</v>
      </c>
      <c r="E115" s="112">
        <v>0</v>
      </c>
      <c r="F115" s="112"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N115" s="112">
        <v>0</v>
      </c>
      <c r="O115" s="112">
        <v>0</v>
      </c>
      <c r="P115" s="112">
        <v>0</v>
      </c>
      <c r="Q115" s="112">
        <v>0</v>
      </c>
      <c r="R115" s="112">
        <v>0</v>
      </c>
      <c r="S115" s="112">
        <v>0</v>
      </c>
      <c r="T115" s="112">
        <v>0</v>
      </c>
      <c r="U115" s="112">
        <v>0</v>
      </c>
      <c r="V115" s="112">
        <v>0</v>
      </c>
      <c r="W115" s="112">
        <v>0</v>
      </c>
      <c r="X115" s="112">
        <v>0</v>
      </c>
      <c r="Y115" s="112">
        <v>0</v>
      </c>
      <c r="Z115" s="112">
        <v>0</v>
      </c>
      <c r="AA115" s="112">
        <v>0</v>
      </c>
      <c r="AB115" s="112">
        <v>0</v>
      </c>
      <c r="AC115" s="112">
        <v>0</v>
      </c>
      <c r="AD115" s="112">
        <v>0</v>
      </c>
      <c r="AE115" s="112">
        <v>0</v>
      </c>
      <c r="AF115" s="112">
        <v>0</v>
      </c>
      <c r="AG115" s="112">
        <v>0</v>
      </c>
      <c r="AH115" s="112">
        <v>0</v>
      </c>
      <c r="AI115" s="112">
        <v>0</v>
      </c>
      <c r="AJ115" s="112">
        <v>0</v>
      </c>
      <c r="AK115" s="112">
        <v>0</v>
      </c>
      <c r="AL115" s="112">
        <v>0</v>
      </c>
      <c r="AM115" s="112">
        <v>0</v>
      </c>
      <c r="AN115" s="112">
        <v>0</v>
      </c>
      <c r="AO115" s="112">
        <v>0</v>
      </c>
      <c r="AP115" s="112">
        <v>0</v>
      </c>
      <c r="AQ115" s="112">
        <v>0</v>
      </c>
      <c r="AR115" s="112">
        <v>0</v>
      </c>
      <c r="AS115" s="112">
        <v>0</v>
      </c>
      <c r="AT115" s="112">
        <v>0</v>
      </c>
      <c r="AU115" s="112">
        <v>0</v>
      </c>
      <c r="AV115" s="112">
        <v>0</v>
      </c>
      <c r="AW115" s="112">
        <v>0</v>
      </c>
      <c r="AX115" s="112">
        <v>0</v>
      </c>
      <c r="AY115" s="112">
        <v>0</v>
      </c>
    </row>
    <row r="116" spans="1:52" x14ac:dyDescent="0.2">
      <c r="A116" s="115"/>
      <c r="B116" s="133">
        <v>8</v>
      </c>
      <c r="C116" s="112"/>
      <c r="D116" s="112">
        <v>0</v>
      </c>
      <c r="E116" s="112">
        <v>0</v>
      </c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</v>
      </c>
      <c r="N116" s="112">
        <v>0</v>
      </c>
      <c r="O116" s="112">
        <v>0</v>
      </c>
      <c r="P116" s="112">
        <v>0</v>
      </c>
      <c r="Q116" s="112">
        <v>0</v>
      </c>
      <c r="R116" s="112">
        <v>0</v>
      </c>
      <c r="S116" s="112">
        <v>0</v>
      </c>
      <c r="T116" s="112">
        <v>0</v>
      </c>
      <c r="U116" s="112">
        <v>0</v>
      </c>
      <c r="V116" s="112">
        <v>0</v>
      </c>
      <c r="W116" s="112">
        <v>0</v>
      </c>
      <c r="X116" s="112">
        <v>0</v>
      </c>
      <c r="Y116" s="112">
        <v>0</v>
      </c>
      <c r="Z116" s="112">
        <v>0</v>
      </c>
      <c r="AA116" s="112">
        <v>0</v>
      </c>
      <c r="AB116" s="112">
        <v>0</v>
      </c>
      <c r="AC116" s="112">
        <v>0</v>
      </c>
      <c r="AD116" s="112">
        <v>0</v>
      </c>
      <c r="AE116" s="112">
        <v>0</v>
      </c>
      <c r="AF116" s="112">
        <v>0</v>
      </c>
      <c r="AG116" s="112">
        <v>0</v>
      </c>
      <c r="AH116" s="112">
        <v>0</v>
      </c>
      <c r="AI116" s="112">
        <v>0</v>
      </c>
      <c r="AJ116" s="112">
        <v>0</v>
      </c>
      <c r="AK116" s="112">
        <v>0</v>
      </c>
      <c r="AL116" s="112">
        <v>0</v>
      </c>
      <c r="AM116" s="112">
        <v>0</v>
      </c>
      <c r="AN116" s="112">
        <v>0</v>
      </c>
      <c r="AO116" s="112">
        <v>0</v>
      </c>
      <c r="AP116" s="112">
        <v>0</v>
      </c>
      <c r="AQ116" s="112">
        <v>0</v>
      </c>
      <c r="AR116" s="112">
        <v>0</v>
      </c>
      <c r="AS116" s="112">
        <v>0</v>
      </c>
      <c r="AT116" s="112">
        <v>0</v>
      </c>
      <c r="AU116" s="112">
        <v>0</v>
      </c>
      <c r="AV116" s="112">
        <v>0</v>
      </c>
      <c r="AW116" s="112">
        <v>0</v>
      </c>
      <c r="AX116" s="112">
        <v>0</v>
      </c>
      <c r="AY116" s="112">
        <v>0</v>
      </c>
    </row>
    <row r="117" spans="1:52" x14ac:dyDescent="0.2">
      <c r="A117" s="115"/>
      <c r="B117" s="133">
        <v>9</v>
      </c>
      <c r="C117" s="112"/>
      <c r="D117" s="112">
        <v>0</v>
      </c>
      <c r="E117" s="112">
        <v>0</v>
      </c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</v>
      </c>
      <c r="N117" s="112">
        <v>0</v>
      </c>
      <c r="O117" s="112">
        <v>0</v>
      </c>
      <c r="P117" s="112">
        <v>0</v>
      </c>
      <c r="Q117" s="112">
        <v>0</v>
      </c>
      <c r="R117" s="112">
        <v>0</v>
      </c>
      <c r="S117" s="112">
        <v>0</v>
      </c>
      <c r="T117" s="112">
        <v>0</v>
      </c>
      <c r="U117" s="112">
        <v>0</v>
      </c>
      <c r="V117" s="112">
        <v>0</v>
      </c>
      <c r="W117" s="112">
        <v>0</v>
      </c>
      <c r="X117" s="112">
        <v>0</v>
      </c>
      <c r="Y117" s="112">
        <v>0</v>
      </c>
      <c r="Z117" s="112">
        <v>0</v>
      </c>
      <c r="AA117" s="112">
        <v>0</v>
      </c>
      <c r="AB117" s="112">
        <v>0</v>
      </c>
      <c r="AC117" s="112">
        <v>0</v>
      </c>
      <c r="AD117" s="112">
        <v>0</v>
      </c>
      <c r="AE117" s="112">
        <v>0</v>
      </c>
      <c r="AF117" s="112">
        <v>0</v>
      </c>
      <c r="AG117" s="112">
        <v>0</v>
      </c>
      <c r="AH117" s="112">
        <v>0</v>
      </c>
      <c r="AI117" s="112">
        <v>0</v>
      </c>
      <c r="AJ117" s="112">
        <v>0</v>
      </c>
      <c r="AK117" s="112">
        <v>0</v>
      </c>
      <c r="AL117" s="112">
        <v>0</v>
      </c>
      <c r="AM117" s="112">
        <v>0</v>
      </c>
      <c r="AN117" s="112">
        <v>0</v>
      </c>
      <c r="AO117" s="112">
        <v>0</v>
      </c>
      <c r="AP117" s="112">
        <v>0</v>
      </c>
      <c r="AQ117" s="112">
        <v>0</v>
      </c>
      <c r="AR117" s="112">
        <v>0</v>
      </c>
      <c r="AS117" s="112">
        <v>0</v>
      </c>
      <c r="AT117" s="112">
        <v>0</v>
      </c>
      <c r="AU117" s="112">
        <v>0</v>
      </c>
      <c r="AV117" s="112">
        <v>0</v>
      </c>
      <c r="AW117" s="112">
        <v>0</v>
      </c>
      <c r="AX117" s="112">
        <v>0</v>
      </c>
      <c r="AY117" s="112">
        <v>0</v>
      </c>
    </row>
    <row r="118" spans="1:52" x14ac:dyDescent="0.2">
      <c r="A118" s="115"/>
      <c r="B118" s="136">
        <v>10</v>
      </c>
      <c r="C118" s="112"/>
      <c r="D118" s="112">
        <v>0</v>
      </c>
      <c r="E118" s="112">
        <v>0</v>
      </c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0</v>
      </c>
      <c r="N118" s="112">
        <v>0</v>
      </c>
      <c r="O118" s="112">
        <v>0</v>
      </c>
      <c r="P118" s="112">
        <v>0</v>
      </c>
      <c r="Q118" s="112">
        <v>0</v>
      </c>
      <c r="R118" s="112">
        <v>0</v>
      </c>
      <c r="S118" s="112">
        <v>0</v>
      </c>
      <c r="T118" s="112">
        <v>0</v>
      </c>
      <c r="U118" s="112">
        <v>0</v>
      </c>
      <c r="V118" s="112">
        <v>0</v>
      </c>
      <c r="W118" s="112">
        <v>0</v>
      </c>
      <c r="X118" s="112">
        <v>0</v>
      </c>
      <c r="Y118" s="112">
        <v>0</v>
      </c>
      <c r="Z118" s="112">
        <v>0</v>
      </c>
      <c r="AA118" s="112">
        <v>0</v>
      </c>
      <c r="AB118" s="112">
        <v>0</v>
      </c>
      <c r="AC118" s="112">
        <v>0</v>
      </c>
      <c r="AD118" s="112">
        <v>0</v>
      </c>
      <c r="AE118" s="112">
        <v>0</v>
      </c>
      <c r="AF118" s="112">
        <v>0</v>
      </c>
      <c r="AG118" s="112">
        <v>0</v>
      </c>
      <c r="AH118" s="112">
        <v>0</v>
      </c>
      <c r="AI118" s="112">
        <v>0</v>
      </c>
      <c r="AJ118" s="112">
        <v>0</v>
      </c>
      <c r="AK118" s="112">
        <v>0</v>
      </c>
      <c r="AL118" s="112">
        <v>0</v>
      </c>
      <c r="AM118" s="112">
        <v>0</v>
      </c>
      <c r="AN118" s="112">
        <v>0</v>
      </c>
      <c r="AO118" s="112">
        <v>0</v>
      </c>
      <c r="AP118" s="112">
        <v>0</v>
      </c>
      <c r="AQ118" s="112">
        <v>0</v>
      </c>
      <c r="AR118" s="112">
        <v>0</v>
      </c>
      <c r="AS118" s="112">
        <v>0</v>
      </c>
      <c r="AT118" s="112">
        <v>0</v>
      </c>
      <c r="AU118" s="112">
        <v>0</v>
      </c>
      <c r="AV118" s="112">
        <v>0</v>
      </c>
      <c r="AW118" s="112">
        <v>0</v>
      </c>
      <c r="AX118" s="112">
        <v>0</v>
      </c>
      <c r="AY118" s="112">
        <v>0</v>
      </c>
    </row>
    <row r="119" spans="1:52" x14ac:dyDescent="0.2">
      <c r="A119" s="115"/>
      <c r="B119" s="136">
        <v>11</v>
      </c>
      <c r="C119" s="112"/>
      <c r="D119" s="112">
        <v>0</v>
      </c>
      <c r="E119" s="112">
        <v>0</v>
      </c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0</v>
      </c>
      <c r="N119" s="112">
        <v>0</v>
      </c>
      <c r="O119" s="112">
        <v>0</v>
      </c>
      <c r="P119" s="112">
        <v>0</v>
      </c>
      <c r="Q119" s="112">
        <v>0</v>
      </c>
      <c r="R119" s="112">
        <v>0</v>
      </c>
      <c r="S119" s="112">
        <v>0</v>
      </c>
      <c r="T119" s="112">
        <v>0</v>
      </c>
      <c r="U119" s="112">
        <v>0</v>
      </c>
      <c r="V119" s="112">
        <v>0</v>
      </c>
      <c r="W119" s="112">
        <v>0</v>
      </c>
      <c r="X119" s="112">
        <v>0</v>
      </c>
      <c r="Y119" s="112">
        <v>0</v>
      </c>
      <c r="Z119" s="112">
        <v>0</v>
      </c>
      <c r="AA119" s="112">
        <v>0</v>
      </c>
      <c r="AB119" s="112">
        <v>0</v>
      </c>
      <c r="AC119" s="112">
        <v>0</v>
      </c>
      <c r="AD119" s="112">
        <v>0</v>
      </c>
      <c r="AE119" s="112">
        <v>0</v>
      </c>
      <c r="AF119" s="112">
        <v>0</v>
      </c>
      <c r="AG119" s="112">
        <v>0</v>
      </c>
      <c r="AH119" s="112">
        <v>0</v>
      </c>
      <c r="AI119" s="112">
        <v>0</v>
      </c>
      <c r="AJ119" s="112">
        <v>0</v>
      </c>
      <c r="AK119" s="112">
        <v>0</v>
      </c>
      <c r="AL119" s="112">
        <v>0</v>
      </c>
      <c r="AM119" s="112">
        <v>0</v>
      </c>
      <c r="AN119" s="112">
        <v>0</v>
      </c>
      <c r="AO119" s="112">
        <v>0</v>
      </c>
      <c r="AP119" s="112">
        <v>0</v>
      </c>
      <c r="AQ119" s="112">
        <v>0</v>
      </c>
      <c r="AR119" s="112">
        <v>0</v>
      </c>
      <c r="AS119" s="112">
        <v>0</v>
      </c>
      <c r="AT119" s="112">
        <v>0</v>
      </c>
      <c r="AU119" s="112">
        <v>0</v>
      </c>
      <c r="AV119" s="112">
        <v>0</v>
      </c>
      <c r="AW119" s="112">
        <v>0</v>
      </c>
      <c r="AX119" s="112">
        <v>0</v>
      </c>
      <c r="AY119" s="112">
        <v>0</v>
      </c>
    </row>
    <row r="120" spans="1:52" x14ac:dyDescent="0.2">
      <c r="A120" s="115"/>
      <c r="B120" s="136">
        <v>12</v>
      </c>
      <c r="C120" s="112"/>
      <c r="D120" s="112">
        <v>0</v>
      </c>
      <c r="E120" s="112">
        <v>0</v>
      </c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0</v>
      </c>
      <c r="N120" s="112">
        <v>0</v>
      </c>
      <c r="O120" s="112">
        <v>0</v>
      </c>
      <c r="P120" s="112">
        <v>0</v>
      </c>
      <c r="Q120" s="112">
        <v>0</v>
      </c>
      <c r="R120" s="112">
        <v>0</v>
      </c>
      <c r="S120" s="112">
        <v>0</v>
      </c>
      <c r="T120" s="112">
        <v>0</v>
      </c>
      <c r="U120" s="112">
        <v>0</v>
      </c>
      <c r="V120" s="112">
        <v>0</v>
      </c>
      <c r="W120" s="112">
        <v>0</v>
      </c>
      <c r="X120" s="112">
        <v>0</v>
      </c>
      <c r="Y120" s="112">
        <v>0</v>
      </c>
      <c r="Z120" s="112">
        <v>0</v>
      </c>
      <c r="AA120" s="112">
        <v>0</v>
      </c>
      <c r="AB120" s="112">
        <v>0</v>
      </c>
      <c r="AC120" s="112">
        <v>0</v>
      </c>
      <c r="AD120" s="112">
        <v>0</v>
      </c>
      <c r="AE120" s="112">
        <v>0</v>
      </c>
      <c r="AF120" s="112">
        <v>0</v>
      </c>
      <c r="AG120" s="112">
        <v>0</v>
      </c>
      <c r="AH120" s="112">
        <v>0</v>
      </c>
      <c r="AI120" s="112">
        <v>0</v>
      </c>
      <c r="AJ120" s="112">
        <v>0</v>
      </c>
      <c r="AK120" s="112">
        <v>0</v>
      </c>
      <c r="AL120" s="112">
        <v>0</v>
      </c>
      <c r="AM120" s="112">
        <v>0</v>
      </c>
      <c r="AN120" s="112">
        <v>0</v>
      </c>
      <c r="AO120" s="112">
        <v>0</v>
      </c>
      <c r="AP120" s="112">
        <v>0</v>
      </c>
      <c r="AQ120" s="112">
        <v>0</v>
      </c>
      <c r="AR120" s="112">
        <v>0</v>
      </c>
      <c r="AS120" s="112">
        <v>0</v>
      </c>
      <c r="AT120" s="112">
        <v>0</v>
      </c>
      <c r="AU120" s="112">
        <v>0</v>
      </c>
      <c r="AV120" s="112">
        <v>0</v>
      </c>
      <c r="AW120" s="112">
        <v>0</v>
      </c>
      <c r="AX120" s="112">
        <v>0</v>
      </c>
      <c r="AY120" s="112">
        <v>0</v>
      </c>
    </row>
    <row r="121" spans="1:52" x14ac:dyDescent="0.2">
      <c r="A121" s="134"/>
      <c r="B121" s="138" t="s">
        <v>295</v>
      </c>
      <c r="C121" s="120"/>
      <c r="D121" s="131">
        <v>0</v>
      </c>
      <c r="E121" s="131">
        <v>0</v>
      </c>
      <c r="F121" s="131">
        <v>0</v>
      </c>
      <c r="G121" s="131">
        <v>0</v>
      </c>
      <c r="H121" s="131">
        <v>0</v>
      </c>
      <c r="I121" s="131">
        <v>0</v>
      </c>
      <c r="J121" s="131">
        <v>0</v>
      </c>
      <c r="K121" s="131">
        <v>0</v>
      </c>
      <c r="L121" s="131">
        <v>0</v>
      </c>
      <c r="M121" s="131">
        <v>0</v>
      </c>
      <c r="N121" s="131">
        <v>0</v>
      </c>
      <c r="O121" s="131">
        <v>0</v>
      </c>
      <c r="P121" s="131">
        <v>0</v>
      </c>
      <c r="Q121" s="131">
        <v>0</v>
      </c>
      <c r="R121" s="131">
        <v>0</v>
      </c>
      <c r="S121" s="131">
        <v>0</v>
      </c>
      <c r="T121" s="131">
        <v>0</v>
      </c>
      <c r="U121" s="131">
        <v>0</v>
      </c>
      <c r="V121" s="131">
        <v>0</v>
      </c>
      <c r="W121" s="131">
        <v>0</v>
      </c>
      <c r="X121" s="131">
        <v>0</v>
      </c>
      <c r="Y121" s="131">
        <v>0</v>
      </c>
      <c r="Z121" s="131">
        <v>0</v>
      </c>
      <c r="AA121" s="131">
        <v>0</v>
      </c>
      <c r="AB121" s="131">
        <v>0</v>
      </c>
      <c r="AC121" s="131">
        <v>0</v>
      </c>
      <c r="AD121" s="131">
        <v>0</v>
      </c>
      <c r="AE121" s="131">
        <v>0</v>
      </c>
      <c r="AF121" s="131">
        <v>0</v>
      </c>
      <c r="AG121" s="131">
        <v>0</v>
      </c>
      <c r="AH121" s="131">
        <v>0</v>
      </c>
      <c r="AI121" s="131">
        <v>0</v>
      </c>
      <c r="AJ121" s="131">
        <v>0</v>
      </c>
      <c r="AK121" s="131">
        <v>0</v>
      </c>
      <c r="AL121" s="131">
        <v>0</v>
      </c>
      <c r="AM121" s="131">
        <v>0</v>
      </c>
      <c r="AN121" s="131">
        <v>0</v>
      </c>
      <c r="AO121" s="131">
        <v>0</v>
      </c>
      <c r="AP121" s="131">
        <v>0</v>
      </c>
      <c r="AQ121" s="131">
        <v>0</v>
      </c>
      <c r="AR121" s="131">
        <v>0</v>
      </c>
      <c r="AS121" s="131">
        <v>0</v>
      </c>
      <c r="AT121" s="131">
        <v>0</v>
      </c>
      <c r="AU121" s="131">
        <v>0</v>
      </c>
      <c r="AV121" s="131">
        <v>0</v>
      </c>
      <c r="AW121" s="131">
        <v>0</v>
      </c>
      <c r="AX121" s="131">
        <v>0</v>
      </c>
      <c r="AY121" s="131">
        <v>0</v>
      </c>
      <c r="AZ121" s="113">
        <f>SUM($D121:$AY121)</f>
        <v>0</v>
      </c>
    </row>
    <row r="122" spans="1:52" x14ac:dyDescent="0.2">
      <c r="A122" s="137" t="s">
        <v>123</v>
      </c>
      <c r="B122" s="125">
        <v>1</v>
      </c>
      <c r="C122" s="112"/>
      <c r="D122" s="112">
        <v>0</v>
      </c>
      <c r="E122" s="112">
        <v>0</v>
      </c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0</v>
      </c>
      <c r="N122" s="112">
        <v>0</v>
      </c>
      <c r="O122" s="112">
        <v>0</v>
      </c>
      <c r="P122" s="112">
        <v>0</v>
      </c>
      <c r="Q122" s="112">
        <v>0</v>
      </c>
      <c r="R122" s="112">
        <v>0</v>
      </c>
      <c r="S122" s="112">
        <v>0</v>
      </c>
      <c r="T122" s="112">
        <v>0</v>
      </c>
      <c r="U122" s="112">
        <v>0</v>
      </c>
      <c r="V122" s="112">
        <v>0</v>
      </c>
      <c r="W122" s="112">
        <v>0</v>
      </c>
      <c r="X122" s="112">
        <v>0</v>
      </c>
      <c r="Y122" s="112">
        <v>0</v>
      </c>
      <c r="Z122" s="112">
        <v>0</v>
      </c>
      <c r="AA122" s="112">
        <v>0</v>
      </c>
      <c r="AB122" s="112">
        <v>0</v>
      </c>
      <c r="AC122" s="112">
        <v>0</v>
      </c>
      <c r="AD122" s="112">
        <v>0</v>
      </c>
      <c r="AE122" s="112">
        <v>0</v>
      </c>
      <c r="AF122" s="112">
        <v>0</v>
      </c>
      <c r="AG122" s="112">
        <v>0</v>
      </c>
      <c r="AH122" s="112">
        <v>0</v>
      </c>
      <c r="AI122" s="112">
        <v>0</v>
      </c>
      <c r="AJ122" s="112">
        <v>0</v>
      </c>
      <c r="AK122" s="112">
        <v>0</v>
      </c>
      <c r="AL122" s="112">
        <v>0</v>
      </c>
      <c r="AM122" s="112">
        <v>0</v>
      </c>
      <c r="AN122" s="112">
        <v>0</v>
      </c>
      <c r="AO122" s="112">
        <v>0</v>
      </c>
      <c r="AP122" s="112">
        <v>0</v>
      </c>
      <c r="AQ122" s="112">
        <v>0</v>
      </c>
      <c r="AR122" s="112">
        <v>0</v>
      </c>
      <c r="AS122" s="112">
        <v>0</v>
      </c>
      <c r="AT122" s="112">
        <v>0</v>
      </c>
      <c r="AU122" s="112">
        <v>0</v>
      </c>
      <c r="AV122" s="112">
        <v>0</v>
      </c>
      <c r="AW122" s="112">
        <v>0</v>
      </c>
      <c r="AX122" s="112">
        <v>0</v>
      </c>
      <c r="AY122" s="112">
        <v>0</v>
      </c>
    </row>
    <row r="123" spans="1:52" x14ac:dyDescent="0.2">
      <c r="A123" s="115"/>
      <c r="B123" s="125">
        <v>2</v>
      </c>
      <c r="C123" s="112"/>
      <c r="D123" s="112">
        <v>0</v>
      </c>
      <c r="E123" s="112">
        <v>0</v>
      </c>
      <c r="F123" s="112">
        <v>0</v>
      </c>
      <c r="G123" s="112">
        <v>0</v>
      </c>
      <c r="H123" s="112">
        <v>0</v>
      </c>
      <c r="I123" s="112">
        <v>0</v>
      </c>
      <c r="J123" s="112">
        <v>0</v>
      </c>
      <c r="K123" s="112">
        <v>0</v>
      </c>
      <c r="L123" s="112">
        <v>0</v>
      </c>
      <c r="M123" s="112">
        <v>0</v>
      </c>
      <c r="N123" s="112">
        <v>0</v>
      </c>
      <c r="O123" s="112">
        <v>0</v>
      </c>
      <c r="P123" s="112">
        <v>0</v>
      </c>
      <c r="Q123" s="112">
        <v>0</v>
      </c>
      <c r="R123" s="112">
        <v>0</v>
      </c>
      <c r="S123" s="112">
        <v>0</v>
      </c>
      <c r="T123" s="112">
        <v>0</v>
      </c>
      <c r="U123" s="112">
        <v>0</v>
      </c>
      <c r="V123" s="112">
        <v>0</v>
      </c>
      <c r="W123" s="112">
        <v>0</v>
      </c>
      <c r="X123" s="112">
        <v>0</v>
      </c>
      <c r="Y123" s="112">
        <v>0</v>
      </c>
      <c r="Z123" s="112">
        <v>0</v>
      </c>
      <c r="AA123" s="112">
        <v>0</v>
      </c>
      <c r="AB123" s="112">
        <v>0</v>
      </c>
      <c r="AC123" s="112">
        <v>0</v>
      </c>
      <c r="AD123" s="112">
        <v>0</v>
      </c>
      <c r="AE123" s="112">
        <v>0</v>
      </c>
      <c r="AF123" s="112">
        <v>0</v>
      </c>
      <c r="AG123" s="112">
        <v>0</v>
      </c>
      <c r="AH123" s="112">
        <v>0</v>
      </c>
      <c r="AI123" s="112">
        <v>0</v>
      </c>
      <c r="AJ123" s="112">
        <v>0</v>
      </c>
      <c r="AK123" s="112">
        <v>0</v>
      </c>
      <c r="AL123" s="112">
        <v>0</v>
      </c>
      <c r="AM123" s="112">
        <v>0</v>
      </c>
      <c r="AN123" s="112">
        <v>0</v>
      </c>
      <c r="AO123" s="112">
        <v>0</v>
      </c>
      <c r="AP123" s="112">
        <v>0</v>
      </c>
      <c r="AQ123" s="112">
        <v>0</v>
      </c>
      <c r="AR123" s="112">
        <v>0</v>
      </c>
      <c r="AS123" s="112">
        <v>0</v>
      </c>
      <c r="AT123" s="112">
        <v>0</v>
      </c>
      <c r="AU123" s="112">
        <v>0</v>
      </c>
      <c r="AV123" s="112">
        <v>0</v>
      </c>
      <c r="AW123" s="112">
        <v>0</v>
      </c>
      <c r="AX123" s="112">
        <v>0</v>
      </c>
      <c r="AY123" s="112">
        <v>0</v>
      </c>
    </row>
    <row r="124" spans="1:52" x14ac:dyDescent="0.2">
      <c r="A124" s="115"/>
      <c r="B124" s="125">
        <v>3</v>
      </c>
      <c r="C124" s="112"/>
      <c r="D124" s="112">
        <v>0</v>
      </c>
      <c r="E124" s="112">
        <v>0</v>
      </c>
      <c r="F124" s="112">
        <v>0</v>
      </c>
      <c r="G124" s="112">
        <v>0</v>
      </c>
      <c r="H124" s="112">
        <v>0</v>
      </c>
      <c r="I124" s="112">
        <v>0</v>
      </c>
      <c r="J124" s="112">
        <v>0</v>
      </c>
      <c r="K124" s="112">
        <v>0</v>
      </c>
      <c r="L124" s="112">
        <v>0</v>
      </c>
      <c r="M124" s="112">
        <v>0</v>
      </c>
      <c r="N124" s="112">
        <v>0</v>
      </c>
      <c r="O124" s="112">
        <v>0</v>
      </c>
      <c r="P124" s="112">
        <v>0</v>
      </c>
      <c r="Q124" s="112">
        <v>0</v>
      </c>
      <c r="R124" s="112">
        <v>0</v>
      </c>
      <c r="S124" s="112">
        <v>0</v>
      </c>
      <c r="T124" s="112">
        <v>0</v>
      </c>
      <c r="U124" s="112">
        <v>0</v>
      </c>
      <c r="V124" s="112">
        <v>0</v>
      </c>
      <c r="W124" s="112">
        <v>0</v>
      </c>
      <c r="X124" s="112">
        <v>0</v>
      </c>
      <c r="Y124" s="112">
        <v>0</v>
      </c>
      <c r="Z124" s="112">
        <v>0</v>
      </c>
      <c r="AA124" s="112">
        <v>0</v>
      </c>
      <c r="AB124" s="112">
        <v>0</v>
      </c>
      <c r="AC124" s="112">
        <v>0</v>
      </c>
      <c r="AD124" s="112">
        <v>0</v>
      </c>
      <c r="AE124" s="112">
        <v>0</v>
      </c>
      <c r="AF124" s="112">
        <v>0</v>
      </c>
      <c r="AG124" s="112">
        <v>0</v>
      </c>
      <c r="AH124" s="112">
        <v>0</v>
      </c>
      <c r="AI124" s="112">
        <v>0</v>
      </c>
      <c r="AJ124" s="112">
        <v>0</v>
      </c>
      <c r="AK124" s="112">
        <v>0</v>
      </c>
      <c r="AL124" s="112">
        <v>0</v>
      </c>
      <c r="AM124" s="112">
        <v>0</v>
      </c>
      <c r="AN124" s="112">
        <v>0</v>
      </c>
      <c r="AO124" s="112">
        <v>0</v>
      </c>
      <c r="AP124" s="112">
        <v>0</v>
      </c>
      <c r="AQ124" s="112">
        <v>0</v>
      </c>
      <c r="AR124" s="112">
        <v>0</v>
      </c>
      <c r="AS124" s="112">
        <v>0</v>
      </c>
      <c r="AT124" s="112">
        <v>0</v>
      </c>
      <c r="AU124" s="112">
        <v>0</v>
      </c>
      <c r="AV124" s="112">
        <v>0</v>
      </c>
      <c r="AW124" s="112">
        <v>0</v>
      </c>
      <c r="AX124" s="112">
        <v>0</v>
      </c>
      <c r="AY124" s="112">
        <v>0</v>
      </c>
    </row>
    <row r="125" spans="1:52" x14ac:dyDescent="0.2">
      <c r="A125" s="115"/>
      <c r="B125" s="125">
        <v>4</v>
      </c>
      <c r="C125" s="112"/>
      <c r="D125" s="112">
        <v>0</v>
      </c>
      <c r="E125" s="112">
        <v>0</v>
      </c>
      <c r="F125" s="112">
        <v>0</v>
      </c>
      <c r="G125" s="112">
        <v>0</v>
      </c>
      <c r="H125" s="112">
        <v>0</v>
      </c>
      <c r="I125" s="112">
        <v>0</v>
      </c>
      <c r="J125" s="112">
        <v>0</v>
      </c>
      <c r="K125" s="112">
        <v>0</v>
      </c>
      <c r="L125" s="112">
        <v>0</v>
      </c>
      <c r="M125" s="112">
        <v>0</v>
      </c>
      <c r="N125" s="112">
        <v>0</v>
      </c>
      <c r="O125" s="112">
        <v>0</v>
      </c>
      <c r="P125" s="112">
        <v>0</v>
      </c>
      <c r="Q125" s="112">
        <v>0</v>
      </c>
      <c r="R125" s="112">
        <v>0</v>
      </c>
      <c r="S125" s="112">
        <v>0</v>
      </c>
      <c r="T125" s="112">
        <v>0</v>
      </c>
      <c r="U125" s="112">
        <v>0</v>
      </c>
      <c r="V125" s="112">
        <v>0</v>
      </c>
      <c r="W125" s="112">
        <v>0</v>
      </c>
      <c r="X125" s="112">
        <v>0</v>
      </c>
      <c r="Y125" s="112">
        <v>0</v>
      </c>
      <c r="Z125" s="112">
        <v>0</v>
      </c>
      <c r="AA125" s="112">
        <v>0</v>
      </c>
      <c r="AB125" s="112">
        <v>0</v>
      </c>
      <c r="AC125" s="112">
        <v>0</v>
      </c>
      <c r="AD125" s="112">
        <v>0</v>
      </c>
      <c r="AE125" s="112">
        <v>0</v>
      </c>
      <c r="AF125" s="112">
        <v>0</v>
      </c>
      <c r="AG125" s="112">
        <v>0</v>
      </c>
      <c r="AH125" s="112">
        <v>0</v>
      </c>
      <c r="AI125" s="112">
        <v>0</v>
      </c>
      <c r="AJ125" s="112">
        <v>0</v>
      </c>
      <c r="AK125" s="112">
        <v>0</v>
      </c>
      <c r="AL125" s="112">
        <v>0</v>
      </c>
      <c r="AM125" s="112">
        <v>0</v>
      </c>
      <c r="AN125" s="112">
        <v>0</v>
      </c>
      <c r="AO125" s="112">
        <v>0</v>
      </c>
      <c r="AP125" s="112">
        <v>0</v>
      </c>
      <c r="AQ125" s="112">
        <v>0</v>
      </c>
      <c r="AR125" s="112">
        <v>0</v>
      </c>
      <c r="AS125" s="112">
        <v>0</v>
      </c>
      <c r="AT125" s="112">
        <v>0</v>
      </c>
      <c r="AU125" s="112">
        <v>0</v>
      </c>
      <c r="AV125" s="112">
        <v>0</v>
      </c>
      <c r="AW125" s="112">
        <v>0</v>
      </c>
      <c r="AX125" s="112">
        <v>0</v>
      </c>
      <c r="AY125" s="112">
        <v>0</v>
      </c>
    </row>
    <row r="126" spans="1:52" x14ac:dyDescent="0.2">
      <c r="A126" s="115"/>
      <c r="B126" s="125">
        <v>5</v>
      </c>
      <c r="C126" s="112"/>
      <c r="D126" s="112">
        <v>0</v>
      </c>
      <c r="E126" s="112">
        <v>0</v>
      </c>
      <c r="F126" s="112">
        <v>0</v>
      </c>
      <c r="G126" s="112">
        <v>0</v>
      </c>
      <c r="H126" s="112">
        <v>0</v>
      </c>
      <c r="I126" s="112">
        <v>0</v>
      </c>
      <c r="J126" s="112">
        <v>0</v>
      </c>
      <c r="K126" s="112">
        <v>0</v>
      </c>
      <c r="L126" s="112">
        <v>0</v>
      </c>
      <c r="M126" s="112">
        <v>0</v>
      </c>
      <c r="N126" s="112">
        <v>0</v>
      </c>
      <c r="O126" s="112">
        <v>0</v>
      </c>
      <c r="P126" s="112">
        <v>0</v>
      </c>
      <c r="Q126" s="112">
        <v>0</v>
      </c>
      <c r="R126" s="112">
        <v>0</v>
      </c>
      <c r="S126" s="112">
        <v>0</v>
      </c>
      <c r="T126" s="112">
        <v>0</v>
      </c>
      <c r="U126" s="112">
        <v>0</v>
      </c>
      <c r="V126" s="112">
        <v>0</v>
      </c>
      <c r="W126" s="112">
        <v>0</v>
      </c>
      <c r="X126" s="112">
        <v>0</v>
      </c>
      <c r="Y126" s="112">
        <v>0</v>
      </c>
      <c r="Z126" s="112">
        <v>0</v>
      </c>
      <c r="AA126" s="112">
        <v>0</v>
      </c>
      <c r="AB126" s="112">
        <v>0</v>
      </c>
      <c r="AC126" s="112">
        <v>0</v>
      </c>
      <c r="AD126" s="112">
        <v>0</v>
      </c>
      <c r="AE126" s="112">
        <v>0</v>
      </c>
      <c r="AF126" s="112">
        <v>0</v>
      </c>
      <c r="AG126" s="112">
        <v>0</v>
      </c>
      <c r="AH126" s="112">
        <v>0</v>
      </c>
      <c r="AI126" s="112">
        <v>0</v>
      </c>
      <c r="AJ126" s="112">
        <v>0</v>
      </c>
      <c r="AK126" s="112">
        <v>0</v>
      </c>
      <c r="AL126" s="112">
        <v>0</v>
      </c>
      <c r="AM126" s="112">
        <v>0</v>
      </c>
      <c r="AN126" s="112">
        <v>0</v>
      </c>
      <c r="AO126" s="112">
        <v>0</v>
      </c>
      <c r="AP126" s="112">
        <v>0</v>
      </c>
      <c r="AQ126" s="112">
        <v>0</v>
      </c>
      <c r="AR126" s="112">
        <v>0</v>
      </c>
      <c r="AS126" s="112">
        <v>0</v>
      </c>
      <c r="AT126" s="112">
        <v>0</v>
      </c>
      <c r="AU126" s="112">
        <v>0</v>
      </c>
      <c r="AV126" s="112">
        <v>0</v>
      </c>
      <c r="AW126" s="112">
        <v>0</v>
      </c>
      <c r="AX126" s="112">
        <v>0</v>
      </c>
      <c r="AY126" s="112">
        <v>0</v>
      </c>
    </row>
    <row r="127" spans="1:52" x14ac:dyDescent="0.2">
      <c r="A127" s="115"/>
      <c r="B127" s="125">
        <v>6</v>
      </c>
      <c r="C127" s="112"/>
      <c r="D127" s="112">
        <v>0</v>
      </c>
      <c r="E127" s="112">
        <v>0</v>
      </c>
      <c r="F127" s="112">
        <v>0</v>
      </c>
      <c r="G127" s="112">
        <v>0</v>
      </c>
      <c r="H127" s="112">
        <v>0</v>
      </c>
      <c r="I127" s="112">
        <v>0</v>
      </c>
      <c r="J127" s="112">
        <v>0</v>
      </c>
      <c r="K127" s="112">
        <v>0</v>
      </c>
      <c r="L127" s="112">
        <v>0</v>
      </c>
      <c r="M127" s="112">
        <v>0</v>
      </c>
      <c r="N127" s="112">
        <v>0</v>
      </c>
      <c r="O127" s="112">
        <v>0</v>
      </c>
      <c r="P127" s="112">
        <v>0</v>
      </c>
      <c r="Q127" s="112">
        <v>0</v>
      </c>
      <c r="R127" s="112">
        <v>0</v>
      </c>
      <c r="S127" s="112">
        <v>0</v>
      </c>
      <c r="T127" s="112">
        <v>0</v>
      </c>
      <c r="U127" s="112">
        <v>0</v>
      </c>
      <c r="V127" s="112">
        <v>0</v>
      </c>
      <c r="W127" s="112">
        <v>0</v>
      </c>
      <c r="X127" s="112">
        <v>0</v>
      </c>
      <c r="Y127" s="112">
        <v>0</v>
      </c>
      <c r="Z127" s="112">
        <v>0</v>
      </c>
      <c r="AA127" s="112">
        <v>0</v>
      </c>
      <c r="AB127" s="112">
        <v>0</v>
      </c>
      <c r="AC127" s="112">
        <v>0</v>
      </c>
      <c r="AD127" s="112">
        <v>0</v>
      </c>
      <c r="AE127" s="112">
        <v>0</v>
      </c>
      <c r="AF127" s="112">
        <v>0</v>
      </c>
      <c r="AG127" s="112">
        <v>0</v>
      </c>
      <c r="AH127" s="112">
        <v>0</v>
      </c>
      <c r="AI127" s="112">
        <v>0</v>
      </c>
      <c r="AJ127" s="112">
        <v>0</v>
      </c>
      <c r="AK127" s="112">
        <v>0</v>
      </c>
      <c r="AL127" s="112">
        <v>0</v>
      </c>
      <c r="AM127" s="112">
        <v>0</v>
      </c>
      <c r="AN127" s="112">
        <v>0</v>
      </c>
      <c r="AO127" s="112">
        <v>0</v>
      </c>
      <c r="AP127" s="112">
        <v>0</v>
      </c>
      <c r="AQ127" s="112">
        <v>0</v>
      </c>
      <c r="AR127" s="112">
        <v>0</v>
      </c>
      <c r="AS127" s="112">
        <v>0</v>
      </c>
      <c r="AT127" s="112">
        <v>0</v>
      </c>
      <c r="AU127" s="112">
        <v>0</v>
      </c>
      <c r="AV127" s="112">
        <v>0</v>
      </c>
      <c r="AW127" s="112">
        <v>0</v>
      </c>
      <c r="AX127" s="112">
        <v>0</v>
      </c>
      <c r="AY127" s="112">
        <v>0</v>
      </c>
    </row>
    <row r="128" spans="1:52" x14ac:dyDescent="0.2">
      <c r="A128" s="115"/>
      <c r="B128" s="125">
        <v>7</v>
      </c>
      <c r="C128" s="112"/>
      <c r="D128" s="112">
        <v>0</v>
      </c>
      <c r="E128" s="112">
        <v>0</v>
      </c>
      <c r="F128" s="112">
        <v>0</v>
      </c>
      <c r="G128" s="112">
        <v>0</v>
      </c>
      <c r="H128" s="112">
        <v>0</v>
      </c>
      <c r="I128" s="112">
        <v>0</v>
      </c>
      <c r="J128" s="112">
        <v>0</v>
      </c>
      <c r="K128" s="112">
        <v>0</v>
      </c>
      <c r="L128" s="112">
        <v>0</v>
      </c>
      <c r="M128" s="112">
        <v>0</v>
      </c>
      <c r="N128" s="112">
        <v>0</v>
      </c>
      <c r="O128" s="112">
        <v>0</v>
      </c>
      <c r="P128" s="112">
        <v>0</v>
      </c>
      <c r="Q128" s="112">
        <v>0</v>
      </c>
      <c r="R128" s="112">
        <v>0</v>
      </c>
      <c r="S128" s="112">
        <v>0</v>
      </c>
      <c r="T128" s="112">
        <v>0</v>
      </c>
      <c r="U128" s="112">
        <v>0</v>
      </c>
      <c r="V128" s="112">
        <v>0</v>
      </c>
      <c r="W128" s="112">
        <v>0</v>
      </c>
      <c r="X128" s="112">
        <v>0</v>
      </c>
      <c r="Y128" s="112">
        <v>0</v>
      </c>
      <c r="Z128" s="112">
        <v>0</v>
      </c>
      <c r="AA128" s="112">
        <v>0</v>
      </c>
      <c r="AB128" s="112">
        <v>0</v>
      </c>
      <c r="AC128" s="112">
        <v>0</v>
      </c>
      <c r="AD128" s="112">
        <v>0</v>
      </c>
      <c r="AE128" s="112">
        <v>0</v>
      </c>
      <c r="AF128" s="112">
        <v>0</v>
      </c>
      <c r="AG128" s="112">
        <v>0</v>
      </c>
      <c r="AH128" s="112">
        <v>0</v>
      </c>
      <c r="AI128" s="112">
        <v>0</v>
      </c>
      <c r="AJ128" s="112">
        <v>0</v>
      </c>
      <c r="AK128" s="112">
        <v>0</v>
      </c>
      <c r="AL128" s="112">
        <v>0</v>
      </c>
      <c r="AM128" s="112">
        <v>0</v>
      </c>
      <c r="AN128" s="112">
        <v>0</v>
      </c>
      <c r="AO128" s="112">
        <v>0</v>
      </c>
      <c r="AP128" s="112">
        <v>0</v>
      </c>
      <c r="AQ128" s="112">
        <v>0</v>
      </c>
      <c r="AR128" s="112">
        <v>0</v>
      </c>
      <c r="AS128" s="112">
        <v>0</v>
      </c>
      <c r="AT128" s="112">
        <v>0</v>
      </c>
      <c r="AU128" s="112">
        <v>0</v>
      </c>
      <c r="AV128" s="112">
        <v>0</v>
      </c>
      <c r="AW128" s="112">
        <v>0</v>
      </c>
      <c r="AX128" s="112">
        <v>0</v>
      </c>
      <c r="AY128" s="112">
        <v>0</v>
      </c>
    </row>
    <row r="129" spans="1:51" x14ac:dyDescent="0.2">
      <c r="A129" s="115"/>
      <c r="B129" s="125">
        <v>8</v>
      </c>
      <c r="C129" s="112"/>
      <c r="D129" s="112">
        <v>0</v>
      </c>
      <c r="E129" s="112">
        <v>0</v>
      </c>
      <c r="F129" s="112">
        <v>0</v>
      </c>
      <c r="G129" s="112">
        <v>0</v>
      </c>
      <c r="H129" s="112">
        <v>0</v>
      </c>
      <c r="I129" s="112">
        <v>0</v>
      </c>
      <c r="J129" s="112">
        <v>0</v>
      </c>
      <c r="K129" s="112">
        <v>0</v>
      </c>
      <c r="L129" s="112">
        <v>0</v>
      </c>
      <c r="M129" s="112">
        <v>0</v>
      </c>
      <c r="N129" s="112">
        <v>0</v>
      </c>
      <c r="O129" s="112">
        <v>0</v>
      </c>
      <c r="P129" s="112">
        <v>0</v>
      </c>
      <c r="Q129" s="112">
        <v>0</v>
      </c>
      <c r="R129" s="112">
        <v>0</v>
      </c>
      <c r="S129" s="112">
        <v>0</v>
      </c>
      <c r="T129" s="112">
        <v>0</v>
      </c>
      <c r="U129" s="112">
        <v>0</v>
      </c>
      <c r="V129" s="112">
        <v>0</v>
      </c>
      <c r="W129" s="112">
        <v>0</v>
      </c>
      <c r="X129" s="112">
        <v>0</v>
      </c>
      <c r="Y129" s="112">
        <v>0</v>
      </c>
      <c r="Z129" s="112">
        <v>0</v>
      </c>
      <c r="AA129" s="112">
        <v>0</v>
      </c>
      <c r="AB129" s="112">
        <v>0</v>
      </c>
      <c r="AC129" s="112">
        <v>0</v>
      </c>
      <c r="AD129" s="112">
        <v>0</v>
      </c>
      <c r="AE129" s="112">
        <v>0</v>
      </c>
      <c r="AF129" s="112">
        <v>0</v>
      </c>
      <c r="AG129" s="112">
        <v>0</v>
      </c>
      <c r="AH129" s="112">
        <v>0</v>
      </c>
      <c r="AI129" s="112">
        <v>0</v>
      </c>
      <c r="AJ129" s="112">
        <v>0</v>
      </c>
      <c r="AK129" s="112">
        <v>0</v>
      </c>
      <c r="AL129" s="112">
        <v>0</v>
      </c>
      <c r="AM129" s="112">
        <v>0</v>
      </c>
      <c r="AN129" s="112">
        <v>0</v>
      </c>
      <c r="AO129" s="112">
        <v>0</v>
      </c>
      <c r="AP129" s="112">
        <v>0</v>
      </c>
      <c r="AQ129" s="112">
        <v>0</v>
      </c>
      <c r="AR129" s="112">
        <v>0</v>
      </c>
      <c r="AS129" s="112">
        <v>0</v>
      </c>
      <c r="AT129" s="112">
        <v>0</v>
      </c>
      <c r="AU129" s="112">
        <v>0</v>
      </c>
      <c r="AV129" s="112">
        <v>0</v>
      </c>
      <c r="AW129" s="112">
        <v>0</v>
      </c>
      <c r="AX129" s="112">
        <v>0</v>
      </c>
      <c r="AY129" s="112">
        <v>0</v>
      </c>
    </row>
    <row r="130" spans="1:51" x14ac:dyDescent="0.2">
      <c r="A130" s="115"/>
      <c r="B130" s="125">
        <v>9</v>
      </c>
      <c r="C130" s="112"/>
      <c r="D130" s="112">
        <v>0</v>
      </c>
      <c r="E130" s="112">
        <v>0</v>
      </c>
      <c r="F130" s="112">
        <v>0</v>
      </c>
      <c r="G130" s="112">
        <v>0</v>
      </c>
      <c r="H130" s="112">
        <v>0</v>
      </c>
      <c r="I130" s="112">
        <v>0</v>
      </c>
      <c r="J130" s="112">
        <v>0</v>
      </c>
      <c r="K130" s="112">
        <v>0</v>
      </c>
      <c r="L130" s="112">
        <v>0</v>
      </c>
      <c r="M130" s="112">
        <v>0</v>
      </c>
      <c r="N130" s="112">
        <v>0</v>
      </c>
      <c r="O130" s="112">
        <v>0</v>
      </c>
      <c r="P130" s="112">
        <v>0</v>
      </c>
      <c r="Q130" s="112">
        <v>0</v>
      </c>
      <c r="R130" s="112">
        <v>0</v>
      </c>
      <c r="S130" s="112">
        <v>0</v>
      </c>
      <c r="T130" s="112">
        <v>0</v>
      </c>
      <c r="U130" s="112">
        <v>0</v>
      </c>
      <c r="V130" s="112">
        <v>0</v>
      </c>
      <c r="W130" s="112">
        <v>0</v>
      </c>
      <c r="X130" s="112">
        <v>0</v>
      </c>
      <c r="Y130" s="112">
        <v>0</v>
      </c>
      <c r="Z130" s="112">
        <v>0</v>
      </c>
      <c r="AA130" s="112">
        <v>0</v>
      </c>
      <c r="AB130" s="112">
        <v>0</v>
      </c>
      <c r="AC130" s="112">
        <v>0</v>
      </c>
      <c r="AD130" s="112">
        <v>0</v>
      </c>
      <c r="AE130" s="112">
        <v>0</v>
      </c>
      <c r="AF130" s="112">
        <v>0</v>
      </c>
      <c r="AG130" s="112">
        <v>0</v>
      </c>
      <c r="AH130" s="112">
        <v>0</v>
      </c>
      <c r="AI130" s="112">
        <v>0</v>
      </c>
      <c r="AJ130" s="112">
        <v>0</v>
      </c>
      <c r="AK130" s="112">
        <v>0</v>
      </c>
      <c r="AL130" s="112">
        <v>0</v>
      </c>
      <c r="AM130" s="112">
        <v>0</v>
      </c>
      <c r="AN130" s="112">
        <v>0</v>
      </c>
      <c r="AO130" s="112">
        <v>0</v>
      </c>
      <c r="AP130" s="112">
        <v>0</v>
      </c>
      <c r="AQ130" s="112">
        <v>0</v>
      </c>
      <c r="AR130" s="112">
        <v>0</v>
      </c>
      <c r="AS130" s="112">
        <v>0</v>
      </c>
      <c r="AT130" s="112">
        <v>0</v>
      </c>
      <c r="AU130" s="112">
        <v>0</v>
      </c>
      <c r="AV130" s="112">
        <v>0</v>
      </c>
      <c r="AW130" s="112">
        <v>0</v>
      </c>
      <c r="AX130" s="112">
        <v>0</v>
      </c>
      <c r="AY130" s="112">
        <v>0</v>
      </c>
    </row>
    <row r="131" spans="1:51" x14ac:dyDescent="0.2">
      <c r="A131" s="115"/>
      <c r="B131" s="125">
        <v>10</v>
      </c>
      <c r="C131" s="112"/>
      <c r="D131" s="112">
        <v>0</v>
      </c>
      <c r="E131" s="112">
        <v>0</v>
      </c>
      <c r="F131" s="112">
        <v>0</v>
      </c>
      <c r="G131" s="112">
        <v>0</v>
      </c>
      <c r="H131" s="112">
        <v>0</v>
      </c>
      <c r="I131" s="112">
        <v>0</v>
      </c>
      <c r="J131" s="112">
        <v>0</v>
      </c>
      <c r="K131" s="112">
        <v>0</v>
      </c>
      <c r="L131" s="112">
        <v>0</v>
      </c>
      <c r="M131" s="112">
        <v>0</v>
      </c>
      <c r="N131" s="112">
        <v>0</v>
      </c>
      <c r="O131" s="112">
        <v>0</v>
      </c>
      <c r="P131" s="112">
        <v>0</v>
      </c>
      <c r="Q131" s="112">
        <v>0</v>
      </c>
      <c r="R131" s="112">
        <v>0</v>
      </c>
      <c r="S131" s="112">
        <v>0</v>
      </c>
      <c r="T131" s="112">
        <v>0</v>
      </c>
      <c r="U131" s="112">
        <v>0</v>
      </c>
      <c r="V131" s="112">
        <v>0</v>
      </c>
      <c r="W131" s="112">
        <v>0</v>
      </c>
      <c r="X131" s="112">
        <v>0</v>
      </c>
      <c r="Y131" s="112">
        <v>0</v>
      </c>
      <c r="Z131" s="112">
        <v>0</v>
      </c>
      <c r="AA131" s="112">
        <v>0</v>
      </c>
      <c r="AB131" s="112">
        <v>0</v>
      </c>
      <c r="AC131" s="112">
        <v>0</v>
      </c>
      <c r="AD131" s="112">
        <v>0</v>
      </c>
      <c r="AE131" s="112">
        <v>0</v>
      </c>
      <c r="AF131" s="112">
        <v>0</v>
      </c>
      <c r="AG131" s="112">
        <v>0</v>
      </c>
      <c r="AH131" s="112">
        <v>0</v>
      </c>
      <c r="AI131" s="112">
        <v>0</v>
      </c>
      <c r="AJ131" s="112">
        <v>0</v>
      </c>
      <c r="AK131" s="112">
        <v>0</v>
      </c>
      <c r="AL131" s="112">
        <v>0</v>
      </c>
      <c r="AM131" s="112">
        <v>0</v>
      </c>
      <c r="AN131" s="112">
        <v>0</v>
      </c>
      <c r="AO131" s="112">
        <v>0</v>
      </c>
      <c r="AP131" s="112">
        <v>0</v>
      </c>
      <c r="AQ131" s="112">
        <v>0</v>
      </c>
      <c r="AR131" s="112">
        <v>0</v>
      </c>
      <c r="AS131" s="112">
        <v>0</v>
      </c>
      <c r="AT131" s="112">
        <v>0</v>
      </c>
      <c r="AU131" s="112">
        <v>0</v>
      </c>
      <c r="AV131" s="112">
        <v>0</v>
      </c>
      <c r="AW131" s="112">
        <v>0</v>
      </c>
      <c r="AX131" s="112">
        <v>0</v>
      </c>
      <c r="AY131" s="112">
        <v>0</v>
      </c>
    </row>
    <row r="132" spans="1:51" x14ac:dyDescent="0.2">
      <c r="A132" s="115"/>
      <c r="B132" s="125">
        <v>11</v>
      </c>
      <c r="C132" s="112"/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12">
        <v>0</v>
      </c>
      <c r="J132" s="112">
        <v>0</v>
      </c>
      <c r="K132" s="112">
        <v>0</v>
      </c>
      <c r="L132" s="112">
        <v>0</v>
      </c>
      <c r="M132" s="112">
        <v>0</v>
      </c>
      <c r="N132" s="112">
        <v>0</v>
      </c>
      <c r="O132" s="112">
        <v>0</v>
      </c>
      <c r="P132" s="112">
        <v>0</v>
      </c>
      <c r="Q132" s="112">
        <v>0</v>
      </c>
      <c r="R132" s="112">
        <v>0</v>
      </c>
      <c r="S132" s="112">
        <v>0</v>
      </c>
      <c r="T132" s="112">
        <v>0</v>
      </c>
      <c r="U132" s="112">
        <v>0</v>
      </c>
      <c r="V132" s="112">
        <v>0</v>
      </c>
      <c r="W132" s="112">
        <v>0</v>
      </c>
      <c r="X132" s="112">
        <v>0</v>
      </c>
      <c r="Y132" s="112">
        <v>0</v>
      </c>
      <c r="Z132" s="112">
        <v>0</v>
      </c>
      <c r="AA132" s="112">
        <v>0</v>
      </c>
      <c r="AB132" s="112">
        <v>0</v>
      </c>
      <c r="AC132" s="112">
        <v>0</v>
      </c>
      <c r="AD132" s="112">
        <v>0</v>
      </c>
      <c r="AE132" s="112">
        <v>0</v>
      </c>
      <c r="AF132" s="112">
        <v>0</v>
      </c>
      <c r="AG132" s="112">
        <v>0</v>
      </c>
      <c r="AH132" s="112">
        <v>0</v>
      </c>
      <c r="AI132" s="112">
        <v>0</v>
      </c>
      <c r="AJ132" s="112">
        <v>0</v>
      </c>
      <c r="AK132" s="112">
        <v>0</v>
      </c>
      <c r="AL132" s="112">
        <v>0</v>
      </c>
      <c r="AM132" s="112">
        <v>0</v>
      </c>
      <c r="AN132" s="112">
        <v>0</v>
      </c>
      <c r="AO132" s="112">
        <v>0</v>
      </c>
      <c r="AP132" s="112">
        <v>0</v>
      </c>
      <c r="AQ132" s="112">
        <v>0</v>
      </c>
      <c r="AR132" s="112">
        <v>0</v>
      </c>
      <c r="AS132" s="112">
        <v>0</v>
      </c>
      <c r="AT132" s="112">
        <v>0</v>
      </c>
      <c r="AU132" s="112">
        <v>0</v>
      </c>
      <c r="AV132" s="112">
        <v>0</v>
      </c>
      <c r="AW132" s="112">
        <v>0</v>
      </c>
      <c r="AX132" s="112">
        <v>0</v>
      </c>
      <c r="AY132" s="112">
        <v>0</v>
      </c>
    </row>
    <row r="133" spans="1:51" x14ac:dyDescent="0.2">
      <c r="A133" s="115"/>
      <c r="B133" s="125">
        <v>12</v>
      </c>
      <c r="C133" s="112"/>
      <c r="D133" s="112">
        <v>0</v>
      </c>
      <c r="E133" s="112">
        <v>0</v>
      </c>
      <c r="F133" s="112">
        <v>0</v>
      </c>
      <c r="G133" s="112">
        <v>0</v>
      </c>
      <c r="H133" s="112">
        <v>0</v>
      </c>
      <c r="I133" s="112">
        <v>0</v>
      </c>
      <c r="J133" s="112">
        <v>0</v>
      </c>
      <c r="K133" s="112">
        <v>0</v>
      </c>
      <c r="L133" s="112">
        <v>0</v>
      </c>
      <c r="M133" s="112">
        <v>0</v>
      </c>
      <c r="N133" s="112">
        <v>0</v>
      </c>
      <c r="O133" s="112">
        <v>0</v>
      </c>
      <c r="P133" s="112">
        <v>0</v>
      </c>
      <c r="Q133" s="112">
        <v>0</v>
      </c>
      <c r="R133" s="112">
        <v>0</v>
      </c>
      <c r="S133" s="112">
        <v>0</v>
      </c>
      <c r="T133" s="112">
        <v>0</v>
      </c>
      <c r="U133" s="112">
        <v>0</v>
      </c>
      <c r="V133" s="112">
        <v>0</v>
      </c>
      <c r="W133" s="112">
        <v>0</v>
      </c>
      <c r="X133" s="112">
        <v>0</v>
      </c>
      <c r="Y133" s="112">
        <v>0</v>
      </c>
      <c r="Z133" s="112">
        <v>0</v>
      </c>
      <c r="AA133" s="112">
        <v>0</v>
      </c>
      <c r="AB133" s="112">
        <v>0</v>
      </c>
      <c r="AC133" s="112">
        <v>0</v>
      </c>
      <c r="AD133" s="112">
        <v>0</v>
      </c>
      <c r="AE133" s="112">
        <v>0</v>
      </c>
      <c r="AF133" s="112">
        <v>0</v>
      </c>
      <c r="AG133" s="112">
        <v>0</v>
      </c>
      <c r="AH133" s="112">
        <v>0</v>
      </c>
      <c r="AI133" s="112">
        <v>0</v>
      </c>
      <c r="AJ133" s="112">
        <v>0</v>
      </c>
      <c r="AK133" s="112">
        <v>0</v>
      </c>
      <c r="AL133" s="112">
        <v>0</v>
      </c>
      <c r="AM133" s="112">
        <v>0</v>
      </c>
      <c r="AN133" s="112">
        <v>0</v>
      </c>
      <c r="AO133" s="112">
        <v>0</v>
      </c>
      <c r="AP133" s="112">
        <v>0</v>
      </c>
      <c r="AQ133" s="112">
        <v>0</v>
      </c>
      <c r="AR133" s="112">
        <v>0</v>
      </c>
      <c r="AS133" s="112">
        <v>0</v>
      </c>
      <c r="AT133" s="112">
        <v>0</v>
      </c>
      <c r="AU133" s="112">
        <v>0</v>
      </c>
      <c r="AV133" s="112">
        <v>0</v>
      </c>
      <c r="AW133" s="112">
        <v>0</v>
      </c>
      <c r="AX133" s="112">
        <v>0</v>
      </c>
      <c r="AY133" s="112">
        <v>0</v>
      </c>
    </row>
    <row r="134" spans="1:51" x14ac:dyDescent="0.2">
      <c r="A134" s="115"/>
      <c r="B134" s="126">
        <v>13</v>
      </c>
      <c r="C134" s="112"/>
      <c r="D134" s="112">
        <v>0</v>
      </c>
      <c r="E134" s="112">
        <v>0</v>
      </c>
      <c r="F134" s="112">
        <v>0</v>
      </c>
      <c r="G134" s="112">
        <v>0</v>
      </c>
      <c r="H134" s="112">
        <v>0</v>
      </c>
      <c r="I134" s="112">
        <v>0</v>
      </c>
      <c r="J134" s="112">
        <v>0</v>
      </c>
      <c r="K134" s="112">
        <v>0</v>
      </c>
      <c r="L134" s="112">
        <v>0</v>
      </c>
      <c r="M134" s="112">
        <v>0</v>
      </c>
      <c r="N134" s="112">
        <v>0</v>
      </c>
      <c r="O134" s="112">
        <v>0</v>
      </c>
      <c r="P134" s="112">
        <v>0</v>
      </c>
      <c r="Q134" s="112">
        <v>0</v>
      </c>
      <c r="R134" s="112">
        <v>0</v>
      </c>
      <c r="S134" s="112">
        <v>0</v>
      </c>
      <c r="T134" s="112">
        <v>0</v>
      </c>
      <c r="U134" s="112">
        <v>0</v>
      </c>
      <c r="V134" s="112">
        <v>0</v>
      </c>
      <c r="W134" s="112">
        <v>0</v>
      </c>
      <c r="X134" s="112">
        <v>0</v>
      </c>
      <c r="Y134" s="112">
        <v>0</v>
      </c>
      <c r="Z134" s="112">
        <v>0</v>
      </c>
      <c r="AA134" s="112">
        <v>0</v>
      </c>
      <c r="AB134" s="112">
        <v>0</v>
      </c>
      <c r="AC134" s="112">
        <v>0</v>
      </c>
      <c r="AD134" s="112">
        <v>0</v>
      </c>
      <c r="AE134" s="112">
        <v>0</v>
      </c>
      <c r="AF134" s="112">
        <v>0</v>
      </c>
      <c r="AG134" s="112">
        <v>0</v>
      </c>
      <c r="AH134" s="112">
        <v>0</v>
      </c>
      <c r="AI134" s="112">
        <v>0</v>
      </c>
      <c r="AJ134" s="112">
        <v>0</v>
      </c>
      <c r="AK134" s="112">
        <v>0</v>
      </c>
      <c r="AL134" s="112">
        <v>0</v>
      </c>
      <c r="AM134" s="112">
        <v>0</v>
      </c>
      <c r="AN134" s="112">
        <v>0</v>
      </c>
      <c r="AO134" s="112">
        <v>0</v>
      </c>
      <c r="AP134" s="112">
        <v>0</v>
      </c>
      <c r="AQ134" s="112">
        <v>0</v>
      </c>
      <c r="AR134" s="112">
        <v>0</v>
      </c>
      <c r="AS134" s="112">
        <v>0</v>
      </c>
      <c r="AT134" s="112">
        <v>0</v>
      </c>
      <c r="AU134" s="112">
        <v>0</v>
      </c>
      <c r="AV134" s="112">
        <v>0</v>
      </c>
      <c r="AW134" s="112">
        <v>0</v>
      </c>
      <c r="AX134" s="112">
        <v>0</v>
      </c>
      <c r="AY134" s="112">
        <v>0</v>
      </c>
    </row>
    <row r="135" spans="1:51" x14ac:dyDescent="0.2">
      <c r="A135" s="115"/>
      <c r="B135" s="126">
        <v>14</v>
      </c>
      <c r="C135" s="112"/>
      <c r="D135" s="112">
        <v>0</v>
      </c>
      <c r="E135" s="112">
        <v>0</v>
      </c>
      <c r="F135" s="112">
        <v>0</v>
      </c>
      <c r="G135" s="112">
        <v>0</v>
      </c>
      <c r="H135" s="112">
        <v>0</v>
      </c>
      <c r="I135" s="112">
        <v>0</v>
      </c>
      <c r="J135" s="112">
        <v>0</v>
      </c>
      <c r="K135" s="112">
        <v>0</v>
      </c>
      <c r="L135" s="112">
        <v>0</v>
      </c>
      <c r="M135" s="112">
        <v>0</v>
      </c>
      <c r="N135" s="112">
        <v>0</v>
      </c>
      <c r="O135" s="112">
        <v>0</v>
      </c>
      <c r="P135" s="112">
        <v>0</v>
      </c>
      <c r="Q135" s="112">
        <v>0</v>
      </c>
      <c r="R135" s="112">
        <v>0</v>
      </c>
      <c r="S135" s="112">
        <v>0</v>
      </c>
      <c r="T135" s="112">
        <v>0</v>
      </c>
      <c r="U135" s="112">
        <v>0</v>
      </c>
      <c r="V135" s="112">
        <v>0</v>
      </c>
      <c r="W135" s="112">
        <v>0</v>
      </c>
      <c r="X135" s="112">
        <v>0</v>
      </c>
      <c r="Y135" s="112">
        <v>0</v>
      </c>
      <c r="Z135" s="112">
        <v>0</v>
      </c>
      <c r="AA135" s="112">
        <v>0</v>
      </c>
      <c r="AB135" s="112">
        <v>0</v>
      </c>
      <c r="AC135" s="112">
        <v>0</v>
      </c>
      <c r="AD135" s="112">
        <v>0</v>
      </c>
      <c r="AE135" s="112">
        <v>0</v>
      </c>
      <c r="AF135" s="112">
        <v>0</v>
      </c>
      <c r="AG135" s="112">
        <v>0</v>
      </c>
      <c r="AH135" s="112">
        <v>0</v>
      </c>
      <c r="AI135" s="112">
        <v>0</v>
      </c>
      <c r="AJ135" s="112">
        <v>0</v>
      </c>
      <c r="AK135" s="112">
        <v>0</v>
      </c>
      <c r="AL135" s="112">
        <v>0</v>
      </c>
      <c r="AM135" s="112">
        <v>0</v>
      </c>
      <c r="AN135" s="112">
        <v>0</v>
      </c>
      <c r="AO135" s="112">
        <v>0</v>
      </c>
      <c r="AP135" s="112">
        <v>0</v>
      </c>
      <c r="AQ135" s="112">
        <v>0</v>
      </c>
      <c r="AR135" s="112">
        <v>0</v>
      </c>
      <c r="AS135" s="112">
        <v>0</v>
      </c>
      <c r="AT135" s="112">
        <v>0</v>
      </c>
      <c r="AU135" s="112">
        <v>0</v>
      </c>
      <c r="AV135" s="112">
        <v>0</v>
      </c>
      <c r="AW135" s="112">
        <v>0</v>
      </c>
      <c r="AX135" s="112">
        <v>0</v>
      </c>
      <c r="AY135" s="112">
        <v>0</v>
      </c>
    </row>
    <row r="136" spans="1:51" x14ac:dyDescent="0.2">
      <c r="A136" s="115"/>
      <c r="B136" s="126">
        <v>15</v>
      </c>
      <c r="C136" s="112"/>
      <c r="D136" s="112">
        <v>0</v>
      </c>
      <c r="E136" s="112">
        <v>0</v>
      </c>
      <c r="F136" s="112">
        <v>0</v>
      </c>
      <c r="G136" s="112">
        <v>0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N136" s="112">
        <v>0</v>
      </c>
      <c r="O136" s="112">
        <v>0</v>
      </c>
      <c r="P136" s="112">
        <v>0</v>
      </c>
      <c r="Q136" s="112">
        <v>0</v>
      </c>
      <c r="R136" s="112">
        <v>0</v>
      </c>
      <c r="S136" s="112">
        <v>0</v>
      </c>
      <c r="T136" s="112">
        <v>0</v>
      </c>
      <c r="U136" s="112">
        <v>0</v>
      </c>
      <c r="V136" s="112">
        <v>0</v>
      </c>
      <c r="W136" s="112">
        <v>0</v>
      </c>
      <c r="X136" s="112">
        <v>0</v>
      </c>
      <c r="Y136" s="112">
        <v>0</v>
      </c>
      <c r="Z136" s="112">
        <v>0</v>
      </c>
      <c r="AA136" s="112">
        <v>0</v>
      </c>
      <c r="AB136" s="112">
        <v>0</v>
      </c>
      <c r="AC136" s="112">
        <v>0</v>
      </c>
      <c r="AD136" s="112">
        <v>0</v>
      </c>
      <c r="AE136" s="112">
        <v>0</v>
      </c>
      <c r="AF136" s="112">
        <v>0</v>
      </c>
      <c r="AG136" s="112">
        <v>0</v>
      </c>
      <c r="AH136" s="112">
        <v>0</v>
      </c>
      <c r="AI136" s="112">
        <v>0</v>
      </c>
      <c r="AJ136" s="112">
        <v>0</v>
      </c>
      <c r="AK136" s="112">
        <v>0</v>
      </c>
      <c r="AL136" s="112">
        <v>0</v>
      </c>
      <c r="AM136" s="112">
        <v>0</v>
      </c>
      <c r="AN136" s="112">
        <v>0</v>
      </c>
      <c r="AO136" s="112">
        <v>0</v>
      </c>
      <c r="AP136" s="112">
        <v>0</v>
      </c>
      <c r="AQ136" s="112">
        <v>0</v>
      </c>
      <c r="AR136" s="112">
        <v>0</v>
      </c>
      <c r="AS136" s="112">
        <v>0</v>
      </c>
      <c r="AT136" s="112">
        <v>0</v>
      </c>
      <c r="AU136" s="112">
        <v>0</v>
      </c>
      <c r="AV136" s="112">
        <v>0</v>
      </c>
      <c r="AW136" s="112">
        <v>0</v>
      </c>
      <c r="AX136" s="112">
        <v>0</v>
      </c>
      <c r="AY136" s="112">
        <v>0</v>
      </c>
    </row>
    <row r="137" spans="1:51" x14ac:dyDescent="0.2">
      <c r="A137" s="115"/>
      <c r="B137" s="126">
        <v>16</v>
      </c>
      <c r="C137" s="112"/>
      <c r="D137" s="112">
        <v>0</v>
      </c>
      <c r="E137" s="112">
        <v>0</v>
      </c>
      <c r="F137" s="112">
        <v>0</v>
      </c>
      <c r="G137" s="112">
        <v>0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0</v>
      </c>
      <c r="N137" s="112">
        <v>0</v>
      </c>
      <c r="O137" s="112">
        <v>0</v>
      </c>
      <c r="P137" s="112">
        <v>0</v>
      </c>
      <c r="Q137" s="112">
        <v>0</v>
      </c>
      <c r="R137" s="112">
        <v>0</v>
      </c>
      <c r="S137" s="112">
        <v>0</v>
      </c>
      <c r="T137" s="112">
        <v>0</v>
      </c>
      <c r="U137" s="112">
        <v>0</v>
      </c>
      <c r="V137" s="112">
        <v>0</v>
      </c>
      <c r="W137" s="112">
        <v>0</v>
      </c>
      <c r="X137" s="112">
        <v>0</v>
      </c>
      <c r="Y137" s="112">
        <v>0</v>
      </c>
      <c r="Z137" s="112">
        <v>0</v>
      </c>
      <c r="AA137" s="112">
        <v>0</v>
      </c>
      <c r="AB137" s="112">
        <v>0</v>
      </c>
      <c r="AC137" s="112">
        <v>0</v>
      </c>
      <c r="AD137" s="112">
        <v>0</v>
      </c>
      <c r="AE137" s="112">
        <v>0</v>
      </c>
      <c r="AF137" s="112">
        <v>0</v>
      </c>
      <c r="AG137" s="112">
        <v>0</v>
      </c>
      <c r="AH137" s="112">
        <v>0</v>
      </c>
      <c r="AI137" s="112">
        <v>0</v>
      </c>
      <c r="AJ137" s="112">
        <v>0</v>
      </c>
      <c r="AK137" s="112">
        <v>0</v>
      </c>
      <c r="AL137" s="112">
        <v>0</v>
      </c>
      <c r="AM137" s="112">
        <v>0</v>
      </c>
      <c r="AN137" s="112">
        <v>0</v>
      </c>
      <c r="AO137" s="112">
        <v>0</v>
      </c>
      <c r="AP137" s="112">
        <v>0</v>
      </c>
      <c r="AQ137" s="112">
        <v>0</v>
      </c>
      <c r="AR137" s="112">
        <v>0</v>
      </c>
      <c r="AS137" s="112">
        <v>0</v>
      </c>
      <c r="AT137" s="112">
        <v>0</v>
      </c>
      <c r="AU137" s="112">
        <v>0</v>
      </c>
      <c r="AV137" s="112">
        <v>0</v>
      </c>
      <c r="AW137" s="112">
        <v>0</v>
      </c>
      <c r="AX137" s="112">
        <v>0</v>
      </c>
      <c r="AY137" s="112">
        <v>0</v>
      </c>
    </row>
    <row r="138" spans="1:51" x14ac:dyDescent="0.2">
      <c r="A138" s="115"/>
      <c r="B138" s="126">
        <v>17</v>
      </c>
      <c r="C138" s="112"/>
      <c r="D138" s="112">
        <v>0</v>
      </c>
      <c r="E138" s="112">
        <v>0</v>
      </c>
      <c r="F138" s="112">
        <v>0</v>
      </c>
      <c r="G138" s="112">
        <v>0</v>
      </c>
      <c r="H138" s="112">
        <v>0</v>
      </c>
      <c r="I138" s="112">
        <v>0</v>
      </c>
      <c r="J138" s="112">
        <v>0</v>
      </c>
      <c r="K138" s="112">
        <v>0</v>
      </c>
      <c r="L138" s="112">
        <v>0</v>
      </c>
      <c r="M138" s="112">
        <v>0</v>
      </c>
      <c r="N138" s="112">
        <v>0</v>
      </c>
      <c r="O138" s="112">
        <v>0</v>
      </c>
      <c r="P138" s="112">
        <v>0</v>
      </c>
      <c r="Q138" s="112">
        <v>0</v>
      </c>
      <c r="R138" s="112">
        <v>0</v>
      </c>
      <c r="S138" s="112">
        <v>0</v>
      </c>
      <c r="T138" s="112">
        <v>0</v>
      </c>
      <c r="U138" s="112">
        <v>0</v>
      </c>
      <c r="V138" s="112">
        <v>0</v>
      </c>
      <c r="W138" s="112">
        <v>0</v>
      </c>
      <c r="X138" s="112">
        <v>0</v>
      </c>
      <c r="Y138" s="112">
        <v>0</v>
      </c>
      <c r="Z138" s="112">
        <v>0</v>
      </c>
      <c r="AA138" s="112">
        <v>0</v>
      </c>
      <c r="AB138" s="112">
        <v>0</v>
      </c>
      <c r="AC138" s="112">
        <v>0</v>
      </c>
      <c r="AD138" s="112">
        <v>0</v>
      </c>
      <c r="AE138" s="112">
        <v>0</v>
      </c>
      <c r="AF138" s="112">
        <v>0</v>
      </c>
      <c r="AG138" s="112">
        <v>0</v>
      </c>
      <c r="AH138" s="112">
        <v>0</v>
      </c>
      <c r="AI138" s="112">
        <v>0</v>
      </c>
      <c r="AJ138" s="112">
        <v>0</v>
      </c>
      <c r="AK138" s="112">
        <v>0</v>
      </c>
      <c r="AL138" s="112">
        <v>0</v>
      </c>
      <c r="AM138" s="112">
        <v>0</v>
      </c>
      <c r="AN138" s="112">
        <v>0</v>
      </c>
      <c r="AO138" s="112">
        <v>0</v>
      </c>
      <c r="AP138" s="112">
        <v>0</v>
      </c>
      <c r="AQ138" s="112">
        <v>0</v>
      </c>
      <c r="AR138" s="112">
        <v>0</v>
      </c>
      <c r="AS138" s="112">
        <v>0</v>
      </c>
      <c r="AT138" s="112">
        <v>0</v>
      </c>
      <c r="AU138" s="112">
        <v>0</v>
      </c>
      <c r="AV138" s="112">
        <v>0</v>
      </c>
      <c r="AW138" s="112">
        <v>0</v>
      </c>
      <c r="AX138" s="112">
        <v>0</v>
      </c>
      <c r="AY138" s="112">
        <v>0</v>
      </c>
    </row>
    <row r="139" spans="1:51" x14ac:dyDescent="0.2">
      <c r="A139" s="115"/>
      <c r="B139" s="126">
        <v>18</v>
      </c>
      <c r="C139" s="112"/>
      <c r="D139" s="112">
        <v>0</v>
      </c>
      <c r="E139" s="112">
        <v>0</v>
      </c>
      <c r="F139" s="112">
        <v>0</v>
      </c>
      <c r="G139" s="112">
        <v>0</v>
      </c>
      <c r="H139" s="112">
        <v>0</v>
      </c>
      <c r="I139" s="112">
        <v>0</v>
      </c>
      <c r="J139" s="112">
        <v>0</v>
      </c>
      <c r="K139" s="112">
        <v>0</v>
      </c>
      <c r="L139" s="112">
        <v>0</v>
      </c>
      <c r="M139" s="112">
        <v>0</v>
      </c>
      <c r="N139" s="112">
        <v>0</v>
      </c>
      <c r="O139" s="112">
        <v>0</v>
      </c>
      <c r="P139" s="112">
        <v>0</v>
      </c>
      <c r="Q139" s="112">
        <v>0</v>
      </c>
      <c r="R139" s="112">
        <v>0</v>
      </c>
      <c r="S139" s="112">
        <v>0</v>
      </c>
      <c r="T139" s="112">
        <v>0</v>
      </c>
      <c r="U139" s="112">
        <v>0</v>
      </c>
      <c r="V139" s="112">
        <v>0</v>
      </c>
      <c r="W139" s="112">
        <v>0</v>
      </c>
      <c r="X139" s="112">
        <v>0</v>
      </c>
      <c r="Y139" s="112">
        <v>0</v>
      </c>
      <c r="Z139" s="112">
        <v>0</v>
      </c>
      <c r="AA139" s="112">
        <v>0</v>
      </c>
      <c r="AB139" s="112">
        <v>0</v>
      </c>
      <c r="AC139" s="112">
        <v>0</v>
      </c>
      <c r="AD139" s="112">
        <v>0</v>
      </c>
      <c r="AE139" s="112">
        <v>0</v>
      </c>
      <c r="AF139" s="112">
        <v>0</v>
      </c>
      <c r="AG139" s="112">
        <v>0</v>
      </c>
      <c r="AH139" s="112">
        <v>0</v>
      </c>
      <c r="AI139" s="112">
        <v>0</v>
      </c>
      <c r="AJ139" s="112">
        <v>0</v>
      </c>
      <c r="AK139" s="112">
        <v>0</v>
      </c>
      <c r="AL139" s="112">
        <v>0</v>
      </c>
      <c r="AM139" s="112">
        <v>0</v>
      </c>
      <c r="AN139" s="112">
        <v>0</v>
      </c>
      <c r="AO139" s="112">
        <v>0</v>
      </c>
      <c r="AP139" s="112">
        <v>0</v>
      </c>
      <c r="AQ139" s="112">
        <v>0</v>
      </c>
      <c r="AR139" s="112">
        <v>0</v>
      </c>
      <c r="AS139" s="112">
        <v>0</v>
      </c>
      <c r="AT139" s="112">
        <v>0</v>
      </c>
      <c r="AU139" s="112">
        <v>0</v>
      </c>
      <c r="AV139" s="112">
        <v>0</v>
      </c>
      <c r="AW139" s="112">
        <v>0</v>
      </c>
      <c r="AX139" s="112">
        <v>0</v>
      </c>
      <c r="AY139" s="112">
        <v>0</v>
      </c>
    </row>
    <row r="140" spans="1:51" x14ac:dyDescent="0.2">
      <c r="A140" s="115"/>
      <c r="B140" s="126">
        <v>19</v>
      </c>
      <c r="C140" s="112"/>
      <c r="D140" s="112">
        <v>0</v>
      </c>
      <c r="E140" s="112">
        <v>0</v>
      </c>
      <c r="F140" s="112">
        <v>0</v>
      </c>
      <c r="G140" s="112">
        <v>0</v>
      </c>
      <c r="H140" s="112">
        <v>0</v>
      </c>
      <c r="I140" s="112">
        <v>0</v>
      </c>
      <c r="J140" s="112">
        <v>0</v>
      </c>
      <c r="K140" s="112">
        <v>0</v>
      </c>
      <c r="L140" s="112">
        <v>0</v>
      </c>
      <c r="M140" s="112">
        <v>0</v>
      </c>
      <c r="N140" s="112">
        <v>0</v>
      </c>
      <c r="O140" s="112">
        <v>0</v>
      </c>
      <c r="P140" s="112">
        <v>0</v>
      </c>
      <c r="Q140" s="112">
        <v>0</v>
      </c>
      <c r="R140" s="112">
        <v>0</v>
      </c>
      <c r="S140" s="112">
        <v>0</v>
      </c>
      <c r="T140" s="112">
        <v>0</v>
      </c>
      <c r="U140" s="112">
        <v>0</v>
      </c>
      <c r="V140" s="112">
        <v>0</v>
      </c>
      <c r="W140" s="112">
        <v>0</v>
      </c>
      <c r="X140" s="112">
        <v>0</v>
      </c>
      <c r="Y140" s="112">
        <v>0</v>
      </c>
      <c r="Z140" s="112">
        <v>0</v>
      </c>
      <c r="AA140" s="112">
        <v>0</v>
      </c>
      <c r="AB140" s="112">
        <v>0</v>
      </c>
      <c r="AC140" s="112">
        <v>0</v>
      </c>
      <c r="AD140" s="112">
        <v>0</v>
      </c>
      <c r="AE140" s="112">
        <v>0</v>
      </c>
      <c r="AF140" s="112">
        <v>0</v>
      </c>
      <c r="AG140" s="112">
        <v>0</v>
      </c>
      <c r="AH140" s="112">
        <v>0</v>
      </c>
      <c r="AI140" s="112">
        <v>0</v>
      </c>
      <c r="AJ140" s="112">
        <v>0</v>
      </c>
      <c r="AK140" s="112">
        <v>0</v>
      </c>
      <c r="AL140" s="112">
        <v>0</v>
      </c>
      <c r="AM140" s="112">
        <v>0</v>
      </c>
      <c r="AN140" s="112">
        <v>0</v>
      </c>
      <c r="AO140" s="112">
        <v>0</v>
      </c>
      <c r="AP140" s="112">
        <v>0</v>
      </c>
      <c r="AQ140" s="112">
        <v>0</v>
      </c>
      <c r="AR140" s="112">
        <v>0</v>
      </c>
      <c r="AS140" s="112">
        <v>0</v>
      </c>
      <c r="AT140" s="112">
        <v>0</v>
      </c>
      <c r="AU140" s="112">
        <v>0</v>
      </c>
      <c r="AV140" s="112">
        <v>0</v>
      </c>
      <c r="AW140" s="112">
        <v>0</v>
      </c>
      <c r="AX140" s="112">
        <v>0</v>
      </c>
      <c r="AY140" s="112">
        <v>0</v>
      </c>
    </row>
    <row r="141" spans="1:51" x14ac:dyDescent="0.2">
      <c r="A141" s="115"/>
      <c r="B141" s="126">
        <v>20</v>
      </c>
      <c r="C141" s="112"/>
      <c r="D141" s="112">
        <v>0</v>
      </c>
      <c r="E141" s="112">
        <v>0</v>
      </c>
      <c r="F141" s="112">
        <v>0</v>
      </c>
      <c r="G141" s="112">
        <v>0</v>
      </c>
      <c r="H141" s="112">
        <v>0</v>
      </c>
      <c r="I141" s="112">
        <v>0</v>
      </c>
      <c r="J141" s="112">
        <v>0</v>
      </c>
      <c r="K141" s="112">
        <v>0</v>
      </c>
      <c r="L141" s="112">
        <v>0</v>
      </c>
      <c r="M141" s="112">
        <v>0</v>
      </c>
      <c r="N141" s="112">
        <v>0</v>
      </c>
      <c r="O141" s="112">
        <v>0</v>
      </c>
      <c r="P141" s="112">
        <v>0</v>
      </c>
      <c r="Q141" s="112">
        <v>0</v>
      </c>
      <c r="R141" s="112">
        <v>0</v>
      </c>
      <c r="S141" s="112">
        <v>0</v>
      </c>
      <c r="T141" s="112">
        <v>0</v>
      </c>
      <c r="U141" s="112">
        <v>0</v>
      </c>
      <c r="V141" s="112">
        <v>0</v>
      </c>
      <c r="W141" s="112">
        <v>0</v>
      </c>
      <c r="X141" s="112">
        <v>0</v>
      </c>
      <c r="Y141" s="112">
        <v>0</v>
      </c>
      <c r="Z141" s="112">
        <v>0</v>
      </c>
      <c r="AA141" s="112">
        <v>0</v>
      </c>
      <c r="AB141" s="112">
        <v>0</v>
      </c>
      <c r="AC141" s="112">
        <v>0</v>
      </c>
      <c r="AD141" s="112">
        <v>0</v>
      </c>
      <c r="AE141" s="112">
        <v>0</v>
      </c>
      <c r="AF141" s="112">
        <v>0</v>
      </c>
      <c r="AG141" s="112">
        <v>0</v>
      </c>
      <c r="AH141" s="112">
        <v>0</v>
      </c>
      <c r="AI141" s="112">
        <v>0</v>
      </c>
      <c r="AJ141" s="112">
        <v>0</v>
      </c>
      <c r="AK141" s="112">
        <v>0</v>
      </c>
      <c r="AL141" s="112">
        <v>0</v>
      </c>
      <c r="AM141" s="112">
        <v>0</v>
      </c>
      <c r="AN141" s="112">
        <v>0</v>
      </c>
      <c r="AO141" s="112">
        <v>0</v>
      </c>
      <c r="AP141" s="112">
        <v>0</v>
      </c>
      <c r="AQ141" s="112">
        <v>0</v>
      </c>
      <c r="AR141" s="112">
        <v>0</v>
      </c>
      <c r="AS141" s="112">
        <v>0</v>
      </c>
      <c r="AT141" s="112">
        <v>0</v>
      </c>
      <c r="AU141" s="112">
        <v>0</v>
      </c>
      <c r="AV141" s="112">
        <v>0</v>
      </c>
      <c r="AW141" s="112">
        <v>0</v>
      </c>
      <c r="AX141" s="112">
        <v>0</v>
      </c>
      <c r="AY141" s="112">
        <v>0</v>
      </c>
    </row>
    <row r="142" spans="1:51" x14ac:dyDescent="0.2">
      <c r="A142" s="115"/>
      <c r="B142" s="126">
        <v>21</v>
      </c>
      <c r="C142" s="112"/>
      <c r="D142" s="112">
        <v>0</v>
      </c>
      <c r="E142" s="112">
        <v>0</v>
      </c>
      <c r="F142" s="112">
        <v>0</v>
      </c>
      <c r="G142" s="112">
        <v>0</v>
      </c>
      <c r="H142" s="112">
        <v>0</v>
      </c>
      <c r="I142" s="112">
        <v>0</v>
      </c>
      <c r="J142" s="112">
        <v>0</v>
      </c>
      <c r="K142" s="112">
        <v>0</v>
      </c>
      <c r="L142" s="112">
        <v>0</v>
      </c>
      <c r="M142" s="112">
        <v>0</v>
      </c>
      <c r="N142" s="112">
        <v>0</v>
      </c>
      <c r="O142" s="112">
        <v>0</v>
      </c>
      <c r="P142" s="112">
        <v>0</v>
      </c>
      <c r="Q142" s="112">
        <v>0</v>
      </c>
      <c r="R142" s="112">
        <v>0</v>
      </c>
      <c r="S142" s="112">
        <v>0</v>
      </c>
      <c r="T142" s="112">
        <v>0</v>
      </c>
      <c r="U142" s="112">
        <v>0</v>
      </c>
      <c r="V142" s="112">
        <v>0</v>
      </c>
      <c r="W142" s="112">
        <v>0</v>
      </c>
      <c r="X142" s="112">
        <v>0</v>
      </c>
      <c r="Y142" s="112">
        <v>0</v>
      </c>
      <c r="Z142" s="112">
        <v>0</v>
      </c>
      <c r="AA142" s="112">
        <v>0</v>
      </c>
      <c r="AB142" s="112">
        <v>0</v>
      </c>
      <c r="AC142" s="112">
        <v>0</v>
      </c>
      <c r="AD142" s="112">
        <v>0</v>
      </c>
      <c r="AE142" s="112">
        <v>0</v>
      </c>
      <c r="AF142" s="112">
        <v>0</v>
      </c>
      <c r="AG142" s="112">
        <v>0</v>
      </c>
      <c r="AH142" s="112">
        <v>0</v>
      </c>
      <c r="AI142" s="112">
        <v>0</v>
      </c>
      <c r="AJ142" s="112">
        <v>0</v>
      </c>
      <c r="AK142" s="112">
        <v>0</v>
      </c>
      <c r="AL142" s="112">
        <v>0</v>
      </c>
      <c r="AM142" s="112">
        <v>0</v>
      </c>
      <c r="AN142" s="112">
        <v>0</v>
      </c>
      <c r="AO142" s="112">
        <v>0</v>
      </c>
      <c r="AP142" s="112">
        <v>0</v>
      </c>
      <c r="AQ142" s="112">
        <v>0</v>
      </c>
      <c r="AR142" s="112">
        <v>0</v>
      </c>
      <c r="AS142" s="112">
        <v>0</v>
      </c>
      <c r="AT142" s="112">
        <v>0</v>
      </c>
      <c r="AU142" s="112">
        <v>0</v>
      </c>
      <c r="AV142" s="112">
        <v>0</v>
      </c>
      <c r="AW142" s="112">
        <v>0</v>
      </c>
      <c r="AX142" s="112">
        <v>0</v>
      </c>
      <c r="AY142" s="112">
        <v>0</v>
      </c>
    </row>
    <row r="143" spans="1:51" x14ac:dyDescent="0.2">
      <c r="A143" s="115"/>
      <c r="B143" s="126">
        <v>22</v>
      </c>
      <c r="C143" s="112"/>
      <c r="D143" s="112">
        <v>0</v>
      </c>
      <c r="E143" s="112">
        <v>0</v>
      </c>
      <c r="F143" s="112">
        <v>0</v>
      </c>
      <c r="G143" s="112">
        <v>0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0</v>
      </c>
      <c r="N143" s="112">
        <v>0</v>
      </c>
      <c r="O143" s="112">
        <v>0</v>
      </c>
      <c r="P143" s="112">
        <v>0</v>
      </c>
      <c r="Q143" s="112">
        <v>0</v>
      </c>
      <c r="R143" s="112">
        <v>0</v>
      </c>
      <c r="S143" s="112">
        <v>0</v>
      </c>
      <c r="T143" s="112">
        <v>0</v>
      </c>
      <c r="U143" s="112">
        <v>0</v>
      </c>
      <c r="V143" s="112">
        <v>0</v>
      </c>
      <c r="W143" s="112">
        <v>0</v>
      </c>
      <c r="X143" s="112">
        <v>0</v>
      </c>
      <c r="Y143" s="112">
        <v>0</v>
      </c>
      <c r="Z143" s="112">
        <v>0</v>
      </c>
      <c r="AA143" s="112">
        <v>0</v>
      </c>
      <c r="AB143" s="112">
        <v>0</v>
      </c>
      <c r="AC143" s="112">
        <v>0</v>
      </c>
      <c r="AD143" s="112">
        <v>0</v>
      </c>
      <c r="AE143" s="112">
        <v>0</v>
      </c>
      <c r="AF143" s="112">
        <v>0</v>
      </c>
      <c r="AG143" s="112">
        <v>0</v>
      </c>
      <c r="AH143" s="112">
        <v>0</v>
      </c>
      <c r="AI143" s="112">
        <v>0</v>
      </c>
      <c r="AJ143" s="112">
        <v>0</v>
      </c>
      <c r="AK143" s="112">
        <v>0</v>
      </c>
      <c r="AL143" s="112">
        <v>0</v>
      </c>
      <c r="AM143" s="112">
        <v>0</v>
      </c>
      <c r="AN143" s="112">
        <v>0</v>
      </c>
      <c r="AO143" s="112">
        <v>0</v>
      </c>
      <c r="AP143" s="112">
        <v>0</v>
      </c>
      <c r="AQ143" s="112">
        <v>0</v>
      </c>
      <c r="AR143" s="112">
        <v>0</v>
      </c>
      <c r="AS143" s="112">
        <v>0</v>
      </c>
      <c r="AT143" s="112">
        <v>0</v>
      </c>
      <c r="AU143" s="112">
        <v>0</v>
      </c>
      <c r="AV143" s="112">
        <v>0</v>
      </c>
      <c r="AW143" s="112">
        <v>0</v>
      </c>
      <c r="AX143" s="112">
        <v>0</v>
      </c>
      <c r="AY143" s="112">
        <v>0</v>
      </c>
    </row>
    <row r="144" spans="1:51" x14ac:dyDescent="0.2">
      <c r="A144" s="115"/>
      <c r="B144" s="126">
        <v>23</v>
      </c>
      <c r="C144" s="112"/>
      <c r="D144" s="112">
        <v>0</v>
      </c>
      <c r="E144" s="112">
        <v>0</v>
      </c>
      <c r="F144" s="112">
        <v>0</v>
      </c>
      <c r="G144" s="112">
        <v>0</v>
      </c>
      <c r="H144" s="112">
        <v>0</v>
      </c>
      <c r="I144" s="112">
        <v>0</v>
      </c>
      <c r="J144" s="112">
        <v>0</v>
      </c>
      <c r="K144" s="112">
        <v>0</v>
      </c>
      <c r="L144" s="112">
        <v>0</v>
      </c>
      <c r="M144" s="112">
        <v>0</v>
      </c>
      <c r="N144" s="112">
        <v>0</v>
      </c>
      <c r="O144" s="112">
        <v>0</v>
      </c>
      <c r="P144" s="112">
        <v>0</v>
      </c>
      <c r="Q144" s="112">
        <v>0</v>
      </c>
      <c r="R144" s="112">
        <v>0</v>
      </c>
      <c r="S144" s="112">
        <v>0</v>
      </c>
      <c r="T144" s="112">
        <v>0</v>
      </c>
      <c r="U144" s="112">
        <v>0</v>
      </c>
      <c r="V144" s="112">
        <v>0</v>
      </c>
      <c r="W144" s="112">
        <v>0</v>
      </c>
      <c r="X144" s="112">
        <v>0</v>
      </c>
      <c r="Y144" s="112">
        <v>0</v>
      </c>
      <c r="Z144" s="112">
        <v>0</v>
      </c>
      <c r="AA144" s="112">
        <v>0</v>
      </c>
      <c r="AB144" s="112">
        <v>0</v>
      </c>
      <c r="AC144" s="112">
        <v>0</v>
      </c>
      <c r="AD144" s="112">
        <v>0</v>
      </c>
      <c r="AE144" s="112">
        <v>0</v>
      </c>
      <c r="AF144" s="112">
        <v>0</v>
      </c>
      <c r="AG144" s="112">
        <v>0</v>
      </c>
      <c r="AH144" s="112">
        <v>0</v>
      </c>
      <c r="AI144" s="112">
        <v>0</v>
      </c>
      <c r="AJ144" s="112">
        <v>0</v>
      </c>
      <c r="AK144" s="112">
        <v>0</v>
      </c>
      <c r="AL144" s="112">
        <v>0</v>
      </c>
      <c r="AM144" s="112">
        <v>0</v>
      </c>
      <c r="AN144" s="112">
        <v>0</v>
      </c>
      <c r="AO144" s="112">
        <v>0</v>
      </c>
      <c r="AP144" s="112">
        <v>0</v>
      </c>
      <c r="AQ144" s="112">
        <v>0</v>
      </c>
      <c r="AR144" s="112">
        <v>0</v>
      </c>
      <c r="AS144" s="112">
        <v>0</v>
      </c>
      <c r="AT144" s="112">
        <v>0</v>
      </c>
      <c r="AU144" s="112">
        <v>0</v>
      </c>
      <c r="AV144" s="112">
        <v>0</v>
      </c>
      <c r="AW144" s="112">
        <v>0</v>
      </c>
      <c r="AX144" s="112">
        <v>0</v>
      </c>
      <c r="AY144" s="112">
        <v>0</v>
      </c>
    </row>
    <row r="145" spans="1:51" x14ac:dyDescent="0.2">
      <c r="A145" s="115"/>
      <c r="B145" s="126">
        <v>24</v>
      </c>
      <c r="C145" s="112"/>
      <c r="D145" s="112">
        <v>0</v>
      </c>
      <c r="E145" s="112">
        <v>0</v>
      </c>
      <c r="F145" s="112">
        <v>0</v>
      </c>
      <c r="G145" s="112">
        <v>0</v>
      </c>
      <c r="H145" s="112">
        <v>0</v>
      </c>
      <c r="I145" s="112">
        <v>0</v>
      </c>
      <c r="J145" s="112">
        <v>0</v>
      </c>
      <c r="K145" s="112">
        <v>0</v>
      </c>
      <c r="L145" s="112">
        <v>0</v>
      </c>
      <c r="M145" s="112">
        <v>0</v>
      </c>
      <c r="N145" s="112">
        <v>0</v>
      </c>
      <c r="O145" s="112">
        <v>0</v>
      </c>
      <c r="P145" s="112">
        <v>0</v>
      </c>
      <c r="Q145" s="112">
        <v>0</v>
      </c>
      <c r="R145" s="112">
        <v>0</v>
      </c>
      <c r="S145" s="112">
        <v>0</v>
      </c>
      <c r="T145" s="112">
        <v>0</v>
      </c>
      <c r="U145" s="112">
        <v>0</v>
      </c>
      <c r="V145" s="112">
        <v>0</v>
      </c>
      <c r="W145" s="112">
        <v>0</v>
      </c>
      <c r="X145" s="112">
        <v>0</v>
      </c>
      <c r="Y145" s="112">
        <v>0</v>
      </c>
      <c r="Z145" s="112">
        <v>0</v>
      </c>
      <c r="AA145" s="112">
        <v>0</v>
      </c>
      <c r="AB145" s="112">
        <v>0</v>
      </c>
      <c r="AC145" s="112">
        <v>0</v>
      </c>
      <c r="AD145" s="112">
        <v>0</v>
      </c>
      <c r="AE145" s="112">
        <v>0</v>
      </c>
      <c r="AF145" s="112">
        <v>0</v>
      </c>
      <c r="AG145" s="112">
        <v>0</v>
      </c>
      <c r="AH145" s="112">
        <v>0</v>
      </c>
      <c r="AI145" s="112">
        <v>0</v>
      </c>
      <c r="AJ145" s="112">
        <v>0</v>
      </c>
      <c r="AK145" s="112">
        <v>0</v>
      </c>
      <c r="AL145" s="112">
        <v>0</v>
      </c>
      <c r="AM145" s="112">
        <v>0</v>
      </c>
      <c r="AN145" s="112">
        <v>0</v>
      </c>
      <c r="AO145" s="112">
        <v>0</v>
      </c>
      <c r="AP145" s="112">
        <v>0</v>
      </c>
      <c r="AQ145" s="112">
        <v>0</v>
      </c>
      <c r="AR145" s="112">
        <v>0</v>
      </c>
      <c r="AS145" s="112">
        <v>0</v>
      </c>
      <c r="AT145" s="112">
        <v>0</v>
      </c>
      <c r="AU145" s="112">
        <v>0</v>
      </c>
      <c r="AV145" s="112">
        <v>0</v>
      </c>
      <c r="AW145" s="112">
        <v>0</v>
      </c>
      <c r="AX145" s="112">
        <v>0</v>
      </c>
      <c r="AY145" s="112">
        <v>0</v>
      </c>
    </row>
    <row r="146" spans="1:51" x14ac:dyDescent="0.2">
      <c r="A146" s="115"/>
      <c r="B146" s="133">
        <v>25</v>
      </c>
      <c r="C146" s="112"/>
      <c r="D146" s="112">
        <v>0</v>
      </c>
      <c r="E146" s="112">
        <v>0</v>
      </c>
      <c r="F146" s="112">
        <v>0</v>
      </c>
      <c r="G146" s="112">
        <v>0</v>
      </c>
      <c r="H146" s="112">
        <v>0</v>
      </c>
      <c r="I146" s="112">
        <v>0</v>
      </c>
      <c r="J146" s="112">
        <v>0</v>
      </c>
      <c r="K146" s="112">
        <v>0</v>
      </c>
      <c r="L146" s="112">
        <v>0</v>
      </c>
      <c r="M146" s="112">
        <v>0</v>
      </c>
      <c r="N146" s="112">
        <v>0</v>
      </c>
      <c r="O146" s="112">
        <v>0</v>
      </c>
      <c r="P146" s="112">
        <v>0</v>
      </c>
      <c r="Q146" s="112">
        <v>0</v>
      </c>
      <c r="R146" s="112">
        <v>0</v>
      </c>
      <c r="S146" s="112">
        <v>0</v>
      </c>
      <c r="T146" s="112">
        <v>0</v>
      </c>
      <c r="U146" s="112">
        <v>0</v>
      </c>
      <c r="V146" s="112">
        <v>0</v>
      </c>
      <c r="W146" s="112">
        <v>0</v>
      </c>
      <c r="X146" s="112">
        <v>0</v>
      </c>
      <c r="Y146" s="112">
        <v>0</v>
      </c>
      <c r="Z146" s="112">
        <v>0</v>
      </c>
      <c r="AA146" s="112">
        <v>0</v>
      </c>
      <c r="AB146" s="112">
        <v>0</v>
      </c>
      <c r="AC146" s="112">
        <v>0</v>
      </c>
      <c r="AD146" s="112">
        <v>0</v>
      </c>
      <c r="AE146" s="112">
        <v>0</v>
      </c>
      <c r="AF146" s="112">
        <v>0</v>
      </c>
      <c r="AG146" s="112">
        <v>0</v>
      </c>
      <c r="AH146" s="112">
        <v>0</v>
      </c>
      <c r="AI146" s="112">
        <v>0</v>
      </c>
      <c r="AJ146" s="112">
        <v>0</v>
      </c>
      <c r="AK146" s="112">
        <v>0</v>
      </c>
      <c r="AL146" s="112">
        <v>0</v>
      </c>
      <c r="AM146" s="112">
        <v>0</v>
      </c>
      <c r="AN146" s="112">
        <v>0</v>
      </c>
      <c r="AO146" s="112">
        <v>0</v>
      </c>
      <c r="AP146" s="112">
        <v>0</v>
      </c>
      <c r="AQ146" s="112">
        <v>0</v>
      </c>
      <c r="AR146" s="112">
        <v>0</v>
      </c>
      <c r="AS146" s="112">
        <v>0</v>
      </c>
      <c r="AT146" s="112">
        <v>0</v>
      </c>
      <c r="AU146" s="112">
        <v>0</v>
      </c>
      <c r="AV146" s="112">
        <v>0</v>
      </c>
      <c r="AW146" s="112">
        <v>0</v>
      </c>
      <c r="AX146" s="112">
        <v>0</v>
      </c>
      <c r="AY146" s="112">
        <v>0</v>
      </c>
    </row>
    <row r="147" spans="1:51" x14ac:dyDescent="0.2">
      <c r="A147" s="115"/>
      <c r="B147" s="133">
        <v>26</v>
      </c>
      <c r="C147" s="112"/>
      <c r="D147" s="112">
        <v>0</v>
      </c>
      <c r="E147" s="112">
        <v>0</v>
      </c>
      <c r="F147" s="112">
        <v>0</v>
      </c>
      <c r="G147" s="112">
        <v>0</v>
      </c>
      <c r="H147" s="112">
        <v>0</v>
      </c>
      <c r="I147" s="112">
        <v>0</v>
      </c>
      <c r="J147" s="112">
        <v>0</v>
      </c>
      <c r="K147" s="112">
        <v>0</v>
      </c>
      <c r="L147" s="112">
        <v>0</v>
      </c>
      <c r="M147" s="112">
        <v>0</v>
      </c>
      <c r="N147" s="112">
        <v>0</v>
      </c>
      <c r="O147" s="112">
        <v>0</v>
      </c>
      <c r="P147" s="112">
        <v>0</v>
      </c>
      <c r="Q147" s="112">
        <v>0</v>
      </c>
      <c r="R147" s="112">
        <v>0</v>
      </c>
      <c r="S147" s="112">
        <v>0</v>
      </c>
      <c r="T147" s="112">
        <v>0</v>
      </c>
      <c r="U147" s="112">
        <v>0</v>
      </c>
      <c r="V147" s="112">
        <v>0</v>
      </c>
      <c r="W147" s="112">
        <v>0</v>
      </c>
      <c r="X147" s="112">
        <v>0</v>
      </c>
      <c r="Y147" s="112">
        <v>0</v>
      </c>
      <c r="Z147" s="112">
        <v>0</v>
      </c>
      <c r="AA147" s="112">
        <v>0</v>
      </c>
      <c r="AB147" s="112">
        <v>0</v>
      </c>
      <c r="AC147" s="112">
        <v>0</v>
      </c>
      <c r="AD147" s="112">
        <v>0</v>
      </c>
      <c r="AE147" s="112">
        <v>0</v>
      </c>
      <c r="AF147" s="112">
        <v>0</v>
      </c>
      <c r="AG147" s="112">
        <v>0</v>
      </c>
      <c r="AH147" s="112">
        <v>0</v>
      </c>
      <c r="AI147" s="112">
        <v>0</v>
      </c>
      <c r="AJ147" s="112">
        <v>0</v>
      </c>
      <c r="AK147" s="112">
        <v>0</v>
      </c>
      <c r="AL147" s="112">
        <v>0</v>
      </c>
      <c r="AM147" s="112">
        <v>0</v>
      </c>
      <c r="AN147" s="112">
        <v>0</v>
      </c>
      <c r="AO147" s="112">
        <v>0</v>
      </c>
      <c r="AP147" s="112">
        <v>0</v>
      </c>
      <c r="AQ147" s="112">
        <v>0</v>
      </c>
      <c r="AR147" s="112">
        <v>0</v>
      </c>
      <c r="AS147" s="112">
        <v>0</v>
      </c>
      <c r="AT147" s="112">
        <v>0</v>
      </c>
      <c r="AU147" s="112">
        <v>0</v>
      </c>
      <c r="AV147" s="112">
        <v>0</v>
      </c>
      <c r="AW147" s="112">
        <v>0</v>
      </c>
      <c r="AX147" s="112">
        <v>0</v>
      </c>
      <c r="AY147" s="112">
        <v>0</v>
      </c>
    </row>
    <row r="148" spans="1:51" x14ac:dyDescent="0.2">
      <c r="A148" s="115"/>
      <c r="B148" s="133">
        <v>27</v>
      </c>
      <c r="C148" s="112"/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12">
        <v>0</v>
      </c>
      <c r="J148" s="112">
        <v>0</v>
      </c>
      <c r="K148" s="112">
        <v>0</v>
      </c>
      <c r="L148" s="112">
        <v>0</v>
      </c>
      <c r="M148" s="112">
        <v>0</v>
      </c>
      <c r="N148" s="112">
        <v>0</v>
      </c>
      <c r="O148" s="112">
        <v>0</v>
      </c>
      <c r="P148" s="112">
        <v>0</v>
      </c>
      <c r="Q148" s="112">
        <v>0</v>
      </c>
      <c r="R148" s="112">
        <v>0</v>
      </c>
      <c r="S148" s="112">
        <v>0</v>
      </c>
      <c r="T148" s="112">
        <v>0</v>
      </c>
      <c r="U148" s="112">
        <v>0</v>
      </c>
      <c r="V148" s="112">
        <v>0</v>
      </c>
      <c r="W148" s="112">
        <v>0</v>
      </c>
      <c r="X148" s="112">
        <v>0</v>
      </c>
      <c r="Y148" s="112">
        <v>0</v>
      </c>
      <c r="Z148" s="112">
        <v>0</v>
      </c>
      <c r="AA148" s="112">
        <v>0</v>
      </c>
      <c r="AB148" s="112">
        <v>0</v>
      </c>
      <c r="AC148" s="112">
        <v>0</v>
      </c>
      <c r="AD148" s="112">
        <v>0</v>
      </c>
      <c r="AE148" s="112">
        <v>0</v>
      </c>
      <c r="AF148" s="112">
        <v>0</v>
      </c>
      <c r="AG148" s="112">
        <v>0</v>
      </c>
      <c r="AH148" s="112">
        <v>0</v>
      </c>
      <c r="AI148" s="112">
        <v>0</v>
      </c>
      <c r="AJ148" s="112">
        <v>0</v>
      </c>
      <c r="AK148" s="112">
        <v>0</v>
      </c>
      <c r="AL148" s="112">
        <v>0</v>
      </c>
      <c r="AM148" s="112">
        <v>0</v>
      </c>
      <c r="AN148" s="112">
        <v>0</v>
      </c>
      <c r="AO148" s="112">
        <v>0</v>
      </c>
      <c r="AP148" s="112">
        <v>0</v>
      </c>
      <c r="AQ148" s="112">
        <v>0</v>
      </c>
      <c r="AR148" s="112">
        <v>0</v>
      </c>
      <c r="AS148" s="112">
        <v>0</v>
      </c>
      <c r="AT148" s="112">
        <v>0</v>
      </c>
      <c r="AU148" s="112">
        <v>0</v>
      </c>
      <c r="AV148" s="112">
        <v>0</v>
      </c>
      <c r="AW148" s="112">
        <v>0</v>
      </c>
      <c r="AX148" s="112">
        <v>0</v>
      </c>
      <c r="AY148" s="112">
        <v>0</v>
      </c>
    </row>
    <row r="149" spans="1:51" x14ac:dyDescent="0.2">
      <c r="A149" s="115"/>
      <c r="B149" s="133">
        <v>28</v>
      </c>
      <c r="C149" s="112"/>
      <c r="D149" s="112">
        <v>0</v>
      </c>
      <c r="E149" s="112">
        <v>0</v>
      </c>
      <c r="F149" s="112">
        <v>0</v>
      </c>
      <c r="G149" s="112">
        <v>0</v>
      </c>
      <c r="H149" s="112">
        <v>0</v>
      </c>
      <c r="I149" s="112">
        <v>0</v>
      </c>
      <c r="J149" s="112">
        <v>0</v>
      </c>
      <c r="K149" s="112">
        <v>0</v>
      </c>
      <c r="L149" s="112">
        <v>0</v>
      </c>
      <c r="M149" s="112">
        <v>0</v>
      </c>
      <c r="N149" s="112">
        <v>0</v>
      </c>
      <c r="O149" s="112">
        <v>0</v>
      </c>
      <c r="P149" s="112">
        <v>0</v>
      </c>
      <c r="Q149" s="112">
        <v>0</v>
      </c>
      <c r="R149" s="112">
        <v>0</v>
      </c>
      <c r="S149" s="112">
        <v>0</v>
      </c>
      <c r="T149" s="112">
        <v>0</v>
      </c>
      <c r="U149" s="112">
        <v>0</v>
      </c>
      <c r="V149" s="112">
        <v>0</v>
      </c>
      <c r="W149" s="112">
        <v>0</v>
      </c>
      <c r="X149" s="112">
        <v>0</v>
      </c>
      <c r="Y149" s="112">
        <v>0</v>
      </c>
      <c r="Z149" s="112">
        <v>0</v>
      </c>
      <c r="AA149" s="112">
        <v>0</v>
      </c>
      <c r="AB149" s="112">
        <v>0</v>
      </c>
      <c r="AC149" s="112">
        <v>0</v>
      </c>
      <c r="AD149" s="112">
        <v>0</v>
      </c>
      <c r="AE149" s="112">
        <v>0</v>
      </c>
      <c r="AF149" s="112">
        <v>0</v>
      </c>
      <c r="AG149" s="112">
        <v>0</v>
      </c>
      <c r="AH149" s="112">
        <v>0</v>
      </c>
      <c r="AI149" s="112">
        <v>0</v>
      </c>
      <c r="AJ149" s="112">
        <v>0</v>
      </c>
      <c r="AK149" s="112">
        <v>0</v>
      </c>
      <c r="AL149" s="112">
        <v>0</v>
      </c>
      <c r="AM149" s="112">
        <v>0</v>
      </c>
      <c r="AN149" s="112">
        <v>0</v>
      </c>
      <c r="AO149" s="112">
        <v>0</v>
      </c>
      <c r="AP149" s="112">
        <v>0</v>
      </c>
      <c r="AQ149" s="112">
        <v>0</v>
      </c>
      <c r="AR149" s="112">
        <v>0</v>
      </c>
      <c r="AS149" s="112">
        <v>0</v>
      </c>
      <c r="AT149" s="112">
        <v>0</v>
      </c>
      <c r="AU149" s="112">
        <v>0</v>
      </c>
      <c r="AV149" s="112">
        <v>0</v>
      </c>
      <c r="AW149" s="112">
        <v>0</v>
      </c>
      <c r="AX149" s="112">
        <v>0</v>
      </c>
      <c r="AY149" s="112">
        <v>0</v>
      </c>
    </row>
    <row r="150" spans="1:51" x14ac:dyDescent="0.2">
      <c r="A150" s="115"/>
      <c r="B150" s="133">
        <v>29</v>
      </c>
      <c r="C150" s="112"/>
      <c r="D150" s="112">
        <v>0</v>
      </c>
      <c r="E150" s="112">
        <v>0</v>
      </c>
      <c r="F150" s="112">
        <v>0</v>
      </c>
      <c r="G150" s="112">
        <v>0</v>
      </c>
      <c r="H150" s="112">
        <v>0</v>
      </c>
      <c r="I150" s="112">
        <v>0</v>
      </c>
      <c r="J150" s="112">
        <v>0</v>
      </c>
      <c r="K150" s="112">
        <v>0</v>
      </c>
      <c r="L150" s="112">
        <v>0</v>
      </c>
      <c r="M150" s="112">
        <v>0</v>
      </c>
      <c r="N150" s="112">
        <v>0</v>
      </c>
      <c r="O150" s="112">
        <v>0</v>
      </c>
      <c r="P150" s="112">
        <v>0</v>
      </c>
      <c r="Q150" s="112">
        <v>0</v>
      </c>
      <c r="R150" s="112">
        <v>0</v>
      </c>
      <c r="S150" s="112">
        <v>0</v>
      </c>
      <c r="T150" s="112">
        <v>0</v>
      </c>
      <c r="U150" s="112">
        <v>0</v>
      </c>
      <c r="V150" s="112">
        <v>0</v>
      </c>
      <c r="W150" s="112">
        <v>0</v>
      </c>
      <c r="X150" s="112">
        <v>0</v>
      </c>
      <c r="Y150" s="112">
        <v>0</v>
      </c>
      <c r="Z150" s="112">
        <v>0</v>
      </c>
      <c r="AA150" s="112">
        <v>0</v>
      </c>
      <c r="AB150" s="112">
        <v>0</v>
      </c>
      <c r="AC150" s="112">
        <v>0</v>
      </c>
      <c r="AD150" s="112">
        <v>0</v>
      </c>
      <c r="AE150" s="112">
        <v>0</v>
      </c>
      <c r="AF150" s="112">
        <v>0</v>
      </c>
      <c r="AG150" s="112">
        <v>0</v>
      </c>
      <c r="AH150" s="112">
        <v>0</v>
      </c>
      <c r="AI150" s="112">
        <v>0</v>
      </c>
      <c r="AJ150" s="112">
        <v>0</v>
      </c>
      <c r="AK150" s="112">
        <v>0</v>
      </c>
      <c r="AL150" s="112">
        <v>0</v>
      </c>
      <c r="AM150" s="112">
        <v>0</v>
      </c>
      <c r="AN150" s="112">
        <v>0</v>
      </c>
      <c r="AO150" s="112">
        <v>0</v>
      </c>
      <c r="AP150" s="112">
        <v>0</v>
      </c>
      <c r="AQ150" s="112">
        <v>0</v>
      </c>
      <c r="AR150" s="112">
        <v>0</v>
      </c>
      <c r="AS150" s="112">
        <v>0</v>
      </c>
      <c r="AT150" s="112">
        <v>0</v>
      </c>
      <c r="AU150" s="112">
        <v>0</v>
      </c>
      <c r="AV150" s="112">
        <v>0</v>
      </c>
      <c r="AW150" s="112">
        <v>0</v>
      </c>
      <c r="AX150" s="112">
        <v>0</v>
      </c>
      <c r="AY150" s="112">
        <v>0</v>
      </c>
    </row>
    <row r="151" spans="1:51" x14ac:dyDescent="0.2">
      <c r="A151" s="115"/>
      <c r="B151" s="133">
        <v>30</v>
      </c>
      <c r="C151" s="112"/>
      <c r="D151" s="112">
        <v>0</v>
      </c>
      <c r="E151" s="112">
        <v>0</v>
      </c>
      <c r="F151" s="112">
        <v>0</v>
      </c>
      <c r="G151" s="112">
        <v>0</v>
      </c>
      <c r="H151" s="112">
        <v>0</v>
      </c>
      <c r="I151" s="112">
        <v>0</v>
      </c>
      <c r="J151" s="112">
        <v>0</v>
      </c>
      <c r="K151" s="112">
        <v>0</v>
      </c>
      <c r="L151" s="112">
        <v>0</v>
      </c>
      <c r="M151" s="112">
        <v>0</v>
      </c>
      <c r="N151" s="112">
        <v>0</v>
      </c>
      <c r="O151" s="112">
        <v>0</v>
      </c>
      <c r="P151" s="112">
        <v>0</v>
      </c>
      <c r="Q151" s="112">
        <v>0</v>
      </c>
      <c r="R151" s="112">
        <v>0</v>
      </c>
      <c r="S151" s="112">
        <v>0</v>
      </c>
      <c r="T151" s="112">
        <v>0</v>
      </c>
      <c r="U151" s="112">
        <v>0</v>
      </c>
      <c r="V151" s="112">
        <v>0</v>
      </c>
      <c r="W151" s="112">
        <v>0</v>
      </c>
      <c r="X151" s="112">
        <v>0</v>
      </c>
      <c r="Y151" s="112">
        <v>0</v>
      </c>
      <c r="Z151" s="112">
        <v>0</v>
      </c>
      <c r="AA151" s="112">
        <v>0</v>
      </c>
      <c r="AB151" s="112">
        <v>0</v>
      </c>
      <c r="AC151" s="112">
        <v>0</v>
      </c>
      <c r="AD151" s="112">
        <v>0</v>
      </c>
      <c r="AE151" s="112">
        <v>0</v>
      </c>
      <c r="AF151" s="112">
        <v>0</v>
      </c>
      <c r="AG151" s="112">
        <v>0</v>
      </c>
      <c r="AH151" s="112">
        <v>0</v>
      </c>
      <c r="AI151" s="112">
        <v>0</v>
      </c>
      <c r="AJ151" s="112">
        <v>0</v>
      </c>
      <c r="AK151" s="112">
        <v>0</v>
      </c>
      <c r="AL151" s="112">
        <v>0</v>
      </c>
      <c r="AM151" s="112">
        <v>0</v>
      </c>
      <c r="AN151" s="112">
        <v>0</v>
      </c>
      <c r="AO151" s="112">
        <v>0</v>
      </c>
      <c r="AP151" s="112">
        <v>0</v>
      </c>
      <c r="AQ151" s="112">
        <v>0</v>
      </c>
      <c r="AR151" s="112">
        <v>0</v>
      </c>
      <c r="AS151" s="112">
        <v>0</v>
      </c>
      <c r="AT151" s="112">
        <v>0</v>
      </c>
      <c r="AU151" s="112">
        <v>0</v>
      </c>
      <c r="AV151" s="112">
        <v>0</v>
      </c>
      <c r="AW151" s="112">
        <v>0</v>
      </c>
      <c r="AX151" s="112">
        <v>0</v>
      </c>
      <c r="AY151" s="112">
        <v>0</v>
      </c>
    </row>
    <row r="152" spans="1:51" x14ac:dyDescent="0.2">
      <c r="A152" s="115"/>
      <c r="B152" s="133">
        <v>31</v>
      </c>
      <c r="C152" s="112"/>
      <c r="D152" s="112">
        <v>0</v>
      </c>
      <c r="E152" s="112">
        <v>0</v>
      </c>
      <c r="F152" s="112">
        <v>0</v>
      </c>
      <c r="G152" s="112">
        <v>0</v>
      </c>
      <c r="H152" s="112">
        <v>0</v>
      </c>
      <c r="I152" s="112">
        <v>0</v>
      </c>
      <c r="J152" s="112">
        <v>0</v>
      </c>
      <c r="K152" s="112">
        <v>0</v>
      </c>
      <c r="L152" s="112">
        <v>0</v>
      </c>
      <c r="M152" s="112">
        <v>0</v>
      </c>
      <c r="N152" s="112">
        <v>0</v>
      </c>
      <c r="O152" s="112">
        <v>0</v>
      </c>
      <c r="P152" s="112">
        <v>0</v>
      </c>
      <c r="Q152" s="112">
        <v>0</v>
      </c>
      <c r="R152" s="112">
        <v>0</v>
      </c>
      <c r="S152" s="112">
        <v>0</v>
      </c>
      <c r="T152" s="112">
        <v>0</v>
      </c>
      <c r="U152" s="112">
        <v>0</v>
      </c>
      <c r="V152" s="112">
        <v>0</v>
      </c>
      <c r="W152" s="112">
        <v>0</v>
      </c>
      <c r="X152" s="112">
        <v>0</v>
      </c>
      <c r="Y152" s="112">
        <v>0</v>
      </c>
      <c r="Z152" s="112">
        <v>0</v>
      </c>
      <c r="AA152" s="112">
        <v>0</v>
      </c>
      <c r="AB152" s="112">
        <v>0</v>
      </c>
      <c r="AC152" s="112">
        <v>0</v>
      </c>
      <c r="AD152" s="112">
        <v>0</v>
      </c>
      <c r="AE152" s="112">
        <v>0</v>
      </c>
      <c r="AF152" s="112">
        <v>0</v>
      </c>
      <c r="AG152" s="112">
        <v>0</v>
      </c>
      <c r="AH152" s="112">
        <v>0</v>
      </c>
      <c r="AI152" s="112">
        <v>0</v>
      </c>
      <c r="AJ152" s="112">
        <v>0</v>
      </c>
      <c r="AK152" s="112">
        <v>0</v>
      </c>
      <c r="AL152" s="112">
        <v>0</v>
      </c>
      <c r="AM152" s="112">
        <v>0</v>
      </c>
      <c r="AN152" s="112">
        <v>0</v>
      </c>
      <c r="AO152" s="112">
        <v>0</v>
      </c>
      <c r="AP152" s="112">
        <v>0</v>
      </c>
      <c r="AQ152" s="112">
        <v>0</v>
      </c>
      <c r="AR152" s="112">
        <v>0</v>
      </c>
      <c r="AS152" s="112">
        <v>0</v>
      </c>
      <c r="AT152" s="112">
        <v>0</v>
      </c>
      <c r="AU152" s="112">
        <v>0</v>
      </c>
      <c r="AV152" s="112">
        <v>0</v>
      </c>
      <c r="AW152" s="112">
        <v>0</v>
      </c>
      <c r="AX152" s="112">
        <v>0</v>
      </c>
      <c r="AY152" s="112">
        <v>0</v>
      </c>
    </row>
    <row r="153" spans="1:51" x14ac:dyDescent="0.2">
      <c r="A153" s="115"/>
      <c r="B153" s="133">
        <v>32</v>
      </c>
      <c r="C153" s="112"/>
      <c r="D153" s="112">
        <v>0</v>
      </c>
      <c r="E153" s="112">
        <v>0</v>
      </c>
      <c r="F153" s="112">
        <v>0</v>
      </c>
      <c r="G153" s="112">
        <v>0</v>
      </c>
      <c r="H153" s="112">
        <v>0</v>
      </c>
      <c r="I153" s="112">
        <v>0</v>
      </c>
      <c r="J153" s="112">
        <v>0</v>
      </c>
      <c r="K153" s="112">
        <v>0</v>
      </c>
      <c r="L153" s="112">
        <v>0</v>
      </c>
      <c r="M153" s="112">
        <v>0</v>
      </c>
      <c r="N153" s="112">
        <v>0</v>
      </c>
      <c r="O153" s="112">
        <v>0</v>
      </c>
      <c r="P153" s="112">
        <v>0</v>
      </c>
      <c r="Q153" s="112">
        <v>0</v>
      </c>
      <c r="R153" s="112">
        <v>0</v>
      </c>
      <c r="S153" s="112">
        <v>0</v>
      </c>
      <c r="T153" s="112">
        <v>0</v>
      </c>
      <c r="U153" s="112">
        <v>0</v>
      </c>
      <c r="V153" s="112">
        <v>0</v>
      </c>
      <c r="W153" s="112">
        <v>0</v>
      </c>
      <c r="X153" s="112">
        <v>0</v>
      </c>
      <c r="Y153" s="112">
        <v>0</v>
      </c>
      <c r="Z153" s="112">
        <v>0</v>
      </c>
      <c r="AA153" s="112">
        <v>0</v>
      </c>
      <c r="AB153" s="112">
        <v>0</v>
      </c>
      <c r="AC153" s="112">
        <v>0</v>
      </c>
      <c r="AD153" s="112">
        <v>0</v>
      </c>
      <c r="AE153" s="112">
        <v>0</v>
      </c>
      <c r="AF153" s="112">
        <v>0</v>
      </c>
      <c r="AG153" s="112">
        <v>0</v>
      </c>
      <c r="AH153" s="112">
        <v>0</v>
      </c>
      <c r="AI153" s="112">
        <v>0</v>
      </c>
      <c r="AJ153" s="112">
        <v>0</v>
      </c>
      <c r="AK153" s="112">
        <v>0</v>
      </c>
      <c r="AL153" s="112">
        <v>0</v>
      </c>
      <c r="AM153" s="112">
        <v>0</v>
      </c>
      <c r="AN153" s="112">
        <v>0</v>
      </c>
      <c r="AO153" s="112">
        <v>0</v>
      </c>
      <c r="AP153" s="112">
        <v>0</v>
      </c>
      <c r="AQ153" s="112">
        <v>0</v>
      </c>
      <c r="AR153" s="112">
        <v>0</v>
      </c>
      <c r="AS153" s="112">
        <v>0</v>
      </c>
      <c r="AT153" s="112">
        <v>0</v>
      </c>
      <c r="AU153" s="112">
        <v>0</v>
      </c>
      <c r="AV153" s="112">
        <v>0</v>
      </c>
      <c r="AW153" s="112">
        <v>0</v>
      </c>
      <c r="AX153" s="112">
        <v>0</v>
      </c>
      <c r="AY153" s="112">
        <v>0</v>
      </c>
    </row>
    <row r="154" spans="1:51" x14ac:dyDescent="0.2">
      <c r="A154" s="115"/>
      <c r="B154" s="133">
        <v>33</v>
      </c>
      <c r="C154" s="112"/>
      <c r="D154" s="112">
        <v>0</v>
      </c>
      <c r="E154" s="112">
        <v>0</v>
      </c>
      <c r="F154" s="112">
        <v>0</v>
      </c>
      <c r="G154" s="112">
        <v>0</v>
      </c>
      <c r="H154" s="112">
        <v>0</v>
      </c>
      <c r="I154" s="112">
        <v>0</v>
      </c>
      <c r="J154" s="112">
        <v>0</v>
      </c>
      <c r="K154" s="112">
        <v>0</v>
      </c>
      <c r="L154" s="112">
        <v>0</v>
      </c>
      <c r="M154" s="112">
        <v>0</v>
      </c>
      <c r="N154" s="112">
        <v>0</v>
      </c>
      <c r="O154" s="112">
        <v>0</v>
      </c>
      <c r="P154" s="112">
        <v>0</v>
      </c>
      <c r="Q154" s="112">
        <v>0</v>
      </c>
      <c r="R154" s="112">
        <v>0</v>
      </c>
      <c r="S154" s="112">
        <v>0</v>
      </c>
      <c r="T154" s="112">
        <v>0</v>
      </c>
      <c r="U154" s="112">
        <v>0</v>
      </c>
      <c r="V154" s="112">
        <v>0</v>
      </c>
      <c r="W154" s="112">
        <v>0</v>
      </c>
      <c r="X154" s="112">
        <v>0</v>
      </c>
      <c r="Y154" s="112">
        <v>0</v>
      </c>
      <c r="Z154" s="112">
        <v>0</v>
      </c>
      <c r="AA154" s="112">
        <v>0</v>
      </c>
      <c r="AB154" s="112">
        <v>0</v>
      </c>
      <c r="AC154" s="112">
        <v>0</v>
      </c>
      <c r="AD154" s="112">
        <v>0</v>
      </c>
      <c r="AE154" s="112">
        <v>0</v>
      </c>
      <c r="AF154" s="112">
        <v>0</v>
      </c>
      <c r="AG154" s="112">
        <v>0</v>
      </c>
      <c r="AH154" s="112">
        <v>0</v>
      </c>
      <c r="AI154" s="112">
        <v>0</v>
      </c>
      <c r="AJ154" s="112">
        <v>0</v>
      </c>
      <c r="AK154" s="112">
        <v>0</v>
      </c>
      <c r="AL154" s="112">
        <v>0</v>
      </c>
      <c r="AM154" s="112">
        <v>0</v>
      </c>
      <c r="AN154" s="112">
        <v>0</v>
      </c>
      <c r="AO154" s="112">
        <v>0</v>
      </c>
      <c r="AP154" s="112">
        <v>0</v>
      </c>
      <c r="AQ154" s="112">
        <v>0</v>
      </c>
      <c r="AR154" s="112">
        <v>0</v>
      </c>
      <c r="AS154" s="112">
        <v>0</v>
      </c>
      <c r="AT154" s="112">
        <v>0</v>
      </c>
      <c r="AU154" s="112">
        <v>0</v>
      </c>
      <c r="AV154" s="112">
        <v>0</v>
      </c>
      <c r="AW154" s="112">
        <v>0</v>
      </c>
      <c r="AX154" s="112">
        <v>0</v>
      </c>
      <c r="AY154" s="112">
        <v>0</v>
      </c>
    </row>
    <row r="155" spans="1:51" x14ac:dyDescent="0.2">
      <c r="A155" s="115"/>
      <c r="B155" s="133">
        <v>34</v>
      </c>
      <c r="C155" s="112"/>
      <c r="D155" s="112">
        <v>0</v>
      </c>
      <c r="E155" s="112">
        <v>0</v>
      </c>
      <c r="F155" s="112">
        <v>0</v>
      </c>
      <c r="G155" s="112">
        <v>0</v>
      </c>
      <c r="H155" s="112">
        <v>0</v>
      </c>
      <c r="I155" s="112">
        <v>0</v>
      </c>
      <c r="J155" s="112">
        <v>0</v>
      </c>
      <c r="K155" s="112">
        <v>0</v>
      </c>
      <c r="L155" s="112">
        <v>0</v>
      </c>
      <c r="M155" s="112">
        <v>0</v>
      </c>
      <c r="N155" s="112">
        <v>0</v>
      </c>
      <c r="O155" s="112">
        <v>0</v>
      </c>
      <c r="P155" s="112">
        <v>0</v>
      </c>
      <c r="Q155" s="112">
        <v>0</v>
      </c>
      <c r="R155" s="112">
        <v>0</v>
      </c>
      <c r="S155" s="112">
        <v>0</v>
      </c>
      <c r="T155" s="112">
        <v>0</v>
      </c>
      <c r="U155" s="112">
        <v>0</v>
      </c>
      <c r="V155" s="112">
        <v>0</v>
      </c>
      <c r="W155" s="112">
        <v>0</v>
      </c>
      <c r="X155" s="112">
        <v>0</v>
      </c>
      <c r="Y155" s="112">
        <v>0</v>
      </c>
      <c r="Z155" s="112">
        <v>0</v>
      </c>
      <c r="AA155" s="112">
        <v>0</v>
      </c>
      <c r="AB155" s="112">
        <v>0</v>
      </c>
      <c r="AC155" s="112">
        <v>0</v>
      </c>
      <c r="AD155" s="112">
        <v>0</v>
      </c>
      <c r="AE155" s="112">
        <v>0</v>
      </c>
      <c r="AF155" s="112">
        <v>0</v>
      </c>
      <c r="AG155" s="112">
        <v>0</v>
      </c>
      <c r="AH155" s="112">
        <v>0</v>
      </c>
      <c r="AI155" s="112">
        <v>0</v>
      </c>
      <c r="AJ155" s="112">
        <v>0</v>
      </c>
      <c r="AK155" s="112">
        <v>0</v>
      </c>
      <c r="AL155" s="112">
        <v>0</v>
      </c>
      <c r="AM155" s="112">
        <v>0</v>
      </c>
      <c r="AN155" s="112">
        <v>0</v>
      </c>
      <c r="AO155" s="112">
        <v>0</v>
      </c>
      <c r="AP155" s="112">
        <v>0</v>
      </c>
      <c r="AQ155" s="112">
        <v>0</v>
      </c>
      <c r="AR155" s="112">
        <v>0</v>
      </c>
      <c r="AS155" s="112">
        <v>0</v>
      </c>
      <c r="AT155" s="112">
        <v>0</v>
      </c>
      <c r="AU155" s="112">
        <v>0</v>
      </c>
      <c r="AV155" s="112">
        <v>0</v>
      </c>
      <c r="AW155" s="112">
        <v>0</v>
      </c>
      <c r="AX155" s="112">
        <v>0</v>
      </c>
      <c r="AY155" s="112">
        <v>0</v>
      </c>
    </row>
    <row r="156" spans="1:51" x14ac:dyDescent="0.2">
      <c r="A156" s="115"/>
      <c r="B156" s="133">
        <v>35</v>
      </c>
      <c r="C156" s="112"/>
      <c r="D156" s="112">
        <v>0</v>
      </c>
      <c r="E156" s="112">
        <v>0</v>
      </c>
      <c r="F156" s="112">
        <v>0</v>
      </c>
      <c r="G156" s="112">
        <v>0</v>
      </c>
      <c r="H156" s="112">
        <v>0</v>
      </c>
      <c r="I156" s="112">
        <v>0</v>
      </c>
      <c r="J156" s="112">
        <v>0</v>
      </c>
      <c r="K156" s="112">
        <v>0</v>
      </c>
      <c r="L156" s="112">
        <v>0</v>
      </c>
      <c r="M156" s="112">
        <v>0</v>
      </c>
      <c r="N156" s="112">
        <v>0</v>
      </c>
      <c r="O156" s="112">
        <v>0</v>
      </c>
      <c r="P156" s="112">
        <v>0</v>
      </c>
      <c r="Q156" s="112">
        <v>0</v>
      </c>
      <c r="R156" s="112">
        <v>0</v>
      </c>
      <c r="S156" s="112">
        <v>0</v>
      </c>
      <c r="T156" s="112">
        <v>0</v>
      </c>
      <c r="U156" s="112">
        <v>0</v>
      </c>
      <c r="V156" s="112">
        <v>0</v>
      </c>
      <c r="W156" s="112">
        <v>0</v>
      </c>
      <c r="X156" s="112">
        <v>0</v>
      </c>
      <c r="Y156" s="112">
        <v>0</v>
      </c>
      <c r="Z156" s="112">
        <v>0</v>
      </c>
      <c r="AA156" s="112">
        <v>0</v>
      </c>
      <c r="AB156" s="112">
        <v>0</v>
      </c>
      <c r="AC156" s="112">
        <v>0</v>
      </c>
      <c r="AD156" s="112">
        <v>0</v>
      </c>
      <c r="AE156" s="112">
        <v>0</v>
      </c>
      <c r="AF156" s="112">
        <v>0</v>
      </c>
      <c r="AG156" s="112">
        <v>0</v>
      </c>
      <c r="AH156" s="112">
        <v>0</v>
      </c>
      <c r="AI156" s="112">
        <v>0</v>
      </c>
      <c r="AJ156" s="112">
        <v>0</v>
      </c>
      <c r="AK156" s="112">
        <v>0</v>
      </c>
      <c r="AL156" s="112">
        <v>0</v>
      </c>
      <c r="AM156" s="112">
        <v>0</v>
      </c>
      <c r="AN156" s="112">
        <v>0</v>
      </c>
      <c r="AO156" s="112">
        <v>0</v>
      </c>
      <c r="AP156" s="112">
        <v>0</v>
      </c>
      <c r="AQ156" s="112">
        <v>0</v>
      </c>
      <c r="AR156" s="112">
        <v>0</v>
      </c>
      <c r="AS156" s="112">
        <v>0</v>
      </c>
      <c r="AT156" s="112">
        <v>0</v>
      </c>
      <c r="AU156" s="112">
        <v>0</v>
      </c>
      <c r="AV156" s="112">
        <v>0</v>
      </c>
      <c r="AW156" s="112">
        <v>0</v>
      </c>
      <c r="AX156" s="112">
        <v>0</v>
      </c>
      <c r="AY156" s="112">
        <v>0</v>
      </c>
    </row>
    <row r="157" spans="1:51" x14ac:dyDescent="0.2">
      <c r="A157" s="115"/>
      <c r="B157" s="133">
        <v>36</v>
      </c>
      <c r="C157" s="112"/>
      <c r="D157" s="112">
        <v>0</v>
      </c>
      <c r="E157" s="112">
        <v>0</v>
      </c>
      <c r="F157" s="112">
        <v>0</v>
      </c>
      <c r="G157" s="112">
        <v>0</v>
      </c>
      <c r="H157" s="112">
        <v>0</v>
      </c>
      <c r="I157" s="112">
        <v>0</v>
      </c>
      <c r="J157" s="112">
        <v>0</v>
      </c>
      <c r="K157" s="112">
        <v>0</v>
      </c>
      <c r="L157" s="112">
        <v>0</v>
      </c>
      <c r="M157" s="112">
        <v>0</v>
      </c>
      <c r="N157" s="112">
        <v>0</v>
      </c>
      <c r="O157" s="112">
        <v>0</v>
      </c>
      <c r="P157" s="112">
        <v>0</v>
      </c>
      <c r="Q157" s="112">
        <v>0</v>
      </c>
      <c r="R157" s="112">
        <v>0</v>
      </c>
      <c r="S157" s="112">
        <v>0</v>
      </c>
      <c r="T157" s="112">
        <v>0</v>
      </c>
      <c r="U157" s="112">
        <v>0</v>
      </c>
      <c r="V157" s="112">
        <v>0</v>
      </c>
      <c r="W157" s="112">
        <v>0</v>
      </c>
      <c r="X157" s="112">
        <v>0</v>
      </c>
      <c r="Y157" s="112">
        <v>0</v>
      </c>
      <c r="Z157" s="112">
        <v>0</v>
      </c>
      <c r="AA157" s="112">
        <v>0</v>
      </c>
      <c r="AB157" s="112">
        <v>0</v>
      </c>
      <c r="AC157" s="112">
        <v>0</v>
      </c>
      <c r="AD157" s="112">
        <v>0</v>
      </c>
      <c r="AE157" s="112">
        <v>0</v>
      </c>
      <c r="AF157" s="112">
        <v>0</v>
      </c>
      <c r="AG157" s="112">
        <v>0</v>
      </c>
      <c r="AH157" s="112">
        <v>0</v>
      </c>
      <c r="AI157" s="112">
        <v>0</v>
      </c>
      <c r="AJ157" s="112">
        <v>0</v>
      </c>
      <c r="AK157" s="112">
        <v>0</v>
      </c>
      <c r="AL157" s="112">
        <v>0</v>
      </c>
      <c r="AM157" s="112">
        <v>0</v>
      </c>
      <c r="AN157" s="112">
        <v>0</v>
      </c>
      <c r="AO157" s="112">
        <v>0</v>
      </c>
      <c r="AP157" s="112">
        <v>0</v>
      </c>
      <c r="AQ157" s="112">
        <v>0</v>
      </c>
      <c r="AR157" s="112">
        <v>0</v>
      </c>
      <c r="AS157" s="112">
        <v>0</v>
      </c>
      <c r="AT157" s="112">
        <v>0</v>
      </c>
      <c r="AU157" s="112">
        <v>0</v>
      </c>
      <c r="AV157" s="112">
        <v>0</v>
      </c>
      <c r="AW157" s="112">
        <v>0</v>
      </c>
      <c r="AX157" s="112">
        <v>0</v>
      </c>
      <c r="AY157" s="112">
        <v>0</v>
      </c>
    </row>
    <row r="158" spans="1:51" x14ac:dyDescent="0.2">
      <c r="A158" s="115"/>
      <c r="B158" s="136">
        <v>37</v>
      </c>
      <c r="C158" s="112"/>
      <c r="D158" s="112">
        <v>0</v>
      </c>
      <c r="E158" s="112">
        <v>0</v>
      </c>
      <c r="F158" s="112">
        <v>0</v>
      </c>
      <c r="G158" s="112">
        <v>0</v>
      </c>
      <c r="H158" s="112">
        <v>0</v>
      </c>
      <c r="I158" s="112">
        <v>0</v>
      </c>
      <c r="J158" s="112">
        <v>0</v>
      </c>
      <c r="K158" s="112">
        <v>0</v>
      </c>
      <c r="L158" s="112">
        <v>0</v>
      </c>
      <c r="M158" s="112">
        <v>0</v>
      </c>
      <c r="N158" s="112">
        <v>0</v>
      </c>
      <c r="O158" s="112">
        <v>0</v>
      </c>
      <c r="P158" s="112">
        <v>0</v>
      </c>
      <c r="Q158" s="112">
        <v>0</v>
      </c>
      <c r="R158" s="112">
        <v>0</v>
      </c>
      <c r="S158" s="112">
        <v>0</v>
      </c>
      <c r="T158" s="112">
        <v>0</v>
      </c>
      <c r="U158" s="112">
        <v>0</v>
      </c>
      <c r="V158" s="112">
        <v>0</v>
      </c>
      <c r="W158" s="112">
        <v>0</v>
      </c>
      <c r="X158" s="112">
        <v>0</v>
      </c>
      <c r="Y158" s="112">
        <v>0</v>
      </c>
      <c r="Z158" s="112">
        <v>0</v>
      </c>
      <c r="AA158" s="112">
        <v>0</v>
      </c>
      <c r="AB158" s="112">
        <v>0</v>
      </c>
      <c r="AC158" s="112">
        <v>0</v>
      </c>
      <c r="AD158" s="112">
        <v>0</v>
      </c>
      <c r="AE158" s="112">
        <v>0</v>
      </c>
      <c r="AF158" s="112">
        <v>0</v>
      </c>
      <c r="AG158" s="112">
        <v>0</v>
      </c>
      <c r="AH158" s="112">
        <v>0</v>
      </c>
      <c r="AI158" s="112">
        <v>0</v>
      </c>
      <c r="AJ158" s="112">
        <v>0</v>
      </c>
      <c r="AK158" s="112">
        <v>0</v>
      </c>
      <c r="AL158" s="112">
        <v>0</v>
      </c>
      <c r="AM158" s="112">
        <v>0</v>
      </c>
      <c r="AN158" s="112">
        <v>0</v>
      </c>
      <c r="AO158" s="112">
        <v>0</v>
      </c>
      <c r="AP158" s="112">
        <v>0</v>
      </c>
      <c r="AQ158" s="112">
        <v>0</v>
      </c>
      <c r="AR158" s="112">
        <v>0</v>
      </c>
      <c r="AS158" s="112">
        <v>0</v>
      </c>
      <c r="AT158" s="112">
        <v>0</v>
      </c>
      <c r="AU158" s="112">
        <v>0</v>
      </c>
      <c r="AV158" s="112">
        <v>0</v>
      </c>
      <c r="AW158" s="112">
        <v>0</v>
      </c>
      <c r="AX158" s="112">
        <v>0</v>
      </c>
      <c r="AY158" s="112">
        <v>0</v>
      </c>
    </row>
    <row r="159" spans="1:51" x14ac:dyDescent="0.2">
      <c r="A159" s="115"/>
      <c r="B159" s="136">
        <v>38</v>
      </c>
      <c r="C159" s="112"/>
      <c r="D159" s="112">
        <v>0</v>
      </c>
      <c r="E159" s="112">
        <v>0</v>
      </c>
      <c r="F159" s="112">
        <v>0</v>
      </c>
      <c r="G159" s="112">
        <v>0</v>
      </c>
      <c r="H159" s="112">
        <v>0</v>
      </c>
      <c r="I159" s="112">
        <v>0</v>
      </c>
      <c r="J159" s="112">
        <v>0</v>
      </c>
      <c r="K159" s="112">
        <v>0</v>
      </c>
      <c r="L159" s="112">
        <v>0</v>
      </c>
      <c r="M159" s="112">
        <v>0</v>
      </c>
      <c r="N159" s="112">
        <v>0</v>
      </c>
      <c r="O159" s="112">
        <v>0</v>
      </c>
      <c r="P159" s="112">
        <v>0</v>
      </c>
      <c r="Q159" s="112">
        <v>0</v>
      </c>
      <c r="R159" s="112">
        <v>0</v>
      </c>
      <c r="S159" s="112">
        <v>0</v>
      </c>
      <c r="T159" s="112">
        <v>0</v>
      </c>
      <c r="U159" s="112">
        <v>0</v>
      </c>
      <c r="V159" s="112">
        <v>0</v>
      </c>
      <c r="W159" s="112">
        <v>0</v>
      </c>
      <c r="X159" s="112">
        <v>0</v>
      </c>
      <c r="Y159" s="112">
        <v>0</v>
      </c>
      <c r="Z159" s="112">
        <v>0</v>
      </c>
      <c r="AA159" s="112">
        <v>0</v>
      </c>
      <c r="AB159" s="112">
        <v>0</v>
      </c>
      <c r="AC159" s="112">
        <v>0</v>
      </c>
      <c r="AD159" s="112">
        <v>0</v>
      </c>
      <c r="AE159" s="112">
        <v>0</v>
      </c>
      <c r="AF159" s="112">
        <v>0</v>
      </c>
      <c r="AG159" s="112">
        <v>0</v>
      </c>
      <c r="AH159" s="112">
        <v>0</v>
      </c>
      <c r="AI159" s="112">
        <v>0</v>
      </c>
      <c r="AJ159" s="112">
        <v>0</v>
      </c>
      <c r="AK159" s="112">
        <v>0</v>
      </c>
      <c r="AL159" s="112">
        <v>0</v>
      </c>
      <c r="AM159" s="112">
        <v>0</v>
      </c>
      <c r="AN159" s="112">
        <v>0</v>
      </c>
      <c r="AO159" s="112">
        <v>0</v>
      </c>
      <c r="AP159" s="112">
        <v>0</v>
      </c>
      <c r="AQ159" s="112">
        <v>0</v>
      </c>
      <c r="AR159" s="112">
        <v>0</v>
      </c>
      <c r="AS159" s="112">
        <v>0</v>
      </c>
      <c r="AT159" s="112">
        <v>0</v>
      </c>
      <c r="AU159" s="112">
        <v>0</v>
      </c>
      <c r="AV159" s="112">
        <v>0</v>
      </c>
      <c r="AW159" s="112">
        <v>0</v>
      </c>
      <c r="AX159" s="112">
        <v>0</v>
      </c>
      <c r="AY159" s="112">
        <v>0</v>
      </c>
    </row>
    <row r="160" spans="1:51" x14ac:dyDescent="0.2">
      <c r="A160" s="115"/>
      <c r="B160" s="136">
        <v>39</v>
      </c>
      <c r="C160" s="112"/>
      <c r="D160" s="112">
        <v>0</v>
      </c>
      <c r="E160" s="112">
        <v>0</v>
      </c>
      <c r="F160" s="112">
        <v>0</v>
      </c>
      <c r="G160" s="112">
        <v>0</v>
      </c>
      <c r="H160" s="112">
        <v>0</v>
      </c>
      <c r="I160" s="112">
        <v>0</v>
      </c>
      <c r="J160" s="112">
        <v>0</v>
      </c>
      <c r="K160" s="112">
        <v>0</v>
      </c>
      <c r="L160" s="112">
        <v>0</v>
      </c>
      <c r="M160" s="112">
        <v>0</v>
      </c>
      <c r="N160" s="112">
        <v>0</v>
      </c>
      <c r="O160" s="112">
        <v>0</v>
      </c>
      <c r="P160" s="112">
        <v>0</v>
      </c>
      <c r="Q160" s="112">
        <v>0</v>
      </c>
      <c r="R160" s="112">
        <v>0</v>
      </c>
      <c r="S160" s="112">
        <v>0</v>
      </c>
      <c r="T160" s="112">
        <v>0</v>
      </c>
      <c r="U160" s="112">
        <v>0</v>
      </c>
      <c r="V160" s="112">
        <v>0</v>
      </c>
      <c r="W160" s="112">
        <v>0</v>
      </c>
      <c r="X160" s="112">
        <v>0</v>
      </c>
      <c r="Y160" s="112">
        <v>0</v>
      </c>
      <c r="Z160" s="112">
        <v>0</v>
      </c>
      <c r="AA160" s="112">
        <v>0</v>
      </c>
      <c r="AB160" s="112">
        <v>0</v>
      </c>
      <c r="AC160" s="112">
        <v>0</v>
      </c>
      <c r="AD160" s="112">
        <v>0</v>
      </c>
      <c r="AE160" s="112">
        <v>0</v>
      </c>
      <c r="AF160" s="112">
        <v>0</v>
      </c>
      <c r="AG160" s="112">
        <v>0</v>
      </c>
      <c r="AH160" s="112">
        <v>0</v>
      </c>
      <c r="AI160" s="112">
        <v>0</v>
      </c>
      <c r="AJ160" s="112">
        <v>0</v>
      </c>
      <c r="AK160" s="112">
        <v>0</v>
      </c>
      <c r="AL160" s="112">
        <v>0</v>
      </c>
      <c r="AM160" s="112">
        <v>0</v>
      </c>
      <c r="AN160" s="112">
        <v>0</v>
      </c>
      <c r="AO160" s="112">
        <v>0</v>
      </c>
      <c r="AP160" s="112">
        <v>0</v>
      </c>
      <c r="AQ160" s="112">
        <v>0</v>
      </c>
      <c r="AR160" s="112">
        <v>0</v>
      </c>
      <c r="AS160" s="112">
        <v>0</v>
      </c>
      <c r="AT160" s="112">
        <v>0</v>
      </c>
      <c r="AU160" s="112">
        <v>0</v>
      </c>
      <c r="AV160" s="112">
        <v>0</v>
      </c>
      <c r="AW160" s="112">
        <v>0</v>
      </c>
      <c r="AX160" s="112">
        <v>0</v>
      </c>
      <c r="AY160" s="112">
        <v>0</v>
      </c>
    </row>
    <row r="161" spans="1:52" x14ac:dyDescent="0.2">
      <c r="A161" s="115"/>
      <c r="B161" s="136">
        <v>40</v>
      </c>
      <c r="C161" s="112"/>
      <c r="D161" s="112">
        <v>0</v>
      </c>
      <c r="E161" s="112">
        <v>0</v>
      </c>
      <c r="F161" s="112">
        <v>0</v>
      </c>
      <c r="G161" s="112">
        <v>0</v>
      </c>
      <c r="H161" s="112">
        <v>0</v>
      </c>
      <c r="I161" s="112">
        <v>0</v>
      </c>
      <c r="J161" s="112">
        <v>0</v>
      </c>
      <c r="K161" s="112">
        <v>0</v>
      </c>
      <c r="L161" s="112">
        <v>0</v>
      </c>
      <c r="M161" s="112">
        <v>0</v>
      </c>
      <c r="N161" s="112">
        <v>0</v>
      </c>
      <c r="O161" s="112">
        <v>0</v>
      </c>
      <c r="P161" s="112">
        <v>0</v>
      </c>
      <c r="Q161" s="112">
        <v>0</v>
      </c>
      <c r="R161" s="112">
        <v>0</v>
      </c>
      <c r="S161" s="112">
        <v>0</v>
      </c>
      <c r="T161" s="112">
        <v>0</v>
      </c>
      <c r="U161" s="112">
        <v>0</v>
      </c>
      <c r="V161" s="112">
        <v>0</v>
      </c>
      <c r="W161" s="112">
        <v>0</v>
      </c>
      <c r="X161" s="112">
        <v>0</v>
      </c>
      <c r="Y161" s="112">
        <v>0</v>
      </c>
      <c r="Z161" s="112">
        <v>0</v>
      </c>
      <c r="AA161" s="112">
        <v>0</v>
      </c>
      <c r="AB161" s="112">
        <v>0</v>
      </c>
      <c r="AC161" s="112">
        <v>0</v>
      </c>
      <c r="AD161" s="112">
        <v>0</v>
      </c>
      <c r="AE161" s="112">
        <v>0</v>
      </c>
      <c r="AF161" s="112">
        <v>0</v>
      </c>
      <c r="AG161" s="112">
        <v>0</v>
      </c>
      <c r="AH161" s="112">
        <v>0</v>
      </c>
      <c r="AI161" s="112">
        <v>0</v>
      </c>
      <c r="AJ161" s="112">
        <v>0</v>
      </c>
      <c r="AK161" s="112">
        <v>0</v>
      </c>
      <c r="AL161" s="112">
        <v>0</v>
      </c>
      <c r="AM161" s="112">
        <v>0</v>
      </c>
      <c r="AN161" s="112">
        <v>0</v>
      </c>
      <c r="AO161" s="112">
        <v>0</v>
      </c>
      <c r="AP161" s="112">
        <v>0</v>
      </c>
      <c r="AQ161" s="112">
        <v>0</v>
      </c>
      <c r="AR161" s="112">
        <v>0</v>
      </c>
      <c r="AS161" s="112">
        <v>0</v>
      </c>
      <c r="AT161" s="112">
        <v>0</v>
      </c>
      <c r="AU161" s="112">
        <v>0</v>
      </c>
      <c r="AV161" s="112">
        <v>0</v>
      </c>
      <c r="AW161" s="112">
        <v>0</v>
      </c>
      <c r="AX161" s="112">
        <v>0</v>
      </c>
      <c r="AY161" s="112">
        <v>0</v>
      </c>
    </row>
    <row r="162" spans="1:52" x14ac:dyDescent="0.2">
      <c r="A162" s="115"/>
      <c r="B162" s="136">
        <v>41</v>
      </c>
      <c r="C162" s="112"/>
      <c r="D162" s="112">
        <v>0</v>
      </c>
      <c r="E162" s="112">
        <v>0</v>
      </c>
      <c r="F162" s="112">
        <v>0</v>
      </c>
      <c r="G162" s="112">
        <v>0</v>
      </c>
      <c r="H162" s="112">
        <v>0</v>
      </c>
      <c r="I162" s="112">
        <v>0</v>
      </c>
      <c r="J162" s="112">
        <v>0</v>
      </c>
      <c r="K162" s="112">
        <v>0</v>
      </c>
      <c r="L162" s="112">
        <v>0</v>
      </c>
      <c r="M162" s="112">
        <v>0</v>
      </c>
      <c r="N162" s="112">
        <v>0</v>
      </c>
      <c r="O162" s="112">
        <v>0</v>
      </c>
      <c r="P162" s="112">
        <v>0</v>
      </c>
      <c r="Q162" s="112">
        <v>0</v>
      </c>
      <c r="R162" s="112">
        <v>0</v>
      </c>
      <c r="S162" s="112">
        <v>0</v>
      </c>
      <c r="T162" s="112">
        <v>0</v>
      </c>
      <c r="U162" s="112">
        <v>0</v>
      </c>
      <c r="V162" s="112">
        <v>0</v>
      </c>
      <c r="W162" s="112">
        <v>0</v>
      </c>
      <c r="X162" s="112">
        <v>0</v>
      </c>
      <c r="Y162" s="112">
        <v>0</v>
      </c>
      <c r="Z162" s="112">
        <v>0</v>
      </c>
      <c r="AA162" s="112">
        <v>0</v>
      </c>
      <c r="AB162" s="112">
        <v>0</v>
      </c>
      <c r="AC162" s="112">
        <v>0</v>
      </c>
      <c r="AD162" s="112">
        <v>0</v>
      </c>
      <c r="AE162" s="112">
        <v>0</v>
      </c>
      <c r="AF162" s="112">
        <v>0</v>
      </c>
      <c r="AG162" s="112">
        <v>0</v>
      </c>
      <c r="AH162" s="112">
        <v>0</v>
      </c>
      <c r="AI162" s="112">
        <v>0</v>
      </c>
      <c r="AJ162" s="112">
        <v>0</v>
      </c>
      <c r="AK162" s="112">
        <v>0</v>
      </c>
      <c r="AL162" s="112">
        <v>0</v>
      </c>
      <c r="AM162" s="112">
        <v>0</v>
      </c>
      <c r="AN162" s="112">
        <v>0</v>
      </c>
      <c r="AO162" s="112">
        <v>0</v>
      </c>
      <c r="AP162" s="112">
        <v>0</v>
      </c>
      <c r="AQ162" s="112">
        <v>0</v>
      </c>
      <c r="AR162" s="112">
        <v>0</v>
      </c>
      <c r="AS162" s="112">
        <v>0</v>
      </c>
      <c r="AT162" s="112">
        <v>0</v>
      </c>
      <c r="AU162" s="112">
        <v>0</v>
      </c>
      <c r="AV162" s="112">
        <v>0</v>
      </c>
      <c r="AW162" s="112">
        <v>0</v>
      </c>
      <c r="AX162" s="112">
        <v>0</v>
      </c>
      <c r="AY162" s="112">
        <v>0</v>
      </c>
    </row>
    <row r="163" spans="1:52" x14ac:dyDescent="0.2">
      <c r="A163" s="115"/>
      <c r="B163" s="136">
        <v>42</v>
      </c>
      <c r="C163" s="112"/>
      <c r="D163" s="112">
        <v>0</v>
      </c>
      <c r="E163" s="112">
        <v>0</v>
      </c>
      <c r="F163" s="112">
        <v>0</v>
      </c>
      <c r="G163" s="112">
        <v>0</v>
      </c>
      <c r="H163" s="112">
        <v>0</v>
      </c>
      <c r="I163" s="112">
        <v>0</v>
      </c>
      <c r="J163" s="112">
        <v>0</v>
      </c>
      <c r="K163" s="112">
        <v>0</v>
      </c>
      <c r="L163" s="112">
        <v>0</v>
      </c>
      <c r="M163" s="112">
        <v>0</v>
      </c>
      <c r="N163" s="112">
        <v>0</v>
      </c>
      <c r="O163" s="112">
        <v>0</v>
      </c>
      <c r="P163" s="112">
        <v>0</v>
      </c>
      <c r="Q163" s="112">
        <v>0</v>
      </c>
      <c r="R163" s="112">
        <v>0</v>
      </c>
      <c r="S163" s="112">
        <v>0</v>
      </c>
      <c r="T163" s="112">
        <v>0</v>
      </c>
      <c r="U163" s="112">
        <v>0</v>
      </c>
      <c r="V163" s="112">
        <v>0</v>
      </c>
      <c r="W163" s="112">
        <v>0</v>
      </c>
      <c r="X163" s="112">
        <v>0</v>
      </c>
      <c r="Y163" s="112">
        <v>0</v>
      </c>
      <c r="Z163" s="112">
        <v>0</v>
      </c>
      <c r="AA163" s="112">
        <v>0</v>
      </c>
      <c r="AB163" s="112">
        <v>0</v>
      </c>
      <c r="AC163" s="112">
        <v>0</v>
      </c>
      <c r="AD163" s="112">
        <v>0</v>
      </c>
      <c r="AE163" s="112">
        <v>0</v>
      </c>
      <c r="AF163" s="112">
        <v>0</v>
      </c>
      <c r="AG163" s="112">
        <v>0</v>
      </c>
      <c r="AH163" s="112">
        <v>0</v>
      </c>
      <c r="AI163" s="112">
        <v>0</v>
      </c>
      <c r="AJ163" s="112">
        <v>0</v>
      </c>
      <c r="AK163" s="112">
        <v>0</v>
      </c>
      <c r="AL163" s="112">
        <v>0</v>
      </c>
      <c r="AM163" s="112">
        <v>0</v>
      </c>
      <c r="AN163" s="112">
        <v>0</v>
      </c>
      <c r="AO163" s="112">
        <v>0</v>
      </c>
      <c r="AP163" s="112">
        <v>0</v>
      </c>
      <c r="AQ163" s="112">
        <v>0</v>
      </c>
      <c r="AR163" s="112">
        <v>0</v>
      </c>
      <c r="AS163" s="112">
        <v>0</v>
      </c>
      <c r="AT163" s="112">
        <v>0</v>
      </c>
      <c r="AU163" s="112">
        <v>0</v>
      </c>
      <c r="AV163" s="112">
        <v>0</v>
      </c>
      <c r="AW163" s="112">
        <v>0</v>
      </c>
      <c r="AX163" s="112">
        <v>0</v>
      </c>
      <c r="AY163" s="112">
        <v>0</v>
      </c>
    </row>
    <row r="164" spans="1:52" x14ac:dyDescent="0.2">
      <c r="A164" s="115"/>
      <c r="B164" s="136">
        <v>43</v>
      </c>
      <c r="C164" s="112"/>
      <c r="D164" s="112">
        <v>0</v>
      </c>
      <c r="E164" s="112">
        <v>0</v>
      </c>
      <c r="F164" s="112">
        <v>0</v>
      </c>
      <c r="G164" s="112">
        <v>0</v>
      </c>
      <c r="H164" s="112">
        <v>0</v>
      </c>
      <c r="I164" s="112">
        <v>0</v>
      </c>
      <c r="J164" s="112">
        <v>0</v>
      </c>
      <c r="K164" s="112">
        <v>0</v>
      </c>
      <c r="L164" s="112">
        <v>0</v>
      </c>
      <c r="M164" s="112">
        <v>0</v>
      </c>
      <c r="N164" s="112">
        <v>0</v>
      </c>
      <c r="O164" s="112">
        <v>0</v>
      </c>
      <c r="P164" s="112">
        <v>0</v>
      </c>
      <c r="Q164" s="112">
        <v>0</v>
      </c>
      <c r="R164" s="112">
        <v>0</v>
      </c>
      <c r="S164" s="112">
        <v>0</v>
      </c>
      <c r="T164" s="112">
        <v>0</v>
      </c>
      <c r="U164" s="112">
        <v>0</v>
      </c>
      <c r="V164" s="112">
        <v>0</v>
      </c>
      <c r="W164" s="112">
        <v>0</v>
      </c>
      <c r="X164" s="112">
        <v>0</v>
      </c>
      <c r="Y164" s="112">
        <v>0</v>
      </c>
      <c r="Z164" s="112">
        <v>0</v>
      </c>
      <c r="AA164" s="112">
        <v>0</v>
      </c>
      <c r="AB164" s="112">
        <v>0</v>
      </c>
      <c r="AC164" s="112">
        <v>0</v>
      </c>
      <c r="AD164" s="112">
        <v>0</v>
      </c>
      <c r="AE164" s="112">
        <v>0</v>
      </c>
      <c r="AF164" s="112">
        <v>0</v>
      </c>
      <c r="AG164" s="112">
        <v>0</v>
      </c>
      <c r="AH164" s="112">
        <v>0</v>
      </c>
      <c r="AI164" s="112">
        <v>0</v>
      </c>
      <c r="AJ164" s="112">
        <v>0</v>
      </c>
      <c r="AK164" s="112">
        <v>0</v>
      </c>
      <c r="AL164" s="112">
        <v>0</v>
      </c>
      <c r="AM164" s="112">
        <v>0</v>
      </c>
      <c r="AN164" s="112">
        <v>0</v>
      </c>
      <c r="AO164" s="112">
        <v>0</v>
      </c>
      <c r="AP164" s="112">
        <v>0</v>
      </c>
      <c r="AQ164" s="112">
        <v>0</v>
      </c>
      <c r="AR164" s="112">
        <v>0</v>
      </c>
      <c r="AS164" s="112">
        <v>0</v>
      </c>
      <c r="AT164" s="112">
        <v>0</v>
      </c>
      <c r="AU164" s="112">
        <v>0</v>
      </c>
      <c r="AV164" s="112">
        <v>0</v>
      </c>
      <c r="AW164" s="112">
        <v>0</v>
      </c>
      <c r="AX164" s="112">
        <v>0</v>
      </c>
      <c r="AY164" s="112">
        <v>0</v>
      </c>
    </row>
    <row r="165" spans="1:52" x14ac:dyDescent="0.2">
      <c r="A165" s="115"/>
      <c r="B165" s="136">
        <v>44</v>
      </c>
      <c r="C165" s="112"/>
      <c r="D165" s="112">
        <v>0</v>
      </c>
      <c r="E165" s="112">
        <v>0</v>
      </c>
      <c r="F165" s="112">
        <v>0</v>
      </c>
      <c r="G165" s="112">
        <v>0</v>
      </c>
      <c r="H165" s="112">
        <v>0</v>
      </c>
      <c r="I165" s="112">
        <v>0</v>
      </c>
      <c r="J165" s="112">
        <v>0</v>
      </c>
      <c r="K165" s="112">
        <v>0</v>
      </c>
      <c r="L165" s="112">
        <v>0</v>
      </c>
      <c r="M165" s="112">
        <v>0</v>
      </c>
      <c r="N165" s="112">
        <v>0</v>
      </c>
      <c r="O165" s="112">
        <v>0</v>
      </c>
      <c r="P165" s="112">
        <v>0</v>
      </c>
      <c r="Q165" s="112">
        <v>0</v>
      </c>
      <c r="R165" s="112">
        <v>0</v>
      </c>
      <c r="S165" s="112">
        <v>0</v>
      </c>
      <c r="T165" s="112">
        <v>0</v>
      </c>
      <c r="U165" s="112">
        <v>0</v>
      </c>
      <c r="V165" s="112">
        <v>0</v>
      </c>
      <c r="W165" s="112">
        <v>0</v>
      </c>
      <c r="X165" s="112">
        <v>0</v>
      </c>
      <c r="Y165" s="112">
        <v>0</v>
      </c>
      <c r="Z165" s="112">
        <v>0</v>
      </c>
      <c r="AA165" s="112">
        <v>0</v>
      </c>
      <c r="AB165" s="112">
        <v>0</v>
      </c>
      <c r="AC165" s="112">
        <v>0</v>
      </c>
      <c r="AD165" s="112">
        <v>0</v>
      </c>
      <c r="AE165" s="112">
        <v>0</v>
      </c>
      <c r="AF165" s="112">
        <v>0</v>
      </c>
      <c r="AG165" s="112">
        <v>0</v>
      </c>
      <c r="AH165" s="112">
        <v>0</v>
      </c>
      <c r="AI165" s="112">
        <v>0</v>
      </c>
      <c r="AJ165" s="112">
        <v>0</v>
      </c>
      <c r="AK165" s="112">
        <v>0</v>
      </c>
      <c r="AL165" s="112">
        <v>0</v>
      </c>
      <c r="AM165" s="112">
        <v>0</v>
      </c>
      <c r="AN165" s="112">
        <v>0</v>
      </c>
      <c r="AO165" s="112">
        <v>0</v>
      </c>
      <c r="AP165" s="112">
        <v>0</v>
      </c>
      <c r="AQ165" s="112">
        <v>0</v>
      </c>
      <c r="AR165" s="112">
        <v>0</v>
      </c>
      <c r="AS165" s="112">
        <v>0</v>
      </c>
      <c r="AT165" s="112">
        <v>0</v>
      </c>
      <c r="AU165" s="112">
        <v>0</v>
      </c>
      <c r="AV165" s="112">
        <v>0</v>
      </c>
      <c r="AW165" s="112">
        <v>0</v>
      </c>
      <c r="AX165" s="112">
        <v>0</v>
      </c>
      <c r="AY165" s="112">
        <v>0</v>
      </c>
    </row>
    <row r="166" spans="1:52" x14ac:dyDescent="0.2">
      <c r="A166" s="115"/>
      <c r="B166" s="136">
        <v>45</v>
      </c>
      <c r="C166" s="112"/>
      <c r="D166" s="112">
        <v>0</v>
      </c>
      <c r="E166" s="112">
        <v>0</v>
      </c>
      <c r="F166" s="112">
        <v>0</v>
      </c>
      <c r="G166" s="112">
        <v>0</v>
      </c>
      <c r="H166" s="112">
        <v>0</v>
      </c>
      <c r="I166" s="112">
        <v>0</v>
      </c>
      <c r="J166" s="112">
        <v>0</v>
      </c>
      <c r="K166" s="112">
        <v>0</v>
      </c>
      <c r="L166" s="112">
        <v>0</v>
      </c>
      <c r="M166" s="112">
        <v>0</v>
      </c>
      <c r="N166" s="112">
        <v>0</v>
      </c>
      <c r="O166" s="112">
        <v>0</v>
      </c>
      <c r="P166" s="112">
        <v>0</v>
      </c>
      <c r="Q166" s="112">
        <v>0</v>
      </c>
      <c r="R166" s="112">
        <v>0</v>
      </c>
      <c r="S166" s="112">
        <v>0</v>
      </c>
      <c r="T166" s="112">
        <v>0</v>
      </c>
      <c r="U166" s="112">
        <v>0</v>
      </c>
      <c r="V166" s="112">
        <v>0</v>
      </c>
      <c r="W166" s="112">
        <v>0</v>
      </c>
      <c r="X166" s="112">
        <v>0</v>
      </c>
      <c r="Y166" s="112">
        <v>0</v>
      </c>
      <c r="Z166" s="112">
        <v>0</v>
      </c>
      <c r="AA166" s="112">
        <v>0</v>
      </c>
      <c r="AB166" s="112">
        <v>0</v>
      </c>
      <c r="AC166" s="112">
        <v>0</v>
      </c>
      <c r="AD166" s="112">
        <v>0</v>
      </c>
      <c r="AE166" s="112">
        <v>0</v>
      </c>
      <c r="AF166" s="112">
        <v>0</v>
      </c>
      <c r="AG166" s="112">
        <v>0</v>
      </c>
      <c r="AH166" s="112">
        <v>0</v>
      </c>
      <c r="AI166" s="112">
        <v>0</v>
      </c>
      <c r="AJ166" s="112">
        <v>0</v>
      </c>
      <c r="AK166" s="112">
        <v>0</v>
      </c>
      <c r="AL166" s="112">
        <v>0</v>
      </c>
      <c r="AM166" s="112">
        <v>0</v>
      </c>
      <c r="AN166" s="112">
        <v>0</v>
      </c>
      <c r="AO166" s="112">
        <v>0</v>
      </c>
      <c r="AP166" s="112">
        <v>0</v>
      </c>
      <c r="AQ166" s="112">
        <v>0</v>
      </c>
      <c r="AR166" s="112">
        <v>0</v>
      </c>
      <c r="AS166" s="112">
        <v>0</v>
      </c>
      <c r="AT166" s="112">
        <v>0</v>
      </c>
      <c r="AU166" s="112">
        <v>0</v>
      </c>
      <c r="AV166" s="112">
        <v>0</v>
      </c>
      <c r="AW166" s="112">
        <v>0</v>
      </c>
      <c r="AX166" s="112">
        <v>0</v>
      </c>
      <c r="AY166" s="112">
        <v>0</v>
      </c>
    </row>
    <row r="167" spans="1:52" x14ac:dyDescent="0.2">
      <c r="A167" s="115"/>
      <c r="B167" s="136">
        <v>46</v>
      </c>
      <c r="C167" s="112"/>
      <c r="D167" s="112">
        <v>0</v>
      </c>
      <c r="E167" s="112">
        <v>0</v>
      </c>
      <c r="F167" s="112">
        <v>0</v>
      </c>
      <c r="G167" s="112">
        <v>0</v>
      </c>
      <c r="H167" s="112">
        <v>0</v>
      </c>
      <c r="I167" s="112">
        <v>0</v>
      </c>
      <c r="J167" s="112">
        <v>0</v>
      </c>
      <c r="K167" s="112">
        <v>0</v>
      </c>
      <c r="L167" s="112">
        <v>0</v>
      </c>
      <c r="M167" s="112">
        <v>0</v>
      </c>
      <c r="N167" s="112">
        <v>0</v>
      </c>
      <c r="O167" s="112">
        <v>0</v>
      </c>
      <c r="P167" s="112">
        <v>0</v>
      </c>
      <c r="Q167" s="112">
        <v>0</v>
      </c>
      <c r="R167" s="112">
        <v>0</v>
      </c>
      <c r="S167" s="112">
        <v>0</v>
      </c>
      <c r="T167" s="112">
        <v>0</v>
      </c>
      <c r="U167" s="112">
        <v>0</v>
      </c>
      <c r="V167" s="112">
        <v>0</v>
      </c>
      <c r="W167" s="112">
        <v>0</v>
      </c>
      <c r="X167" s="112">
        <v>0</v>
      </c>
      <c r="Y167" s="112">
        <v>0</v>
      </c>
      <c r="Z167" s="112">
        <v>0</v>
      </c>
      <c r="AA167" s="112">
        <v>0</v>
      </c>
      <c r="AB167" s="112">
        <v>0</v>
      </c>
      <c r="AC167" s="112">
        <v>0</v>
      </c>
      <c r="AD167" s="112">
        <v>0</v>
      </c>
      <c r="AE167" s="112">
        <v>0</v>
      </c>
      <c r="AF167" s="112">
        <v>0</v>
      </c>
      <c r="AG167" s="112">
        <v>0</v>
      </c>
      <c r="AH167" s="112">
        <v>0</v>
      </c>
      <c r="AI167" s="112">
        <v>0</v>
      </c>
      <c r="AJ167" s="112">
        <v>0</v>
      </c>
      <c r="AK167" s="112">
        <v>0</v>
      </c>
      <c r="AL167" s="112">
        <v>0</v>
      </c>
      <c r="AM167" s="112">
        <v>0</v>
      </c>
      <c r="AN167" s="112">
        <v>0</v>
      </c>
      <c r="AO167" s="112">
        <v>0</v>
      </c>
      <c r="AP167" s="112">
        <v>0</v>
      </c>
      <c r="AQ167" s="112">
        <v>0</v>
      </c>
      <c r="AR167" s="112">
        <v>0</v>
      </c>
      <c r="AS167" s="112">
        <v>0</v>
      </c>
      <c r="AT167" s="112">
        <v>0</v>
      </c>
      <c r="AU167" s="112">
        <v>0</v>
      </c>
      <c r="AV167" s="112">
        <v>0</v>
      </c>
      <c r="AW167" s="112">
        <v>0</v>
      </c>
      <c r="AX167" s="112">
        <v>0</v>
      </c>
      <c r="AY167" s="112">
        <v>0</v>
      </c>
    </row>
    <row r="168" spans="1:52" x14ac:dyDescent="0.2">
      <c r="A168" s="115"/>
      <c r="B168" s="136">
        <v>47</v>
      </c>
      <c r="C168" s="112"/>
      <c r="D168" s="112">
        <v>0</v>
      </c>
      <c r="E168" s="112">
        <v>0</v>
      </c>
      <c r="F168" s="112">
        <v>0</v>
      </c>
      <c r="G168" s="112">
        <v>0</v>
      </c>
      <c r="H168" s="112">
        <v>0</v>
      </c>
      <c r="I168" s="112">
        <v>0</v>
      </c>
      <c r="J168" s="112">
        <v>0</v>
      </c>
      <c r="K168" s="112">
        <v>0</v>
      </c>
      <c r="L168" s="112">
        <v>0</v>
      </c>
      <c r="M168" s="112">
        <v>0</v>
      </c>
      <c r="N168" s="112">
        <v>0</v>
      </c>
      <c r="O168" s="112">
        <v>0</v>
      </c>
      <c r="P168" s="112">
        <v>0</v>
      </c>
      <c r="Q168" s="112">
        <v>0</v>
      </c>
      <c r="R168" s="112">
        <v>0</v>
      </c>
      <c r="S168" s="112">
        <v>0</v>
      </c>
      <c r="T168" s="112">
        <v>0</v>
      </c>
      <c r="U168" s="112">
        <v>0</v>
      </c>
      <c r="V168" s="112">
        <v>0</v>
      </c>
      <c r="W168" s="112">
        <v>0</v>
      </c>
      <c r="X168" s="112">
        <v>0</v>
      </c>
      <c r="Y168" s="112">
        <v>0</v>
      </c>
      <c r="Z168" s="112">
        <v>0</v>
      </c>
      <c r="AA168" s="112">
        <v>0</v>
      </c>
      <c r="AB168" s="112">
        <v>0</v>
      </c>
      <c r="AC168" s="112">
        <v>0</v>
      </c>
      <c r="AD168" s="112">
        <v>0</v>
      </c>
      <c r="AE168" s="112">
        <v>0</v>
      </c>
      <c r="AF168" s="112">
        <v>0</v>
      </c>
      <c r="AG168" s="112">
        <v>0</v>
      </c>
      <c r="AH168" s="112">
        <v>0</v>
      </c>
      <c r="AI168" s="112">
        <v>0</v>
      </c>
      <c r="AJ168" s="112">
        <v>0</v>
      </c>
      <c r="AK168" s="112">
        <v>0</v>
      </c>
      <c r="AL168" s="112">
        <v>0</v>
      </c>
      <c r="AM168" s="112">
        <v>0</v>
      </c>
      <c r="AN168" s="112">
        <v>0</v>
      </c>
      <c r="AO168" s="112">
        <v>0</v>
      </c>
      <c r="AP168" s="112">
        <v>0</v>
      </c>
      <c r="AQ168" s="112">
        <v>0</v>
      </c>
      <c r="AR168" s="112">
        <v>0</v>
      </c>
      <c r="AS168" s="112">
        <v>0</v>
      </c>
      <c r="AT168" s="112">
        <v>0</v>
      </c>
      <c r="AU168" s="112">
        <v>0</v>
      </c>
      <c r="AV168" s="112">
        <v>0</v>
      </c>
      <c r="AW168" s="112">
        <v>0</v>
      </c>
      <c r="AX168" s="112">
        <v>0</v>
      </c>
      <c r="AY168" s="112">
        <v>0</v>
      </c>
    </row>
    <row r="169" spans="1:52" x14ac:dyDescent="0.2">
      <c r="A169" s="115"/>
      <c r="B169" s="136">
        <v>48</v>
      </c>
      <c r="C169" s="112"/>
      <c r="D169" s="112">
        <v>0</v>
      </c>
      <c r="E169" s="112">
        <v>0</v>
      </c>
      <c r="F169" s="112">
        <v>0</v>
      </c>
      <c r="G169" s="112">
        <v>0</v>
      </c>
      <c r="H169" s="112">
        <v>0</v>
      </c>
      <c r="I169" s="112">
        <v>0</v>
      </c>
      <c r="J169" s="112">
        <v>0</v>
      </c>
      <c r="K169" s="112">
        <v>0</v>
      </c>
      <c r="L169" s="112">
        <v>0</v>
      </c>
      <c r="M169" s="112">
        <v>0</v>
      </c>
      <c r="N169" s="112">
        <v>0</v>
      </c>
      <c r="O169" s="112">
        <v>0</v>
      </c>
      <c r="P169" s="112">
        <v>0</v>
      </c>
      <c r="Q169" s="112">
        <v>0</v>
      </c>
      <c r="R169" s="112">
        <v>0</v>
      </c>
      <c r="S169" s="112">
        <v>0</v>
      </c>
      <c r="T169" s="112">
        <v>0</v>
      </c>
      <c r="U169" s="112">
        <v>0</v>
      </c>
      <c r="V169" s="112">
        <v>0</v>
      </c>
      <c r="W169" s="112">
        <v>0</v>
      </c>
      <c r="X169" s="112">
        <v>0</v>
      </c>
      <c r="Y169" s="112">
        <v>0</v>
      </c>
      <c r="Z169" s="112">
        <v>0</v>
      </c>
      <c r="AA169" s="112">
        <v>0</v>
      </c>
      <c r="AB169" s="112">
        <v>0</v>
      </c>
      <c r="AC169" s="112">
        <v>0</v>
      </c>
      <c r="AD169" s="112">
        <v>0</v>
      </c>
      <c r="AE169" s="112">
        <v>0</v>
      </c>
      <c r="AF169" s="112">
        <v>0</v>
      </c>
      <c r="AG169" s="112">
        <v>0</v>
      </c>
      <c r="AH169" s="112">
        <v>0</v>
      </c>
      <c r="AI169" s="112">
        <v>0</v>
      </c>
      <c r="AJ169" s="112">
        <v>0</v>
      </c>
      <c r="AK169" s="112">
        <v>0</v>
      </c>
      <c r="AL169" s="112">
        <v>0</v>
      </c>
      <c r="AM169" s="112">
        <v>0</v>
      </c>
      <c r="AN169" s="112">
        <v>0</v>
      </c>
      <c r="AO169" s="112">
        <v>0</v>
      </c>
      <c r="AP169" s="112">
        <v>0</v>
      </c>
      <c r="AQ169" s="112">
        <v>0</v>
      </c>
      <c r="AR169" s="112">
        <v>0</v>
      </c>
      <c r="AS169" s="112">
        <v>0</v>
      </c>
      <c r="AT169" s="112">
        <v>0</v>
      </c>
      <c r="AU169" s="112">
        <v>0</v>
      </c>
      <c r="AV169" s="112">
        <v>0</v>
      </c>
      <c r="AW169" s="112">
        <v>0</v>
      </c>
      <c r="AX169" s="112">
        <v>0</v>
      </c>
      <c r="AY169" s="112">
        <v>0</v>
      </c>
    </row>
    <row r="170" spans="1:52" x14ac:dyDescent="0.2">
      <c r="A170" s="134"/>
      <c r="B170" s="138" t="s">
        <v>295</v>
      </c>
      <c r="C170" s="120"/>
      <c r="D170" s="131">
        <v>0</v>
      </c>
      <c r="E170" s="131">
        <v>0</v>
      </c>
      <c r="F170" s="131">
        <v>0</v>
      </c>
      <c r="G170" s="131">
        <v>0</v>
      </c>
      <c r="H170" s="131">
        <v>0</v>
      </c>
      <c r="I170" s="131">
        <v>0</v>
      </c>
      <c r="J170" s="131">
        <v>0</v>
      </c>
      <c r="K170" s="131">
        <v>0</v>
      </c>
      <c r="L170" s="131">
        <v>0</v>
      </c>
      <c r="M170" s="131">
        <v>0</v>
      </c>
      <c r="N170" s="131">
        <v>0</v>
      </c>
      <c r="O170" s="131">
        <v>0</v>
      </c>
      <c r="P170" s="131">
        <v>0</v>
      </c>
      <c r="Q170" s="131">
        <v>0</v>
      </c>
      <c r="R170" s="131">
        <v>0</v>
      </c>
      <c r="S170" s="131">
        <v>0</v>
      </c>
      <c r="T170" s="131">
        <v>0</v>
      </c>
      <c r="U170" s="131">
        <v>0</v>
      </c>
      <c r="V170" s="131">
        <v>0</v>
      </c>
      <c r="W170" s="131">
        <v>0</v>
      </c>
      <c r="X170" s="131">
        <v>0</v>
      </c>
      <c r="Y170" s="131">
        <v>0</v>
      </c>
      <c r="Z170" s="131">
        <v>0</v>
      </c>
      <c r="AA170" s="131">
        <v>0</v>
      </c>
      <c r="AB170" s="131">
        <v>0</v>
      </c>
      <c r="AC170" s="131">
        <v>0</v>
      </c>
      <c r="AD170" s="131">
        <v>0</v>
      </c>
      <c r="AE170" s="131">
        <v>0</v>
      </c>
      <c r="AF170" s="131">
        <v>0</v>
      </c>
      <c r="AG170" s="131">
        <v>0</v>
      </c>
      <c r="AH170" s="131">
        <v>0</v>
      </c>
      <c r="AI170" s="131">
        <v>0</v>
      </c>
      <c r="AJ170" s="131">
        <v>0</v>
      </c>
      <c r="AK170" s="131">
        <v>0</v>
      </c>
      <c r="AL170" s="131">
        <v>0</v>
      </c>
      <c r="AM170" s="131">
        <v>0</v>
      </c>
      <c r="AN170" s="131">
        <v>0</v>
      </c>
      <c r="AO170" s="131">
        <v>0</v>
      </c>
      <c r="AP170" s="131">
        <v>0</v>
      </c>
      <c r="AQ170" s="131">
        <v>0</v>
      </c>
      <c r="AR170" s="131">
        <v>0</v>
      </c>
      <c r="AS170" s="131">
        <v>0</v>
      </c>
      <c r="AT170" s="131">
        <v>0</v>
      </c>
      <c r="AU170" s="131">
        <v>0</v>
      </c>
      <c r="AV170" s="131">
        <v>0</v>
      </c>
      <c r="AW170" s="131">
        <v>0</v>
      </c>
      <c r="AX170" s="131">
        <v>0</v>
      </c>
      <c r="AY170" s="131">
        <v>0</v>
      </c>
      <c r="AZ170" s="113">
        <f>SUM($D170:$AY170)</f>
        <v>0</v>
      </c>
    </row>
    <row r="172" spans="1:52" x14ac:dyDescent="0.2">
      <c r="A172" s="108" t="s">
        <v>124</v>
      </c>
      <c r="B172" s="139" t="s">
        <v>296</v>
      </c>
      <c r="C172" s="140"/>
      <c r="D172" s="140">
        <v>0.43062944370491801</v>
      </c>
      <c r="E172" s="140">
        <v>0.43062944370491801</v>
      </c>
      <c r="F172" s="140">
        <v>0.43062944370491801</v>
      </c>
      <c r="G172" s="140">
        <v>0.43062944370491801</v>
      </c>
      <c r="H172" s="140">
        <v>0.43062944370491818</v>
      </c>
      <c r="I172" s="140">
        <v>0.43062944370491818</v>
      </c>
      <c r="J172" s="140">
        <v>0.43062944370491818</v>
      </c>
      <c r="K172" s="140">
        <v>0.43062944370491818</v>
      </c>
      <c r="L172" s="140">
        <v>0.43062944370491818</v>
      </c>
      <c r="M172" s="140">
        <v>0.43062944370491818</v>
      </c>
      <c r="N172" s="140">
        <v>0.43062944370491818</v>
      </c>
      <c r="O172" s="140">
        <v>0.43062944370491818</v>
      </c>
      <c r="P172" s="140">
        <v>0.43062944370491818</v>
      </c>
      <c r="Q172" s="140">
        <v>0.43062944370491818</v>
      </c>
      <c r="R172" s="140">
        <v>0.43062944370491818</v>
      </c>
      <c r="S172" s="140">
        <v>0.43062944370491818</v>
      </c>
      <c r="T172" s="140">
        <v>0.43062944370491818</v>
      </c>
      <c r="U172" s="140">
        <v>0.43062944370491818</v>
      </c>
      <c r="V172" s="140">
        <v>0.43062944370491818</v>
      </c>
      <c r="W172" s="140">
        <v>0.43062944370491818</v>
      </c>
      <c r="X172" s="140">
        <v>0.43062944370491818</v>
      </c>
      <c r="Y172" s="140">
        <v>0.43062944370491818</v>
      </c>
      <c r="Z172" s="140">
        <v>0.43062944370491818</v>
      </c>
      <c r="AA172" s="140">
        <v>0.43062944370491818</v>
      </c>
      <c r="AB172" s="140">
        <v>0.43062944370491818</v>
      </c>
      <c r="AC172" s="140">
        <v>0.43062944370491818</v>
      </c>
      <c r="AD172" s="140">
        <v>0.43062944370491818</v>
      </c>
      <c r="AE172" s="140">
        <v>0.43062944370491818</v>
      </c>
      <c r="AF172" s="140">
        <v>0.43062944370491818</v>
      </c>
      <c r="AG172" s="140">
        <v>0.43062944370491818</v>
      </c>
      <c r="AH172" s="140">
        <v>0.43062944370491818</v>
      </c>
      <c r="AI172" s="140">
        <v>0.43062944370491818</v>
      </c>
      <c r="AJ172" s="140">
        <v>0.43062944370491818</v>
      </c>
      <c r="AK172" s="140">
        <v>0.43062944370491818</v>
      </c>
      <c r="AL172" s="140">
        <v>0.43062944370491818</v>
      </c>
      <c r="AM172" s="140">
        <v>0.43062944370491818</v>
      </c>
      <c r="AN172" s="140">
        <v>0.43062944370491818</v>
      </c>
      <c r="AO172" s="140">
        <v>0.43062944370491818</v>
      </c>
      <c r="AP172" s="140">
        <v>0.43062944370491818</v>
      </c>
      <c r="AQ172" s="140">
        <v>0.43062944370491818</v>
      </c>
      <c r="AR172" s="140">
        <v>0.43062944370491818</v>
      </c>
      <c r="AS172" s="140">
        <v>0.43062944370491818</v>
      </c>
      <c r="AT172" s="140">
        <v>0.43062944370491818</v>
      </c>
      <c r="AU172" s="140">
        <v>0.43062944370491818</v>
      </c>
      <c r="AV172" s="140">
        <v>0.43062944370491801</v>
      </c>
      <c r="AW172" s="140">
        <v>0.43062944370491801</v>
      </c>
      <c r="AX172" s="140">
        <v>0.43062944370491801</v>
      </c>
      <c r="AY172" s="140">
        <v>0.43062944370491801</v>
      </c>
    </row>
    <row r="174" spans="1:52" x14ac:dyDescent="0.2">
      <c r="A174" s="108" t="s">
        <v>271</v>
      </c>
    </row>
    <row r="175" spans="1:52" x14ac:dyDescent="0.2">
      <c r="A175" s="141" t="s">
        <v>125</v>
      </c>
      <c r="B175" s="141" t="s">
        <v>297</v>
      </c>
      <c r="C175" s="130" t="s">
        <v>292</v>
      </c>
      <c r="D175" s="130">
        <f t="shared" ref="D175:AY175" si="1">SUM(D95:D98)</f>
        <v>4754.0556038556606</v>
      </c>
      <c r="E175" s="130">
        <f t="shared" si="1"/>
        <v>9103.1112077113212</v>
      </c>
      <c r="F175" s="130">
        <f t="shared" si="1"/>
        <v>13517.166811566982</v>
      </c>
      <c r="G175" s="130">
        <f t="shared" si="1"/>
        <v>17849.222415422642</v>
      </c>
      <c r="H175" s="130">
        <f t="shared" si="1"/>
        <v>18871.13161455057</v>
      </c>
      <c r="I175" s="130">
        <f t="shared" si="1"/>
        <v>18726.040813678501</v>
      </c>
      <c r="J175" s="130">
        <f t="shared" si="1"/>
        <v>18580.950012806432</v>
      </c>
      <c r="K175" s="130">
        <f t="shared" si="1"/>
        <v>18435.859211934359</v>
      </c>
      <c r="L175" s="130">
        <f t="shared" si="1"/>
        <v>18435.859211934359</v>
      </c>
      <c r="M175" s="130">
        <f t="shared" si="1"/>
        <v>18435.859211934359</v>
      </c>
      <c r="N175" s="130">
        <f t="shared" si="1"/>
        <v>18435.859211934359</v>
      </c>
      <c r="O175" s="130">
        <f t="shared" si="1"/>
        <v>18435.859211934359</v>
      </c>
      <c r="P175" s="130">
        <f t="shared" si="1"/>
        <v>18580.950012806432</v>
      </c>
      <c r="Q175" s="130">
        <f t="shared" si="1"/>
        <v>18726.040813678501</v>
      </c>
      <c r="R175" s="130">
        <f t="shared" si="1"/>
        <v>18871.13161455057</v>
      </c>
      <c r="S175" s="130">
        <f t="shared" si="1"/>
        <v>19016.222415422642</v>
      </c>
      <c r="T175" s="130">
        <f t="shared" si="1"/>
        <v>17792.357262381549</v>
      </c>
      <c r="U175" s="130">
        <f t="shared" si="1"/>
        <v>16570.609712184349</v>
      </c>
      <c r="V175" s="130">
        <f t="shared" si="1"/>
        <v>15350.974363840542</v>
      </c>
      <c r="W175" s="130">
        <f t="shared" si="1"/>
        <v>15205.883562968471</v>
      </c>
      <c r="X175" s="130">
        <f t="shared" si="1"/>
        <v>16284.657915137497</v>
      </c>
      <c r="Y175" s="130">
        <f t="shared" si="1"/>
        <v>17361.314664462621</v>
      </c>
      <c r="Z175" s="130">
        <f t="shared" si="1"/>
        <v>18435.859211934359</v>
      </c>
      <c r="AA175" s="130">
        <f t="shared" si="1"/>
        <v>18435.859211934359</v>
      </c>
      <c r="AB175" s="130">
        <f t="shared" si="1"/>
        <v>18580.950012806432</v>
      </c>
      <c r="AC175" s="130">
        <f t="shared" si="1"/>
        <v>18726.040813678501</v>
      </c>
      <c r="AD175" s="130">
        <f t="shared" si="1"/>
        <v>18486.941655297902</v>
      </c>
      <c r="AE175" s="130">
        <f t="shared" si="1"/>
        <v>18632.032456169971</v>
      </c>
      <c r="AF175" s="130">
        <f t="shared" si="1"/>
        <v>17433.147620125317</v>
      </c>
      <c r="AG175" s="130">
        <f t="shared" si="1"/>
        <v>17288.056819253245</v>
      </c>
      <c r="AH175" s="130">
        <f t="shared" si="1"/>
        <v>17527.155977633847</v>
      </c>
      <c r="AI175" s="130">
        <f t="shared" si="1"/>
        <v>17382.065176761778</v>
      </c>
      <c r="AJ175" s="130">
        <f t="shared" si="1"/>
        <v>18435.859211934359</v>
      </c>
      <c r="AK175" s="130">
        <f t="shared" si="1"/>
        <v>18435.859211934359</v>
      </c>
      <c r="AL175" s="130">
        <f t="shared" si="1"/>
        <v>18435.859211934359</v>
      </c>
      <c r="AM175" s="130">
        <f t="shared" si="1"/>
        <v>18435.859211934359</v>
      </c>
      <c r="AN175" s="130">
        <f t="shared" si="1"/>
        <v>18580.950012806432</v>
      </c>
      <c r="AO175" s="130">
        <f t="shared" si="1"/>
        <v>18726.040813678501</v>
      </c>
      <c r="AP175" s="130">
        <f t="shared" si="1"/>
        <v>18871.13161455057</v>
      </c>
      <c r="AQ175" s="130">
        <f t="shared" si="1"/>
        <v>19016.222415422642</v>
      </c>
      <c r="AR175" s="130">
        <f t="shared" si="1"/>
        <v>18871.13161455057</v>
      </c>
      <c r="AS175" s="130">
        <f t="shared" si="1"/>
        <v>18726.040813678501</v>
      </c>
      <c r="AT175" s="130">
        <f t="shared" si="1"/>
        <v>18580.950012806432</v>
      </c>
      <c r="AU175" s="130">
        <f t="shared" si="1"/>
        <v>18435.859211934359</v>
      </c>
      <c r="AV175" s="130">
        <f t="shared" si="1"/>
        <v>18435.859211934359</v>
      </c>
      <c r="AW175" s="130">
        <f t="shared" si="1"/>
        <v>18435.859211934359</v>
      </c>
      <c r="AX175" s="130">
        <f t="shared" si="1"/>
        <v>18435.859211934359</v>
      </c>
      <c r="AY175" s="130">
        <f t="shared" si="1"/>
        <v>18435.859211934359</v>
      </c>
    </row>
    <row r="176" spans="1:52" x14ac:dyDescent="0.2">
      <c r="A176" s="131"/>
      <c r="B176" s="142" t="s">
        <v>298</v>
      </c>
      <c r="C176" s="131" t="s">
        <v>292</v>
      </c>
      <c r="D176" s="131">
        <v>405</v>
      </c>
      <c r="E176" s="131">
        <v>340</v>
      </c>
      <c r="F176" s="131">
        <v>422</v>
      </c>
      <c r="G176" s="131">
        <v>342</v>
      </c>
      <c r="H176" s="131">
        <v>532</v>
      </c>
      <c r="I176" s="131">
        <v>666</v>
      </c>
      <c r="J176" s="131">
        <v>599</v>
      </c>
      <c r="K176" s="131">
        <v>544</v>
      </c>
      <c r="L176" s="131">
        <v>2897</v>
      </c>
      <c r="M176" s="131">
        <v>3149</v>
      </c>
      <c r="N176" s="131">
        <v>2931</v>
      </c>
      <c r="O176" s="131">
        <v>3491</v>
      </c>
      <c r="P176" s="131">
        <v>1374</v>
      </c>
      <c r="Q176" s="131">
        <v>1074</v>
      </c>
      <c r="R176" s="131">
        <v>1112</v>
      </c>
      <c r="S176" s="131">
        <v>1045</v>
      </c>
      <c r="T176" s="131">
        <v>838</v>
      </c>
      <c r="U176" s="131">
        <v>773</v>
      </c>
      <c r="V176" s="131">
        <v>710</v>
      </c>
      <c r="W176" s="131">
        <v>820</v>
      </c>
      <c r="X176" s="131">
        <v>1048</v>
      </c>
      <c r="Y176" s="131">
        <v>798</v>
      </c>
      <c r="Z176" s="131">
        <v>982</v>
      </c>
      <c r="AA176" s="131">
        <v>1004</v>
      </c>
      <c r="AB176" s="131">
        <v>573</v>
      </c>
      <c r="AC176" s="131">
        <v>588</v>
      </c>
      <c r="AD176" s="131">
        <v>498</v>
      </c>
      <c r="AE176" s="131">
        <v>702</v>
      </c>
      <c r="AF176" s="131">
        <v>740</v>
      </c>
      <c r="AG176" s="131">
        <v>899</v>
      </c>
      <c r="AH176" s="131">
        <v>933</v>
      </c>
      <c r="AI176" s="131">
        <v>766</v>
      </c>
      <c r="AJ176" s="131">
        <v>1014</v>
      </c>
      <c r="AK176" s="131">
        <v>1077</v>
      </c>
      <c r="AL176" s="131">
        <v>986</v>
      </c>
      <c r="AM176" s="131">
        <v>848</v>
      </c>
      <c r="AN176" s="131">
        <v>2112</v>
      </c>
      <c r="AO176" s="131">
        <v>2626</v>
      </c>
      <c r="AP176" s="131">
        <v>2619</v>
      </c>
      <c r="AQ176" s="131">
        <v>1590</v>
      </c>
      <c r="AR176" s="131">
        <v>2734</v>
      </c>
      <c r="AS176" s="131">
        <v>3413</v>
      </c>
      <c r="AT176" s="131">
        <v>2802</v>
      </c>
      <c r="AU176" s="131">
        <v>2818</v>
      </c>
      <c r="AV176" s="131">
        <v>636</v>
      </c>
      <c r="AW176" s="131">
        <v>717</v>
      </c>
      <c r="AX176" s="131">
        <v>758</v>
      </c>
      <c r="AY176" s="131">
        <v>633</v>
      </c>
    </row>
    <row r="177" spans="1:51" x14ac:dyDescent="0.2">
      <c r="A177" s="141" t="s">
        <v>133</v>
      </c>
      <c r="B177" s="141" t="s">
        <v>297</v>
      </c>
      <c r="C177" s="130" t="s">
        <v>292</v>
      </c>
      <c r="D177" s="130">
        <f t="shared" ref="D177:AY177" si="2">SUM(D100:D107)</f>
        <v>0</v>
      </c>
      <c r="E177" s="130">
        <f t="shared" si="2"/>
        <v>0</v>
      </c>
      <c r="F177" s="130">
        <f t="shared" si="2"/>
        <v>2291.0367068297519</v>
      </c>
      <c r="G177" s="130">
        <f t="shared" si="2"/>
        <v>2291.0367068297519</v>
      </c>
      <c r="H177" s="130">
        <f t="shared" si="2"/>
        <v>2291.0367068297519</v>
      </c>
      <c r="I177" s="130">
        <f t="shared" si="2"/>
        <v>2963.0734136595038</v>
      </c>
      <c r="J177" s="130">
        <f t="shared" si="2"/>
        <v>3857.4973272085399</v>
      </c>
      <c r="K177" s="130">
        <f t="shared" si="2"/>
        <v>4397.921240757576</v>
      </c>
      <c r="L177" s="130">
        <f t="shared" si="2"/>
        <v>4486.4428080608841</v>
      </c>
      <c r="M177" s="130">
        <f t="shared" si="2"/>
        <v>6738.7690678556482</v>
      </c>
      <c r="N177" s="130">
        <f t="shared" si="2"/>
        <v>8023.1929814046844</v>
      </c>
      <c r="O177" s="130">
        <f t="shared" si="2"/>
        <v>9497.6168949537205</v>
      </c>
      <c r="P177" s="130">
        <f t="shared" si="2"/>
        <v>11028.040808502756</v>
      </c>
      <c r="Q177" s="130">
        <f t="shared" si="2"/>
        <v>12434.464722051791</v>
      </c>
      <c r="R177" s="130">
        <f t="shared" si="2"/>
        <v>12587.979861578237</v>
      </c>
      <c r="S177" s="130">
        <f t="shared" si="2"/>
        <v>14972.49500110468</v>
      </c>
      <c r="T177" s="130">
        <f t="shared" si="2"/>
        <v>15133.010140631124</v>
      </c>
      <c r="U177" s="130">
        <f t="shared" si="2"/>
        <v>16146.046847460873</v>
      </c>
      <c r="V177" s="130">
        <f t="shared" si="2"/>
        <v>17210.473985739693</v>
      </c>
      <c r="W177" s="130">
        <f t="shared" si="2"/>
        <v>16418.952418436387</v>
      </c>
      <c r="X177" s="130">
        <f t="shared" si="2"/>
        <v>15938.518223918098</v>
      </c>
      <c r="Y177" s="130">
        <f t="shared" si="2"/>
        <v>16080.085134331694</v>
      </c>
      <c r="Z177" s="130">
        <f t="shared" si="2"/>
        <v>15784.509047880729</v>
      </c>
      <c r="AA177" s="130">
        <f t="shared" si="2"/>
        <v>15322.932961429764</v>
      </c>
      <c r="AB177" s="130">
        <f t="shared" si="2"/>
        <v>14459.454528733073</v>
      </c>
      <c r="AC177" s="130">
        <f t="shared" si="2"/>
        <v>15129.780788527838</v>
      </c>
      <c r="AD177" s="130">
        <f t="shared" si="2"/>
        <v>15476.817495357591</v>
      </c>
      <c r="AE177" s="130">
        <f t="shared" si="2"/>
        <v>15684.85420218734</v>
      </c>
      <c r="AF177" s="130">
        <f t="shared" si="2"/>
        <v>15202.899495251111</v>
      </c>
      <c r="AG177" s="130">
        <f t="shared" si="2"/>
        <v>15952.936202080864</v>
      </c>
      <c r="AH177" s="130">
        <f t="shared" si="2"/>
        <v>16288.203578036811</v>
      </c>
      <c r="AI177" s="130">
        <f t="shared" si="2"/>
        <v>17153.627491585848</v>
      </c>
      <c r="AJ177" s="130">
        <f t="shared" si="2"/>
        <v>17474.051405134884</v>
      </c>
      <c r="AK177" s="130">
        <f t="shared" si="2"/>
        <v>17318.694530156081</v>
      </c>
      <c r="AL177" s="130">
        <f t="shared" si="2"/>
        <v>17212.081736875363</v>
      </c>
      <c r="AM177" s="130">
        <f t="shared" si="2"/>
        <v>17105.468943594649</v>
      </c>
      <c r="AN177" s="130">
        <f t="shared" si="2"/>
        <v>17110.847564079912</v>
      </c>
      <c r="AO177" s="130">
        <f t="shared" si="2"/>
        <v>17004.234770799198</v>
      </c>
      <c r="AP177" s="130">
        <f t="shared" si="2"/>
        <v>17582.004101673003</v>
      </c>
      <c r="AQ177" s="130">
        <f t="shared" si="2"/>
        <v>16729.101755427273</v>
      </c>
      <c r="AR177" s="130">
        <f t="shared" si="2"/>
        <v>17795.229688234434</v>
      </c>
      <c r="AS177" s="130">
        <f t="shared" si="2"/>
        <v>16397.266395064187</v>
      </c>
      <c r="AT177" s="130">
        <f t="shared" si="2"/>
        <v>15057.690308613222</v>
      </c>
      <c r="AU177" s="130">
        <f t="shared" si="2"/>
        <v>13425.114222162261</v>
      </c>
      <c r="AV177" s="130">
        <f t="shared" si="2"/>
        <v>12109.538135711296</v>
      </c>
      <c r="AW177" s="130">
        <f t="shared" si="2"/>
        <v>11673.962049260334</v>
      </c>
      <c r="AX177" s="130">
        <f t="shared" si="2"/>
        <v>11144.385962809367</v>
      </c>
      <c r="AY177" s="130">
        <f t="shared" si="2"/>
        <v>10792.809876358406</v>
      </c>
    </row>
    <row r="178" spans="1:51" x14ac:dyDescent="0.2">
      <c r="A178" s="131"/>
      <c r="B178" s="142" t="s">
        <v>298</v>
      </c>
      <c r="C178" s="131" t="s">
        <v>292</v>
      </c>
      <c r="D178" s="131">
        <v>0</v>
      </c>
      <c r="E178" s="131">
        <v>0</v>
      </c>
      <c r="F178" s="131">
        <v>2291.0367068297519</v>
      </c>
      <c r="G178" s="131">
        <v>2291.0367068297519</v>
      </c>
      <c r="H178" s="131">
        <v>1619</v>
      </c>
      <c r="I178" s="131">
        <v>1290</v>
      </c>
      <c r="J178" s="131">
        <v>1644</v>
      </c>
      <c r="K178" s="131">
        <v>1243</v>
      </c>
      <c r="L178" s="131">
        <v>785</v>
      </c>
      <c r="M178" s="131">
        <v>900</v>
      </c>
      <c r="N178" s="131">
        <v>710</v>
      </c>
      <c r="O178" s="131">
        <v>654</v>
      </c>
      <c r="P178" s="131">
        <v>778</v>
      </c>
      <c r="Q178" s="131">
        <v>806</v>
      </c>
      <c r="R178" s="131">
        <v>1029</v>
      </c>
      <c r="S178" s="131">
        <v>1069</v>
      </c>
      <c r="T178" s="131">
        <v>1008</v>
      </c>
      <c r="U178" s="131">
        <v>1204</v>
      </c>
      <c r="V178" s="131">
        <v>890</v>
      </c>
      <c r="W178" s="131">
        <v>974</v>
      </c>
      <c r="X178" s="131">
        <v>2353</v>
      </c>
      <c r="Y178" s="131">
        <v>2480</v>
      </c>
      <c r="Z178" s="131">
        <v>2646</v>
      </c>
      <c r="AA178" s="131">
        <v>2195</v>
      </c>
      <c r="AB178" s="131">
        <v>2367</v>
      </c>
      <c r="AC178" s="131">
        <v>1944</v>
      </c>
      <c r="AD178" s="131">
        <v>2083</v>
      </c>
      <c r="AE178" s="131">
        <v>2661</v>
      </c>
      <c r="AF178" s="131">
        <v>1541</v>
      </c>
      <c r="AG178" s="131">
        <v>1378</v>
      </c>
      <c r="AH178" s="131">
        <v>1319</v>
      </c>
      <c r="AI178" s="131">
        <v>1864</v>
      </c>
      <c r="AJ178" s="131">
        <v>2146</v>
      </c>
      <c r="AK178" s="131">
        <v>2116</v>
      </c>
      <c r="AL178" s="131">
        <v>1910</v>
      </c>
      <c r="AM178" s="131">
        <v>1793</v>
      </c>
      <c r="AN178" s="131">
        <v>1123</v>
      </c>
      <c r="AO178" s="131">
        <v>1138</v>
      </c>
      <c r="AP178" s="131">
        <v>1250</v>
      </c>
      <c r="AQ178" s="131">
        <v>1026</v>
      </c>
      <c r="AR178" s="131">
        <v>3689</v>
      </c>
      <c r="AS178" s="131">
        <v>3524</v>
      </c>
      <c r="AT178" s="131">
        <v>3817</v>
      </c>
      <c r="AU178" s="131">
        <v>3500</v>
      </c>
      <c r="AV178" s="131">
        <v>2620</v>
      </c>
      <c r="AW178" s="131">
        <v>2714</v>
      </c>
      <c r="AX178" s="131">
        <v>2536</v>
      </c>
      <c r="AY178" s="131">
        <v>3032</v>
      </c>
    </row>
    <row r="179" spans="1:51" x14ac:dyDescent="0.2">
      <c r="A179" s="141" t="s">
        <v>134</v>
      </c>
      <c r="B179" s="141" t="s">
        <v>297</v>
      </c>
      <c r="C179" s="130" t="s">
        <v>292</v>
      </c>
      <c r="D179" s="130">
        <f t="shared" ref="D179:AY179" si="3">SUM(D109:D120)</f>
        <v>0</v>
      </c>
      <c r="E179" s="130">
        <f t="shared" si="3"/>
        <v>0</v>
      </c>
      <c r="F179" s="130">
        <f t="shared" si="3"/>
        <v>0</v>
      </c>
      <c r="G179" s="130">
        <f t="shared" si="3"/>
        <v>0</v>
      </c>
      <c r="H179" s="130">
        <f t="shared" si="3"/>
        <v>0</v>
      </c>
      <c r="I179" s="130">
        <f t="shared" si="3"/>
        <v>0</v>
      </c>
      <c r="J179" s="130">
        <f t="shared" si="3"/>
        <v>0</v>
      </c>
      <c r="K179" s="130">
        <f t="shared" si="3"/>
        <v>0</v>
      </c>
      <c r="L179" s="130">
        <f t="shared" si="3"/>
        <v>0</v>
      </c>
      <c r="M179" s="130">
        <f t="shared" si="3"/>
        <v>0</v>
      </c>
      <c r="N179" s="130">
        <f t="shared" si="3"/>
        <v>0</v>
      </c>
      <c r="O179" s="130">
        <f t="shared" si="3"/>
        <v>0</v>
      </c>
      <c r="P179" s="130">
        <f t="shared" si="3"/>
        <v>0</v>
      </c>
      <c r="Q179" s="130">
        <f t="shared" si="3"/>
        <v>0</v>
      </c>
      <c r="R179" s="130">
        <f t="shared" si="3"/>
        <v>0</v>
      </c>
      <c r="S179" s="130">
        <f t="shared" si="3"/>
        <v>0</v>
      </c>
      <c r="T179" s="130">
        <f t="shared" si="3"/>
        <v>0</v>
      </c>
      <c r="U179" s="130">
        <f t="shared" si="3"/>
        <v>0</v>
      </c>
      <c r="V179" s="130">
        <f t="shared" si="3"/>
        <v>0</v>
      </c>
      <c r="W179" s="130">
        <f t="shared" si="3"/>
        <v>0</v>
      </c>
      <c r="X179" s="130">
        <f t="shared" si="3"/>
        <v>0</v>
      </c>
      <c r="Y179" s="130">
        <f t="shared" si="3"/>
        <v>0</v>
      </c>
      <c r="Z179" s="130">
        <f t="shared" si="3"/>
        <v>0</v>
      </c>
      <c r="AA179" s="130">
        <f t="shared" si="3"/>
        <v>0</v>
      </c>
      <c r="AB179" s="130">
        <f t="shared" si="3"/>
        <v>0</v>
      </c>
      <c r="AC179" s="130">
        <f t="shared" si="3"/>
        <v>0</v>
      </c>
      <c r="AD179" s="130">
        <f t="shared" si="3"/>
        <v>0</v>
      </c>
      <c r="AE179" s="130">
        <f t="shared" si="3"/>
        <v>0</v>
      </c>
      <c r="AF179" s="130">
        <f t="shared" si="3"/>
        <v>0</v>
      </c>
      <c r="AG179" s="130">
        <f t="shared" si="3"/>
        <v>0</v>
      </c>
      <c r="AH179" s="130">
        <f t="shared" si="3"/>
        <v>0</v>
      </c>
      <c r="AI179" s="130">
        <f t="shared" si="3"/>
        <v>0</v>
      </c>
      <c r="AJ179" s="130">
        <f t="shared" si="3"/>
        <v>0</v>
      </c>
      <c r="AK179" s="130">
        <f t="shared" si="3"/>
        <v>0</v>
      </c>
      <c r="AL179" s="130">
        <f t="shared" si="3"/>
        <v>0</v>
      </c>
      <c r="AM179" s="130">
        <f t="shared" si="3"/>
        <v>0</v>
      </c>
      <c r="AN179" s="130">
        <f t="shared" si="3"/>
        <v>0</v>
      </c>
      <c r="AO179" s="130">
        <f t="shared" si="3"/>
        <v>0</v>
      </c>
      <c r="AP179" s="130">
        <f t="shared" si="3"/>
        <v>0</v>
      </c>
      <c r="AQ179" s="130">
        <f t="shared" si="3"/>
        <v>0</v>
      </c>
      <c r="AR179" s="130">
        <f t="shared" si="3"/>
        <v>0</v>
      </c>
      <c r="AS179" s="130">
        <f t="shared" si="3"/>
        <v>0</v>
      </c>
      <c r="AT179" s="130">
        <f t="shared" si="3"/>
        <v>0</v>
      </c>
      <c r="AU179" s="130">
        <f t="shared" si="3"/>
        <v>0</v>
      </c>
      <c r="AV179" s="130">
        <f t="shared" si="3"/>
        <v>0</v>
      </c>
      <c r="AW179" s="130">
        <f t="shared" si="3"/>
        <v>0</v>
      </c>
      <c r="AX179" s="130">
        <f t="shared" si="3"/>
        <v>0</v>
      </c>
      <c r="AY179" s="130">
        <f t="shared" si="3"/>
        <v>0</v>
      </c>
    </row>
    <row r="180" spans="1:51" x14ac:dyDescent="0.2">
      <c r="A180" s="131"/>
      <c r="B180" s="142" t="s">
        <v>298</v>
      </c>
      <c r="C180" s="131" t="s">
        <v>292</v>
      </c>
      <c r="D180" s="131">
        <v>0</v>
      </c>
      <c r="E180" s="131">
        <v>0</v>
      </c>
      <c r="F180" s="131">
        <v>0</v>
      </c>
      <c r="G180" s="131">
        <v>0</v>
      </c>
      <c r="H180" s="131">
        <v>0</v>
      </c>
      <c r="I180" s="131">
        <v>0</v>
      </c>
      <c r="J180" s="131">
        <v>0</v>
      </c>
      <c r="K180" s="131">
        <v>0</v>
      </c>
      <c r="L180" s="131">
        <v>0</v>
      </c>
      <c r="M180" s="131">
        <v>0</v>
      </c>
      <c r="N180" s="131">
        <v>0</v>
      </c>
      <c r="O180" s="131">
        <v>0</v>
      </c>
      <c r="P180" s="131">
        <v>0</v>
      </c>
      <c r="Q180" s="131">
        <v>0</v>
      </c>
      <c r="R180" s="131">
        <v>0</v>
      </c>
      <c r="S180" s="131">
        <v>0</v>
      </c>
      <c r="T180" s="131">
        <v>0</v>
      </c>
      <c r="U180" s="131">
        <v>0</v>
      </c>
      <c r="V180" s="131">
        <v>0</v>
      </c>
      <c r="W180" s="131">
        <v>0</v>
      </c>
      <c r="X180" s="131">
        <v>0</v>
      </c>
      <c r="Y180" s="131">
        <v>0</v>
      </c>
      <c r="Z180" s="131">
        <v>0</v>
      </c>
      <c r="AA180" s="131">
        <v>0</v>
      </c>
      <c r="AB180" s="131">
        <v>0</v>
      </c>
      <c r="AC180" s="131">
        <v>0</v>
      </c>
      <c r="AD180" s="131">
        <v>0</v>
      </c>
      <c r="AE180" s="131">
        <v>0</v>
      </c>
      <c r="AF180" s="131">
        <v>0</v>
      </c>
      <c r="AG180" s="131">
        <v>0</v>
      </c>
      <c r="AH180" s="131">
        <v>0</v>
      </c>
      <c r="AI180" s="131">
        <v>0</v>
      </c>
      <c r="AJ180" s="131">
        <v>0</v>
      </c>
      <c r="AK180" s="131">
        <v>0</v>
      </c>
      <c r="AL180" s="131">
        <v>0</v>
      </c>
      <c r="AM180" s="131">
        <v>0</v>
      </c>
      <c r="AN180" s="131">
        <v>0</v>
      </c>
      <c r="AO180" s="131">
        <v>0</v>
      </c>
      <c r="AP180" s="131">
        <v>0</v>
      </c>
      <c r="AQ180" s="131">
        <v>0</v>
      </c>
      <c r="AR180" s="131">
        <v>0</v>
      </c>
      <c r="AS180" s="131">
        <v>0</v>
      </c>
      <c r="AT180" s="131">
        <v>0</v>
      </c>
      <c r="AU180" s="131">
        <v>0</v>
      </c>
      <c r="AV180" s="131">
        <v>0</v>
      </c>
      <c r="AW180" s="131">
        <v>0</v>
      </c>
      <c r="AX180" s="131">
        <v>0</v>
      </c>
      <c r="AY180" s="131">
        <v>0</v>
      </c>
    </row>
    <row r="181" spans="1:51" x14ac:dyDescent="0.2">
      <c r="A181" s="141" t="s">
        <v>123</v>
      </c>
      <c r="B181" s="141" t="s">
        <v>297</v>
      </c>
      <c r="C181" s="130" t="s">
        <v>292</v>
      </c>
      <c r="D181" s="130">
        <f t="shared" ref="D181:AY181" si="4">(1-D172)*SUM(D122:D169)</f>
        <v>0</v>
      </c>
      <c r="E181" s="130">
        <f t="shared" si="4"/>
        <v>0</v>
      </c>
      <c r="F181" s="130">
        <f t="shared" si="4"/>
        <v>0</v>
      </c>
      <c r="G181" s="130">
        <f t="shared" si="4"/>
        <v>0</v>
      </c>
      <c r="H181" s="130">
        <f t="shared" si="4"/>
        <v>0</v>
      </c>
      <c r="I181" s="130">
        <f t="shared" si="4"/>
        <v>0</v>
      </c>
      <c r="J181" s="130">
        <f t="shared" si="4"/>
        <v>0</v>
      </c>
      <c r="K181" s="130">
        <f t="shared" si="4"/>
        <v>0</v>
      </c>
      <c r="L181" s="130">
        <f t="shared" si="4"/>
        <v>0</v>
      </c>
      <c r="M181" s="130">
        <f t="shared" si="4"/>
        <v>0</v>
      </c>
      <c r="N181" s="130">
        <f t="shared" si="4"/>
        <v>0</v>
      </c>
      <c r="O181" s="130">
        <f t="shared" si="4"/>
        <v>0</v>
      </c>
      <c r="P181" s="130">
        <f t="shared" si="4"/>
        <v>0</v>
      </c>
      <c r="Q181" s="130">
        <f t="shared" si="4"/>
        <v>0</v>
      </c>
      <c r="R181" s="130">
        <f t="shared" si="4"/>
        <v>0</v>
      </c>
      <c r="S181" s="130">
        <f t="shared" si="4"/>
        <v>0</v>
      </c>
      <c r="T181" s="130">
        <f t="shared" si="4"/>
        <v>0</v>
      </c>
      <c r="U181" s="130">
        <f t="shared" si="4"/>
        <v>0</v>
      </c>
      <c r="V181" s="130">
        <f t="shared" si="4"/>
        <v>0</v>
      </c>
      <c r="W181" s="130">
        <f t="shared" si="4"/>
        <v>0</v>
      </c>
      <c r="X181" s="130">
        <f t="shared" si="4"/>
        <v>0</v>
      </c>
      <c r="Y181" s="130">
        <f t="shared" si="4"/>
        <v>0</v>
      </c>
      <c r="Z181" s="130">
        <f t="shared" si="4"/>
        <v>0</v>
      </c>
      <c r="AA181" s="130">
        <f t="shared" si="4"/>
        <v>0</v>
      </c>
      <c r="AB181" s="130">
        <f t="shared" si="4"/>
        <v>0</v>
      </c>
      <c r="AC181" s="130">
        <f t="shared" si="4"/>
        <v>0</v>
      </c>
      <c r="AD181" s="130">
        <f t="shared" si="4"/>
        <v>0</v>
      </c>
      <c r="AE181" s="130">
        <f t="shared" si="4"/>
        <v>0</v>
      </c>
      <c r="AF181" s="130">
        <f t="shared" si="4"/>
        <v>0</v>
      </c>
      <c r="AG181" s="130">
        <f t="shared" si="4"/>
        <v>0</v>
      </c>
      <c r="AH181" s="130">
        <f t="shared" si="4"/>
        <v>0</v>
      </c>
      <c r="AI181" s="130">
        <f t="shared" si="4"/>
        <v>0</v>
      </c>
      <c r="AJ181" s="130">
        <f t="shared" si="4"/>
        <v>0</v>
      </c>
      <c r="AK181" s="130">
        <f t="shared" si="4"/>
        <v>0</v>
      </c>
      <c r="AL181" s="130">
        <f t="shared" si="4"/>
        <v>0</v>
      </c>
      <c r="AM181" s="130">
        <f t="shared" si="4"/>
        <v>0</v>
      </c>
      <c r="AN181" s="130">
        <f t="shared" si="4"/>
        <v>0</v>
      </c>
      <c r="AO181" s="130">
        <f t="shared" si="4"/>
        <v>0</v>
      </c>
      <c r="AP181" s="130">
        <f t="shared" si="4"/>
        <v>0</v>
      </c>
      <c r="AQ181" s="130">
        <f t="shared" si="4"/>
        <v>0</v>
      </c>
      <c r="AR181" s="130">
        <f t="shared" si="4"/>
        <v>0</v>
      </c>
      <c r="AS181" s="130">
        <f t="shared" si="4"/>
        <v>0</v>
      </c>
      <c r="AT181" s="130">
        <f t="shared" si="4"/>
        <v>0</v>
      </c>
      <c r="AU181" s="130">
        <f t="shared" si="4"/>
        <v>0</v>
      </c>
      <c r="AV181" s="130">
        <f t="shared" si="4"/>
        <v>0</v>
      </c>
      <c r="AW181" s="130">
        <f t="shared" si="4"/>
        <v>0</v>
      </c>
      <c r="AX181" s="130">
        <f t="shared" si="4"/>
        <v>0</v>
      </c>
      <c r="AY181" s="130">
        <f t="shared" si="4"/>
        <v>0</v>
      </c>
    </row>
    <row r="182" spans="1:51" x14ac:dyDescent="0.2">
      <c r="A182" s="131"/>
      <c r="B182" s="142" t="s">
        <v>298</v>
      </c>
      <c r="C182" s="131" t="s">
        <v>292</v>
      </c>
      <c r="D182" s="131">
        <v>0</v>
      </c>
      <c r="E182" s="131">
        <v>0</v>
      </c>
      <c r="F182" s="131">
        <v>0</v>
      </c>
      <c r="G182" s="131">
        <v>0</v>
      </c>
      <c r="H182" s="131">
        <v>0</v>
      </c>
      <c r="I182" s="131">
        <v>0</v>
      </c>
      <c r="J182" s="131">
        <v>0</v>
      </c>
      <c r="K182" s="131">
        <v>0</v>
      </c>
      <c r="L182" s="131">
        <v>0</v>
      </c>
      <c r="M182" s="131">
        <v>0</v>
      </c>
      <c r="N182" s="131">
        <v>0</v>
      </c>
      <c r="O182" s="131">
        <v>0</v>
      </c>
      <c r="P182" s="131">
        <v>0</v>
      </c>
      <c r="Q182" s="131">
        <v>0</v>
      </c>
      <c r="R182" s="131">
        <v>0</v>
      </c>
      <c r="S182" s="131">
        <v>0</v>
      </c>
      <c r="T182" s="131">
        <v>0</v>
      </c>
      <c r="U182" s="131">
        <v>0</v>
      </c>
      <c r="V182" s="131">
        <v>0</v>
      </c>
      <c r="W182" s="131">
        <v>0</v>
      </c>
      <c r="X182" s="131">
        <v>0</v>
      </c>
      <c r="Y182" s="131">
        <v>0</v>
      </c>
      <c r="Z182" s="131">
        <v>0</v>
      </c>
      <c r="AA182" s="131">
        <v>0</v>
      </c>
      <c r="AB182" s="131">
        <v>0</v>
      </c>
      <c r="AC182" s="131">
        <v>0</v>
      </c>
      <c r="AD182" s="131">
        <v>0</v>
      </c>
      <c r="AE182" s="131">
        <v>0</v>
      </c>
      <c r="AF182" s="131">
        <v>0</v>
      </c>
      <c r="AG182" s="131">
        <v>0</v>
      </c>
      <c r="AH182" s="131">
        <v>0</v>
      </c>
      <c r="AI182" s="131">
        <v>0</v>
      </c>
      <c r="AJ182" s="131">
        <v>0</v>
      </c>
      <c r="AK182" s="131">
        <v>0</v>
      </c>
      <c r="AL182" s="131">
        <v>0</v>
      </c>
      <c r="AM182" s="131">
        <v>0</v>
      </c>
      <c r="AN182" s="131">
        <v>0</v>
      </c>
      <c r="AO182" s="131">
        <v>0</v>
      </c>
      <c r="AP182" s="131">
        <v>0</v>
      </c>
      <c r="AQ182" s="131">
        <v>0</v>
      </c>
      <c r="AR182" s="131">
        <v>0</v>
      </c>
      <c r="AS182" s="131">
        <v>0</v>
      </c>
      <c r="AT182" s="131">
        <v>0</v>
      </c>
      <c r="AU182" s="131">
        <v>0</v>
      </c>
      <c r="AV182" s="131">
        <v>0</v>
      </c>
      <c r="AW182" s="131">
        <v>0</v>
      </c>
      <c r="AX182" s="131">
        <v>0</v>
      </c>
      <c r="AY182" s="131">
        <v>0</v>
      </c>
    </row>
    <row r="184" spans="1:51" x14ac:dyDescent="0.2">
      <c r="A184" s="108" t="s">
        <v>299</v>
      </c>
    </row>
    <row r="185" spans="1:51" x14ac:dyDescent="0.2">
      <c r="A185" s="132" t="s">
        <v>125</v>
      </c>
      <c r="B185" s="129">
        <v>1</v>
      </c>
      <c r="C185" s="130"/>
      <c r="D185" s="130">
        <v>405</v>
      </c>
      <c r="E185" s="130">
        <v>0</v>
      </c>
      <c r="F185" s="130">
        <v>0</v>
      </c>
      <c r="G185" s="130">
        <v>0</v>
      </c>
      <c r="H185" s="130">
        <v>0</v>
      </c>
      <c r="I185" s="130">
        <v>0</v>
      </c>
      <c r="J185" s="130">
        <v>0</v>
      </c>
      <c r="K185" s="130">
        <v>0</v>
      </c>
      <c r="L185" s="130">
        <v>0</v>
      </c>
      <c r="M185" s="130">
        <v>0</v>
      </c>
      <c r="N185" s="130">
        <v>0</v>
      </c>
      <c r="O185" s="130">
        <v>0</v>
      </c>
      <c r="P185" s="130">
        <v>0</v>
      </c>
      <c r="Q185" s="130">
        <v>0</v>
      </c>
      <c r="R185" s="130">
        <v>0</v>
      </c>
      <c r="S185" s="130">
        <v>0</v>
      </c>
      <c r="T185" s="130">
        <v>0</v>
      </c>
      <c r="U185" s="130">
        <v>0</v>
      </c>
      <c r="V185" s="130">
        <v>0</v>
      </c>
      <c r="W185" s="130">
        <v>0</v>
      </c>
      <c r="X185" s="130">
        <v>0</v>
      </c>
      <c r="Y185" s="130">
        <v>0</v>
      </c>
      <c r="Z185" s="130">
        <v>0</v>
      </c>
      <c r="AA185" s="130">
        <v>0</v>
      </c>
      <c r="AB185" s="130">
        <v>0</v>
      </c>
      <c r="AC185" s="130">
        <v>0</v>
      </c>
      <c r="AD185" s="130">
        <v>0</v>
      </c>
      <c r="AE185" s="130">
        <v>0</v>
      </c>
      <c r="AF185" s="130">
        <v>0</v>
      </c>
      <c r="AG185" s="130">
        <v>0</v>
      </c>
      <c r="AH185" s="130">
        <v>0</v>
      </c>
      <c r="AI185" s="130">
        <v>0</v>
      </c>
      <c r="AJ185" s="130">
        <v>0</v>
      </c>
      <c r="AK185" s="130">
        <v>0</v>
      </c>
      <c r="AL185" s="130">
        <v>0</v>
      </c>
      <c r="AM185" s="130">
        <v>0</v>
      </c>
      <c r="AN185" s="130">
        <v>0</v>
      </c>
      <c r="AO185" s="130">
        <v>0</v>
      </c>
      <c r="AP185" s="130">
        <v>0</v>
      </c>
      <c r="AQ185" s="130">
        <v>0</v>
      </c>
      <c r="AR185" s="130">
        <v>0</v>
      </c>
      <c r="AS185" s="130">
        <v>0</v>
      </c>
      <c r="AT185" s="130">
        <v>0</v>
      </c>
      <c r="AU185" s="130">
        <v>0</v>
      </c>
      <c r="AV185" s="130">
        <v>0</v>
      </c>
      <c r="AW185" s="130">
        <v>0</v>
      </c>
      <c r="AX185" s="130">
        <v>0</v>
      </c>
      <c r="AY185" s="130">
        <v>0</v>
      </c>
    </row>
    <row r="186" spans="1:51" x14ac:dyDescent="0.2">
      <c r="A186" s="115"/>
      <c r="B186" s="126">
        <v>2</v>
      </c>
      <c r="C186" s="112"/>
      <c r="D186" s="112">
        <v>0</v>
      </c>
      <c r="E186" s="112">
        <v>340</v>
      </c>
      <c r="F186" s="112">
        <v>0</v>
      </c>
      <c r="G186" s="112">
        <v>0</v>
      </c>
      <c r="H186" s="112">
        <v>0</v>
      </c>
      <c r="I186" s="112">
        <v>0</v>
      </c>
      <c r="J186" s="112">
        <v>0</v>
      </c>
      <c r="K186" s="112">
        <v>0</v>
      </c>
      <c r="L186" s="112">
        <v>0</v>
      </c>
      <c r="M186" s="112">
        <v>0</v>
      </c>
      <c r="N186" s="112">
        <v>0</v>
      </c>
      <c r="O186" s="112">
        <v>0</v>
      </c>
      <c r="P186" s="112">
        <v>0</v>
      </c>
      <c r="Q186" s="112">
        <v>0</v>
      </c>
      <c r="R186" s="112">
        <v>0</v>
      </c>
      <c r="S186" s="112">
        <v>0</v>
      </c>
      <c r="T186" s="112">
        <v>0</v>
      </c>
      <c r="U186" s="112">
        <v>0</v>
      </c>
      <c r="V186" s="112">
        <v>0</v>
      </c>
      <c r="W186" s="112">
        <v>0</v>
      </c>
      <c r="X186" s="112">
        <v>0</v>
      </c>
      <c r="Y186" s="112">
        <v>0</v>
      </c>
      <c r="Z186" s="112">
        <v>0</v>
      </c>
      <c r="AA186" s="112">
        <v>0</v>
      </c>
      <c r="AB186" s="112">
        <v>0</v>
      </c>
      <c r="AC186" s="112">
        <v>0</v>
      </c>
      <c r="AD186" s="112">
        <v>0</v>
      </c>
      <c r="AE186" s="112">
        <v>0</v>
      </c>
      <c r="AF186" s="112">
        <v>0</v>
      </c>
      <c r="AG186" s="112">
        <v>0</v>
      </c>
      <c r="AH186" s="112">
        <v>0</v>
      </c>
      <c r="AI186" s="112">
        <v>0</v>
      </c>
      <c r="AJ186" s="112">
        <v>0</v>
      </c>
      <c r="AK186" s="112">
        <v>0</v>
      </c>
      <c r="AL186" s="112">
        <v>0</v>
      </c>
      <c r="AM186" s="112">
        <v>0</v>
      </c>
      <c r="AN186" s="112">
        <v>0</v>
      </c>
      <c r="AO186" s="112">
        <v>0</v>
      </c>
      <c r="AP186" s="112">
        <v>0</v>
      </c>
      <c r="AQ186" s="112">
        <v>0</v>
      </c>
      <c r="AR186" s="112">
        <v>0</v>
      </c>
      <c r="AS186" s="112">
        <v>0</v>
      </c>
      <c r="AT186" s="112">
        <v>0</v>
      </c>
      <c r="AU186" s="112">
        <v>0</v>
      </c>
      <c r="AV186" s="112">
        <v>0</v>
      </c>
      <c r="AW186" s="112">
        <v>0</v>
      </c>
      <c r="AX186" s="112">
        <v>0</v>
      </c>
      <c r="AY186" s="112">
        <v>0</v>
      </c>
    </row>
    <row r="187" spans="1:51" x14ac:dyDescent="0.2">
      <c r="A187" s="115"/>
      <c r="B187" s="133">
        <v>3</v>
      </c>
      <c r="C187" s="112"/>
      <c r="D187" s="112">
        <v>0</v>
      </c>
      <c r="E187" s="112">
        <v>0</v>
      </c>
      <c r="F187" s="112">
        <v>422</v>
      </c>
      <c r="G187" s="112">
        <v>0</v>
      </c>
      <c r="H187" s="112">
        <v>0</v>
      </c>
      <c r="I187" s="112">
        <v>0</v>
      </c>
      <c r="J187" s="112">
        <v>0</v>
      </c>
      <c r="K187" s="112">
        <v>0</v>
      </c>
      <c r="L187" s="112">
        <v>0</v>
      </c>
      <c r="M187" s="112">
        <v>0</v>
      </c>
      <c r="N187" s="112">
        <v>0</v>
      </c>
      <c r="O187" s="112">
        <v>0</v>
      </c>
      <c r="P187" s="112">
        <v>0</v>
      </c>
      <c r="Q187" s="112">
        <v>0</v>
      </c>
      <c r="R187" s="112">
        <v>0</v>
      </c>
      <c r="S187" s="112">
        <v>0</v>
      </c>
      <c r="T187" s="112">
        <v>0</v>
      </c>
      <c r="U187" s="112">
        <v>0</v>
      </c>
      <c r="V187" s="112">
        <v>0</v>
      </c>
      <c r="W187" s="112">
        <v>0</v>
      </c>
      <c r="X187" s="112">
        <v>0</v>
      </c>
      <c r="Y187" s="112">
        <v>0</v>
      </c>
      <c r="Z187" s="112">
        <v>0</v>
      </c>
      <c r="AA187" s="112">
        <v>0</v>
      </c>
      <c r="AB187" s="112">
        <v>0</v>
      </c>
      <c r="AC187" s="112">
        <v>0</v>
      </c>
      <c r="AD187" s="112">
        <v>0</v>
      </c>
      <c r="AE187" s="112">
        <v>0</v>
      </c>
      <c r="AF187" s="112">
        <v>0</v>
      </c>
      <c r="AG187" s="112">
        <v>0</v>
      </c>
      <c r="AH187" s="112">
        <v>0</v>
      </c>
      <c r="AI187" s="112">
        <v>0</v>
      </c>
      <c r="AJ187" s="112">
        <v>0</v>
      </c>
      <c r="AK187" s="112">
        <v>0</v>
      </c>
      <c r="AL187" s="112">
        <v>0</v>
      </c>
      <c r="AM187" s="112">
        <v>0</v>
      </c>
      <c r="AN187" s="112">
        <v>0</v>
      </c>
      <c r="AO187" s="112">
        <v>0</v>
      </c>
      <c r="AP187" s="112">
        <v>0</v>
      </c>
      <c r="AQ187" s="112">
        <v>0</v>
      </c>
      <c r="AR187" s="112">
        <v>0</v>
      </c>
      <c r="AS187" s="112">
        <v>0</v>
      </c>
      <c r="AT187" s="112">
        <v>0</v>
      </c>
      <c r="AU187" s="112">
        <v>0</v>
      </c>
      <c r="AV187" s="112">
        <v>0</v>
      </c>
      <c r="AW187" s="112">
        <v>0</v>
      </c>
      <c r="AX187" s="112">
        <v>0</v>
      </c>
      <c r="AY187" s="112">
        <v>0</v>
      </c>
    </row>
    <row r="188" spans="1:51" x14ac:dyDescent="0.2">
      <c r="A188" s="134"/>
      <c r="B188" s="135">
        <v>4</v>
      </c>
      <c r="C188" s="112"/>
      <c r="D188" s="112">
        <v>0</v>
      </c>
      <c r="E188" s="112">
        <v>0</v>
      </c>
      <c r="F188" s="112">
        <v>0</v>
      </c>
      <c r="G188" s="112">
        <v>342</v>
      </c>
      <c r="H188" s="112">
        <v>532</v>
      </c>
      <c r="I188" s="112">
        <v>666</v>
      </c>
      <c r="J188" s="112">
        <v>599</v>
      </c>
      <c r="K188" s="112">
        <v>544</v>
      </c>
      <c r="L188" s="112">
        <v>2897</v>
      </c>
      <c r="M188" s="112">
        <v>3149</v>
      </c>
      <c r="N188" s="112">
        <v>2931</v>
      </c>
      <c r="O188" s="112">
        <v>3491</v>
      </c>
      <c r="P188" s="112">
        <v>1374</v>
      </c>
      <c r="Q188" s="112">
        <v>1074</v>
      </c>
      <c r="R188" s="112">
        <v>1112</v>
      </c>
      <c r="S188" s="112">
        <v>1045</v>
      </c>
      <c r="T188" s="112">
        <v>838</v>
      </c>
      <c r="U188" s="112">
        <v>773</v>
      </c>
      <c r="V188" s="112">
        <v>710</v>
      </c>
      <c r="W188" s="112">
        <v>820</v>
      </c>
      <c r="X188" s="112">
        <v>1048</v>
      </c>
      <c r="Y188" s="112">
        <v>798</v>
      </c>
      <c r="Z188" s="112">
        <v>982</v>
      </c>
      <c r="AA188" s="112">
        <v>1004</v>
      </c>
      <c r="AB188" s="112">
        <v>573</v>
      </c>
      <c r="AC188" s="112">
        <v>588</v>
      </c>
      <c r="AD188" s="112">
        <v>498</v>
      </c>
      <c r="AE188" s="112">
        <v>702</v>
      </c>
      <c r="AF188" s="112">
        <v>740</v>
      </c>
      <c r="AG188" s="112">
        <v>899</v>
      </c>
      <c r="AH188" s="112">
        <v>933</v>
      </c>
      <c r="AI188" s="112">
        <v>766</v>
      </c>
      <c r="AJ188" s="112">
        <v>1014</v>
      </c>
      <c r="AK188" s="112">
        <v>1077</v>
      </c>
      <c r="AL188" s="112">
        <v>986</v>
      </c>
      <c r="AM188" s="112">
        <v>848</v>
      </c>
      <c r="AN188" s="112">
        <v>2112</v>
      </c>
      <c r="AO188" s="112">
        <v>2626</v>
      </c>
      <c r="AP188" s="112">
        <v>2619</v>
      </c>
      <c r="AQ188" s="112">
        <v>1590</v>
      </c>
      <c r="AR188" s="112">
        <v>2734</v>
      </c>
      <c r="AS188" s="112">
        <v>3413</v>
      </c>
      <c r="AT188" s="112">
        <v>2802</v>
      </c>
      <c r="AU188" s="112">
        <v>2818</v>
      </c>
      <c r="AV188" s="112">
        <v>636</v>
      </c>
      <c r="AW188" s="112">
        <v>717</v>
      </c>
      <c r="AX188" s="112">
        <v>758</v>
      </c>
      <c r="AY188" s="112">
        <v>633</v>
      </c>
    </row>
    <row r="189" spans="1:51" x14ac:dyDescent="0.2">
      <c r="A189" s="132" t="s">
        <v>133</v>
      </c>
      <c r="B189" s="129">
        <v>1</v>
      </c>
      <c r="C189" s="130"/>
      <c r="D189" s="130">
        <v>0</v>
      </c>
      <c r="E189" s="130">
        <v>0</v>
      </c>
      <c r="F189" s="130">
        <v>2291.0367068297519</v>
      </c>
      <c r="G189" s="130">
        <v>2291.0367068297519</v>
      </c>
      <c r="H189" s="130">
        <v>1619</v>
      </c>
      <c r="I189" s="130">
        <v>617.96329317024811</v>
      </c>
      <c r="J189" s="130">
        <v>0</v>
      </c>
      <c r="K189" s="130">
        <v>0</v>
      </c>
      <c r="L189" s="130">
        <v>0</v>
      </c>
      <c r="M189" s="130">
        <v>0</v>
      </c>
      <c r="N189" s="130">
        <v>0</v>
      </c>
      <c r="O189" s="130">
        <v>0</v>
      </c>
      <c r="P189" s="130">
        <v>0</v>
      </c>
      <c r="Q189" s="130">
        <v>0</v>
      </c>
      <c r="R189" s="130">
        <v>0</v>
      </c>
      <c r="S189" s="130">
        <v>0</v>
      </c>
      <c r="T189" s="130">
        <v>0</v>
      </c>
      <c r="U189" s="130">
        <v>0</v>
      </c>
      <c r="V189" s="130">
        <v>0</v>
      </c>
      <c r="W189" s="130">
        <v>0</v>
      </c>
      <c r="X189" s="130">
        <v>0</v>
      </c>
      <c r="Y189" s="130">
        <v>0</v>
      </c>
      <c r="Z189" s="130">
        <v>0</v>
      </c>
      <c r="AA189" s="130">
        <v>0</v>
      </c>
      <c r="AB189" s="130">
        <v>0</v>
      </c>
      <c r="AC189" s="130">
        <v>0</v>
      </c>
      <c r="AD189" s="130">
        <v>0</v>
      </c>
      <c r="AE189" s="130">
        <v>0</v>
      </c>
      <c r="AF189" s="130">
        <v>0</v>
      </c>
      <c r="AG189" s="130">
        <v>0</v>
      </c>
      <c r="AH189" s="130">
        <v>0</v>
      </c>
      <c r="AI189" s="130">
        <v>0</v>
      </c>
      <c r="AJ189" s="130">
        <v>0</v>
      </c>
      <c r="AK189" s="130">
        <v>0</v>
      </c>
      <c r="AL189" s="130">
        <v>0</v>
      </c>
      <c r="AM189" s="130">
        <v>0</v>
      </c>
      <c r="AN189" s="130">
        <v>0</v>
      </c>
      <c r="AO189" s="130">
        <v>0</v>
      </c>
      <c r="AP189" s="130">
        <v>0</v>
      </c>
      <c r="AQ189" s="130">
        <v>0</v>
      </c>
      <c r="AR189" s="130">
        <v>0</v>
      </c>
      <c r="AS189" s="130">
        <v>0</v>
      </c>
      <c r="AT189" s="130">
        <v>0</v>
      </c>
      <c r="AU189" s="130">
        <v>0</v>
      </c>
      <c r="AV189" s="130">
        <v>0</v>
      </c>
      <c r="AW189" s="130">
        <v>0</v>
      </c>
      <c r="AX189" s="130">
        <v>0</v>
      </c>
      <c r="AY189" s="130">
        <v>0</v>
      </c>
    </row>
    <row r="190" spans="1:51" x14ac:dyDescent="0.2">
      <c r="A190" s="115"/>
      <c r="B190" s="125">
        <v>2</v>
      </c>
      <c r="C190" s="112"/>
      <c r="D190" s="112">
        <v>0</v>
      </c>
      <c r="E190" s="112">
        <v>0</v>
      </c>
      <c r="F190" s="112">
        <v>0</v>
      </c>
      <c r="G190" s="112">
        <v>0</v>
      </c>
      <c r="H190" s="112">
        <v>0</v>
      </c>
      <c r="I190" s="112">
        <v>672.03670682975189</v>
      </c>
      <c r="J190" s="112">
        <v>1644</v>
      </c>
      <c r="K190" s="112">
        <v>1213.9265863404962</v>
      </c>
      <c r="L190" s="112">
        <v>0</v>
      </c>
      <c r="M190" s="112">
        <v>0</v>
      </c>
      <c r="N190" s="112">
        <v>0</v>
      </c>
      <c r="O190" s="112">
        <v>0</v>
      </c>
      <c r="P190" s="112">
        <v>0</v>
      </c>
      <c r="Q190" s="112">
        <v>0</v>
      </c>
      <c r="R190" s="112">
        <v>0</v>
      </c>
      <c r="S190" s="112">
        <v>0</v>
      </c>
      <c r="T190" s="112">
        <v>0</v>
      </c>
      <c r="U190" s="112">
        <v>0</v>
      </c>
      <c r="V190" s="112">
        <v>0</v>
      </c>
      <c r="W190" s="112">
        <v>0</v>
      </c>
      <c r="X190" s="112">
        <v>0</v>
      </c>
      <c r="Y190" s="112">
        <v>0</v>
      </c>
      <c r="Z190" s="112">
        <v>0</v>
      </c>
      <c r="AA190" s="112">
        <v>0</v>
      </c>
      <c r="AB190" s="112">
        <v>0</v>
      </c>
      <c r="AC190" s="112">
        <v>0</v>
      </c>
      <c r="AD190" s="112">
        <v>0</v>
      </c>
      <c r="AE190" s="112">
        <v>0</v>
      </c>
      <c r="AF190" s="112">
        <v>0</v>
      </c>
      <c r="AG190" s="112">
        <v>0</v>
      </c>
      <c r="AH190" s="112">
        <v>0</v>
      </c>
      <c r="AI190" s="112">
        <v>0</v>
      </c>
      <c r="AJ190" s="112">
        <v>0</v>
      </c>
      <c r="AK190" s="112">
        <v>0</v>
      </c>
      <c r="AL190" s="112">
        <v>0</v>
      </c>
      <c r="AM190" s="112">
        <v>0</v>
      </c>
      <c r="AN190" s="112">
        <v>0</v>
      </c>
      <c r="AO190" s="112">
        <v>0</v>
      </c>
      <c r="AP190" s="112">
        <v>0</v>
      </c>
      <c r="AQ190" s="112">
        <v>0</v>
      </c>
      <c r="AR190" s="112">
        <v>0</v>
      </c>
      <c r="AS190" s="112">
        <v>0</v>
      </c>
      <c r="AT190" s="112">
        <v>0</v>
      </c>
      <c r="AU190" s="112">
        <v>0</v>
      </c>
      <c r="AV190" s="112">
        <v>0</v>
      </c>
      <c r="AW190" s="112">
        <v>0</v>
      </c>
      <c r="AX190" s="112">
        <v>0</v>
      </c>
      <c r="AY190" s="112">
        <v>0</v>
      </c>
    </row>
    <row r="191" spans="1:51" x14ac:dyDescent="0.2">
      <c r="A191" s="115"/>
      <c r="B191" s="126">
        <v>3</v>
      </c>
      <c r="C191" s="112"/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12">
        <v>0</v>
      </c>
      <c r="J191" s="112">
        <v>0</v>
      </c>
      <c r="K191" s="112">
        <v>29.073413659503785</v>
      </c>
      <c r="L191" s="112">
        <v>785</v>
      </c>
      <c r="M191" s="112">
        <v>714.5026727914601</v>
      </c>
      <c r="N191" s="112">
        <v>0</v>
      </c>
      <c r="O191" s="112">
        <v>0</v>
      </c>
      <c r="P191" s="112">
        <v>0</v>
      </c>
      <c r="Q191" s="112">
        <v>0</v>
      </c>
      <c r="R191" s="112">
        <v>0</v>
      </c>
      <c r="S191" s="112">
        <v>0</v>
      </c>
      <c r="T191" s="112">
        <v>0</v>
      </c>
      <c r="U191" s="112">
        <v>0</v>
      </c>
      <c r="V191" s="112">
        <v>0</v>
      </c>
      <c r="W191" s="112">
        <v>0</v>
      </c>
      <c r="X191" s="112">
        <v>0</v>
      </c>
      <c r="Y191" s="112">
        <v>0</v>
      </c>
      <c r="Z191" s="112">
        <v>0</v>
      </c>
      <c r="AA191" s="112">
        <v>0</v>
      </c>
      <c r="AB191" s="112">
        <v>0</v>
      </c>
      <c r="AC191" s="112">
        <v>0</v>
      </c>
      <c r="AD191" s="112">
        <v>0</v>
      </c>
      <c r="AE191" s="112">
        <v>0</v>
      </c>
      <c r="AF191" s="112">
        <v>0</v>
      </c>
      <c r="AG191" s="112">
        <v>0</v>
      </c>
      <c r="AH191" s="112">
        <v>0</v>
      </c>
      <c r="AI191" s="112">
        <v>0</v>
      </c>
      <c r="AJ191" s="112">
        <v>0</v>
      </c>
      <c r="AK191" s="112">
        <v>0</v>
      </c>
      <c r="AL191" s="112">
        <v>0</v>
      </c>
      <c r="AM191" s="112">
        <v>0</v>
      </c>
      <c r="AN191" s="112">
        <v>0</v>
      </c>
      <c r="AO191" s="112">
        <v>0</v>
      </c>
      <c r="AP191" s="112">
        <v>0</v>
      </c>
      <c r="AQ191" s="112">
        <v>0</v>
      </c>
      <c r="AR191" s="112">
        <v>0</v>
      </c>
      <c r="AS191" s="112">
        <v>0</v>
      </c>
      <c r="AT191" s="112">
        <v>0</v>
      </c>
      <c r="AU191" s="112">
        <v>0</v>
      </c>
      <c r="AV191" s="112">
        <v>0</v>
      </c>
      <c r="AW191" s="112">
        <v>0</v>
      </c>
      <c r="AX191" s="112">
        <v>0</v>
      </c>
      <c r="AY191" s="112">
        <v>0</v>
      </c>
    </row>
    <row r="192" spans="1:51" x14ac:dyDescent="0.2">
      <c r="A192" s="115"/>
      <c r="B192" s="126">
        <v>4</v>
      </c>
      <c r="C192" s="112"/>
      <c r="D192" s="112">
        <v>0</v>
      </c>
      <c r="E192" s="112">
        <v>0</v>
      </c>
      <c r="F192" s="112">
        <v>0</v>
      </c>
      <c r="G192" s="112">
        <v>0</v>
      </c>
      <c r="H192" s="112">
        <v>0</v>
      </c>
      <c r="I192" s="112">
        <v>0</v>
      </c>
      <c r="J192" s="112">
        <v>0</v>
      </c>
      <c r="K192" s="112">
        <v>0</v>
      </c>
      <c r="L192" s="112">
        <v>0</v>
      </c>
      <c r="M192" s="112">
        <v>185.4973272085399</v>
      </c>
      <c r="N192" s="112">
        <v>710</v>
      </c>
      <c r="O192" s="112">
        <v>0</v>
      </c>
      <c r="P192" s="112">
        <v>0</v>
      </c>
      <c r="Q192" s="112">
        <v>0</v>
      </c>
      <c r="R192" s="112">
        <v>0</v>
      </c>
      <c r="S192" s="112">
        <v>0</v>
      </c>
      <c r="T192" s="112">
        <v>0</v>
      </c>
      <c r="U192" s="112">
        <v>0</v>
      </c>
      <c r="V192" s="112">
        <v>0</v>
      </c>
      <c r="W192" s="112">
        <v>0</v>
      </c>
      <c r="X192" s="112">
        <v>0</v>
      </c>
      <c r="Y192" s="112">
        <v>0</v>
      </c>
      <c r="Z192" s="112">
        <v>0</v>
      </c>
      <c r="AA192" s="112">
        <v>0</v>
      </c>
      <c r="AB192" s="112">
        <v>0</v>
      </c>
      <c r="AC192" s="112">
        <v>0</v>
      </c>
      <c r="AD192" s="112">
        <v>0</v>
      </c>
      <c r="AE192" s="112">
        <v>0</v>
      </c>
      <c r="AF192" s="112">
        <v>0</v>
      </c>
      <c r="AG192" s="112">
        <v>0</v>
      </c>
      <c r="AH192" s="112">
        <v>0</v>
      </c>
      <c r="AI192" s="112">
        <v>0</v>
      </c>
      <c r="AJ192" s="112">
        <v>0</v>
      </c>
      <c r="AK192" s="112">
        <v>0</v>
      </c>
      <c r="AL192" s="112">
        <v>0</v>
      </c>
      <c r="AM192" s="112">
        <v>0</v>
      </c>
      <c r="AN192" s="112">
        <v>0</v>
      </c>
      <c r="AO192" s="112">
        <v>0</v>
      </c>
      <c r="AP192" s="112">
        <v>0</v>
      </c>
      <c r="AQ192" s="112">
        <v>0</v>
      </c>
      <c r="AR192" s="112">
        <v>0</v>
      </c>
      <c r="AS192" s="112">
        <v>0</v>
      </c>
      <c r="AT192" s="112">
        <v>0</v>
      </c>
      <c r="AU192" s="112">
        <v>0</v>
      </c>
      <c r="AV192" s="112">
        <v>0</v>
      </c>
      <c r="AW192" s="112">
        <v>0</v>
      </c>
      <c r="AX192" s="112">
        <v>129.30969138677574</v>
      </c>
      <c r="AY192" s="112">
        <v>976.88577783773962</v>
      </c>
    </row>
    <row r="193" spans="1:51" x14ac:dyDescent="0.2">
      <c r="A193" s="115"/>
      <c r="B193" s="133">
        <v>5</v>
      </c>
      <c r="C193" s="112"/>
      <c r="D193" s="112">
        <v>0</v>
      </c>
      <c r="E193" s="112">
        <v>0</v>
      </c>
      <c r="F193" s="112">
        <v>0</v>
      </c>
      <c r="G193" s="112">
        <v>0</v>
      </c>
      <c r="H193" s="112">
        <v>0</v>
      </c>
      <c r="I193" s="112">
        <v>0</v>
      </c>
      <c r="J193" s="112">
        <v>0</v>
      </c>
      <c r="K193" s="112">
        <v>0</v>
      </c>
      <c r="L193" s="112">
        <v>0</v>
      </c>
      <c r="M193" s="112">
        <v>0</v>
      </c>
      <c r="N193" s="112">
        <v>0</v>
      </c>
      <c r="O193" s="112">
        <v>654</v>
      </c>
      <c r="P193" s="112">
        <v>672.07875924242398</v>
      </c>
      <c r="Q193" s="112">
        <v>146.55719193911591</v>
      </c>
      <c r="R193" s="112">
        <v>0</v>
      </c>
      <c r="S193" s="112">
        <v>0</v>
      </c>
      <c r="T193" s="112">
        <v>0</v>
      </c>
      <c r="U193" s="112">
        <v>0</v>
      </c>
      <c r="V193" s="112">
        <v>0</v>
      </c>
      <c r="W193" s="112">
        <v>0</v>
      </c>
      <c r="X193" s="112">
        <v>0</v>
      </c>
      <c r="Y193" s="112">
        <v>0</v>
      </c>
      <c r="Z193" s="112">
        <v>0</v>
      </c>
      <c r="AA193" s="112">
        <v>0</v>
      </c>
      <c r="AB193" s="112">
        <v>0</v>
      </c>
      <c r="AC193" s="112">
        <v>0</v>
      </c>
      <c r="AD193" s="112">
        <v>0</v>
      </c>
      <c r="AE193" s="112">
        <v>0</v>
      </c>
      <c r="AF193" s="112">
        <v>0</v>
      </c>
      <c r="AG193" s="112">
        <v>0</v>
      </c>
      <c r="AH193" s="112">
        <v>0</v>
      </c>
      <c r="AI193" s="112">
        <v>0</v>
      </c>
      <c r="AJ193" s="112">
        <v>0</v>
      </c>
      <c r="AK193" s="112">
        <v>0</v>
      </c>
      <c r="AL193" s="112">
        <v>0</v>
      </c>
      <c r="AM193" s="112">
        <v>0</v>
      </c>
      <c r="AN193" s="112">
        <v>0</v>
      </c>
      <c r="AO193" s="112">
        <v>0</v>
      </c>
      <c r="AP193" s="112">
        <v>0</v>
      </c>
      <c r="AQ193" s="112">
        <v>0</v>
      </c>
      <c r="AR193" s="112">
        <v>0</v>
      </c>
      <c r="AS193" s="112">
        <v>0</v>
      </c>
      <c r="AT193" s="112">
        <v>107.88043225481942</v>
      </c>
      <c r="AU193" s="112">
        <v>1316.8437254250675</v>
      </c>
      <c r="AV193" s="112">
        <v>2605.3221581217595</v>
      </c>
      <c r="AW193" s="112">
        <v>2068.7703117655637</v>
      </c>
      <c r="AX193" s="112">
        <v>2184.4239135490361</v>
      </c>
      <c r="AY193" s="112">
        <v>2055.1142221622604</v>
      </c>
    </row>
    <row r="194" spans="1:51" x14ac:dyDescent="0.2">
      <c r="A194" s="115"/>
      <c r="B194" s="133">
        <v>6</v>
      </c>
      <c r="C194" s="112"/>
      <c r="D194" s="112">
        <v>0</v>
      </c>
      <c r="E194" s="112">
        <v>0</v>
      </c>
      <c r="F194" s="112">
        <v>0</v>
      </c>
      <c r="G194" s="112">
        <v>0</v>
      </c>
      <c r="H194" s="112">
        <v>0</v>
      </c>
      <c r="I194" s="112">
        <v>0</v>
      </c>
      <c r="J194" s="112">
        <v>0</v>
      </c>
      <c r="K194" s="112">
        <v>0</v>
      </c>
      <c r="L194" s="112">
        <v>0</v>
      </c>
      <c r="M194" s="112">
        <v>0</v>
      </c>
      <c r="N194" s="112">
        <v>0</v>
      </c>
      <c r="O194" s="112">
        <v>0</v>
      </c>
      <c r="P194" s="112">
        <v>105.92124075757602</v>
      </c>
      <c r="Q194" s="112">
        <v>659.44280806088409</v>
      </c>
      <c r="R194" s="112">
        <v>1029</v>
      </c>
      <c r="S194" s="112">
        <v>0</v>
      </c>
      <c r="T194" s="112">
        <v>0</v>
      </c>
      <c r="U194" s="112">
        <v>0</v>
      </c>
      <c r="V194" s="112">
        <v>0</v>
      </c>
      <c r="W194" s="112">
        <v>0</v>
      </c>
      <c r="X194" s="112">
        <v>0</v>
      </c>
      <c r="Y194" s="112">
        <v>0</v>
      </c>
      <c r="Z194" s="112">
        <v>0</v>
      </c>
      <c r="AA194" s="112">
        <v>0</v>
      </c>
      <c r="AB194" s="112">
        <v>0</v>
      </c>
      <c r="AC194" s="112">
        <v>0</v>
      </c>
      <c r="AD194" s="112">
        <v>0</v>
      </c>
      <c r="AE194" s="112">
        <v>295.91486566830599</v>
      </c>
      <c r="AF194" s="112">
        <v>0</v>
      </c>
      <c r="AG194" s="112">
        <v>0</v>
      </c>
      <c r="AH194" s="112">
        <v>0</v>
      </c>
      <c r="AI194" s="112">
        <v>0</v>
      </c>
      <c r="AJ194" s="112">
        <v>0</v>
      </c>
      <c r="AK194" s="112">
        <v>0</v>
      </c>
      <c r="AL194" s="112">
        <v>0</v>
      </c>
      <c r="AM194" s="112">
        <v>0</v>
      </c>
      <c r="AN194" s="112">
        <v>0</v>
      </c>
      <c r="AO194" s="112">
        <v>0</v>
      </c>
      <c r="AP194" s="112">
        <v>0</v>
      </c>
      <c r="AQ194" s="112">
        <v>0</v>
      </c>
      <c r="AR194" s="112">
        <v>0</v>
      </c>
      <c r="AS194" s="112">
        <v>659.72825935289165</v>
      </c>
      <c r="AT194" s="112">
        <v>2184.4239135490361</v>
      </c>
      <c r="AU194" s="112">
        <v>2183.1562745749325</v>
      </c>
      <c r="AV194" s="112">
        <v>14.677841878240542</v>
      </c>
      <c r="AW194" s="112">
        <v>645.22968823443625</v>
      </c>
      <c r="AX194" s="112">
        <v>222.26639506418815</v>
      </c>
      <c r="AY194" s="112">
        <v>0</v>
      </c>
    </row>
    <row r="195" spans="1:51" x14ac:dyDescent="0.2">
      <c r="A195" s="115"/>
      <c r="B195" s="136">
        <v>7</v>
      </c>
      <c r="C195" s="112"/>
      <c r="D195" s="112">
        <v>0</v>
      </c>
      <c r="E195" s="112">
        <v>0</v>
      </c>
      <c r="F195" s="112">
        <v>0</v>
      </c>
      <c r="G195" s="112">
        <v>0</v>
      </c>
      <c r="H195" s="112">
        <v>0</v>
      </c>
      <c r="I195" s="112">
        <v>0</v>
      </c>
      <c r="J195" s="112">
        <v>0</v>
      </c>
      <c r="K195" s="112">
        <v>0</v>
      </c>
      <c r="L195" s="112">
        <v>0</v>
      </c>
      <c r="M195" s="112">
        <v>0</v>
      </c>
      <c r="N195" s="112">
        <v>0</v>
      </c>
      <c r="O195" s="112">
        <v>0</v>
      </c>
      <c r="P195" s="112">
        <v>0</v>
      </c>
      <c r="Q195" s="112">
        <v>0</v>
      </c>
      <c r="R195" s="112">
        <v>0</v>
      </c>
      <c r="S195" s="112">
        <v>1069</v>
      </c>
      <c r="T195" s="112">
        <v>215.23093214435221</v>
      </c>
      <c r="U195" s="112">
        <v>0</v>
      </c>
      <c r="V195" s="112">
        <v>0</v>
      </c>
      <c r="W195" s="112">
        <v>0</v>
      </c>
      <c r="X195" s="112">
        <v>168.57608645096388</v>
      </c>
      <c r="Y195" s="112">
        <v>1689.0609469245201</v>
      </c>
      <c r="Z195" s="112">
        <v>921.54580739807625</v>
      </c>
      <c r="AA195" s="112">
        <v>825.50910056832436</v>
      </c>
      <c r="AB195" s="112">
        <v>2232.9939610418805</v>
      </c>
      <c r="AC195" s="112">
        <v>1143.3738413583769</v>
      </c>
      <c r="AD195" s="112">
        <v>1523.3284982480891</v>
      </c>
      <c r="AE195" s="112">
        <v>2184.4239135490361</v>
      </c>
      <c r="AF195" s="112">
        <v>1541</v>
      </c>
      <c r="AG195" s="112">
        <v>1030.4909521192699</v>
      </c>
      <c r="AH195" s="112">
        <v>165.06703857023376</v>
      </c>
      <c r="AI195" s="112">
        <v>697.54547126692569</v>
      </c>
      <c r="AJ195" s="112">
        <v>0</v>
      </c>
      <c r="AK195" s="112">
        <v>0</v>
      </c>
      <c r="AL195" s="112">
        <v>0</v>
      </c>
      <c r="AM195" s="112">
        <v>0</v>
      </c>
      <c r="AN195" s="112">
        <v>0</v>
      </c>
      <c r="AO195" s="112">
        <v>0</v>
      </c>
      <c r="AP195" s="112">
        <v>0</v>
      </c>
      <c r="AQ195" s="112">
        <v>0</v>
      </c>
      <c r="AR195" s="112">
        <v>1504.5760864509639</v>
      </c>
      <c r="AS195" s="112">
        <v>2184.4239135490361</v>
      </c>
      <c r="AT195" s="112">
        <v>1524.6956541961445</v>
      </c>
      <c r="AU195" s="112">
        <v>0</v>
      </c>
      <c r="AV195" s="112">
        <v>0</v>
      </c>
      <c r="AW195" s="112">
        <v>0</v>
      </c>
      <c r="AX195" s="112">
        <v>0</v>
      </c>
      <c r="AY195" s="112">
        <v>0</v>
      </c>
    </row>
    <row r="196" spans="1:51" x14ac:dyDescent="0.2">
      <c r="A196" s="134"/>
      <c r="B196" s="135">
        <v>8</v>
      </c>
      <c r="C196" s="120"/>
      <c r="D196" s="120">
        <v>0</v>
      </c>
      <c r="E196" s="120">
        <v>0</v>
      </c>
      <c r="F196" s="120">
        <v>0</v>
      </c>
      <c r="G196" s="120">
        <v>0</v>
      </c>
      <c r="H196" s="120">
        <v>0</v>
      </c>
      <c r="I196" s="120">
        <v>0</v>
      </c>
      <c r="J196" s="120">
        <v>0</v>
      </c>
      <c r="K196" s="120">
        <v>0</v>
      </c>
      <c r="L196" s="120">
        <v>0</v>
      </c>
      <c r="M196" s="120">
        <v>0</v>
      </c>
      <c r="N196" s="120">
        <v>0</v>
      </c>
      <c r="O196" s="120">
        <v>0</v>
      </c>
      <c r="P196" s="120">
        <v>0</v>
      </c>
      <c r="Q196" s="120">
        <v>0</v>
      </c>
      <c r="R196" s="120">
        <v>0</v>
      </c>
      <c r="S196" s="120">
        <v>0</v>
      </c>
      <c r="T196" s="120">
        <v>792.76906785564779</v>
      </c>
      <c r="U196" s="120">
        <v>1204</v>
      </c>
      <c r="V196" s="120">
        <v>890</v>
      </c>
      <c r="W196" s="120">
        <v>974</v>
      </c>
      <c r="X196" s="120">
        <v>2184.4239135490361</v>
      </c>
      <c r="Y196" s="120">
        <v>790.93905307547993</v>
      </c>
      <c r="Z196" s="120">
        <v>1724.4541926019238</v>
      </c>
      <c r="AA196" s="120">
        <v>1369.4908994316756</v>
      </c>
      <c r="AB196" s="120">
        <v>134.00603895811946</v>
      </c>
      <c r="AC196" s="120">
        <v>800.62615864162308</v>
      </c>
      <c r="AD196" s="120">
        <v>559.67150175191091</v>
      </c>
      <c r="AE196" s="120">
        <v>180.66122078265789</v>
      </c>
      <c r="AF196" s="120">
        <v>0</v>
      </c>
      <c r="AG196" s="120">
        <v>347.50904788073012</v>
      </c>
      <c r="AH196" s="120">
        <v>1153.9329614297662</v>
      </c>
      <c r="AI196" s="120">
        <v>1166.4545287330743</v>
      </c>
      <c r="AJ196" s="120">
        <v>2146</v>
      </c>
      <c r="AK196" s="120">
        <v>2116</v>
      </c>
      <c r="AL196" s="120">
        <v>1910</v>
      </c>
      <c r="AM196" s="120">
        <v>1793</v>
      </c>
      <c r="AN196" s="120">
        <v>1123</v>
      </c>
      <c r="AO196" s="120">
        <v>1138</v>
      </c>
      <c r="AP196" s="120">
        <v>1250</v>
      </c>
      <c r="AQ196" s="120">
        <v>1026</v>
      </c>
      <c r="AR196" s="120">
        <v>2184.4239135490361</v>
      </c>
      <c r="AS196" s="120">
        <v>679.84782709807223</v>
      </c>
      <c r="AT196" s="120">
        <v>0</v>
      </c>
      <c r="AU196" s="120">
        <v>0</v>
      </c>
      <c r="AV196" s="120">
        <v>0</v>
      </c>
      <c r="AW196" s="120">
        <v>0</v>
      </c>
      <c r="AX196" s="120">
        <v>0</v>
      </c>
      <c r="AY196" s="120">
        <v>0</v>
      </c>
    </row>
    <row r="197" spans="1:51" x14ac:dyDescent="0.2">
      <c r="A197" s="137" t="s">
        <v>134</v>
      </c>
      <c r="B197" s="125">
        <v>1</v>
      </c>
      <c r="C197" s="112"/>
      <c r="D197" s="112">
        <v>0</v>
      </c>
      <c r="E197" s="112">
        <v>0</v>
      </c>
      <c r="F197" s="112">
        <v>0</v>
      </c>
      <c r="G197" s="112">
        <v>0</v>
      </c>
      <c r="H197" s="112">
        <v>0</v>
      </c>
      <c r="I197" s="112">
        <v>0</v>
      </c>
      <c r="J197" s="112">
        <v>0</v>
      </c>
      <c r="K197" s="112">
        <v>0</v>
      </c>
      <c r="L197" s="112">
        <v>0</v>
      </c>
      <c r="M197" s="112">
        <v>0</v>
      </c>
      <c r="N197" s="112">
        <v>0</v>
      </c>
      <c r="O197" s="112">
        <v>0</v>
      </c>
      <c r="P197" s="112">
        <v>0</v>
      </c>
      <c r="Q197" s="112">
        <v>0</v>
      </c>
      <c r="R197" s="112">
        <v>0</v>
      </c>
      <c r="S197" s="112">
        <v>0</v>
      </c>
      <c r="T197" s="112">
        <v>0</v>
      </c>
      <c r="U197" s="112">
        <v>0</v>
      </c>
      <c r="V197" s="112">
        <v>0</v>
      </c>
      <c r="W197" s="112">
        <v>0</v>
      </c>
      <c r="X197" s="112">
        <v>0</v>
      </c>
      <c r="Y197" s="112">
        <v>0</v>
      </c>
      <c r="Z197" s="112">
        <v>0</v>
      </c>
      <c r="AA197" s="112">
        <v>0</v>
      </c>
      <c r="AB197" s="112">
        <v>0</v>
      </c>
      <c r="AC197" s="112">
        <v>0</v>
      </c>
      <c r="AD197" s="112">
        <v>0</v>
      </c>
      <c r="AE197" s="112">
        <v>0</v>
      </c>
      <c r="AF197" s="112">
        <v>0</v>
      </c>
      <c r="AG197" s="112">
        <v>0</v>
      </c>
      <c r="AH197" s="112">
        <v>0</v>
      </c>
      <c r="AI197" s="112">
        <v>0</v>
      </c>
      <c r="AJ197" s="112">
        <v>0</v>
      </c>
      <c r="AK197" s="112">
        <v>0</v>
      </c>
      <c r="AL197" s="112">
        <v>0</v>
      </c>
      <c r="AM197" s="112">
        <v>0</v>
      </c>
      <c r="AN197" s="112">
        <v>0</v>
      </c>
      <c r="AO197" s="112">
        <v>0</v>
      </c>
      <c r="AP197" s="112">
        <v>0</v>
      </c>
      <c r="AQ197" s="112">
        <v>0</v>
      </c>
      <c r="AR197" s="112">
        <v>0</v>
      </c>
      <c r="AS197" s="112">
        <v>0</v>
      </c>
      <c r="AT197" s="112">
        <v>0</v>
      </c>
      <c r="AU197" s="112">
        <v>0</v>
      </c>
      <c r="AV197" s="112">
        <v>0</v>
      </c>
      <c r="AW197" s="112">
        <v>0</v>
      </c>
      <c r="AX197" s="112">
        <v>0</v>
      </c>
      <c r="AY197" s="112">
        <v>0</v>
      </c>
    </row>
    <row r="198" spans="1:51" x14ac:dyDescent="0.2">
      <c r="A198" s="115"/>
      <c r="B198" s="125">
        <v>2</v>
      </c>
      <c r="C198" s="112"/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12">
        <v>0</v>
      </c>
      <c r="J198" s="112">
        <v>0</v>
      </c>
      <c r="K198" s="112">
        <v>0</v>
      </c>
      <c r="L198" s="112">
        <v>0</v>
      </c>
      <c r="M198" s="112">
        <v>0</v>
      </c>
      <c r="N198" s="112">
        <v>0</v>
      </c>
      <c r="O198" s="112">
        <v>0</v>
      </c>
      <c r="P198" s="112">
        <v>0</v>
      </c>
      <c r="Q198" s="112">
        <v>0</v>
      </c>
      <c r="R198" s="112">
        <v>0</v>
      </c>
      <c r="S198" s="112">
        <v>0</v>
      </c>
      <c r="T198" s="112">
        <v>0</v>
      </c>
      <c r="U198" s="112">
        <v>0</v>
      </c>
      <c r="V198" s="112">
        <v>0</v>
      </c>
      <c r="W198" s="112">
        <v>0</v>
      </c>
      <c r="X198" s="112">
        <v>0</v>
      </c>
      <c r="Y198" s="112">
        <v>0</v>
      </c>
      <c r="Z198" s="112">
        <v>0</v>
      </c>
      <c r="AA198" s="112">
        <v>0</v>
      </c>
      <c r="AB198" s="112">
        <v>0</v>
      </c>
      <c r="AC198" s="112">
        <v>0</v>
      </c>
      <c r="AD198" s="112">
        <v>0</v>
      </c>
      <c r="AE198" s="112">
        <v>0</v>
      </c>
      <c r="AF198" s="112">
        <v>0</v>
      </c>
      <c r="AG198" s="112">
        <v>0</v>
      </c>
      <c r="AH198" s="112">
        <v>0</v>
      </c>
      <c r="AI198" s="112">
        <v>0</v>
      </c>
      <c r="AJ198" s="112">
        <v>0</v>
      </c>
      <c r="AK198" s="112">
        <v>0</v>
      </c>
      <c r="AL198" s="112">
        <v>0</v>
      </c>
      <c r="AM198" s="112">
        <v>0</v>
      </c>
      <c r="AN198" s="112">
        <v>0</v>
      </c>
      <c r="AO198" s="112">
        <v>0</v>
      </c>
      <c r="AP198" s="112">
        <v>0</v>
      </c>
      <c r="AQ198" s="112">
        <v>0</v>
      </c>
      <c r="AR198" s="112">
        <v>0</v>
      </c>
      <c r="AS198" s="112">
        <v>0</v>
      </c>
      <c r="AT198" s="112">
        <v>0</v>
      </c>
      <c r="AU198" s="112">
        <v>0</v>
      </c>
      <c r="AV198" s="112">
        <v>0</v>
      </c>
      <c r="AW198" s="112">
        <v>0</v>
      </c>
      <c r="AX198" s="112">
        <v>0</v>
      </c>
      <c r="AY198" s="112">
        <v>0</v>
      </c>
    </row>
    <row r="199" spans="1:51" x14ac:dyDescent="0.2">
      <c r="A199" s="115"/>
      <c r="B199" s="125">
        <v>3</v>
      </c>
      <c r="C199" s="112"/>
      <c r="D199" s="112">
        <v>0</v>
      </c>
      <c r="E199" s="112">
        <v>0</v>
      </c>
      <c r="F199" s="112">
        <v>0</v>
      </c>
      <c r="G199" s="112">
        <v>0</v>
      </c>
      <c r="H199" s="112">
        <v>0</v>
      </c>
      <c r="I199" s="112">
        <v>0</v>
      </c>
      <c r="J199" s="112">
        <v>0</v>
      </c>
      <c r="K199" s="112">
        <v>0</v>
      </c>
      <c r="L199" s="112">
        <v>0</v>
      </c>
      <c r="M199" s="112">
        <v>0</v>
      </c>
      <c r="N199" s="112">
        <v>0</v>
      </c>
      <c r="O199" s="112">
        <v>0</v>
      </c>
      <c r="P199" s="112">
        <v>0</v>
      </c>
      <c r="Q199" s="112">
        <v>0</v>
      </c>
      <c r="R199" s="112">
        <v>0</v>
      </c>
      <c r="S199" s="112">
        <v>0</v>
      </c>
      <c r="T199" s="112">
        <v>0</v>
      </c>
      <c r="U199" s="112">
        <v>0</v>
      </c>
      <c r="V199" s="112">
        <v>0</v>
      </c>
      <c r="W199" s="112">
        <v>0</v>
      </c>
      <c r="X199" s="112">
        <v>0</v>
      </c>
      <c r="Y199" s="112">
        <v>0</v>
      </c>
      <c r="Z199" s="112">
        <v>0</v>
      </c>
      <c r="AA199" s="112">
        <v>0</v>
      </c>
      <c r="AB199" s="112">
        <v>0</v>
      </c>
      <c r="AC199" s="112">
        <v>0</v>
      </c>
      <c r="AD199" s="112">
        <v>0</v>
      </c>
      <c r="AE199" s="112">
        <v>0</v>
      </c>
      <c r="AF199" s="112">
        <v>0</v>
      </c>
      <c r="AG199" s="112">
        <v>0</v>
      </c>
      <c r="AH199" s="112">
        <v>0</v>
      </c>
      <c r="AI199" s="112">
        <v>0</v>
      </c>
      <c r="AJ199" s="112">
        <v>0</v>
      </c>
      <c r="AK199" s="112">
        <v>0</v>
      </c>
      <c r="AL199" s="112">
        <v>0</v>
      </c>
      <c r="AM199" s="112">
        <v>0</v>
      </c>
      <c r="AN199" s="112">
        <v>0</v>
      </c>
      <c r="AO199" s="112">
        <v>0</v>
      </c>
      <c r="AP199" s="112">
        <v>0</v>
      </c>
      <c r="AQ199" s="112">
        <v>0</v>
      </c>
      <c r="AR199" s="112">
        <v>0</v>
      </c>
      <c r="AS199" s="112">
        <v>0</v>
      </c>
      <c r="AT199" s="112">
        <v>0</v>
      </c>
      <c r="AU199" s="112">
        <v>0</v>
      </c>
      <c r="AV199" s="112">
        <v>0</v>
      </c>
      <c r="AW199" s="112">
        <v>0</v>
      </c>
      <c r="AX199" s="112">
        <v>0</v>
      </c>
      <c r="AY199" s="112">
        <v>0</v>
      </c>
    </row>
    <row r="200" spans="1:51" x14ac:dyDescent="0.2">
      <c r="A200" s="115"/>
      <c r="B200" s="126">
        <v>4</v>
      </c>
      <c r="C200" s="112"/>
      <c r="D200" s="112">
        <v>0</v>
      </c>
      <c r="E200" s="112">
        <v>0</v>
      </c>
      <c r="F200" s="112">
        <v>0</v>
      </c>
      <c r="G200" s="112">
        <v>0</v>
      </c>
      <c r="H200" s="112">
        <v>0</v>
      </c>
      <c r="I200" s="112">
        <v>0</v>
      </c>
      <c r="J200" s="112">
        <v>0</v>
      </c>
      <c r="K200" s="112">
        <v>0</v>
      </c>
      <c r="L200" s="112">
        <v>0</v>
      </c>
      <c r="M200" s="112">
        <v>0</v>
      </c>
      <c r="N200" s="112">
        <v>0</v>
      </c>
      <c r="O200" s="112">
        <v>0</v>
      </c>
      <c r="P200" s="112">
        <v>0</v>
      </c>
      <c r="Q200" s="112">
        <v>0</v>
      </c>
      <c r="R200" s="112">
        <v>0</v>
      </c>
      <c r="S200" s="112">
        <v>0</v>
      </c>
      <c r="T200" s="112">
        <v>0</v>
      </c>
      <c r="U200" s="112">
        <v>0</v>
      </c>
      <c r="V200" s="112">
        <v>0</v>
      </c>
      <c r="W200" s="112">
        <v>0</v>
      </c>
      <c r="X200" s="112">
        <v>0</v>
      </c>
      <c r="Y200" s="112">
        <v>0</v>
      </c>
      <c r="Z200" s="112">
        <v>0</v>
      </c>
      <c r="AA200" s="112">
        <v>0</v>
      </c>
      <c r="AB200" s="112">
        <v>0</v>
      </c>
      <c r="AC200" s="112">
        <v>0</v>
      </c>
      <c r="AD200" s="112">
        <v>0</v>
      </c>
      <c r="AE200" s="112">
        <v>0</v>
      </c>
      <c r="AF200" s="112">
        <v>0</v>
      </c>
      <c r="AG200" s="112">
        <v>0</v>
      </c>
      <c r="AH200" s="112">
        <v>0</v>
      </c>
      <c r="AI200" s="112">
        <v>0</v>
      </c>
      <c r="AJ200" s="112">
        <v>0</v>
      </c>
      <c r="AK200" s="112">
        <v>0</v>
      </c>
      <c r="AL200" s="112">
        <v>0</v>
      </c>
      <c r="AM200" s="112">
        <v>0</v>
      </c>
      <c r="AN200" s="112">
        <v>0</v>
      </c>
      <c r="AO200" s="112">
        <v>0</v>
      </c>
      <c r="AP200" s="112">
        <v>0</v>
      </c>
      <c r="AQ200" s="112">
        <v>0</v>
      </c>
      <c r="AR200" s="112">
        <v>0</v>
      </c>
      <c r="AS200" s="112">
        <v>0</v>
      </c>
      <c r="AT200" s="112">
        <v>0</v>
      </c>
      <c r="AU200" s="112">
        <v>0</v>
      </c>
      <c r="AV200" s="112">
        <v>0</v>
      </c>
      <c r="AW200" s="112">
        <v>0</v>
      </c>
      <c r="AX200" s="112">
        <v>0</v>
      </c>
      <c r="AY200" s="112">
        <v>0</v>
      </c>
    </row>
    <row r="201" spans="1:51" x14ac:dyDescent="0.2">
      <c r="A201" s="115"/>
      <c r="B201" s="126">
        <v>5</v>
      </c>
      <c r="C201" s="112"/>
      <c r="D201" s="112">
        <v>0</v>
      </c>
      <c r="E201" s="112">
        <v>0</v>
      </c>
      <c r="F201" s="112">
        <v>0</v>
      </c>
      <c r="G201" s="112">
        <v>0</v>
      </c>
      <c r="H201" s="112">
        <v>0</v>
      </c>
      <c r="I201" s="112">
        <v>0</v>
      </c>
      <c r="J201" s="112">
        <v>0</v>
      </c>
      <c r="K201" s="112">
        <v>0</v>
      </c>
      <c r="L201" s="112">
        <v>0</v>
      </c>
      <c r="M201" s="112">
        <v>0</v>
      </c>
      <c r="N201" s="112">
        <v>0</v>
      </c>
      <c r="O201" s="112">
        <v>0</v>
      </c>
      <c r="P201" s="112">
        <v>0</v>
      </c>
      <c r="Q201" s="112">
        <v>0</v>
      </c>
      <c r="R201" s="112">
        <v>0</v>
      </c>
      <c r="S201" s="112">
        <v>0</v>
      </c>
      <c r="T201" s="112">
        <v>0</v>
      </c>
      <c r="U201" s="112">
        <v>0</v>
      </c>
      <c r="V201" s="112">
        <v>0</v>
      </c>
      <c r="W201" s="112">
        <v>0</v>
      </c>
      <c r="X201" s="112">
        <v>0</v>
      </c>
      <c r="Y201" s="112">
        <v>0</v>
      </c>
      <c r="Z201" s="112">
        <v>0</v>
      </c>
      <c r="AA201" s="112">
        <v>0</v>
      </c>
      <c r="AB201" s="112">
        <v>0</v>
      </c>
      <c r="AC201" s="112">
        <v>0</v>
      </c>
      <c r="AD201" s="112">
        <v>0</v>
      </c>
      <c r="AE201" s="112">
        <v>0</v>
      </c>
      <c r="AF201" s="112">
        <v>0</v>
      </c>
      <c r="AG201" s="112">
        <v>0</v>
      </c>
      <c r="AH201" s="112">
        <v>0</v>
      </c>
      <c r="AI201" s="112">
        <v>0</v>
      </c>
      <c r="AJ201" s="112">
        <v>0</v>
      </c>
      <c r="AK201" s="112">
        <v>0</v>
      </c>
      <c r="AL201" s="112">
        <v>0</v>
      </c>
      <c r="AM201" s="112">
        <v>0</v>
      </c>
      <c r="AN201" s="112">
        <v>0</v>
      </c>
      <c r="AO201" s="112">
        <v>0</v>
      </c>
      <c r="AP201" s="112">
        <v>0</v>
      </c>
      <c r="AQ201" s="112">
        <v>0</v>
      </c>
      <c r="AR201" s="112">
        <v>0</v>
      </c>
      <c r="AS201" s="112">
        <v>0</v>
      </c>
      <c r="AT201" s="112">
        <v>0</v>
      </c>
      <c r="AU201" s="112">
        <v>0</v>
      </c>
      <c r="AV201" s="112">
        <v>0</v>
      </c>
      <c r="AW201" s="112">
        <v>0</v>
      </c>
      <c r="AX201" s="112">
        <v>0</v>
      </c>
      <c r="AY201" s="112">
        <v>0</v>
      </c>
    </row>
    <row r="202" spans="1:51" x14ac:dyDescent="0.2">
      <c r="A202" s="115"/>
      <c r="B202" s="126">
        <v>6</v>
      </c>
      <c r="C202" s="112"/>
      <c r="D202" s="112">
        <v>0</v>
      </c>
      <c r="E202" s="112">
        <v>0</v>
      </c>
      <c r="F202" s="112">
        <v>0</v>
      </c>
      <c r="G202" s="112">
        <v>0</v>
      </c>
      <c r="H202" s="112">
        <v>0</v>
      </c>
      <c r="I202" s="112">
        <v>0</v>
      </c>
      <c r="J202" s="112">
        <v>0</v>
      </c>
      <c r="K202" s="112">
        <v>0</v>
      </c>
      <c r="L202" s="112">
        <v>0</v>
      </c>
      <c r="M202" s="112">
        <v>0</v>
      </c>
      <c r="N202" s="112">
        <v>0</v>
      </c>
      <c r="O202" s="112">
        <v>0</v>
      </c>
      <c r="P202" s="112">
        <v>0</v>
      </c>
      <c r="Q202" s="112">
        <v>0</v>
      </c>
      <c r="R202" s="112">
        <v>0</v>
      </c>
      <c r="S202" s="112">
        <v>0</v>
      </c>
      <c r="T202" s="112">
        <v>0</v>
      </c>
      <c r="U202" s="112">
        <v>0</v>
      </c>
      <c r="V202" s="112">
        <v>0</v>
      </c>
      <c r="W202" s="112">
        <v>0</v>
      </c>
      <c r="X202" s="112">
        <v>0</v>
      </c>
      <c r="Y202" s="112">
        <v>0</v>
      </c>
      <c r="Z202" s="112">
        <v>0</v>
      </c>
      <c r="AA202" s="112">
        <v>0</v>
      </c>
      <c r="AB202" s="112">
        <v>0</v>
      </c>
      <c r="AC202" s="112">
        <v>0</v>
      </c>
      <c r="AD202" s="112">
        <v>0</v>
      </c>
      <c r="AE202" s="112">
        <v>0</v>
      </c>
      <c r="AF202" s="112">
        <v>0</v>
      </c>
      <c r="AG202" s="112">
        <v>0</v>
      </c>
      <c r="AH202" s="112">
        <v>0</v>
      </c>
      <c r="AI202" s="112">
        <v>0</v>
      </c>
      <c r="AJ202" s="112">
        <v>0</v>
      </c>
      <c r="AK202" s="112">
        <v>0</v>
      </c>
      <c r="AL202" s="112">
        <v>0</v>
      </c>
      <c r="AM202" s="112">
        <v>0</v>
      </c>
      <c r="AN202" s="112">
        <v>0</v>
      </c>
      <c r="AO202" s="112">
        <v>0</v>
      </c>
      <c r="AP202" s="112">
        <v>0</v>
      </c>
      <c r="AQ202" s="112">
        <v>0</v>
      </c>
      <c r="AR202" s="112">
        <v>0</v>
      </c>
      <c r="AS202" s="112">
        <v>0</v>
      </c>
      <c r="AT202" s="112">
        <v>0</v>
      </c>
      <c r="AU202" s="112">
        <v>0</v>
      </c>
      <c r="AV202" s="112">
        <v>0</v>
      </c>
      <c r="AW202" s="112">
        <v>0</v>
      </c>
      <c r="AX202" s="112">
        <v>0</v>
      </c>
      <c r="AY202" s="112">
        <v>0</v>
      </c>
    </row>
    <row r="203" spans="1:51" x14ac:dyDescent="0.2">
      <c r="A203" s="115"/>
      <c r="B203" s="133">
        <v>7</v>
      </c>
      <c r="C203" s="112"/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12">
        <v>0</v>
      </c>
      <c r="J203" s="112">
        <v>0</v>
      </c>
      <c r="K203" s="112">
        <v>0</v>
      </c>
      <c r="L203" s="112">
        <v>0</v>
      </c>
      <c r="M203" s="112">
        <v>0</v>
      </c>
      <c r="N203" s="112">
        <v>0</v>
      </c>
      <c r="O203" s="112">
        <v>0</v>
      </c>
      <c r="P203" s="112">
        <v>0</v>
      </c>
      <c r="Q203" s="112">
        <v>0</v>
      </c>
      <c r="R203" s="112">
        <v>0</v>
      </c>
      <c r="S203" s="112">
        <v>0</v>
      </c>
      <c r="T203" s="112">
        <v>0</v>
      </c>
      <c r="U203" s="112">
        <v>0</v>
      </c>
      <c r="V203" s="112">
        <v>0</v>
      </c>
      <c r="W203" s="112">
        <v>0</v>
      </c>
      <c r="X203" s="112">
        <v>0</v>
      </c>
      <c r="Y203" s="112">
        <v>0</v>
      </c>
      <c r="Z203" s="112">
        <v>0</v>
      </c>
      <c r="AA203" s="112">
        <v>0</v>
      </c>
      <c r="AB203" s="112">
        <v>0</v>
      </c>
      <c r="AC203" s="112">
        <v>0</v>
      </c>
      <c r="AD203" s="112">
        <v>0</v>
      </c>
      <c r="AE203" s="112">
        <v>0</v>
      </c>
      <c r="AF203" s="112">
        <v>0</v>
      </c>
      <c r="AG203" s="112">
        <v>0</v>
      </c>
      <c r="AH203" s="112">
        <v>0</v>
      </c>
      <c r="AI203" s="112">
        <v>0</v>
      </c>
      <c r="AJ203" s="112">
        <v>0</v>
      </c>
      <c r="AK203" s="112">
        <v>0</v>
      </c>
      <c r="AL203" s="112">
        <v>0</v>
      </c>
      <c r="AM203" s="112">
        <v>0</v>
      </c>
      <c r="AN203" s="112">
        <v>0</v>
      </c>
      <c r="AO203" s="112">
        <v>0</v>
      </c>
      <c r="AP203" s="112">
        <v>0</v>
      </c>
      <c r="AQ203" s="112">
        <v>0</v>
      </c>
      <c r="AR203" s="112">
        <v>0</v>
      </c>
      <c r="AS203" s="112">
        <v>0</v>
      </c>
      <c r="AT203" s="112">
        <v>0</v>
      </c>
      <c r="AU203" s="112">
        <v>0</v>
      </c>
      <c r="AV203" s="112">
        <v>0</v>
      </c>
      <c r="AW203" s="112">
        <v>0</v>
      </c>
      <c r="AX203" s="112">
        <v>0</v>
      </c>
      <c r="AY203" s="112">
        <v>0</v>
      </c>
    </row>
    <row r="204" spans="1:51" x14ac:dyDescent="0.2">
      <c r="A204" s="115"/>
      <c r="B204" s="133">
        <v>8</v>
      </c>
      <c r="C204" s="112"/>
      <c r="D204" s="112">
        <v>0</v>
      </c>
      <c r="E204" s="112">
        <v>0</v>
      </c>
      <c r="F204" s="112">
        <v>0</v>
      </c>
      <c r="G204" s="112">
        <v>0</v>
      </c>
      <c r="H204" s="112">
        <v>0</v>
      </c>
      <c r="I204" s="112">
        <v>0</v>
      </c>
      <c r="J204" s="112">
        <v>0</v>
      </c>
      <c r="K204" s="112">
        <v>0</v>
      </c>
      <c r="L204" s="112">
        <v>0</v>
      </c>
      <c r="M204" s="112">
        <v>0</v>
      </c>
      <c r="N204" s="112">
        <v>0</v>
      </c>
      <c r="O204" s="112">
        <v>0</v>
      </c>
      <c r="P204" s="112">
        <v>0</v>
      </c>
      <c r="Q204" s="112">
        <v>0</v>
      </c>
      <c r="R204" s="112">
        <v>0</v>
      </c>
      <c r="S204" s="112">
        <v>0</v>
      </c>
      <c r="T204" s="112">
        <v>0</v>
      </c>
      <c r="U204" s="112">
        <v>0</v>
      </c>
      <c r="V204" s="112">
        <v>0</v>
      </c>
      <c r="W204" s="112">
        <v>0</v>
      </c>
      <c r="X204" s="112">
        <v>0</v>
      </c>
      <c r="Y204" s="112">
        <v>0</v>
      </c>
      <c r="Z204" s="112">
        <v>0</v>
      </c>
      <c r="AA204" s="112">
        <v>0</v>
      </c>
      <c r="AB204" s="112">
        <v>0</v>
      </c>
      <c r="AC204" s="112">
        <v>0</v>
      </c>
      <c r="AD204" s="112">
        <v>0</v>
      </c>
      <c r="AE204" s="112">
        <v>0</v>
      </c>
      <c r="AF204" s="112">
        <v>0</v>
      </c>
      <c r="AG204" s="112">
        <v>0</v>
      </c>
      <c r="AH204" s="112">
        <v>0</v>
      </c>
      <c r="AI204" s="112">
        <v>0</v>
      </c>
      <c r="AJ204" s="112">
        <v>0</v>
      </c>
      <c r="AK204" s="112">
        <v>0</v>
      </c>
      <c r="AL204" s="112">
        <v>0</v>
      </c>
      <c r="AM204" s="112">
        <v>0</v>
      </c>
      <c r="AN204" s="112">
        <v>0</v>
      </c>
      <c r="AO204" s="112">
        <v>0</v>
      </c>
      <c r="AP204" s="112">
        <v>0</v>
      </c>
      <c r="AQ204" s="112">
        <v>0</v>
      </c>
      <c r="AR204" s="112">
        <v>0</v>
      </c>
      <c r="AS204" s="112">
        <v>0</v>
      </c>
      <c r="AT204" s="112">
        <v>0</v>
      </c>
      <c r="AU204" s="112">
        <v>0</v>
      </c>
      <c r="AV204" s="112">
        <v>0</v>
      </c>
      <c r="AW204" s="112">
        <v>0</v>
      </c>
      <c r="AX204" s="112">
        <v>0</v>
      </c>
      <c r="AY204" s="112">
        <v>0</v>
      </c>
    </row>
    <row r="205" spans="1:51" x14ac:dyDescent="0.2">
      <c r="A205" s="115"/>
      <c r="B205" s="133">
        <v>9</v>
      </c>
      <c r="C205" s="112"/>
      <c r="D205" s="112">
        <v>0</v>
      </c>
      <c r="E205" s="112">
        <v>0</v>
      </c>
      <c r="F205" s="112">
        <v>0</v>
      </c>
      <c r="G205" s="112">
        <v>0</v>
      </c>
      <c r="H205" s="112">
        <v>0</v>
      </c>
      <c r="I205" s="112">
        <v>0</v>
      </c>
      <c r="J205" s="112">
        <v>0</v>
      </c>
      <c r="K205" s="112">
        <v>0</v>
      </c>
      <c r="L205" s="112">
        <v>0</v>
      </c>
      <c r="M205" s="112">
        <v>0</v>
      </c>
      <c r="N205" s="112">
        <v>0</v>
      </c>
      <c r="O205" s="112">
        <v>0</v>
      </c>
      <c r="P205" s="112">
        <v>0</v>
      </c>
      <c r="Q205" s="112">
        <v>0</v>
      </c>
      <c r="R205" s="112">
        <v>0</v>
      </c>
      <c r="S205" s="112">
        <v>0</v>
      </c>
      <c r="T205" s="112">
        <v>0</v>
      </c>
      <c r="U205" s="112">
        <v>0</v>
      </c>
      <c r="V205" s="112">
        <v>0</v>
      </c>
      <c r="W205" s="112">
        <v>0</v>
      </c>
      <c r="X205" s="112">
        <v>0</v>
      </c>
      <c r="Y205" s="112">
        <v>0</v>
      </c>
      <c r="Z205" s="112">
        <v>0</v>
      </c>
      <c r="AA205" s="112">
        <v>0</v>
      </c>
      <c r="AB205" s="112">
        <v>0</v>
      </c>
      <c r="AC205" s="112">
        <v>0</v>
      </c>
      <c r="AD205" s="112">
        <v>0</v>
      </c>
      <c r="AE205" s="112">
        <v>0</v>
      </c>
      <c r="AF205" s="112">
        <v>0</v>
      </c>
      <c r="AG205" s="112">
        <v>0</v>
      </c>
      <c r="AH205" s="112">
        <v>0</v>
      </c>
      <c r="AI205" s="112">
        <v>0</v>
      </c>
      <c r="AJ205" s="112">
        <v>0</v>
      </c>
      <c r="AK205" s="112">
        <v>0</v>
      </c>
      <c r="AL205" s="112">
        <v>0</v>
      </c>
      <c r="AM205" s="112">
        <v>0</v>
      </c>
      <c r="AN205" s="112">
        <v>0</v>
      </c>
      <c r="AO205" s="112">
        <v>0</v>
      </c>
      <c r="AP205" s="112">
        <v>0</v>
      </c>
      <c r="AQ205" s="112">
        <v>0</v>
      </c>
      <c r="AR205" s="112">
        <v>0</v>
      </c>
      <c r="AS205" s="112">
        <v>0</v>
      </c>
      <c r="AT205" s="112">
        <v>0</v>
      </c>
      <c r="AU205" s="112">
        <v>0</v>
      </c>
      <c r="AV205" s="112">
        <v>0</v>
      </c>
      <c r="AW205" s="112">
        <v>0</v>
      </c>
      <c r="AX205" s="112">
        <v>0</v>
      </c>
      <c r="AY205" s="112">
        <v>0</v>
      </c>
    </row>
    <row r="206" spans="1:51" x14ac:dyDescent="0.2">
      <c r="A206" s="115"/>
      <c r="B206" s="136">
        <v>10</v>
      </c>
      <c r="C206" s="112"/>
      <c r="D206" s="112">
        <v>0</v>
      </c>
      <c r="E206" s="112">
        <v>0</v>
      </c>
      <c r="F206" s="112">
        <v>0</v>
      </c>
      <c r="G206" s="112">
        <v>0</v>
      </c>
      <c r="H206" s="112">
        <v>0</v>
      </c>
      <c r="I206" s="112">
        <v>0</v>
      </c>
      <c r="J206" s="112">
        <v>0</v>
      </c>
      <c r="K206" s="112">
        <v>0</v>
      </c>
      <c r="L206" s="112">
        <v>0</v>
      </c>
      <c r="M206" s="112">
        <v>0</v>
      </c>
      <c r="N206" s="112">
        <v>0</v>
      </c>
      <c r="O206" s="112">
        <v>0</v>
      </c>
      <c r="P206" s="112">
        <v>0</v>
      </c>
      <c r="Q206" s="112">
        <v>0</v>
      </c>
      <c r="R206" s="112">
        <v>0</v>
      </c>
      <c r="S206" s="112">
        <v>0</v>
      </c>
      <c r="T206" s="112">
        <v>0</v>
      </c>
      <c r="U206" s="112">
        <v>0</v>
      </c>
      <c r="V206" s="112">
        <v>0</v>
      </c>
      <c r="W206" s="112">
        <v>0</v>
      </c>
      <c r="X206" s="112">
        <v>0</v>
      </c>
      <c r="Y206" s="112">
        <v>0</v>
      </c>
      <c r="Z206" s="112">
        <v>0</v>
      </c>
      <c r="AA206" s="112">
        <v>0</v>
      </c>
      <c r="AB206" s="112">
        <v>0</v>
      </c>
      <c r="AC206" s="112">
        <v>0</v>
      </c>
      <c r="AD206" s="112">
        <v>0</v>
      </c>
      <c r="AE206" s="112">
        <v>0</v>
      </c>
      <c r="AF206" s="112">
        <v>0</v>
      </c>
      <c r="AG206" s="112">
        <v>0</v>
      </c>
      <c r="AH206" s="112">
        <v>0</v>
      </c>
      <c r="AI206" s="112">
        <v>0</v>
      </c>
      <c r="AJ206" s="112">
        <v>0</v>
      </c>
      <c r="AK206" s="112">
        <v>0</v>
      </c>
      <c r="AL206" s="112">
        <v>0</v>
      </c>
      <c r="AM206" s="112">
        <v>0</v>
      </c>
      <c r="AN206" s="112">
        <v>0</v>
      </c>
      <c r="AO206" s="112">
        <v>0</v>
      </c>
      <c r="AP206" s="112">
        <v>0</v>
      </c>
      <c r="AQ206" s="112">
        <v>0</v>
      </c>
      <c r="AR206" s="112">
        <v>0</v>
      </c>
      <c r="AS206" s="112">
        <v>0</v>
      </c>
      <c r="AT206" s="112">
        <v>0</v>
      </c>
      <c r="AU206" s="112">
        <v>0</v>
      </c>
      <c r="AV206" s="112">
        <v>0</v>
      </c>
      <c r="AW206" s="112">
        <v>0</v>
      </c>
      <c r="AX206" s="112">
        <v>0</v>
      </c>
      <c r="AY206" s="112">
        <v>0</v>
      </c>
    </row>
    <row r="207" spans="1:51" x14ac:dyDescent="0.2">
      <c r="A207" s="115"/>
      <c r="B207" s="136">
        <v>11</v>
      </c>
      <c r="C207" s="112"/>
      <c r="D207" s="112">
        <v>0</v>
      </c>
      <c r="E207" s="112">
        <v>0</v>
      </c>
      <c r="F207" s="112">
        <v>0</v>
      </c>
      <c r="G207" s="112">
        <v>0</v>
      </c>
      <c r="H207" s="112">
        <v>0</v>
      </c>
      <c r="I207" s="112">
        <v>0</v>
      </c>
      <c r="J207" s="112">
        <v>0</v>
      </c>
      <c r="K207" s="112">
        <v>0</v>
      </c>
      <c r="L207" s="112">
        <v>0</v>
      </c>
      <c r="M207" s="112">
        <v>0</v>
      </c>
      <c r="N207" s="112">
        <v>0</v>
      </c>
      <c r="O207" s="112">
        <v>0</v>
      </c>
      <c r="P207" s="112">
        <v>0</v>
      </c>
      <c r="Q207" s="112">
        <v>0</v>
      </c>
      <c r="R207" s="112">
        <v>0</v>
      </c>
      <c r="S207" s="112">
        <v>0</v>
      </c>
      <c r="T207" s="112">
        <v>0</v>
      </c>
      <c r="U207" s="112">
        <v>0</v>
      </c>
      <c r="V207" s="112">
        <v>0</v>
      </c>
      <c r="W207" s="112">
        <v>0</v>
      </c>
      <c r="X207" s="112">
        <v>0</v>
      </c>
      <c r="Y207" s="112">
        <v>0</v>
      </c>
      <c r="Z207" s="112">
        <v>0</v>
      </c>
      <c r="AA207" s="112">
        <v>0</v>
      </c>
      <c r="AB207" s="112">
        <v>0</v>
      </c>
      <c r="AC207" s="112">
        <v>0</v>
      </c>
      <c r="AD207" s="112">
        <v>0</v>
      </c>
      <c r="AE207" s="112">
        <v>0</v>
      </c>
      <c r="AF207" s="112">
        <v>0</v>
      </c>
      <c r="AG207" s="112">
        <v>0</v>
      </c>
      <c r="AH207" s="112">
        <v>0</v>
      </c>
      <c r="AI207" s="112">
        <v>0</v>
      </c>
      <c r="AJ207" s="112">
        <v>0</v>
      </c>
      <c r="AK207" s="112">
        <v>0</v>
      </c>
      <c r="AL207" s="112">
        <v>0</v>
      </c>
      <c r="AM207" s="112">
        <v>0</v>
      </c>
      <c r="AN207" s="112">
        <v>0</v>
      </c>
      <c r="AO207" s="112">
        <v>0</v>
      </c>
      <c r="AP207" s="112">
        <v>0</v>
      </c>
      <c r="AQ207" s="112">
        <v>0</v>
      </c>
      <c r="AR207" s="112">
        <v>0</v>
      </c>
      <c r="AS207" s="112">
        <v>0</v>
      </c>
      <c r="AT207" s="112">
        <v>0</v>
      </c>
      <c r="AU207" s="112">
        <v>0</v>
      </c>
      <c r="AV207" s="112">
        <v>0</v>
      </c>
      <c r="AW207" s="112">
        <v>0</v>
      </c>
      <c r="AX207" s="112">
        <v>0</v>
      </c>
      <c r="AY207" s="112">
        <v>0</v>
      </c>
    </row>
    <row r="208" spans="1:51" x14ac:dyDescent="0.2">
      <c r="A208" s="115"/>
      <c r="B208" s="136">
        <v>12</v>
      </c>
      <c r="C208" s="112"/>
      <c r="D208" s="112">
        <v>0</v>
      </c>
      <c r="E208" s="112">
        <v>0</v>
      </c>
      <c r="F208" s="112">
        <v>0</v>
      </c>
      <c r="G208" s="112">
        <v>0</v>
      </c>
      <c r="H208" s="112">
        <v>0</v>
      </c>
      <c r="I208" s="112">
        <v>0</v>
      </c>
      <c r="J208" s="112">
        <v>0</v>
      </c>
      <c r="K208" s="112">
        <v>0</v>
      </c>
      <c r="L208" s="112">
        <v>0</v>
      </c>
      <c r="M208" s="112">
        <v>0</v>
      </c>
      <c r="N208" s="112">
        <v>0</v>
      </c>
      <c r="O208" s="112">
        <v>0</v>
      </c>
      <c r="P208" s="112">
        <v>0</v>
      </c>
      <c r="Q208" s="112">
        <v>0</v>
      </c>
      <c r="R208" s="112">
        <v>0</v>
      </c>
      <c r="S208" s="112">
        <v>0</v>
      </c>
      <c r="T208" s="112">
        <v>0</v>
      </c>
      <c r="U208" s="112">
        <v>0</v>
      </c>
      <c r="V208" s="112">
        <v>0</v>
      </c>
      <c r="W208" s="112">
        <v>0</v>
      </c>
      <c r="X208" s="112">
        <v>0</v>
      </c>
      <c r="Y208" s="112">
        <v>0</v>
      </c>
      <c r="Z208" s="112">
        <v>0</v>
      </c>
      <c r="AA208" s="112">
        <v>0</v>
      </c>
      <c r="AB208" s="112">
        <v>0</v>
      </c>
      <c r="AC208" s="112">
        <v>0</v>
      </c>
      <c r="AD208" s="112">
        <v>0</v>
      </c>
      <c r="AE208" s="112">
        <v>0</v>
      </c>
      <c r="AF208" s="112">
        <v>0</v>
      </c>
      <c r="AG208" s="112">
        <v>0</v>
      </c>
      <c r="AH208" s="112">
        <v>0</v>
      </c>
      <c r="AI208" s="112">
        <v>0</v>
      </c>
      <c r="AJ208" s="112">
        <v>0</v>
      </c>
      <c r="AK208" s="112">
        <v>0</v>
      </c>
      <c r="AL208" s="112">
        <v>0</v>
      </c>
      <c r="AM208" s="112">
        <v>0</v>
      </c>
      <c r="AN208" s="112">
        <v>0</v>
      </c>
      <c r="AO208" s="112">
        <v>0</v>
      </c>
      <c r="AP208" s="112">
        <v>0</v>
      </c>
      <c r="AQ208" s="112">
        <v>0</v>
      </c>
      <c r="AR208" s="112">
        <v>0</v>
      </c>
      <c r="AS208" s="112">
        <v>0</v>
      </c>
      <c r="AT208" s="112">
        <v>0</v>
      </c>
      <c r="AU208" s="112">
        <v>0</v>
      </c>
      <c r="AV208" s="112">
        <v>0</v>
      </c>
      <c r="AW208" s="112">
        <v>0</v>
      </c>
      <c r="AX208" s="112">
        <v>0</v>
      </c>
      <c r="AY208" s="112">
        <v>0</v>
      </c>
    </row>
    <row r="209" spans="1:51" x14ac:dyDescent="0.2">
      <c r="A209" s="132" t="s">
        <v>123</v>
      </c>
      <c r="B209" s="129">
        <v>1</v>
      </c>
      <c r="C209" s="130"/>
      <c r="D209" s="130">
        <v>0</v>
      </c>
      <c r="E209" s="130">
        <v>0</v>
      </c>
      <c r="F209" s="130">
        <v>0</v>
      </c>
      <c r="G209" s="130">
        <v>0</v>
      </c>
      <c r="H209" s="130">
        <v>0</v>
      </c>
      <c r="I209" s="130">
        <v>0</v>
      </c>
      <c r="J209" s="130">
        <v>0</v>
      </c>
      <c r="K209" s="130">
        <v>0</v>
      </c>
      <c r="L209" s="130">
        <v>0</v>
      </c>
      <c r="M209" s="130">
        <v>0</v>
      </c>
      <c r="N209" s="130">
        <v>0</v>
      </c>
      <c r="O209" s="130">
        <v>0</v>
      </c>
      <c r="P209" s="130">
        <v>0</v>
      </c>
      <c r="Q209" s="130">
        <v>0</v>
      </c>
      <c r="R209" s="130">
        <v>0</v>
      </c>
      <c r="S209" s="130">
        <v>0</v>
      </c>
      <c r="T209" s="130">
        <v>0</v>
      </c>
      <c r="U209" s="130">
        <v>0</v>
      </c>
      <c r="V209" s="130">
        <v>0</v>
      </c>
      <c r="W209" s="130">
        <v>0</v>
      </c>
      <c r="X209" s="130">
        <v>0</v>
      </c>
      <c r="Y209" s="130">
        <v>0</v>
      </c>
      <c r="Z209" s="130">
        <v>0</v>
      </c>
      <c r="AA209" s="130">
        <v>0</v>
      </c>
      <c r="AB209" s="130">
        <v>0</v>
      </c>
      <c r="AC209" s="130">
        <v>0</v>
      </c>
      <c r="AD209" s="130">
        <v>0</v>
      </c>
      <c r="AE209" s="130">
        <v>0</v>
      </c>
      <c r="AF209" s="130">
        <v>0</v>
      </c>
      <c r="AG209" s="130">
        <v>0</v>
      </c>
      <c r="AH209" s="130">
        <v>0</v>
      </c>
      <c r="AI209" s="130">
        <v>0</v>
      </c>
      <c r="AJ209" s="130">
        <v>0</v>
      </c>
      <c r="AK209" s="130">
        <v>0</v>
      </c>
      <c r="AL209" s="130">
        <v>0</v>
      </c>
      <c r="AM209" s="130">
        <v>0</v>
      </c>
      <c r="AN209" s="130">
        <v>0</v>
      </c>
      <c r="AO209" s="130">
        <v>0</v>
      </c>
      <c r="AP209" s="130">
        <v>0</v>
      </c>
      <c r="AQ209" s="130">
        <v>0</v>
      </c>
      <c r="AR209" s="130">
        <v>0</v>
      </c>
      <c r="AS209" s="130">
        <v>0</v>
      </c>
      <c r="AT209" s="130">
        <v>0</v>
      </c>
      <c r="AU209" s="130">
        <v>0</v>
      </c>
      <c r="AV209" s="130">
        <v>0</v>
      </c>
      <c r="AW209" s="130">
        <v>0</v>
      </c>
      <c r="AX209" s="130">
        <v>0</v>
      </c>
      <c r="AY209" s="130">
        <v>0</v>
      </c>
    </row>
    <row r="210" spans="1:51" x14ac:dyDescent="0.2">
      <c r="A210" s="115"/>
      <c r="B210" s="125">
        <v>2</v>
      </c>
      <c r="C210" s="112"/>
      <c r="D210" s="116">
        <v>0</v>
      </c>
      <c r="E210" s="116">
        <v>0</v>
      </c>
      <c r="F210" s="116">
        <v>0</v>
      </c>
      <c r="G210" s="116">
        <v>0</v>
      </c>
      <c r="H210" s="116">
        <v>0</v>
      </c>
      <c r="I210" s="116">
        <v>0</v>
      </c>
      <c r="J210" s="116">
        <v>0</v>
      </c>
      <c r="K210" s="116">
        <v>0</v>
      </c>
      <c r="L210" s="116">
        <v>0</v>
      </c>
      <c r="M210" s="116">
        <v>0</v>
      </c>
      <c r="N210" s="116">
        <v>0</v>
      </c>
      <c r="O210" s="116">
        <v>0</v>
      </c>
      <c r="P210" s="116">
        <v>0</v>
      </c>
      <c r="Q210" s="116">
        <v>0</v>
      </c>
      <c r="R210" s="116">
        <v>0</v>
      </c>
      <c r="S210" s="116">
        <v>0</v>
      </c>
      <c r="T210" s="116">
        <v>0</v>
      </c>
      <c r="U210" s="116">
        <v>0</v>
      </c>
      <c r="V210" s="116">
        <v>0</v>
      </c>
      <c r="W210" s="116">
        <v>0</v>
      </c>
      <c r="X210" s="116">
        <v>0</v>
      </c>
      <c r="Y210" s="116">
        <v>0</v>
      </c>
      <c r="Z210" s="116">
        <v>0</v>
      </c>
      <c r="AA210" s="116">
        <v>0</v>
      </c>
      <c r="AB210" s="116">
        <v>0</v>
      </c>
      <c r="AC210" s="116">
        <v>0</v>
      </c>
      <c r="AD210" s="116">
        <v>0</v>
      </c>
      <c r="AE210" s="116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116">
        <v>0</v>
      </c>
      <c r="AO210" s="116">
        <v>0</v>
      </c>
      <c r="AP210" s="116">
        <v>0</v>
      </c>
      <c r="AQ210" s="116">
        <v>0</v>
      </c>
      <c r="AR210" s="116">
        <v>0</v>
      </c>
      <c r="AS210" s="116">
        <v>0</v>
      </c>
      <c r="AT210" s="116">
        <v>0</v>
      </c>
      <c r="AU210" s="116">
        <v>0</v>
      </c>
      <c r="AV210" s="116">
        <v>0</v>
      </c>
      <c r="AW210" s="116">
        <v>0</v>
      </c>
      <c r="AX210" s="116">
        <v>0</v>
      </c>
      <c r="AY210" s="116">
        <v>0</v>
      </c>
    </row>
    <row r="211" spans="1:51" x14ac:dyDescent="0.2">
      <c r="A211" s="115"/>
      <c r="B211" s="125">
        <v>3</v>
      </c>
      <c r="C211" s="112"/>
      <c r="D211" s="116">
        <v>0</v>
      </c>
      <c r="E211" s="116">
        <v>0</v>
      </c>
      <c r="F211" s="116">
        <v>0</v>
      </c>
      <c r="G211" s="116">
        <v>0</v>
      </c>
      <c r="H211" s="116">
        <v>0</v>
      </c>
      <c r="I211" s="116">
        <v>0</v>
      </c>
      <c r="J211" s="116">
        <v>0</v>
      </c>
      <c r="K211" s="116">
        <v>0</v>
      </c>
      <c r="L211" s="116">
        <v>0</v>
      </c>
      <c r="M211" s="116">
        <v>0</v>
      </c>
      <c r="N211" s="116">
        <v>0</v>
      </c>
      <c r="O211" s="116">
        <v>0</v>
      </c>
      <c r="P211" s="116">
        <v>0</v>
      </c>
      <c r="Q211" s="116">
        <v>0</v>
      </c>
      <c r="R211" s="116">
        <v>0</v>
      </c>
      <c r="S211" s="116">
        <v>0</v>
      </c>
      <c r="T211" s="116">
        <v>0</v>
      </c>
      <c r="U211" s="116">
        <v>0</v>
      </c>
      <c r="V211" s="116">
        <v>0</v>
      </c>
      <c r="W211" s="116">
        <v>0</v>
      </c>
      <c r="X211" s="116">
        <v>0</v>
      </c>
      <c r="Y211" s="116">
        <v>0</v>
      </c>
      <c r="Z211" s="116">
        <v>0</v>
      </c>
      <c r="AA211" s="116">
        <v>0</v>
      </c>
      <c r="AB211" s="116">
        <v>0</v>
      </c>
      <c r="AC211" s="116">
        <v>0</v>
      </c>
      <c r="AD211" s="116">
        <v>0</v>
      </c>
      <c r="AE211" s="116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116">
        <v>0</v>
      </c>
      <c r="AO211" s="116">
        <v>0</v>
      </c>
      <c r="AP211" s="116">
        <v>0</v>
      </c>
      <c r="AQ211" s="116">
        <v>0</v>
      </c>
      <c r="AR211" s="116">
        <v>0</v>
      </c>
      <c r="AS211" s="116">
        <v>0</v>
      </c>
      <c r="AT211" s="116">
        <v>0</v>
      </c>
      <c r="AU211" s="116">
        <v>0</v>
      </c>
      <c r="AV211" s="116">
        <v>0</v>
      </c>
      <c r="AW211" s="116">
        <v>0</v>
      </c>
      <c r="AX211" s="116">
        <v>0</v>
      </c>
      <c r="AY211" s="116">
        <v>0</v>
      </c>
    </row>
    <row r="212" spans="1:51" x14ac:dyDescent="0.2">
      <c r="A212" s="115"/>
      <c r="B212" s="125">
        <v>4</v>
      </c>
      <c r="C212" s="112"/>
      <c r="D212" s="116">
        <v>0</v>
      </c>
      <c r="E212" s="116">
        <v>0</v>
      </c>
      <c r="F212" s="116">
        <v>0</v>
      </c>
      <c r="G212" s="116">
        <v>0</v>
      </c>
      <c r="H212" s="116">
        <v>0</v>
      </c>
      <c r="I212" s="116">
        <v>0</v>
      </c>
      <c r="J212" s="116">
        <v>0</v>
      </c>
      <c r="K212" s="116">
        <v>0</v>
      </c>
      <c r="L212" s="116">
        <v>0</v>
      </c>
      <c r="M212" s="116">
        <v>0</v>
      </c>
      <c r="N212" s="116">
        <v>0</v>
      </c>
      <c r="O212" s="116">
        <v>0</v>
      </c>
      <c r="P212" s="116">
        <v>0</v>
      </c>
      <c r="Q212" s="116">
        <v>0</v>
      </c>
      <c r="R212" s="116">
        <v>0</v>
      </c>
      <c r="S212" s="116">
        <v>0</v>
      </c>
      <c r="T212" s="116">
        <v>0</v>
      </c>
      <c r="U212" s="116">
        <v>0</v>
      </c>
      <c r="V212" s="116">
        <v>0</v>
      </c>
      <c r="W212" s="116">
        <v>0</v>
      </c>
      <c r="X212" s="116">
        <v>0</v>
      </c>
      <c r="Y212" s="116">
        <v>0</v>
      </c>
      <c r="Z212" s="116">
        <v>0</v>
      </c>
      <c r="AA212" s="116">
        <v>0</v>
      </c>
      <c r="AB212" s="116">
        <v>0</v>
      </c>
      <c r="AC212" s="116">
        <v>0</v>
      </c>
      <c r="AD212" s="116">
        <v>0</v>
      </c>
      <c r="AE212" s="116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116">
        <v>0</v>
      </c>
      <c r="AO212" s="116">
        <v>0</v>
      </c>
      <c r="AP212" s="116">
        <v>0</v>
      </c>
      <c r="AQ212" s="116">
        <v>0</v>
      </c>
      <c r="AR212" s="116">
        <v>0</v>
      </c>
      <c r="AS212" s="116">
        <v>0</v>
      </c>
      <c r="AT212" s="116">
        <v>0</v>
      </c>
      <c r="AU212" s="116">
        <v>0</v>
      </c>
      <c r="AV212" s="116">
        <v>0</v>
      </c>
      <c r="AW212" s="116">
        <v>0</v>
      </c>
      <c r="AX212" s="116">
        <v>0</v>
      </c>
      <c r="AY212" s="116">
        <v>0</v>
      </c>
    </row>
    <row r="213" spans="1:51" x14ac:dyDescent="0.2">
      <c r="A213" s="115"/>
      <c r="B213" s="125">
        <v>5</v>
      </c>
      <c r="C213" s="112"/>
      <c r="D213" s="116">
        <v>0</v>
      </c>
      <c r="E213" s="116">
        <v>0</v>
      </c>
      <c r="F213" s="116">
        <v>0</v>
      </c>
      <c r="G213" s="116">
        <v>0</v>
      </c>
      <c r="H213" s="116">
        <v>0</v>
      </c>
      <c r="I213" s="116">
        <v>0</v>
      </c>
      <c r="J213" s="116">
        <v>0</v>
      </c>
      <c r="K213" s="116">
        <v>0</v>
      </c>
      <c r="L213" s="116">
        <v>0</v>
      </c>
      <c r="M213" s="116">
        <v>0</v>
      </c>
      <c r="N213" s="116">
        <v>0</v>
      </c>
      <c r="O213" s="116">
        <v>0</v>
      </c>
      <c r="P213" s="116">
        <v>0</v>
      </c>
      <c r="Q213" s="116">
        <v>0</v>
      </c>
      <c r="R213" s="116">
        <v>0</v>
      </c>
      <c r="S213" s="116">
        <v>0</v>
      </c>
      <c r="T213" s="116">
        <v>0</v>
      </c>
      <c r="U213" s="116">
        <v>0</v>
      </c>
      <c r="V213" s="116">
        <v>0</v>
      </c>
      <c r="W213" s="116">
        <v>0</v>
      </c>
      <c r="X213" s="116">
        <v>0</v>
      </c>
      <c r="Y213" s="116">
        <v>0</v>
      </c>
      <c r="Z213" s="116">
        <v>0</v>
      </c>
      <c r="AA213" s="116">
        <v>0</v>
      </c>
      <c r="AB213" s="116">
        <v>0</v>
      </c>
      <c r="AC213" s="116">
        <v>0</v>
      </c>
      <c r="AD213" s="116">
        <v>0</v>
      </c>
      <c r="AE213" s="116">
        <v>0</v>
      </c>
      <c r="AF213" s="116">
        <v>0</v>
      </c>
      <c r="AG213" s="116">
        <v>0</v>
      </c>
      <c r="AH213" s="116">
        <v>0</v>
      </c>
      <c r="AI213" s="116">
        <v>0</v>
      </c>
      <c r="AJ213" s="116">
        <v>0</v>
      </c>
      <c r="AK213" s="116">
        <v>0</v>
      </c>
      <c r="AL213" s="116">
        <v>0</v>
      </c>
      <c r="AM213" s="116">
        <v>0</v>
      </c>
      <c r="AN213" s="116">
        <v>0</v>
      </c>
      <c r="AO213" s="116">
        <v>0</v>
      </c>
      <c r="AP213" s="116">
        <v>0</v>
      </c>
      <c r="AQ213" s="116">
        <v>0</v>
      </c>
      <c r="AR213" s="116">
        <v>0</v>
      </c>
      <c r="AS213" s="116">
        <v>0</v>
      </c>
      <c r="AT213" s="116">
        <v>0</v>
      </c>
      <c r="AU213" s="116">
        <v>0</v>
      </c>
      <c r="AV213" s="116">
        <v>0</v>
      </c>
      <c r="AW213" s="116">
        <v>0</v>
      </c>
      <c r="AX213" s="116">
        <v>0</v>
      </c>
      <c r="AY213" s="116">
        <v>0</v>
      </c>
    </row>
    <row r="214" spans="1:51" x14ac:dyDescent="0.2">
      <c r="A214" s="115"/>
      <c r="B214" s="125">
        <v>6</v>
      </c>
      <c r="C214" s="112"/>
      <c r="D214" s="116">
        <v>0</v>
      </c>
      <c r="E214" s="116">
        <v>0</v>
      </c>
      <c r="F214" s="116">
        <v>0</v>
      </c>
      <c r="G214" s="116">
        <v>0</v>
      </c>
      <c r="H214" s="116">
        <v>0</v>
      </c>
      <c r="I214" s="116">
        <v>0</v>
      </c>
      <c r="J214" s="116">
        <v>0</v>
      </c>
      <c r="K214" s="116">
        <v>0</v>
      </c>
      <c r="L214" s="116">
        <v>0</v>
      </c>
      <c r="M214" s="116">
        <v>0</v>
      </c>
      <c r="N214" s="116">
        <v>0</v>
      </c>
      <c r="O214" s="116">
        <v>0</v>
      </c>
      <c r="P214" s="116">
        <v>0</v>
      </c>
      <c r="Q214" s="116">
        <v>0</v>
      </c>
      <c r="R214" s="116">
        <v>0</v>
      </c>
      <c r="S214" s="116">
        <v>0</v>
      </c>
      <c r="T214" s="116">
        <v>0</v>
      </c>
      <c r="U214" s="116">
        <v>0</v>
      </c>
      <c r="V214" s="116">
        <v>0</v>
      </c>
      <c r="W214" s="116">
        <v>0</v>
      </c>
      <c r="X214" s="116">
        <v>0</v>
      </c>
      <c r="Y214" s="116">
        <v>0</v>
      </c>
      <c r="Z214" s="116">
        <v>0</v>
      </c>
      <c r="AA214" s="116">
        <v>0</v>
      </c>
      <c r="AB214" s="116">
        <v>0</v>
      </c>
      <c r="AC214" s="116">
        <v>0</v>
      </c>
      <c r="AD214" s="116">
        <v>0</v>
      </c>
      <c r="AE214" s="116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116">
        <v>0</v>
      </c>
      <c r="AO214" s="116">
        <v>0</v>
      </c>
      <c r="AP214" s="116">
        <v>0</v>
      </c>
      <c r="AQ214" s="116">
        <v>0</v>
      </c>
      <c r="AR214" s="116">
        <v>0</v>
      </c>
      <c r="AS214" s="116">
        <v>0</v>
      </c>
      <c r="AT214" s="116">
        <v>0</v>
      </c>
      <c r="AU214" s="116">
        <v>0</v>
      </c>
      <c r="AV214" s="116">
        <v>0</v>
      </c>
      <c r="AW214" s="116">
        <v>0</v>
      </c>
      <c r="AX214" s="116">
        <v>0</v>
      </c>
      <c r="AY214" s="116">
        <v>0</v>
      </c>
    </row>
    <row r="215" spans="1:51" x14ac:dyDescent="0.2">
      <c r="A215" s="115"/>
      <c r="B215" s="125">
        <v>7</v>
      </c>
      <c r="C215" s="112"/>
      <c r="D215" s="116">
        <v>0</v>
      </c>
      <c r="E215" s="116">
        <v>0</v>
      </c>
      <c r="F215" s="116">
        <v>0</v>
      </c>
      <c r="G215" s="116">
        <v>0</v>
      </c>
      <c r="H215" s="116">
        <v>0</v>
      </c>
      <c r="I215" s="116">
        <v>0</v>
      </c>
      <c r="J215" s="116">
        <v>0</v>
      </c>
      <c r="K215" s="116">
        <v>0</v>
      </c>
      <c r="L215" s="116">
        <v>0</v>
      </c>
      <c r="M215" s="116">
        <v>0</v>
      </c>
      <c r="N215" s="116">
        <v>0</v>
      </c>
      <c r="O215" s="116">
        <v>0</v>
      </c>
      <c r="P215" s="116">
        <v>0</v>
      </c>
      <c r="Q215" s="116">
        <v>0</v>
      </c>
      <c r="R215" s="116">
        <v>0</v>
      </c>
      <c r="S215" s="116">
        <v>0</v>
      </c>
      <c r="T215" s="116">
        <v>0</v>
      </c>
      <c r="U215" s="116">
        <v>0</v>
      </c>
      <c r="V215" s="116">
        <v>0</v>
      </c>
      <c r="W215" s="116">
        <v>0</v>
      </c>
      <c r="X215" s="116">
        <v>0</v>
      </c>
      <c r="Y215" s="116">
        <v>0</v>
      </c>
      <c r="Z215" s="116">
        <v>0</v>
      </c>
      <c r="AA215" s="116">
        <v>0</v>
      </c>
      <c r="AB215" s="116">
        <v>0</v>
      </c>
      <c r="AC215" s="116">
        <v>0</v>
      </c>
      <c r="AD215" s="116">
        <v>0</v>
      </c>
      <c r="AE215" s="116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116">
        <v>0</v>
      </c>
      <c r="AO215" s="116">
        <v>0</v>
      </c>
      <c r="AP215" s="116">
        <v>0</v>
      </c>
      <c r="AQ215" s="116">
        <v>0</v>
      </c>
      <c r="AR215" s="116">
        <v>0</v>
      </c>
      <c r="AS215" s="116">
        <v>0</v>
      </c>
      <c r="AT215" s="116">
        <v>0</v>
      </c>
      <c r="AU215" s="116">
        <v>0</v>
      </c>
      <c r="AV215" s="116">
        <v>0</v>
      </c>
      <c r="AW215" s="116">
        <v>0</v>
      </c>
      <c r="AX215" s="116">
        <v>0</v>
      </c>
      <c r="AY215" s="116">
        <v>0</v>
      </c>
    </row>
    <row r="216" spans="1:51" x14ac:dyDescent="0.2">
      <c r="A216" s="115"/>
      <c r="B216" s="125">
        <v>8</v>
      </c>
      <c r="C216" s="112"/>
      <c r="D216" s="116">
        <v>0</v>
      </c>
      <c r="E216" s="116">
        <v>0</v>
      </c>
      <c r="F216" s="116">
        <v>0</v>
      </c>
      <c r="G216" s="116">
        <v>0</v>
      </c>
      <c r="H216" s="116">
        <v>0</v>
      </c>
      <c r="I216" s="116">
        <v>0</v>
      </c>
      <c r="J216" s="116">
        <v>0</v>
      </c>
      <c r="K216" s="116">
        <v>0</v>
      </c>
      <c r="L216" s="116">
        <v>0</v>
      </c>
      <c r="M216" s="116">
        <v>0</v>
      </c>
      <c r="N216" s="116">
        <v>0</v>
      </c>
      <c r="O216" s="116">
        <v>0</v>
      </c>
      <c r="P216" s="116">
        <v>0</v>
      </c>
      <c r="Q216" s="116">
        <v>0</v>
      </c>
      <c r="R216" s="116">
        <v>0</v>
      </c>
      <c r="S216" s="116">
        <v>0</v>
      </c>
      <c r="T216" s="116">
        <v>0</v>
      </c>
      <c r="U216" s="116">
        <v>0</v>
      </c>
      <c r="V216" s="116">
        <v>0</v>
      </c>
      <c r="W216" s="116">
        <v>0</v>
      </c>
      <c r="X216" s="116">
        <v>0</v>
      </c>
      <c r="Y216" s="116">
        <v>0</v>
      </c>
      <c r="Z216" s="116">
        <v>0</v>
      </c>
      <c r="AA216" s="116">
        <v>0</v>
      </c>
      <c r="AB216" s="116">
        <v>0</v>
      </c>
      <c r="AC216" s="116">
        <v>0</v>
      </c>
      <c r="AD216" s="116">
        <v>0</v>
      </c>
      <c r="AE216" s="116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0</v>
      </c>
      <c r="AM216" s="116">
        <v>0</v>
      </c>
      <c r="AN216" s="116">
        <v>0</v>
      </c>
      <c r="AO216" s="116">
        <v>0</v>
      </c>
      <c r="AP216" s="116">
        <v>0</v>
      </c>
      <c r="AQ216" s="116">
        <v>0</v>
      </c>
      <c r="AR216" s="116">
        <v>0</v>
      </c>
      <c r="AS216" s="116">
        <v>0</v>
      </c>
      <c r="AT216" s="116">
        <v>0</v>
      </c>
      <c r="AU216" s="116">
        <v>0</v>
      </c>
      <c r="AV216" s="116">
        <v>0</v>
      </c>
      <c r="AW216" s="116">
        <v>0</v>
      </c>
      <c r="AX216" s="116">
        <v>0</v>
      </c>
      <c r="AY216" s="116">
        <v>0</v>
      </c>
    </row>
    <row r="217" spans="1:51" x14ac:dyDescent="0.2">
      <c r="A217" s="115"/>
      <c r="B217" s="125">
        <v>9</v>
      </c>
      <c r="C217" s="112"/>
      <c r="D217" s="116">
        <v>0</v>
      </c>
      <c r="E217" s="116">
        <v>0</v>
      </c>
      <c r="F217" s="116">
        <v>0</v>
      </c>
      <c r="G217" s="116">
        <v>0</v>
      </c>
      <c r="H217" s="116">
        <v>0</v>
      </c>
      <c r="I217" s="116">
        <v>0</v>
      </c>
      <c r="J217" s="116">
        <v>0</v>
      </c>
      <c r="K217" s="116">
        <v>0</v>
      </c>
      <c r="L217" s="116">
        <v>0</v>
      </c>
      <c r="M217" s="116">
        <v>0</v>
      </c>
      <c r="N217" s="116">
        <v>0</v>
      </c>
      <c r="O217" s="116">
        <v>0</v>
      </c>
      <c r="P217" s="116">
        <v>0</v>
      </c>
      <c r="Q217" s="116">
        <v>0</v>
      </c>
      <c r="R217" s="116">
        <v>0</v>
      </c>
      <c r="S217" s="116">
        <v>0</v>
      </c>
      <c r="T217" s="116">
        <v>0</v>
      </c>
      <c r="U217" s="116">
        <v>0</v>
      </c>
      <c r="V217" s="116">
        <v>0</v>
      </c>
      <c r="W217" s="116">
        <v>0</v>
      </c>
      <c r="X217" s="116">
        <v>0</v>
      </c>
      <c r="Y217" s="116">
        <v>0</v>
      </c>
      <c r="Z217" s="116">
        <v>0</v>
      </c>
      <c r="AA217" s="116">
        <v>0</v>
      </c>
      <c r="AB217" s="116">
        <v>0</v>
      </c>
      <c r="AC217" s="116">
        <v>0</v>
      </c>
      <c r="AD217" s="116">
        <v>0</v>
      </c>
      <c r="AE217" s="116">
        <v>0</v>
      </c>
      <c r="AF217" s="116">
        <v>0</v>
      </c>
      <c r="AG217" s="116">
        <v>0</v>
      </c>
      <c r="AH217" s="116">
        <v>0</v>
      </c>
      <c r="AI217" s="116">
        <v>0</v>
      </c>
      <c r="AJ217" s="116">
        <v>0</v>
      </c>
      <c r="AK217" s="116">
        <v>0</v>
      </c>
      <c r="AL217" s="116">
        <v>0</v>
      </c>
      <c r="AM217" s="116">
        <v>0</v>
      </c>
      <c r="AN217" s="116">
        <v>0</v>
      </c>
      <c r="AO217" s="116">
        <v>0</v>
      </c>
      <c r="AP217" s="116">
        <v>0</v>
      </c>
      <c r="AQ217" s="116">
        <v>0</v>
      </c>
      <c r="AR217" s="116">
        <v>0</v>
      </c>
      <c r="AS217" s="116">
        <v>0</v>
      </c>
      <c r="AT217" s="116">
        <v>0</v>
      </c>
      <c r="AU217" s="116">
        <v>0</v>
      </c>
      <c r="AV217" s="116">
        <v>0</v>
      </c>
      <c r="AW217" s="116">
        <v>0</v>
      </c>
      <c r="AX217" s="116">
        <v>0</v>
      </c>
      <c r="AY217" s="116">
        <v>0</v>
      </c>
    </row>
    <row r="218" spans="1:51" x14ac:dyDescent="0.2">
      <c r="A218" s="115"/>
      <c r="B218" s="125">
        <v>10</v>
      </c>
      <c r="C218" s="112"/>
      <c r="D218" s="116">
        <v>0</v>
      </c>
      <c r="E218" s="116">
        <v>0</v>
      </c>
      <c r="F218" s="116">
        <v>0</v>
      </c>
      <c r="G218" s="116">
        <v>0</v>
      </c>
      <c r="H218" s="116">
        <v>0</v>
      </c>
      <c r="I218" s="116">
        <v>0</v>
      </c>
      <c r="J218" s="116">
        <v>0</v>
      </c>
      <c r="K218" s="116">
        <v>0</v>
      </c>
      <c r="L218" s="116">
        <v>0</v>
      </c>
      <c r="M218" s="116">
        <v>0</v>
      </c>
      <c r="N218" s="116">
        <v>0</v>
      </c>
      <c r="O218" s="116">
        <v>0</v>
      </c>
      <c r="P218" s="116">
        <v>0</v>
      </c>
      <c r="Q218" s="116">
        <v>0</v>
      </c>
      <c r="R218" s="116">
        <v>0</v>
      </c>
      <c r="S218" s="116">
        <v>0</v>
      </c>
      <c r="T218" s="116">
        <v>0</v>
      </c>
      <c r="U218" s="116">
        <v>0</v>
      </c>
      <c r="V218" s="116">
        <v>0</v>
      </c>
      <c r="W218" s="116">
        <v>0</v>
      </c>
      <c r="X218" s="116">
        <v>0</v>
      </c>
      <c r="Y218" s="116">
        <v>0</v>
      </c>
      <c r="Z218" s="116">
        <v>0</v>
      </c>
      <c r="AA218" s="116">
        <v>0</v>
      </c>
      <c r="AB218" s="116">
        <v>0</v>
      </c>
      <c r="AC218" s="116">
        <v>0</v>
      </c>
      <c r="AD218" s="116">
        <v>0</v>
      </c>
      <c r="AE218" s="116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116">
        <v>0</v>
      </c>
      <c r="AO218" s="116">
        <v>0</v>
      </c>
      <c r="AP218" s="116">
        <v>0</v>
      </c>
      <c r="AQ218" s="116">
        <v>0</v>
      </c>
      <c r="AR218" s="116">
        <v>0</v>
      </c>
      <c r="AS218" s="116">
        <v>0</v>
      </c>
      <c r="AT218" s="116">
        <v>0</v>
      </c>
      <c r="AU218" s="116">
        <v>0</v>
      </c>
      <c r="AV218" s="116">
        <v>0</v>
      </c>
      <c r="AW218" s="116">
        <v>0</v>
      </c>
      <c r="AX218" s="116">
        <v>0</v>
      </c>
      <c r="AY218" s="116">
        <v>0</v>
      </c>
    </row>
    <row r="219" spans="1:51" x14ac:dyDescent="0.2">
      <c r="A219" s="115"/>
      <c r="B219" s="125">
        <v>11</v>
      </c>
      <c r="C219" s="112"/>
      <c r="D219" s="116">
        <v>0</v>
      </c>
      <c r="E219" s="116">
        <v>0</v>
      </c>
      <c r="F219" s="116">
        <v>0</v>
      </c>
      <c r="G219" s="116">
        <v>0</v>
      </c>
      <c r="H219" s="116">
        <v>0</v>
      </c>
      <c r="I219" s="116">
        <v>0</v>
      </c>
      <c r="J219" s="116">
        <v>0</v>
      </c>
      <c r="K219" s="116">
        <v>0</v>
      </c>
      <c r="L219" s="116">
        <v>0</v>
      </c>
      <c r="M219" s="116">
        <v>0</v>
      </c>
      <c r="N219" s="116">
        <v>0</v>
      </c>
      <c r="O219" s="116">
        <v>0</v>
      </c>
      <c r="P219" s="116">
        <v>0</v>
      </c>
      <c r="Q219" s="116">
        <v>0</v>
      </c>
      <c r="R219" s="116">
        <v>0</v>
      </c>
      <c r="S219" s="116">
        <v>0</v>
      </c>
      <c r="T219" s="116">
        <v>0</v>
      </c>
      <c r="U219" s="116">
        <v>0</v>
      </c>
      <c r="V219" s="116">
        <v>0</v>
      </c>
      <c r="W219" s="116">
        <v>0</v>
      </c>
      <c r="X219" s="116">
        <v>0</v>
      </c>
      <c r="Y219" s="116">
        <v>0</v>
      </c>
      <c r="Z219" s="116">
        <v>0</v>
      </c>
      <c r="AA219" s="116">
        <v>0</v>
      </c>
      <c r="AB219" s="116">
        <v>0</v>
      </c>
      <c r="AC219" s="116">
        <v>0</v>
      </c>
      <c r="AD219" s="116">
        <v>0</v>
      </c>
      <c r="AE219" s="116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0</v>
      </c>
      <c r="AM219" s="116">
        <v>0</v>
      </c>
      <c r="AN219" s="116">
        <v>0</v>
      </c>
      <c r="AO219" s="116">
        <v>0</v>
      </c>
      <c r="AP219" s="116">
        <v>0</v>
      </c>
      <c r="AQ219" s="116">
        <v>0</v>
      </c>
      <c r="AR219" s="116">
        <v>0</v>
      </c>
      <c r="AS219" s="116">
        <v>0</v>
      </c>
      <c r="AT219" s="116">
        <v>0</v>
      </c>
      <c r="AU219" s="116">
        <v>0</v>
      </c>
      <c r="AV219" s="116">
        <v>0</v>
      </c>
      <c r="AW219" s="116">
        <v>0</v>
      </c>
      <c r="AX219" s="116">
        <v>0</v>
      </c>
      <c r="AY219" s="116">
        <v>0</v>
      </c>
    </row>
    <row r="220" spans="1:51" x14ac:dyDescent="0.2">
      <c r="A220" s="115"/>
      <c r="B220" s="125">
        <v>12</v>
      </c>
      <c r="C220" s="112"/>
      <c r="D220" s="116">
        <v>0</v>
      </c>
      <c r="E220" s="116">
        <v>0</v>
      </c>
      <c r="F220" s="116">
        <v>0</v>
      </c>
      <c r="G220" s="116">
        <v>0</v>
      </c>
      <c r="H220" s="116">
        <v>0</v>
      </c>
      <c r="I220" s="116">
        <v>0</v>
      </c>
      <c r="J220" s="116">
        <v>0</v>
      </c>
      <c r="K220" s="116">
        <v>0</v>
      </c>
      <c r="L220" s="116">
        <v>0</v>
      </c>
      <c r="M220" s="116">
        <v>0</v>
      </c>
      <c r="N220" s="116">
        <v>0</v>
      </c>
      <c r="O220" s="116">
        <v>0</v>
      </c>
      <c r="P220" s="116">
        <v>0</v>
      </c>
      <c r="Q220" s="116">
        <v>0</v>
      </c>
      <c r="R220" s="116">
        <v>0</v>
      </c>
      <c r="S220" s="116">
        <v>0</v>
      </c>
      <c r="T220" s="116">
        <v>0</v>
      </c>
      <c r="U220" s="116">
        <v>0</v>
      </c>
      <c r="V220" s="116">
        <v>0</v>
      </c>
      <c r="W220" s="116">
        <v>0</v>
      </c>
      <c r="X220" s="116">
        <v>0</v>
      </c>
      <c r="Y220" s="116">
        <v>0</v>
      </c>
      <c r="Z220" s="116">
        <v>0</v>
      </c>
      <c r="AA220" s="116">
        <v>0</v>
      </c>
      <c r="AB220" s="116">
        <v>0</v>
      </c>
      <c r="AC220" s="116">
        <v>0</v>
      </c>
      <c r="AD220" s="116">
        <v>0</v>
      </c>
      <c r="AE220" s="116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0</v>
      </c>
      <c r="AM220" s="116">
        <v>0</v>
      </c>
      <c r="AN220" s="116">
        <v>0</v>
      </c>
      <c r="AO220" s="116">
        <v>0</v>
      </c>
      <c r="AP220" s="116">
        <v>0</v>
      </c>
      <c r="AQ220" s="116">
        <v>0</v>
      </c>
      <c r="AR220" s="116">
        <v>0</v>
      </c>
      <c r="AS220" s="116">
        <v>0</v>
      </c>
      <c r="AT220" s="116">
        <v>0</v>
      </c>
      <c r="AU220" s="116">
        <v>0</v>
      </c>
      <c r="AV220" s="116">
        <v>0</v>
      </c>
      <c r="AW220" s="116">
        <v>0</v>
      </c>
      <c r="AX220" s="116">
        <v>0</v>
      </c>
      <c r="AY220" s="116">
        <v>0</v>
      </c>
    </row>
    <row r="221" spans="1:51" x14ac:dyDescent="0.2">
      <c r="A221" s="115"/>
      <c r="B221" s="126">
        <v>13</v>
      </c>
      <c r="C221" s="112"/>
      <c r="D221" s="116">
        <v>0</v>
      </c>
      <c r="E221" s="116">
        <v>0</v>
      </c>
      <c r="F221" s="116">
        <v>0</v>
      </c>
      <c r="G221" s="116">
        <v>0</v>
      </c>
      <c r="H221" s="116">
        <v>0</v>
      </c>
      <c r="I221" s="116">
        <v>0</v>
      </c>
      <c r="J221" s="116">
        <v>0</v>
      </c>
      <c r="K221" s="116">
        <v>0</v>
      </c>
      <c r="L221" s="116">
        <v>0</v>
      </c>
      <c r="M221" s="116">
        <v>0</v>
      </c>
      <c r="N221" s="116">
        <v>0</v>
      </c>
      <c r="O221" s="116">
        <v>0</v>
      </c>
      <c r="P221" s="116">
        <v>0</v>
      </c>
      <c r="Q221" s="116">
        <v>0</v>
      </c>
      <c r="R221" s="116">
        <v>0</v>
      </c>
      <c r="S221" s="116">
        <v>0</v>
      </c>
      <c r="T221" s="116">
        <v>0</v>
      </c>
      <c r="U221" s="116">
        <v>0</v>
      </c>
      <c r="V221" s="116">
        <v>0</v>
      </c>
      <c r="W221" s="116">
        <v>0</v>
      </c>
      <c r="X221" s="116">
        <v>0</v>
      </c>
      <c r="Y221" s="116">
        <v>0</v>
      </c>
      <c r="Z221" s="116">
        <v>0</v>
      </c>
      <c r="AA221" s="116">
        <v>0</v>
      </c>
      <c r="AB221" s="116">
        <v>0</v>
      </c>
      <c r="AC221" s="116">
        <v>0</v>
      </c>
      <c r="AD221" s="116">
        <v>0</v>
      </c>
      <c r="AE221" s="116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0</v>
      </c>
      <c r="AL221" s="116">
        <v>0</v>
      </c>
      <c r="AM221" s="116">
        <v>0</v>
      </c>
      <c r="AN221" s="116">
        <v>0</v>
      </c>
      <c r="AO221" s="116">
        <v>0</v>
      </c>
      <c r="AP221" s="116">
        <v>0</v>
      </c>
      <c r="AQ221" s="116">
        <v>0</v>
      </c>
      <c r="AR221" s="116">
        <v>0</v>
      </c>
      <c r="AS221" s="116">
        <v>0</v>
      </c>
      <c r="AT221" s="116">
        <v>0</v>
      </c>
      <c r="AU221" s="116">
        <v>0</v>
      </c>
      <c r="AV221" s="116">
        <v>0</v>
      </c>
      <c r="AW221" s="116">
        <v>0</v>
      </c>
      <c r="AX221" s="116">
        <v>0</v>
      </c>
      <c r="AY221" s="116">
        <v>0</v>
      </c>
    </row>
    <row r="222" spans="1:51" x14ac:dyDescent="0.2">
      <c r="A222" s="115"/>
      <c r="B222" s="126">
        <v>14</v>
      </c>
      <c r="C222" s="112"/>
      <c r="D222" s="116">
        <v>0</v>
      </c>
      <c r="E222" s="116">
        <v>0</v>
      </c>
      <c r="F222" s="116">
        <v>0</v>
      </c>
      <c r="G222" s="116">
        <v>0</v>
      </c>
      <c r="H222" s="116">
        <v>0</v>
      </c>
      <c r="I222" s="116">
        <v>0</v>
      </c>
      <c r="J222" s="116">
        <v>0</v>
      </c>
      <c r="K222" s="116">
        <v>0</v>
      </c>
      <c r="L222" s="116">
        <v>0</v>
      </c>
      <c r="M222" s="116">
        <v>0</v>
      </c>
      <c r="N222" s="116">
        <v>0</v>
      </c>
      <c r="O222" s="116">
        <v>0</v>
      </c>
      <c r="P222" s="116">
        <v>0</v>
      </c>
      <c r="Q222" s="116">
        <v>0</v>
      </c>
      <c r="R222" s="116">
        <v>0</v>
      </c>
      <c r="S222" s="116">
        <v>0</v>
      </c>
      <c r="T222" s="116">
        <v>0</v>
      </c>
      <c r="U222" s="116">
        <v>0</v>
      </c>
      <c r="V222" s="116">
        <v>0</v>
      </c>
      <c r="W222" s="116">
        <v>0</v>
      </c>
      <c r="X222" s="116">
        <v>0</v>
      </c>
      <c r="Y222" s="116">
        <v>0</v>
      </c>
      <c r="Z222" s="116">
        <v>0</v>
      </c>
      <c r="AA222" s="116">
        <v>0</v>
      </c>
      <c r="AB222" s="116">
        <v>0</v>
      </c>
      <c r="AC222" s="116">
        <v>0</v>
      </c>
      <c r="AD222" s="116">
        <v>0</v>
      </c>
      <c r="AE222" s="116">
        <v>0</v>
      </c>
      <c r="AF222" s="116">
        <v>0</v>
      </c>
      <c r="AG222" s="116">
        <v>0</v>
      </c>
      <c r="AH222" s="116">
        <v>0</v>
      </c>
      <c r="AI222" s="116">
        <v>0</v>
      </c>
      <c r="AJ222" s="116">
        <v>0</v>
      </c>
      <c r="AK222" s="116">
        <v>0</v>
      </c>
      <c r="AL222" s="116">
        <v>0</v>
      </c>
      <c r="AM222" s="116">
        <v>0</v>
      </c>
      <c r="AN222" s="116">
        <v>0</v>
      </c>
      <c r="AO222" s="116">
        <v>0</v>
      </c>
      <c r="AP222" s="116">
        <v>0</v>
      </c>
      <c r="AQ222" s="116">
        <v>0</v>
      </c>
      <c r="AR222" s="116">
        <v>0</v>
      </c>
      <c r="AS222" s="116">
        <v>0</v>
      </c>
      <c r="AT222" s="116">
        <v>0</v>
      </c>
      <c r="AU222" s="116">
        <v>0</v>
      </c>
      <c r="AV222" s="116">
        <v>0</v>
      </c>
      <c r="AW222" s="116">
        <v>0</v>
      </c>
      <c r="AX222" s="116">
        <v>0</v>
      </c>
      <c r="AY222" s="116">
        <v>0</v>
      </c>
    </row>
    <row r="223" spans="1:51" x14ac:dyDescent="0.2">
      <c r="A223" s="115"/>
      <c r="B223" s="126">
        <v>15</v>
      </c>
      <c r="C223" s="112"/>
      <c r="D223" s="116">
        <v>0</v>
      </c>
      <c r="E223" s="116">
        <v>0</v>
      </c>
      <c r="F223" s="116">
        <v>0</v>
      </c>
      <c r="G223" s="116">
        <v>0</v>
      </c>
      <c r="H223" s="116">
        <v>0</v>
      </c>
      <c r="I223" s="116">
        <v>0</v>
      </c>
      <c r="J223" s="116">
        <v>0</v>
      </c>
      <c r="K223" s="116">
        <v>0</v>
      </c>
      <c r="L223" s="116">
        <v>0</v>
      </c>
      <c r="M223" s="116">
        <v>0</v>
      </c>
      <c r="N223" s="116">
        <v>0</v>
      </c>
      <c r="O223" s="116">
        <v>0</v>
      </c>
      <c r="P223" s="116">
        <v>0</v>
      </c>
      <c r="Q223" s="116">
        <v>0</v>
      </c>
      <c r="R223" s="116">
        <v>0</v>
      </c>
      <c r="S223" s="116">
        <v>0</v>
      </c>
      <c r="T223" s="116">
        <v>0</v>
      </c>
      <c r="U223" s="116">
        <v>0</v>
      </c>
      <c r="V223" s="116">
        <v>0</v>
      </c>
      <c r="W223" s="116">
        <v>0</v>
      </c>
      <c r="X223" s="116">
        <v>0</v>
      </c>
      <c r="Y223" s="116">
        <v>0</v>
      </c>
      <c r="Z223" s="116">
        <v>0</v>
      </c>
      <c r="AA223" s="116">
        <v>0</v>
      </c>
      <c r="AB223" s="116">
        <v>0</v>
      </c>
      <c r="AC223" s="116">
        <v>0</v>
      </c>
      <c r="AD223" s="116">
        <v>0</v>
      </c>
      <c r="AE223" s="116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0</v>
      </c>
      <c r="AM223" s="116">
        <v>0</v>
      </c>
      <c r="AN223" s="116">
        <v>0</v>
      </c>
      <c r="AO223" s="116">
        <v>0</v>
      </c>
      <c r="AP223" s="116">
        <v>0</v>
      </c>
      <c r="AQ223" s="116">
        <v>0</v>
      </c>
      <c r="AR223" s="116">
        <v>0</v>
      </c>
      <c r="AS223" s="116">
        <v>0</v>
      </c>
      <c r="AT223" s="116">
        <v>0</v>
      </c>
      <c r="AU223" s="116">
        <v>0</v>
      </c>
      <c r="AV223" s="116">
        <v>0</v>
      </c>
      <c r="AW223" s="116">
        <v>0</v>
      </c>
      <c r="AX223" s="116">
        <v>0</v>
      </c>
      <c r="AY223" s="116">
        <v>0</v>
      </c>
    </row>
    <row r="224" spans="1:51" x14ac:dyDescent="0.2">
      <c r="A224" s="115"/>
      <c r="B224" s="126">
        <v>16</v>
      </c>
      <c r="C224" s="112"/>
      <c r="D224" s="116">
        <v>0</v>
      </c>
      <c r="E224" s="116">
        <v>0</v>
      </c>
      <c r="F224" s="116">
        <v>0</v>
      </c>
      <c r="G224" s="116">
        <v>0</v>
      </c>
      <c r="H224" s="116">
        <v>0</v>
      </c>
      <c r="I224" s="116">
        <v>0</v>
      </c>
      <c r="J224" s="116">
        <v>0</v>
      </c>
      <c r="K224" s="116">
        <v>0</v>
      </c>
      <c r="L224" s="116">
        <v>0</v>
      </c>
      <c r="M224" s="116">
        <v>0</v>
      </c>
      <c r="N224" s="116">
        <v>0</v>
      </c>
      <c r="O224" s="116">
        <v>0</v>
      </c>
      <c r="P224" s="116">
        <v>0</v>
      </c>
      <c r="Q224" s="116">
        <v>0</v>
      </c>
      <c r="R224" s="116">
        <v>0</v>
      </c>
      <c r="S224" s="116">
        <v>0</v>
      </c>
      <c r="T224" s="116">
        <v>0</v>
      </c>
      <c r="U224" s="116">
        <v>0</v>
      </c>
      <c r="V224" s="116">
        <v>0</v>
      </c>
      <c r="W224" s="116">
        <v>0</v>
      </c>
      <c r="X224" s="116">
        <v>0</v>
      </c>
      <c r="Y224" s="116">
        <v>0</v>
      </c>
      <c r="Z224" s="116">
        <v>0</v>
      </c>
      <c r="AA224" s="116">
        <v>0</v>
      </c>
      <c r="AB224" s="116">
        <v>0</v>
      </c>
      <c r="AC224" s="116">
        <v>0</v>
      </c>
      <c r="AD224" s="116">
        <v>0</v>
      </c>
      <c r="AE224" s="116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0</v>
      </c>
      <c r="AM224" s="116">
        <v>0</v>
      </c>
      <c r="AN224" s="116">
        <v>0</v>
      </c>
      <c r="AO224" s="116">
        <v>0</v>
      </c>
      <c r="AP224" s="116">
        <v>0</v>
      </c>
      <c r="AQ224" s="116">
        <v>0</v>
      </c>
      <c r="AR224" s="116">
        <v>0</v>
      </c>
      <c r="AS224" s="116">
        <v>0</v>
      </c>
      <c r="AT224" s="116">
        <v>0</v>
      </c>
      <c r="AU224" s="116">
        <v>0</v>
      </c>
      <c r="AV224" s="116">
        <v>0</v>
      </c>
      <c r="AW224" s="116">
        <v>0</v>
      </c>
      <c r="AX224" s="116">
        <v>0</v>
      </c>
      <c r="AY224" s="116">
        <v>0</v>
      </c>
    </row>
    <row r="225" spans="1:51" x14ac:dyDescent="0.2">
      <c r="A225" s="115"/>
      <c r="B225" s="126">
        <v>17</v>
      </c>
      <c r="C225" s="112"/>
      <c r="D225" s="116">
        <v>0</v>
      </c>
      <c r="E225" s="116">
        <v>0</v>
      </c>
      <c r="F225" s="116">
        <v>0</v>
      </c>
      <c r="G225" s="116">
        <v>0</v>
      </c>
      <c r="H225" s="116">
        <v>0</v>
      </c>
      <c r="I225" s="116">
        <v>0</v>
      </c>
      <c r="J225" s="116">
        <v>0</v>
      </c>
      <c r="K225" s="116">
        <v>0</v>
      </c>
      <c r="L225" s="116">
        <v>0</v>
      </c>
      <c r="M225" s="116">
        <v>0</v>
      </c>
      <c r="N225" s="116">
        <v>0</v>
      </c>
      <c r="O225" s="116">
        <v>0</v>
      </c>
      <c r="P225" s="116">
        <v>0</v>
      </c>
      <c r="Q225" s="116">
        <v>0</v>
      </c>
      <c r="R225" s="116">
        <v>0</v>
      </c>
      <c r="S225" s="116">
        <v>0</v>
      </c>
      <c r="T225" s="116">
        <v>0</v>
      </c>
      <c r="U225" s="116">
        <v>0</v>
      </c>
      <c r="V225" s="116">
        <v>0</v>
      </c>
      <c r="W225" s="116">
        <v>0</v>
      </c>
      <c r="X225" s="116">
        <v>0</v>
      </c>
      <c r="Y225" s="116">
        <v>0</v>
      </c>
      <c r="Z225" s="116">
        <v>0</v>
      </c>
      <c r="AA225" s="116">
        <v>0</v>
      </c>
      <c r="AB225" s="116">
        <v>0</v>
      </c>
      <c r="AC225" s="116">
        <v>0</v>
      </c>
      <c r="AD225" s="116">
        <v>0</v>
      </c>
      <c r="AE225" s="116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116">
        <v>0</v>
      </c>
      <c r="AO225" s="116">
        <v>0</v>
      </c>
      <c r="AP225" s="116">
        <v>0</v>
      </c>
      <c r="AQ225" s="116">
        <v>0</v>
      </c>
      <c r="AR225" s="116">
        <v>0</v>
      </c>
      <c r="AS225" s="116">
        <v>0</v>
      </c>
      <c r="AT225" s="116">
        <v>0</v>
      </c>
      <c r="AU225" s="116">
        <v>0</v>
      </c>
      <c r="AV225" s="116">
        <v>0</v>
      </c>
      <c r="AW225" s="116">
        <v>0</v>
      </c>
      <c r="AX225" s="116">
        <v>0</v>
      </c>
      <c r="AY225" s="116">
        <v>0</v>
      </c>
    </row>
    <row r="226" spans="1:51" x14ac:dyDescent="0.2">
      <c r="A226" s="115"/>
      <c r="B226" s="126">
        <v>18</v>
      </c>
      <c r="C226" s="112"/>
      <c r="D226" s="116">
        <v>0</v>
      </c>
      <c r="E226" s="116">
        <v>0</v>
      </c>
      <c r="F226" s="116">
        <v>0</v>
      </c>
      <c r="G226" s="116">
        <v>0</v>
      </c>
      <c r="H226" s="116">
        <v>0</v>
      </c>
      <c r="I226" s="116">
        <v>0</v>
      </c>
      <c r="J226" s="116">
        <v>0</v>
      </c>
      <c r="K226" s="116">
        <v>0</v>
      </c>
      <c r="L226" s="116">
        <v>0</v>
      </c>
      <c r="M226" s="116">
        <v>0</v>
      </c>
      <c r="N226" s="116">
        <v>0</v>
      </c>
      <c r="O226" s="116">
        <v>0</v>
      </c>
      <c r="P226" s="116">
        <v>0</v>
      </c>
      <c r="Q226" s="116">
        <v>0</v>
      </c>
      <c r="R226" s="116">
        <v>0</v>
      </c>
      <c r="S226" s="116">
        <v>0</v>
      </c>
      <c r="T226" s="116">
        <v>0</v>
      </c>
      <c r="U226" s="116">
        <v>0</v>
      </c>
      <c r="V226" s="116">
        <v>0</v>
      </c>
      <c r="W226" s="116">
        <v>0</v>
      </c>
      <c r="X226" s="116">
        <v>0</v>
      </c>
      <c r="Y226" s="116">
        <v>0</v>
      </c>
      <c r="Z226" s="116">
        <v>0</v>
      </c>
      <c r="AA226" s="116">
        <v>0</v>
      </c>
      <c r="AB226" s="116">
        <v>0</v>
      </c>
      <c r="AC226" s="116">
        <v>0</v>
      </c>
      <c r="AD226" s="116">
        <v>0</v>
      </c>
      <c r="AE226" s="116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116">
        <v>0</v>
      </c>
      <c r="AO226" s="116">
        <v>0</v>
      </c>
      <c r="AP226" s="116">
        <v>0</v>
      </c>
      <c r="AQ226" s="116">
        <v>0</v>
      </c>
      <c r="AR226" s="116">
        <v>0</v>
      </c>
      <c r="AS226" s="116">
        <v>0</v>
      </c>
      <c r="AT226" s="116">
        <v>0</v>
      </c>
      <c r="AU226" s="116">
        <v>0</v>
      </c>
      <c r="AV226" s="116">
        <v>0</v>
      </c>
      <c r="AW226" s="116">
        <v>0</v>
      </c>
      <c r="AX226" s="116">
        <v>0</v>
      </c>
      <c r="AY226" s="116">
        <v>0</v>
      </c>
    </row>
    <row r="227" spans="1:51" x14ac:dyDescent="0.2">
      <c r="A227" s="115"/>
      <c r="B227" s="126">
        <v>19</v>
      </c>
      <c r="C227" s="112"/>
      <c r="D227" s="116">
        <v>0</v>
      </c>
      <c r="E227" s="116">
        <v>0</v>
      </c>
      <c r="F227" s="116">
        <v>0</v>
      </c>
      <c r="G227" s="116">
        <v>0</v>
      </c>
      <c r="H227" s="116">
        <v>0</v>
      </c>
      <c r="I227" s="116">
        <v>0</v>
      </c>
      <c r="J227" s="116">
        <v>0</v>
      </c>
      <c r="K227" s="116">
        <v>0</v>
      </c>
      <c r="L227" s="116">
        <v>0</v>
      </c>
      <c r="M227" s="116">
        <v>0</v>
      </c>
      <c r="N227" s="116">
        <v>0</v>
      </c>
      <c r="O227" s="116">
        <v>0</v>
      </c>
      <c r="P227" s="116">
        <v>0</v>
      </c>
      <c r="Q227" s="116">
        <v>0</v>
      </c>
      <c r="R227" s="116">
        <v>0</v>
      </c>
      <c r="S227" s="116">
        <v>0</v>
      </c>
      <c r="T227" s="116">
        <v>0</v>
      </c>
      <c r="U227" s="116">
        <v>0</v>
      </c>
      <c r="V227" s="116">
        <v>0</v>
      </c>
      <c r="W227" s="116">
        <v>0</v>
      </c>
      <c r="X227" s="116">
        <v>0</v>
      </c>
      <c r="Y227" s="116">
        <v>0</v>
      </c>
      <c r="Z227" s="116">
        <v>0</v>
      </c>
      <c r="AA227" s="116">
        <v>0</v>
      </c>
      <c r="AB227" s="116">
        <v>0</v>
      </c>
      <c r="AC227" s="116">
        <v>0</v>
      </c>
      <c r="AD227" s="116">
        <v>0</v>
      </c>
      <c r="AE227" s="116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0</v>
      </c>
      <c r="AM227" s="116">
        <v>0</v>
      </c>
      <c r="AN227" s="116">
        <v>0</v>
      </c>
      <c r="AO227" s="116">
        <v>0</v>
      </c>
      <c r="AP227" s="116">
        <v>0</v>
      </c>
      <c r="AQ227" s="116">
        <v>0</v>
      </c>
      <c r="AR227" s="116">
        <v>0</v>
      </c>
      <c r="AS227" s="116">
        <v>0</v>
      </c>
      <c r="AT227" s="116">
        <v>0</v>
      </c>
      <c r="AU227" s="116">
        <v>0</v>
      </c>
      <c r="AV227" s="116">
        <v>0</v>
      </c>
      <c r="AW227" s="116">
        <v>0</v>
      </c>
      <c r="AX227" s="116">
        <v>0</v>
      </c>
      <c r="AY227" s="116">
        <v>0</v>
      </c>
    </row>
    <row r="228" spans="1:51" x14ac:dyDescent="0.2">
      <c r="A228" s="115"/>
      <c r="B228" s="126">
        <v>20</v>
      </c>
      <c r="C228" s="112"/>
      <c r="D228" s="116">
        <v>0</v>
      </c>
      <c r="E228" s="116">
        <v>0</v>
      </c>
      <c r="F228" s="116">
        <v>0</v>
      </c>
      <c r="G228" s="116">
        <v>0</v>
      </c>
      <c r="H228" s="116">
        <v>0</v>
      </c>
      <c r="I228" s="116">
        <v>0</v>
      </c>
      <c r="J228" s="116">
        <v>0</v>
      </c>
      <c r="K228" s="116">
        <v>0</v>
      </c>
      <c r="L228" s="116">
        <v>0</v>
      </c>
      <c r="M228" s="116">
        <v>0</v>
      </c>
      <c r="N228" s="116">
        <v>0</v>
      </c>
      <c r="O228" s="116">
        <v>0</v>
      </c>
      <c r="P228" s="116">
        <v>0</v>
      </c>
      <c r="Q228" s="116">
        <v>0</v>
      </c>
      <c r="R228" s="116">
        <v>0</v>
      </c>
      <c r="S228" s="116">
        <v>0</v>
      </c>
      <c r="T228" s="116">
        <v>0</v>
      </c>
      <c r="U228" s="116">
        <v>0</v>
      </c>
      <c r="V228" s="116">
        <v>0</v>
      </c>
      <c r="W228" s="116">
        <v>0</v>
      </c>
      <c r="X228" s="116">
        <v>0</v>
      </c>
      <c r="Y228" s="116">
        <v>0</v>
      </c>
      <c r="Z228" s="116">
        <v>0</v>
      </c>
      <c r="AA228" s="116">
        <v>0</v>
      </c>
      <c r="AB228" s="116">
        <v>0</v>
      </c>
      <c r="AC228" s="116">
        <v>0</v>
      </c>
      <c r="AD228" s="116">
        <v>0</v>
      </c>
      <c r="AE228" s="116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0</v>
      </c>
      <c r="AM228" s="116">
        <v>0</v>
      </c>
      <c r="AN228" s="116">
        <v>0</v>
      </c>
      <c r="AO228" s="116">
        <v>0</v>
      </c>
      <c r="AP228" s="116">
        <v>0</v>
      </c>
      <c r="AQ228" s="116">
        <v>0</v>
      </c>
      <c r="AR228" s="116">
        <v>0</v>
      </c>
      <c r="AS228" s="116">
        <v>0</v>
      </c>
      <c r="AT228" s="116">
        <v>0</v>
      </c>
      <c r="AU228" s="116">
        <v>0</v>
      </c>
      <c r="AV228" s="116">
        <v>0</v>
      </c>
      <c r="AW228" s="116">
        <v>0</v>
      </c>
      <c r="AX228" s="116">
        <v>0</v>
      </c>
      <c r="AY228" s="116">
        <v>0</v>
      </c>
    </row>
    <row r="229" spans="1:51" x14ac:dyDescent="0.2">
      <c r="A229" s="115"/>
      <c r="B229" s="126">
        <v>21</v>
      </c>
      <c r="C229" s="112"/>
      <c r="D229" s="116">
        <v>0</v>
      </c>
      <c r="E229" s="116">
        <v>0</v>
      </c>
      <c r="F229" s="116">
        <v>0</v>
      </c>
      <c r="G229" s="116">
        <v>0</v>
      </c>
      <c r="H229" s="116">
        <v>0</v>
      </c>
      <c r="I229" s="116">
        <v>0</v>
      </c>
      <c r="J229" s="116">
        <v>0</v>
      </c>
      <c r="K229" s="116">
        <v>0</v>
      </c>
      <c r="L229" s="116">
        <v>0</v>
      </c>
      <c r="M229" s="116">
        <v>0</v>
      </c>
      <c r="N229" s="116">
        <v>0</v>
      </c>
      <c r="O229" s="116">
        <v>0</v>
      </c>
      <c r="P229" s="116">
        <v>0</v>
      </c>
      <c r="Q229" s="116">
        <v>0</v>
      </c>
      <c r="R229" s="116">
        <v>0</v>
      </c>
      <c r="S229" s="116">
        <v>0</v>
      </c>
      <c r="T229" s="116">
        <v>0</v>
      </c>
      <c r="U229" s="116">
        <v>0</v>
      </c>
      <c r="V229" s="116">
        <v>0</v>
      </c>
      <c r="W229" s="116">
        <v>0</v>
      </c>
      <c r="X229" s="116">
        <v>0</v>
      </c>
      <c r="Y229" s="116">
        <v>0</v>
      </c>
      <c r="Z229" s="116">
        <v>0</v>
      </c>
      <c r="AA229" s="116">
        <v>0</v>
      </c>
      <c r="AB229" s="116">
        <v>0</v>
      </c>
      <c r="AC229" s="116">
        <v>0</v>
      </c>
      <c r="AD229" s="116">
        <v>0</v>
      </c>
      <c r="AE229" s="116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116">
        <v>0</v>
      </c>
      <c r="AO229" s="116">
        <v>0</v>
      </c>
      <c r="AP229" s="116">
        <v>0</v>
      </c>
      <c r="AQ229" s="116">
        <v>0</v>
      </c>
      <c r="AR229" s="116">
        <v>0</v>
      </c>
      <c r="AS229" s="116">
        <v>0</v>
      </c>
      <c r="AT229" s="116">
        <v>0</v>
      </c>
      <c r="AU229" s="116">
        <v>0</v>
      </c>
      <c r="AV229" s="116">
        <v>0</v>
      </c>
      <c r="AW229" s="116">
        <v>0</v>
      </c>
      <c r="AX229" s="116">
        <v>0</v>
      </c>
      <c r="AY229" s="116">
        <v>0</v>
      </c>
    </row>
    <row r="230" spans="1:51" x14ac:dyDescent="0.2">
      <c r="A230" s="115"/>
      <c r="B230" s="126">
        <v>22</v>
      </c>
      <c r="C230" s="112"/>
      <c r="D230" s="116">
        <v>0</v>
      </c>
      <c r="E230" s="116">
        <v>0</v>
      </c>
      <c r="F230" s="116">
        <v>0</v>
      </c>
      <c r="G230" s="116">
        <v>0</v>
      </c>
      <c r="H230" s="116">
        <v>0</v>
      </c>
      <c r="I230" s="116">
        <v>0</v>
      </c>
      <c r="J230" s="116">
        <v>0</v>
      </c>
      <c r="K230" s="116">
        <v>0</v>
      </c>
      <c r="L230" s="116">
        <v>0</v>
      </c>
      <c r="M230" s="116">
        <v>0</v>
      </c>
      <c r="N230" s="116">
        <v>0</v>
      </c>
      <c r="O230" s="116">
        <v>0</v>
      </c>
      <c r="P230" s="116">
        <v>0</v>
      </c>
      <c r="Q230" s="116">
        <v>0</v>
      </c>
      <c r="R230" s="116">
        <v>0</v>
      </c>
      <c r="S230" s="116">
        <v>0</v>
      </c>
      <c r="T230" s="116">
        <v>0</v>
      </c>
      <c r="U230" s="116">
        <v>0</v>
      </c>
      <c r="V230" s="116">
        <v>0</v>
      </c>
      <c r="W230" s="116">
        <v>0</v>
      </c>
      <c r="X230" s="116">
        <v>0</v>
      </c>
      <c r="Y230" s="116">
        <v>0</v>
      </c>
      <c r="Z230" s="116">
        <v>0</v>
      </c>
      <c r="AA230" s="116">
        <v>0</v>
      </c>
      <c r="AB230" s="116">
        <v>0</v>
      </c>
      <c r="AC230" s="116">
        <v>0</v>
      </c>
      <c r="AD230" s="116">
        <v>0</v>
      </c>
      <c r="AE230" s="116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116">
        <v>0</v>
      </c>
      <c r="AO230" s="116">
        <v>0</v>
      </c>
      <c r="AP230" s="116">
        <v>0</v>
      </c>
      <c r="AQ230" s="116">
        <v>0</v>
      </c>
      <c r="AR230" s="116">
        <v>0</v>
      </c>
      <c r="AS230" s="116">
        <v>0</v>
      </c>
      <c r="AT230" s="116">
        <v>0</v>
      </c>
      <c r="AU230" s="116">
        <v>0</v>
      </c>
      <c r="AV230" s="116">
        <v>0</v>
      </c>
      <c r="AW230" s="116">
        <v>0</v>
      </c>
      <c r="AX230" s="116">
        <v>0</v>
      </c>
      <c r="AY230" s="116">
        <v>0</v>
      </c>
    </row>
    <row r="231" spans="1:51" x14ac:dyDescent="0.2">
      <c r="A231" s="115"/>
      <c r="B231" s="126">
        <v>23</v>
      </c>
      <c r="C231" s="112"/>
      <c r="D231" s="116">
        <v>0</v>
      </c>
      <c r="E231" s="116">
        <v>0</v>
      </c>
      <c r="F231" s="116">
        <v>0</v>
      </c>
      <c r="G231" s="116">
        <v>0</v>
      </c>
      <c r="H231" s="116">
        <v>0</v>
      </c>
      <c r="I231" s="116">
        <v>0</v>
      </c>
      <c r="J231" s="116">
        <v>0</v>
      </c>
      <c r="K231" s="116">
        <v>0</v>
      </c>
      <c r="L231" s="116">
        <v>0</v>
      </c>
      <c r="M231" s="116">
        <v>0</v>
      </c>
      <c r="N231" s="116">
        <v>0</v>
      </c>
      <c r="O231" s="116">
        <v>0</v>
      </c>
      <c r="P231" s="116">
        <v>0</v>
      </c>
      <c r="Q231" s="116">
        <v>0</v>
      </c>
      <c r="R231" s="116">
        <v>0</v>
      </c>
      <c r="S231" s="116">
        <v>0</v>
      </c>
      <c r="T231" s="116">
        <v>0</v>
      </c>
      <c r="U231" s="116">
        <v>0</v>
      </c>
      <c r="V231" s="116">
        <v>0</v>
      </c>
      <c r="W231" s="116">
        <v>0</v>
      </c>
      <c r="X231" s="116">
        <v>0</v>
      </c>
      <c r="Y231" s="116">
        <v>0</v>
      </c>
      <c r="Z231" s="116">
        <v>0</v>
      </c>
      <c r="AA231" s="116">
        <v>0</v>
      </c>
      <c r="AB231" s="116">
        <v>0</v>
      </c>
      <c r="AC231" s="116">
        <v>0</v>
      </c>
      <c r="AD231" s="116">
        <v>0</v>
      </c>
      <c r="AE231" s="116">
        <v>0</v>
      </c>
      <c r="AF231" s="116">
        <v>0</v>
      </c>
      <c r="AG231" s="116">
        <v>0</v>
      </c>
      <c r="AH231" s="116">
        <v>0</v>
      </c>
      <c r="AI231" s="116">
        <v>0</v>
      </c>
      <c r="AJ231" s="116">
        <v>0</v>
      </c>
      <c r="AK231" s="116">
        <v>0</v>
      </c>
      <c r="AL231" s="116">
        <v>0</v>
      </c>
      <c r="AM231" s="116">
        <v>0</v>
      </c>
      <c r="AN231" s="116">
        <v>0</v>
      </c>
      <c r="AO231" s="116">
        <v>0</v>
      </c>
      <c r="AP231" s="116">
        <v>0</v>
      </c>
      <c r="AQ231" s="116">
        <v>0</v>
      </c>
      <c r="AR231" s="116">
        <v>0</v>
      </c>
      <c r="AS231" s="116">
        <v>0</v>
      </c>
      <c r="AT231" s="116">
        <v>0</v>
      </c>
      <c r="AU231" s="116">
        <v>0</v>
      </c>
      <c r="AV231" s="116">
        <v>0</v>
      </c>
      <c r="AW231" s="116">
        <v>0</v>
      </c>
      <c r="AX231" s="116">
        <v>0</v>
      </c>
      <c r="AY231" s="116">
        <v>0</v>
      </c>
    </row>
    <row r="232" spans="1:51" x14ac:dyDescent="0.2">
      <c r="A232" s="115"/>
      <c r="B232" s="126">
        <v>24</v>
      </c>
      <c r="C232" s="112"/>
      <c r="D232" s="116">
        <v>0</v>
      </c>
      <c r="E232" s="116">
        <v>0</v>
      </c>
      <c r="F232" s="116">
        <v>0</v>
      </c>
      <c r="G232" s="116">
        <v>0</v>
      </c>
      <c r="H232" s="116">
        <v>0</v>
      </c>
      <c r="I232" s="116">
        <v>0</v>
      </c>
      <c r="J232" s="116">
        <v>0</v>
      </c>
      <c r="K232" s="116">
        <v>0</v>
      </c>
      <c r="L232" s="116">
        <v>0</v>
      </c>
      <c r="M232" s="116">
        <v>0</v>
      </c>
      <c r="N232" s="116">
        <v>0</v>
      </c>
      <c r="O232" s="116">
        <v>0</v>
      </c>
      <c r="P232" s="116">
        <v>0</v>
      </c>
      <c r="Q232" s="116">
        <v>0</v>
      </c>
      <c r="R232" s="116">
        <v>0</v>
      </c>
      <c r="S232" s="116">
        <v>0</v>
      </c>
      <c r="T232" s="116">
        <v>0</v>
      </c>
      <c r="U232" s="116">
        <v>0</v>
      </c>
      <c r="V232" s="116">
        <v>0</v>
      </c>
      <c r="W232" s="116">
        <v>0</v>
      </c>
      <c r="X232" s="116">
        <v>0</v>
      </c>
      <c r="Y232" s="116">
        <v>0</v>
      </c>
      <c r="Z232" s="116">
        <v>0</v>
      </c>
      <c r="AA232" s="116">
        <v>0</v>
      </c>
      <c r="AB232" s="116">
        <v>0</v>
      </c>
      <c r="AC232" s="116">
        <v>0</v>
      </c>
      <c r="AD232" s="116">
        <v>0</v>
      </c>
      <c r="AE232" s="116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116">
        <v>0</v>
      </c>
      <c r="AO232" s="116">
        <v>0</v>
      </c>
      <c r="AP232" s="116">
        <v>0</v>
      </c>
      <c r="AQ232" s="116">
        <v>0</v>
      </c>
      <c r="AR232" s="116">
        <v>0</v>
      </c>
      <c r="AS232" s="116">
        <v>0</v>
      </c>
      <c r="AT232" s="116">
        <v>0</v>
      </c>
      <c r="AU232" s="116">
        <v>0</v>
      </c>
      <c r="AV232" s="116">
        <v>0</v>
      </c>
      <c r="AW232" s="116">
        <v>0</v>
      </c>
      <c r="AX232" s="116">
        <v>0</v>
      </c>
      <c r="AY232" s="116">
        <v>0</v>
      </c>
    </row>
    <row r="233" spans="1:51" x14ac:dyDescent="0.2">
      <c r="A233" s="115"/>
      <c r="B233" s="133">
        <v>25</v>
      </c>
      <c r="C233" s="112"/>
      <c r="D233" s="116">
        <v>0</v>
      </c>
      <c r="E233" s="116">
        <v>0</v>
      </c>
      <c r="F233" s="116">
        <v>0</v>
      </c>
      <c r="G233" s="116">
        <v>0</v>
      </c>
      <c r="H233" s="116">
        <v>0</v>
      </c>
      <c r="I233" s="116">
        <v>0</v>
      </c>
      <c r="J233" s="116">
        <v>0</v>
      </c>
      <c r="K233" s="116">
        <v>0</v>
      </c>
      <c r="L233" s="116">
        <v>0</v>
      </c>
      <c r="M233" s="116">
        <v>0</v>
      </c>
      <c r="N233" s="116">
        <v>0</v>
      </c>
      <c r="O233" s="116">
        <v>0</v>
      </c>
      <c r="P233" s="116">
        <v>0</v>
      </c>
      <c r="Q233" s="116">
        <v>0</v>
      </c>
      <c r="R233" s="116">
        <v>0</v>
      </c>
      <c r="S233" s="116">
        <v>0</v>
      </c>
      <c r="T233" s="116">
        <v>0</v>
      </c>
      <c r="U233" s="116">
        <v>0</v>
      </c>
      <c r="V233" s="116">
        <v>0</v>
      </c>
      <c r="W233" s="116">
        <v>0</v>
      </c>
      <c r="X233" s="116">
        <v>0</v>
      </c>
      <c r="Y233" s="116">
        <v>0</v>
      </c>
      <c r="Z233" s="116">
        <v>0</v>
      </c>
      <c r="AA233" s="116">
        <v>0</v>
      </c>
      <c r="AB233" s="116">
        <v>0</v>
      </c>
      <c r="AC233" s="116">
        <v>0</v>
      </c>
      <c r="AD233" s="116">
        <v>0</v>
      </c>
      <c r="AE233" s="116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0</v>
      </c>
      <c r="AM233" s="116">
        <v>0</v>
      </c>
      <c r="AN233" s="116">
        <v>0</v>
      </c>
      <c r="AO233" s="116">
        <v>0</v>
      </c>
      <c r="AP233" s="116">
        <v>0</v>
      </c>
      <c r="AQ233" s="116">
        <v>0</v>
      </c>
      <c r="AR233" s="116">
        <v>0</v>
      </c>
      <c r="AS233" s="116">
        <v>0</v>
      </c>
      <c r="AT233" s="116">
        <v>0</v>
      </c>
      <c r="AU233" s="116">
        <v>0</v>
      </c>
      <c r="AV233" s="116">
        <v>0</v>
      </c>
      <c r="AW233" s="116">
        <v>0</v>
      </c>
      <c r="AX233" s="116">
        <v>0</v>
      </c>
      <c r="AY233" s="116">
        <v>0</v>
      </c>
    </row>
    <row r="234" spans="1:51" x14ac:dyDescent="0.2">
      <c r="A234" s="115"/>
      <c r="B234" s="133">
        <v>26</v>
      </c>
      <c r="C234" s="112"/>
      <c r="D234" s="116">
        <v>0</v>
      </c>
      <c r="E234" s="116">
        <v>0</v>
      </c>
      <c r="F234" s="116">
        <v>0</v>
      </c>
      <c r="G234" s="116">
        <v>0</v>
      </c>
      <c r="H234" s="116">
        <v>0</v>
      </c>
      <c r="I234" s="116">
        <v>0</v>
      </c>
      <c r="J234" s="116">
        <v>0</v>
      </c>
      <c r="K234" s="116">
        <v>0</v>
      </c>
      <c r="L234" s="116">
        <v>0</v>
      </c>
      <c r="M234" s="116">
        <v>0</v>
      </c>
      <c r="N234" s="116">
        <v>0</v>
      </c>
      <c r="O234" s="116">
        <v>0</v>
      </c>
      <c r="P234" s="116">
        <v>0</v>
      </c>
      <c r="Q234" s="116">
        <v>0</v>
      </c>
      <c r="R234" s="116">
        <v>0</v>
      </c>
      <c r="S234" s="116">
        <v>0</v>
      </c>
      <c r="T234" s="116">
        <v>0</v>
      </c>
      <c r="U234" s="116">
        <v>0</v>
      </c>
      <c r="V234" s="116">
        <v>0</v>
      </c>
      <c r="W234" s="116">
        <v>0</v>
      </c>
      <c r="X234" s="116">
        <v>0</v>
      </c>
      <c r="Y234" s="116">
        <v>0</v>
      </c>
      <c r="Z234" s="116">
        <v>0</v>
      </c>
      <c r="AA234" s="116">
        <v>0</v>
      </c>
      <c r="AB234" s="116">
        <v>0</v>
      </c>
      <c r="AC234" s="116">
        <v>0</v>
      </c>
      <c r="AD234" s="116">
        <v>0</v>
      </c>
      <c r="AE234" s="116">
        <v>0</v>
      </c>
      <c r="AF234" s="116">
        <v>0</v>
      </c>
      <c r="AG234" s="116">
        <v>0</v>
      </c>
      <c r="AH234" s="116">
        <v>0</v>
      </c>
      <c r="AI234" s="116">
        <v>0</v>
      </c>
      <c r="AJ234" s="116">
        <v>0</v>
      </c>
      <c r="AK234" s="116">
        <v>0</v>
      </c>
      <c r="AL234" s="116">
        <v>0</v>
      </c>
      <c r="AM234" s="116">
        <v>0</v>
      </c>
      <c r="AN234" s="116">
        <v>0</v>
      </c>
      <c r="AO234" s="116">
        <v>0</v>
      </c>
      <c r="AP234" s="116">
        <v>0</v>
      </c>
      <c r="AQ234" s="116">
        <v>0</v>
      </c>
      <c r="AR234" s="116">
        <v>0</v>
      </c>
      <c r="AS234" s="116">
        <v>0</v>
      </c>
      <c r="AT234" s="116">
        <v>0</v>
      </c>
      <c r="AU234" s="116">
        <v>0</v>
      </c>
      <c r="AV234" s="116">
        <v>0</v>
      </c>
      <c r="AW234" s="116">
        <v>0</v>
      </c>
      <c r="AX234" s="116">
        <v>0</v>
      </c>
      <c r="AY234" s="116">
        <v>0</v>
      </c>
    </row>
    <row r="235" spans="1:51" x14ac:dyDescent="0.2">
      <c r="A235" s="115"/>
      <c r="B235" s="133">
        <v>27</v>
      </c>
      <c r="C235" s="112"/>
      <c r="D235" s="116">
        <v>0</v>
      </c>
      <c r="E235" s="116">
        <v>0</v>
      </c>
      <c r="F235" s="116">
        <v>0</v>
      </c>
      <c r="G235" s="116">
        <v>0</v>
      </c>
      <c r="H235" s="116">
        <v>0</v>
      </c>
      <c r="I235" s="116">
        <v>0</v>
      </c>
      <c r="J235" s="116">
        <v>0</v>
      </c>
      <c r="K235" s="116">
        <v>0</v>
      </c>
      <c r="L235" s="116">
        <v>0</v>
      </c>
      <c r="M235" s="116">
        <v>0</v>
      </c>
      <c r="N235" s="116">
        <v>0</v>
      </c>
      <c r="O235" s="116">
        <v>0</v>
      </c>
      <c r="P235" s="116">
        <v>0</v>
      </c>
      <c r="Q235" s="116">
        <v>0</v>
      </c>
      <c r="R235" s="116">
        <v>0</v>
      </c>
      <c r="S235" s="116">
        <v>0</v>
      </c>
      <c r="T235" s="116">
        <v>0</v>
      </c>
      <c r="U235" s="116">
        <v>0</v>
      </c>
      <c r="V235" s="116">
        <v>0</v>
      </c>
      <c r="W235" s="116">
        <v>0</v>
      </c>
      <c r="X235" s="116">
        <v>0</v>
      </c>
      <c r="Y235" s="116">
        <v>0</v>
      </c>
      <c r="Z235" s="116">
        <v>0</v>
      </c>
      <c r="AA235" s="116">
        <v>0</v>
      </c>
      <c r="AB235" s="116">
        <v>0</v>
      </c>
      <c r="AC235" s="116">
        <v>0</v>
      </c>
      <c r="AD235" s="116">
        <v>0</v>
      </c>
      <c r="AE235" s="116">
        <v>0</v>
      </c>
      <c r="AF235" s="116">
        <v>0</v>
      </c>
      <c r="AG235" s="116">
        <v>0</v>
      </c>
      <c r="AH235" s="116">
        <v>0</v>
      </c>
      <c r="AI235" s="116">
        <v>0</v>
      </c>
      <c r="AJ235" s="116">
        <v>0</v>
      </c>
      <c r="AK235" s="116">
        <v>0</v>
      </c>
      <c r="AL235" s="116">
        <v>0</v>
      </c>
      <c r="AM235" s="116">
        <v>0</v>
      </c>
      <c r="AN235" s="116">
        <v>0</v>
      </c>
      <c r="AO235" s="116">
        <v>0</v>
      </c>
      <c r="AP235" s="116">
        <v>0</v>
      </c>
      <c r="AQ235" s="116">
        <v>0</v>
      </c>
      <c r="AR235" s="116">
        <v>0</v>
      </c>
      <c r="AS235" s="116">
        <v>0</v>
      </c>
      <c r="AT235" s="116">
        <v>0</v>
      </c>
      <c r="AU235" s="116">
        <v>0</v>
      </c>
      <c r="AV235" s="116">
        <v>0</v>
      </c>
      <c r="AW235" s="116">
        <v>0</v>
      </c>
      <c r="AX235" s="116">
        <v>0</v>
      </c>
      <c r="AY235" s="116">
        <v>0</v>
      </c>
    </row>
    <row r="236" spans="1:51" x14ac:dyDescent="0.2">
      <c r="A236" s="115"/>
      <c r="B236" s="133">
        <v>28</v>
      </c>
      <c r="C236" s="112"/>
      <c r="D236" s="116">
        <v>0</v>
      </c>
      <c r="E236" s="116">
        <v>0</v>
      </c>
      <c r="F236" s="116">
        <v>0</v>
      </c>
      <c r="G236" s="116">
        <v>0</v>
      </c>
      <c r="H236" s="116">
        <v>0</v>
      </c>
      <c r="I236" s="116">
        <v>0</v>
      </c>
      <c r="J236" s="116">
        <v>0</v>
      </c>
      <c r="K236" s="116">
        <v>0</v>
      </c>
      <c r="L236" s="116">
        <v>0</v>
      </c>
      <c r="M236" s="116">
        <v>0</v>
      </c>
      <c r="N236" s="116">
        <v>0</v>
      </c>
      <c r="O236" s="116">
        <v>0</v>
      </c>
      <c r="P236" s="116">
        <v>0</v>
      </c>
      <c r="Q236" s="116">
        <v>0</v>
      </c>
      <c r="R236" s="116">
        <v>0</v>
      </c>
      <c r="S236" s="116">
        <v>0</v>
      </c>
      <c r="T236" s="116">
        <v>0</v>
      </c>
      <c r="U236" s="116">
        <v>0</v>
      </c>
      <c r="V236" s="116">
        <v>0</v>
      </c>
      <c r="W236" s="116">
        <v>0</v>
      </c>
      <c r="X236" s="116">
        <v>0</v>
      </c>
      <c r="Y236" s="116">
        <v>0</v>
      </c>
      <c r="Z236" s="116">
        <v>0</v>
      </c>
      <c r="AA236" s="116">
        <v>0</v>
      </c>
      <c r="AB236" s="116">
        <v>0</v>
      </c>
      <c r="AC236" s="116">
        <v>0</v>
      </c>
      <c r="AD236" s="116">
        <v>0</v>
      </c>
      <c r="AE236" s="116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0</v>
      </c>
      <c r="AM236" s="116">
        <v>0</v>
      </c>
      <c r="AN236" s="116">
        <v>0</v>
      </c>
      <c r="AO236" s="116">
        <v>0</v>
      </c>
      <c r="AP236" s="116">
        <v>0</v>
      </c>
      <c r="AQ236" s="116">
        <v>0</v>
      </c>
      <c r="AR236" s="116">
        <v>0</v>
      </c>
      <c r="AS236" s="116">
        <v>0</v>
      </c>
      <c r="AT236" s="116">
        <v>0</v>
      </c>
      <c r="AU236" s="116">
        <v>0</v>
      </c>
      <c r="AV236" s="116">
        <v>0</v>
      </c>
      <c r="AW236" s="116">
        <v>0</v>
      </c>
      <c r="AX236" s="116">
        <v>0</v>
      </c>
      <c r="AY236" s="116">
        <v>0</v>
      </c>
    </row>
    <row r="237" spans="1:51" x14ac:dyDescent="0.2">
      <c r="A237" s="115"/>
      <c r="B237" s="133">
        <v>29</v>
      </c>
      <c r="C237" s="112"/>
      <c r="D237" s="116">
        <v>0</v>
      </c>
      <c r="E237" s="116">
        <v>0</v>
      </c>
      <c r="F237" s="116">
        <v>0</v>
      </c>
      <c r="G237" s="116">
        <v>0</v>
      </c>
      <c r="H237" s="116">
        <v>0</v>
      </c>
      <c r="I237" s="116">
        <v>0</v>
      </c>
      <c r="J237" s="116">
        <v>0</v>
      </c>
      <c r="K237" s="116">
        <v>0</v>
      </c>
      <c r="L237" s="116">
        <v>0</v>
      </c>
      <c r="M237" s="116">
        <v>0</v>
      </c>
      <c r="N237" s="116">
        <v>0</v>
      </c>
      <c r="O237" s="116">
        <v>0</v>
      </c>
      <c r="P237" s="116">
        <v>0</v>
      </c>
      <c r="Q237" s="116">
        <v>0</v>
      </c>
      <c r="R237" s="116">
        <v>0</v>
      </c>
      <c r="S237" s="116">
        <v>0</v>
      </c>
      <c r="T237" s="116">
        <v>0</v>
      </c>
      <c r="U237" s="116">
        <v>0</v>
      </c>
      <c r="V237" s="116">
        <v>0</v>
      </c>
      <c r="W237" s="116">
        <v>0</v>
      </c>
      <c r="X237" s="116">
        <v>0</v>
      </c>
      <c r="Y237" s="116">
        <v>0</v>
      </c>
      <c r="Z237" s="116">
        <v>0</v>
      </c>
      <c r="AA237" s="116">
        <v>0</v>
      </c>
      <c r="AB237" s="116">
        <v>0</v>
      </c>
      <c r="AC237" s="116">
        <v>0</v>
      </c>
      <c r="AD237" s="116">
        <v>0</v>
      </c>
      <c r="AE237" s="116">
        <v>0</v>
      </c>
      <c r="AF237" s="116">
        <v>0</v>
      </c>
      <c r="AG237" s="116">
        <v>0</v>
      </c>
      <c r="AH237" s="116">
        <v>0</v>
      </c>
      <c r="AI237" s="116">
        <v>0</v>
      </c>
      <c r="AJ237" s="116">
        <v>0</v>
      </c>
      <c r="AK237" s="116">
        <v>0</v>
      </c>
      <c r="AL237" s="116">
        <v>0</v>
      </c>
      <c r="AM237" s="116">
        <v>0</v>
      </c>
      <c r="AN237" s="116">
        <v>0</v>
      </c>
      <c r="AO237" s="116">
        <v>0</v>
      </c>
      <c r="AP237" s="116">
        <v>0</v>
      </c>
      <c r="AQ237" s="116">
        <v>0</v>
      </c>
      <c r="AR237" s="116">
        <v>0</v>
      </c>
      <c r="AS237" s="116">
        <v>0</v>
      </c>
      <c r="AT237" s="116">
        <v>0</v>
      </c>
      <c r="AU237" s="116">
        <v>0</v>
      </c>
      <c r="AV237" s="116">
        <v>0</v>
      </c>
      <c r="AW237" s="116">
        <v>0</v>
      </c>
      <c r="AX237" s="116">
        <v>0</v>
      </c>
      <c r="AY237" s="116">
        <v>0</v>
      </c>
    </row>
    <row r="238" spans="1:51" x14ac:dyDescent="0.2">
      <c r="A238" s="115"/>
      <c r="B238" s="133">
        <v>30</v>
      </c>
      <c r="C238" s="112"/>
      <c r="D238" s="116">
        <v>0</v>
      </c>
      <c r="E238" s="116">
        <v>0</v>
      </c>
      <c r="F238" s="116">
        <v>0</v>
      </c>
      <c r="G238" s="116">
        <v>0</v>
      </c>
      <c r="H238" s="116">
        <v>0</v>
      </c>
      <c r="I238" s="116">
        <v>0</v>
      </c>
      <c r="J238" s="116">
        <v>0</v>
      </c>
      <c r="K238" s="116">
        <v>0</v>
      </c>
      <c r="L238" s="116">
        <v>0</v>
      </c>
      <c r="M238" s="116">
        <v>0</v>
      </c>
      <c r="N238" s="116">
        <v>0</v>
      </c>
      <c r="O238" s="116">
        <v>0</v>
      </c>
      <c r="P238" s="116">
        <v>0</v>
      </c>
      <c r="Q238" s="116">
        <v>0</v>
      </c>
      <c r="R238" s="116">
        <v>0</v>
      </c>
      <c r="S238" s="116">
        <v>0</v>
      </c>
      <c r="T238" s="116">
        <v>0</v>
      </c>
      <c r="U238" s="116">
        <v>0</v>
      </c>
      <c r="V238" s="116">
        <v>0</v>
      </c>
      <c r="W238" s="116">
        <v>0</v>
      </c>
      <c r="X238" s="116">
        <v>0</v>
      </c>
      <c r="Y238" s="116">
        <v>0</v>
      </c>
      <c r="Z238" s="116">
        <v>0</v>
      </c>
      <c r="AA238" s="116">
        <v>0</v>
      </c>
      <c r="AB238" s="116">
        <v>0</v>
      </c>
      <c r="AC238" s="116">
        <v>0</v>
      </c>
      <c r="AD238" s="116">
        <v>0</v>
      </c>
      <c r="AE238" s="116">
        <v>0</v>
      </c>
      <c r="AF238" s="116">
        <v>0</v>
      </c>
      <c r="AG238" s="116">
        <v>0</v>
      </c>
      <c r="AH238" s="116">
        <v>0</v>
      </c>
      <c r="AI238" s="116">
        <v>0</v>
      </c>
      <c r="AJ238" s="116">
        <v>0</v>
      </c>
      <c r="AK238" s="116">
        <v>0</v>
      </c>
      <c r="AL238" s="116">
        <v>0</v>
      </c>
      <c r="AM238" s="116">
        <v>0</v>
      </c>
      <c r="AN238" s="116">
        <v>0</v>
      </c>
      <c r="AO238" s="116">
        <v>0</v>
      </c>
      <c r="AP238" s="116">
        <v>0</v>
      </c>
      <c r="AQ238" s="116">
        <v>0</v>
      </c>
      <c r="AR238" s="116">
        <v>0</v>
      </c>
      <c r="AS238" s="116">
        <v>0</v>
      </c>
      <c r="AT238" s="116">
        <v>0</v>
      </c>
      <c r="AU238" s="116">
        <v>0</v>
      </c>
      <c r="AV238" s="116">
        <v>0</v>
      </c>
      <c r="AW238" s="116">
        <v>0</v>
      </c>
      <c r="AX238" s="116">
        <v>0</v>
      </c>
      <c r="AY238" s="116">
        <v>0</v>
      </c>
    </row>
    <row r="239" spans="1:51" x14ac:dyDescent="0.2">
      <c r="A239" s="115"/>
      <c r="B239" s="133">
        <v>31</v>
      </c>
      <c r="C239" s="112"/>
      <c r="D239" s="116">
        <v>0</v>
      </c>
      <c r="E239" s="116">
        <v>0</v>
      </c>
      <c r="F239" s="116">
        <v>0</v>
      </c>
      <c r="G239" s="116">
        <v>0</v>
      </c>
      <c r="H239" s="116">
        <v>0</v>
      </c>
      <c r="I239" s="116">
        <v>0</v>
      </c>
      <c r="J239" s="116">
        <v>0</v>
      </c>
      <c r="K239" s="116">
        <v>0</v>
      </c>
      <c r="L239" s="116">
        <v>0</v>
      </c>
      <c r="M239" s="116">
        <v>0</v>
      </c>
      <c r="N239" s="116">
        <v>0</v>
      </c>
      <c r="O239" s="116">
        <v>0</v>
      </c>
      <c r="P239" s="116">
        <v>0</v>
      </c>
      <c r="Q239" s="116">
        <v>0</v>
      </c>
      <c r="R239" s="116">
        <v>0</v>
      </c>
      <c r="S239" s="116">
        <v>0</v>
      </c>
      <c r="T239" s="116">
        <v>0</v>
      </c>
      <c r="U239" s="116">
        <v>0</v>
      </c>
      <c r="V239" s="116">
        <v>0</v>
      </c>
      <c r="W239" s="116">
        <v>0</v>
      </c>
      <c r="X239" s="116">
        <v>0</v>
      </c>
      <c r="Y239" s="116">
        <v>0</v>
      </c>
      <c r="Z239" s="116">
        <v>0</v>
      </c>
      <c r="AA239" s="116">
        <v>0</v>
      </c>
      <c r="AB239" s="116">
        <v>0</v>
      </c>
      <c r="AC239" s="116">
        <v>0</v>
      </c>
      <c r="AD239" s="116">
        <v>0</v>
      </c>
      <c r="AE239" s="116">
        <v>0</v>
      </c>
      <c r="AF239" s="116">
        <v>0</v>
      </c>
      <c r="AG239" s="116">
        <v>0</v>
      </c>
      <c r="AH239" s="116">
        <v>0</v>
      </c>
      <c r="AI239" s="116">
        <v>0</v>
      </c>
      <c r="AJ239" s="116">
        <v>0</v>
      </c>
      <c r="AK239" s="116">
        <v>0</v>
      </c>
      <c r="AL239" s="116">
        <v>0</v>
      </c>
      <c r="AM239" s="116">
        <v>0</v>
      </c>
      <c r="AN239" s="116">
        <v>0</v>
      </c>
      <c r="AO239" s="116">
        <v>0</v>
      </c>
      <c r="AP239" s="116">
        <v>0</v>
      </c>
      <c r="AQ239" s="116">
        <v>0</v>
      </c>
      <c r="AR239" s="116">
        <v>0</v>
      </c>
      <c r="AS239" s="116">
        <v>0</v>
      </c>
      <c r="AT239" s="116">
        <v>0</v>
      </c>
      <c r="AU239" s="116">
        <v>0</v>
      </c>
      <c r="AV239" s="116">
        <v>0</v>
      </c>
      <c r="AW239" s="116">
        <v>0</v>
      </c>
      <c r="AX239" s="116">
        <v>0</v>
      </c>
      <c r="AY239" s="116">
        <v>0</v>
      </c>
    </row>
    <row r="240" spans="1:51" x14ac:dyDescent="0.2">
      <c r="A240" s="115"/>
      <c r="B240" s="133">
        <v>32</v>
      </c>
      <c r="C240" s="112"/>
      <c r="D240" s="116">
        <v>0</v>
      </c>
      <c r="E240" s="116">
        <v>0</v>
      </c>
      <c r="F240" s="116">
        <v>0</v>
      </c>
      <c r="G240" s="116">
        <v>0</v>
      </c>
      <c r="H240" s="116">
        <v>0</v>
      </c>
      <c r="I240" s="116">
        <v>0</v>
      </c>
      <c r="J240" s="116">
        <v>0</v>
      </c>
      <c r="K240" s="116">
        <v>0</v>
      </c>
      <c r="L240" s="116">
        <v>0</v>
      </c>
      <c r="M240" s="116">
        <v>0</v>
      </c>
      <c r="N240" s="116">
        <v>0</v>
      </c>
      <c r="O240" s="116">
        <v>0</v>
      </c>
      <c r="P240" s="116">
        <v>0</v>
      </c>
      <c r="Q240" s="116">
        <v>0</v>
      </c>
      <c r="R240" s="116">
        <v>0</v>
      </c>
      <c r="S240" s="116">
        <v>0</v>
      </c>
      <c r="T240" s="116">
        <v>0</v>
      </c>
      <c r="U240" s="116">
        <v>0</v>
      </c>
      <c r="V240" s="116">
        <v>0</v>
      </c>
      <c r="W240" s="116">
        <v>0</v>
      </c>
      <c r="X240" s="116">
        <v>0</v>
      </c>
      <c r="Y240" s="116">
        <v>0</v>
      </c>
      <c r="Z240" s="116">
        <v>0</v>
      </c>
      <c r="AA240" s="116">
        <v>0</v>
      </c>
      <c r="AB240" s="116">
        <v>0</v>
      </c>
      <c r="AC240" s="116">
        <v>0</v>
      </c>
      <c r="AD240" s="116">
        <v>0</v>
      </c>
      <c r="AE240" s="116">
        <v>0</v>
      </c>
      <c r="AF240" s="116">
        <v>0</v>
      </c>
      <c r="AG240" s="116">
        <v>0</v>
      </c>
      <c r="AH240" s="116">
        <v>0</v>
      </c>
      <c r="AI240" s="116">
        <v>0</v>
      </c>
      <c r="AJ240" s="116">
        <v>0</v>
      </c>
      <c r="AK240" s="116">
        <v>0</v>
      </c>
      <c r="AL240" s="116">
        <v>0</v>
      </c>
      <c r="AM240" s="116">
        <v>0</v>
      </c>
      <c r="AN240" s="116">
        <v>0</v>
      </c>
      <c r="AO240" s="116">
        <v>0</v>
      </c>
      <c r="AP240" s="116">
        <v>0</v>
      </c>
      <c r="AQ240" s="116">
        <v>0</v>
      </c>
      <c r="AR240" s="116">
        <v>0</v>
      </c>
      <c r="AS240" s="116">
        <v>0</v>
      </c>
      <c r="AT240" s="116">
        <v>0</v>
      </c>
      <c r="AU240" s="116">
        <v>0</v>
      </c>
      <c r="AV240" s="116">
        <v>0</v>
      </c>
      <c r="AW240" s="116">
        <v>0</v>
      </c>
      <c r="AX240" s="116">
        <v>0</v>
      </c>
      <c r="AY240" s="116">
        <v>0</v>
      </c>
    </row>
    <row r="241" spans="1:51" x14ac:dyDescent="0.2">
      <c r="A241" s="115"/>
      <c r="B241" s="133">
        <v>33</v>
      </c>
      <c r="C241" s="112"/>
      <c r="D241" s="116">
        <v>0</v>
      </c>
      <c r="E241" s="116">
        <v>0</v>
      </c>
      <c r="F241" s="116">
        <v>0</v>
      </c>
      <c r="G241" s="116">
        <v>0</v>
      </c>
      <c r="H241" s="116">
        <v>0</v>
      </c>
      <c r="I241" s="116">
        <v>0</v>
      </c>
      <c r="J241" s="116">
        <v>0</v>
      </c>
      <c r="K241" s="116">
        <v>0</v>
      </c>
      <c r="L241" s="116">
        <v>0</v>
      </c>
      <c r="M241" s="116">
        <v>0</v>
      </c>
      <c r="N241" s="116">
        <v>0</v>
      </c>
      <c r="O241" s="116">
        <v>0</v>
      </c>
      <c r="P241" s="116">
        <v>0</v>
      </c>
      <c r="Q241" s="116">
        <v>0</v>
      </c>
      <c r="R241" s="116">
        <v>0</v>
      </c>
      <c r="S241" s="116">
        <v>0</v>
      </c>
      <c r="T241" s="116">
        <v>0</v>
      </c>
      <c r="U241" s="116">
        <v>0</v>
      </c>
      <c r="V241" s="116">
        <v>0</v>
      </c>
      <c r="W241" s="116">
        <v>0</v>
      </c>
      <c r="X241" s="116">
        <v>0</v>
      </c>
      <c r="Y241" s="116">
        <v>0</v>
      </c>
      <c r="Z241" s="116">
        <v>0</v>
      </c>
      <c r="AA241" s="116">
        <v>0</v>
      </c>
      <c r="AB241" s="116">
        <v>0</v>
      </c>
      <c r="AC241" s="116">
        <v>0</v>
      </c>
      <c r="AD241" s="116">
        <v>0</v>
      </c>
      <c r="AE241" s="116">
        <v>0</v>
      </c>
      <c r="AF241" s="116">
        <v>0</v>
      </c>
      <c r="AG241" s="116">
        <v>0</v>
      </c>
      <c r="AH241" s="116">
        <v>0</v>
      </c>
      <c r="AI241" s="116">
        <v>0</v>
      </c>
      <c r="AJ241" s="116">
        <v>0</v>
      </c>
      <c r="AK241" s="116">
        <v>0</v>
      </c>
      <c r="AL241" s="116">
        <v>0</v>
      </c>
      <c r="AM241" s="116">
        <v>0</v>
      </c>
      <c r="AN241" s="116">
        <v>0</v>
      </c>
      <c r="AO241" s="116">
        <v>0</v>
      </c>
      <c r="AP241" s="116">
        <v>0</v>
      </c>
      <c r="AQ241" s="116">
        <v>0</v>
      </c>
      <c r="AR241" s="116">
        <v>0</v>
      </c>
      <c r="AS241" s="116">
        <v>0</v>
      </c>
      <c r="AT241" s="116">
        <v>0</v>
      </c>
      <c r="AU241" s="116">
        <v>0</v>
      </c>
      <c r="AV241" s="116">
        <v>0</v>
      </c>
      <c r="AW241" s="116">
        <v>0</v>
      </c>
      <c r="AX241" s="116">
        <v>0</v>
      </c>
      <c r="AY241" s="116">
        <v>0</v>
      </c>
    </row>
    <row r="242" spans="1:51" x14ac:dyDescent="0.2">
      <c r="A242" s="115"/>
      <c r="B242" s="133">
        <v>34</v>
      </c>
      <c r="C242" s="112"/>
      <c r="D242" s="116">
        <v>0</v>
      </c>
      <c r="E242" s="116">
        <v>0</v>
      </c>
      <c r="F242" s="116">
        <v>0</v>
      </c>
      <c r="G242" s="116">
        <v>0</v>
      </c>
      <c r="H242" s="116">
        <v>0</v>
      </c>
      <c r="I242" s="116">
        <v>0</v>
      </c>
      <c r="J242" s="116">
        <v>0</v>
      </c>
      <c r="K242" s="116">
        <v>0</v>
      </c>
      <c r="L242" s="116">
        <v>0</v>
      </c>
      <c r="M242" s="116">
        <v>0</v>
      </c>
      <c r="N242" s="116">
        <v>0</v>
      </c>
      <c r="O242" s="116">
        <v>0</v>
      </c>
      <c r="P242" s="116">
        <v>0</v>
      </c>
      <c r="Q242" s="116">
        <v>0</v>
      </c>
      <c r="R242" s="116">
        <v>0</v>
      </c>
      <c r="S242" s="116">
        <v>0</v>
      </c>
      <c r="T242" s="116">
        <v>0</v>
      </c>
      <c r="U242" s="116">
        <v>0</v>
      </c>
      <c r="V242" s="116">
        <v>0</v>
      </c>
      <c r="W242" s="116">
        <v>0</v>
      </c>
      <c r="X242" s="116">
        <v>0</v>
      </c>
      <c r="Y242" s="116">
        <v>0</v>
      </c>
      <c r="Z242" s="116">
        <v>0</v>
      </c>
      <c r="AA242" s="116">
        <v>0</v>
      </c>
      <c r="AB242" s="116">
        <v>0</v>
      </c>
      <c r="AC242" s="116">
        <v>0</v>
      </c>
      <c r="AD242" s="116">
        <v>0</v>
      </c>
      <c r="AE242" s="116">
        <v>0</v>
      </c>
      <c r="AF242" s="116">
        <v>0</v>
      </c>
      <c r="AG242" s="116">
        <v>0</v>
      </c>
      <c r="AH242" s="116">
        <v>0</v>
      </c>
      <c r="AI242" s="116">
        <v>0</v>
      </c>
      <c r="AJ242" s="116">
        <v>0</v>
      </c>
      <c r="AK242" s="116">
        <v>0</v>
      </c>
      <c r="AL242" s="116">
        <v>0</v>
      </c>
      <c r="AM242" s="116">
        <v>0</v>
      </c>
      <c r="AN242" s="116">
        <v>0</v>
      </c>
      <c r="AO242" s="116">
        <v>0</v>
      </c>
      <c r="AP242" s="116">
        <v>0</v>
      </c>
      <c r="AQ242" s="116">
        <v>0</v>
      </c>
      <c r="AR242" s="116">
        <v>0</v>
      </c>
      <c r="AS242" s="116">
        <v>0</v>
      </c>
      <c r="AT242" s="116">
        <v>0</v>
      </c>
      <c r="AU242" s="116">
        <v>0</v>
      </c>
      <c r="AV242" s="116">
        <v>0</v>
      </c>
      <c r="AW242" s="116">
        <v>0</v>
      </c>
      <c r="AX242" s="116">
        <v>0</v>
      </c>
      <c r="AY242" s="116">
        <v>0</v>
      </c>
    </row>
    <row r="243" spans="1:51" x14ac:dyDescent="0.2">
      <c r="A243" s="115"/>
      <c r="B243" s="133">
        <v>35</v>
      </c>
      <c r="C243" s="112"/>
      <c r="D243" s="116">
        <v>0</v>
      </c>
      <c r="E243" s="116">
        <v>0</v>
      </c>
      <c r="F243" s="116">
        <v>0</v>
      </c>
      <c r="G243" s="116">
        <v>0</v>
      </c>
      <c r="H243" s="116">
        <v>0</v>
      </c>
      <c r="I243" s="116">
        <v>0</v>
      </c>
      <c r="J243" s="116">
        <v>0</v>
      </c>
      <c r="K243" s="116">
        <v>0</v>
      </c>
      <c r="L243" s="116">
        <v>0</v>
      </c>
      <c r="M243" s="116">
        <v>0</v>
      </c>
      <c r="N243" s="116">
        <v>0</v>
      </c>
      <c r="O243" s="116">
        <v>0</v>
      </c>
      <c r="P243" s="116">
        <v>0</v>
      </c>
      <c r="Q243" s="116">
        <v>0</v>
      </c>
      <c r="R243" s="116">
        <v>0</v>
      </c>
      <c r="S243" s="116">
        <v>0</v>
      </c>
      <c r="T243" s="116">
        <v>0</v>
      </c>
      <c r="U243" s="116">
        <v>0</v>
      </c>
      <c r="V243" s="116">
        <v>0</v>
      </c>
      <c r="W243" s="116">
        <v>0</v>
      </c>
      <c r="X243" s="116">
        <v>0</v>
      </c>
      <c r="Y243" s="116">
        <v>0</v>
      </c>
      <c r="Z243" s="116">
        <v>0</v>
      </c>
      <c r="AA243" s="116">
        <v>0</v>
      </c>
      <c r="AB243" s="116">
        <v>0</v>
      </c>
      <c r="AC243" s="116">
        <v>0</v>
      </c>
      <c r="AD243" s="116">
        <v>0</v>
      </c>
      <c r="AE243" s="116">
        <v>0</v>
      </c>
      <c r="AF243" s="116">
        <v>0</v>
      </c>
      <c r="AG243" s="116">
        <v>0</v>
      </c>
      <c r="AH243" s="116">
        <v>0</v>
      </c>
      <c r="AI243" s="116">
        <v>0</v>
      </c>
      <c r="AJ243" s="116">
        <v>0</v>
      </c>
      <c r="AK243" s="116">
        <v>0</v>
      </c>
      <c r="AL243" s="116">
        <v>0</v>
      </c>
      <c r="AM243" s="116">
        <v>0</v>
      </c>
      <c r="AN243" s="116">
        <v>0</v>
      </c>
      <c r="AO243" s="116">
        <v>0</v>
      </c>
      <c r="AP243" s="116">
        <v>0</v>
      </c>
      <c r="AQ243" s="116">
        <v>0</v>
      </c>
      <c r="AR243" s="116">
        <v>0</v>
      </c>
      <c r="AS243" s="116">
        <v>0</v>
      </c>
      <c r="AT243" s="116">
        <v>0</v>
      </c>
      <c r="AU243" s="116">
        <v>0</v>
      </c>
      <c r="AV243" s="116">
        <v>0</v>
      </c>
      <c r="AW243" s="116">
        <v>0</v>
      </c>
      <c r="AX243" s="116">
        <v>0</v>
      </c>
      <c r="AY243" s="116">
        <v>0</v>
      </c>
    </row>
    <row r="244" spans="1:51" x14ac:dyDescent="0.2">
      <c r="A244" s="115"/>
      <c r="B244" s="133">
        <v>36</v>
      </c>
      <c r="C244" s="112"/>
      <c r="D244" s="116">
        <v>0</v>
      </c>
      <c r="E244" s="116">
        <v>0</v>
      </c>
      <c r="F244" s="116">
        <v>0</v>
      </c>
      <c r="G244" s="116">
        <v>0</v>
      </c>
      <c r="H244" s="116">
        <v>0</v>
      </c>
      <c r="I244" s="116">
        <v>0</v>
      </c>
      <c r="J244" s="116">
        <v>0</v>
      </c>
      <c r="K244" s="116">
        <v>0</v>
      </c>
      <c r="L244" s="116">
        <v>0</v>
      </c>
      <c r="M244" s="116">
        <v>0</v>
      </c>
      <c r="N244" s="116">
        <v>0</v>
      </c>
      <c r="O244" s="116">
        <v>0</v>
      </c>
      <c r="P244" s="116">
        <v>0</v>
      </c>
      <c r="Q244" s="116">
        <v>0</v>
      </c>
      <c r="R244" s="116">
        <v>0</v>
      </c>
      <c r="S244" s="116">
        <v>0</v>
      </c>
      <c r="T244" s="116">
        <v>0</v>
      </c>
      <c r="U244" s="116">
        <v>0</v>
      </c>
      <c r="V244" s="116">
        <v>0</v>
      </c>
      <c r="W244" s="116">
        <v>0</v>
      </c>
      <c r="X244" s="116">
        <v>0</v>
      </c>
      <c r="Y244" s="116">
        <v>0</v>
      </c>
      <c r="Z244" s="116">
        <v>0</v>
      </c>
      <c r="AA244" s="116">
        <v>0</v>
      </c>
      <c r="AB244" s="116">
        <v>0</v>
      </c>
      <c r="AC244" s="116">
        <v>0</v>
      </c>
      <c r="AD244" s="116">
        <v>0</v>
      </c>
      <c r="AE244" s="116">
        <v>0</v>
      </c>
      <c r="AF244" s="116">
        <v>0</v>
      </c>
      <c r="AG244" s="116">
        <v>0</v>
      </c>
      <c r="AH244" s="116">
        <v>0</v>
      </c>
      <c r="AI244" s="116">
        <v>0</v>
      </c>
      <c r="AJ244" s="116">
        <v>0</v>
      </c>
      <c r="AK244" s="116">
        <v>0</v>
      </c>
      <c r="AL244" s="116">
        <v>0</v>
      </c>
      <c r="AM244" s="116">
        <v>0</v>
      </c>
      <c r="AN244" s="116">
        <v>0</v>
      </c>
      <c r="AO244" s="116">
        <v>0</v>
      </c>
      <c r="AP244" s="116">
        <v>0</v>
      </c>
      <c r="AQ244" s="116">
        <v>0</v>
      </c>
      <c r="AR244" s="116">
        <v>0</v>
      </c>
      <c r="AS244" s="116">
        <v>0</v>
      </c>
      <c r="AT244" s="116">
        <v>0</v>
      </c>
      <c r="AU244" s="116">
        <v>0</v>
      </c>
      <c r="AV244" s="116">
        <v>0</v>
      </c>
      <c r="AW244" s="116">
        <v>0</v>
      </c>
      <c r="AX244" s="116">
        <v>0</v>
      </c>
      <c r="AY244" s="116">
        <v>0</v>
      </c>
    </row>
    <row r="245" spans="1:51" x14ac:dyDescent="0.2">
      <c r="A245" s="115"/>
      <c r="B245" s="136">
        <v>37</v>
      </c>
      <c r="C245" s="112"/>
      <c r="D245" s="116">
        <v>0</v>
      </c>
      <c r="E245" s="116">
        <v>0</v>
      </c>
      <c r="F245" s="116">
        <v>0</v>
      </c>
      <c r="G245" s="116">
        <v>0</v>
      </c>
      <c r="H245" s="116">
        <v>0</v>
      </c>
      <c r="I245" s="116">
        <v>0</v>
      </c>
      <c r="J245" s="116">
        <v>0</v>
      </c>
      <c r="K245" s="116">
        <v>0</v>
      </c>
      <c r="L245" s="116">
        <v>0</v>
      </c>
      <c r="M245" s="116">
        <v>0</v>
      </c>
      <c r="N245" s="116">
        <v>0</v>
      </c>
      <c r="O245" s="116">
        <v>0</v>
      </c>
      <c r="P245" s="116">
        <v>0</v>
      </c>
      <c r="Q245" s="116">
        <v>0</v>
      </c>
      <c r="R245" s="116">
        <v>0</v>
      </c>
      <c r="S245" s="116">
        <v>0</v>
      </c>
      <c r="T245" s="116">
        <v>0</v>
      </c>
      <c r="U245" s="116">
        <v>0</v>
      </c>
      <c r="V245" s="116">
        <v>0</v>
      </c>
      <c r="W245" s="116">
        <v>0</v>
      </c>
      <c r="X245" s="116">
        <v>0</v>
      </c>
      <c r="Y245" s="116">
        <v>0</v>
      </c>
      <c r="Z245" s="116">
        <v>0</v>
      </c>
      <c r="AA245" s="116">
        <v>0</v>
      </c>
      <c r="AB245" s="116">
        <v>0</v>
      </c>
      <c r="AC245" s="116">
        <v>0</v>
      </c>
      <c r="AD245" s="116">
        <v>0</v>
      </c>
      <c r="AE245" s="116">
        <v>0</v>
      </c>
      <c r="AF245" s="116">
        <v>0</v>
      </c>
      <c r="AG245" s="116">
        <v>0</v>
      </c>
      <c r="AH245" s="116">
        <v>0</v>
      </c>
      <c r="AI245" s="116">
        <v>0</v>
      </c>
      <c r="AJ245" s="116">
        <v>0</v>
      </c>
      <c r="AK245" s="116">
        <v>0</v>
      </c>
      <c r="AL245" s="116">
        <v>0</v>
      </c>
      <c r="AM245" s="116">
        <v>0</v>
      </c>
      <c r="AN245" s="116">
        <v>0</v>
      </c>
      <c r="AO245" s="116">
        <v>0</v>
      </c>
      <c r="AP245" s="116">
        <v>0</v>
      </c>
      <c r="AQ245" s="116">
        <v>0</v>
      </c>
      <c r="AR245" s="116">
        <v>0</v>
      </c>
      <c r="AS245" s="116">
        <v>0</v>
      </c>
      <c r="AT245" s="116">
        <v>0</v>
      </c>
      <c r="AU245" s="116">
        <v>0</v>
      </c>
      <c r="AV245" s="116">
        <v>0</v>
      </c>
      <c r="AW245" s="116">
        <v>0</v>
      </c>
      <c r="AX245" s="116">
        <v>0</v>
      </c>
      <c r="AY245" s="116">
        <v>0</v>
      </c>
    </row>
    <row r="246" spans="1:51" x14ac:dyDescent="0.2">
      <c r="A246" s="115"/>
      <c r="B246" s="136">
        <v>38</v>
      </c>
      <c r="C246" s="112"/>
      <c r="D246" s="116">
        <v>0</v>
      </c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116">
        <v>0</v>
      </c>
      <c r="AW246" s="116">
        <v>0</v>
      </c>
      <c r="AX246" s="116">
        <v>0</v>
      </c>
      <c r="AY246" s="116">
        <v>0</v>
      </c>
    </row>
    <row r="247" spans="1:51" x14ac:dyDescent="0.2">
      <c r="A247" s="115"/>
      <c r="B247" s="136">
        <v>39</v>
      </c>
      <c r="C247" s="112"/>
      <c r="D247" s="116">
        <v>0</v>
      </c>
      <c r="E247" s="116">
        <v>0</v>
      </c>
      <c r="F247" s="116">
        <v>0</v>
      </c>
      <c r="G247" s="116">
        <v>0</v>
      </c>
      <c r="H247" s="116">
        <v>0</v>
      </c>
      <c r="I247" s="116">
        <v>0</v>
      </c>
      <c r="J247" s="116">
        <v>0</v>
      </c>
      <c r="K247" s="116">
        <v>0</v>
      </c>
      <c r="L247" s="116">
        <v>0</v>
      </c>
      <c r="M247" s="116">
        <v>0</v>
      </c>
      <c r="N247" s="116">
        <v>0</v>
      </c>
      <c r="O247" s="116">
        <v>0</v>
      </c>
      <c r="P247" s="116">
        <v>0</v>
      </c>
      <c r="Q247" s="116">
        <v>0</v>
      </c>
      <c r="R247" s="116">
        <v>0</v>
      </c>
      <c r="S247" s="116">
        <v>0</v>
      </c>
      <c r="T247" s="116">
        <v>0</v>
      </c>
      <c r="U247" s="116">
        <v>0</v>
      </c>
      <c r="V247" s="116">
        <v>0</v>
      </c>
      <c r="W247" s="116">
        <v>0</v>
      </c>
      <c r="X247" s="116">
        <v>0</v>
      </c>
      <c r="Y247" s="116">
        <v>0</v>
      </c>
      <c r="Z247" s="116">
        <v>0</v>
      </c>
      <c r="AA247" s="116">
        <v>0</v>
      </c>
      <c r="AB247" s="116">
        <v>0</v>
      </c>
      <c r="AC247" s="116">
        <v>0</v>
      </c>
      <c r="AD247" s="116">
        <v>0</v>
      </c>
      <c r="AE247" s="116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116">
        <v>0</v>
      </c>
      <c r="AO247" s="116">
        <v>0</v>
      </c>
      <c r="AP247" s="116">
        <v>0</v>
      </c>
      <c r="AQ247" s="116">
        <v>0</v>
      </c>
      <c r="AR247" s="116">
        <v>0</v>
      </c>
      <c r="AS247" s="116">
        <v>0</v>
      </c>
      <c r="AT247" s="116">
        <v>0</v>
      </c>
      <c r="AU247" s="116">
        <v>0</v>
      </c>
      <c r="AV247" s="116">
        <v>0</v>
      </c>
      <c r="AW247" s="116">
        <v>0</v>
      </c>
      <c r="AX247" s="116">
        <v>0</v>
      </c>
      <c r="AY247" s="116">
        <v>0</v>
      </c>
    </row>
    <row r="248" spans="1:51" x14ac:dyDescent="0.2">
      <c r="A248" s="115"/>
      <c r="B248" s="136">
        <v>40</v>
      </c>
      <c r="C248" s="112"/>
      <c r="D248" s="116">
        <v>0</v>
      </c>
      <c r="E248" s="116">
        <v>0</v>
      </c>
      <c r="F248" s="116">
        <v>0</v>
      </c>
      <c r="G248" s="116">
        <v>0</v>
      </c>
      <c r="H248" s="116">
        <v>0</v>
      </c>
      <c r="I248" s="116">
        <v>0</v>
      </c>
      <c r="J248" s="116">
        <v>0</v>
      </c>
      <c r="K248" s="116">
        <v>0</v>
      </c>
      <c r="L248" s="116">
        <v>0</v>
      </c>
      <c r="M248" s="116">
        <v>0</v>
      </c>
      <c r="N248" s="116">
        <v>0</v>
      </c>
      <c r="O248" s="116">
        <v>0</v>
      </c>
      <c r="P248" s="116">
        <v>0</v>
      </c>
      <c r="Q248" s="116">
        <v>0</v>
      </c>
      <c r="R248" s="116">
        <v>0</v>
      </c>
      <c r="S248" s="116">
        <v>0</v>
      </c>
      <c r="T248" s="116">
        <v>0</v>
      </c>
      <c r="U248" s="116">
        <v>0</v>
      </c>
      <c r="V248" s="116">
        <v>0</v>
      </c>
      <c r="W248" s="116">
        <v>0</v>
      </c>
      <c r="X248" s="116">
        <v>0</v>
      </c>
      <c r="Y248" s="116">
        <v>0</v>
      </c>
      <c r="Z248" s="116">
        <v>0</v>
      </c>
      <c r="AA248" s="116">
        <v>0</v>
      </c>
      <c r="AB248" s="116">
        <v>0</v>
      </c>
      <c r="AC248" s="116">
        <v>0</v>
      </c>
      <c r="AD248" s="116">
        <v>0</v>
      </c>
      <c r="AE248" s="116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116">
        <v>0</v>
      </c>
      <c r="AO248" s="116">
        <v>0</v>
      </c>
      <c r="AP248" s="116">
        <v>0</v>
      </c>
      <c r="AQ248" s="116">
        <v>0</v>
      </c>
      <c r="AR248" s="116">
        <v>0</v>
      </c>
      <c r="AS248" s="116">
        <v>0</v>
      </c>
      <c r="AT248" s="116">
        <v>0</v>
      </c>
      <c r="AU248" s="116">
        <v>0</v>
      </c>
      <c r="AV248" s="116">
        <v>0</v>
      </c>
      <c r="AW248" s="116">
        <v>0</v>
      </c>
      <c r="AX248" s="116">
        <v>0</v>
      </c>
      <c r="AY248" s="116">
        <v>0</v>
      </c>
    </row>
    <row r="249" spans="1:51" x14ac:dyDescent="0.2">
      <c r="A249" s="115"/>
      <c r="B249" s="136">
        <v>41</v>
      </c>
      <c r="C249" s="112"/>
      <c r="D249" s="116">
        <v>0</v>
      </c>
      <c r="E249" s="116">
        <v>0</v>
      </c>
      <c r="F249" s="116">
        <v>0</v>
      </c>
      <c r="G249" s="116">
        <v>0</v>
      </c>
      <c r="H249" s="116">
        <v>0</v>
      </c>
      <c r="I249" s="116">
        <v>0</v>
      </c>
      <c r="J249" s="116">
        <v>0</v>
      </c>
      <c r="K249" s="116">
        <v>0</v>
      </c>
      <c r="L249" s="116">
        <v>0</v>
      </c>
      <c r="M249" s="116">
        <v>0</v>
      </c>
      <c r="N249" s="116">
        <v>0</v>
      </c>
      <c r="O249" s="116">
        <v>0</v>
      </c>
      <c r="P249" s="116">
        <v>0</v>
      </c>
      <c r="Q249" s="116">
        <v>0</v>
      </c>
      <c r="R249" s="116">
        <v>0</v>
      </c>
      <c r="S249" s="116">
        <v>0</v>
      </c>
      <c r="T249" s="116">
        <v>0</v>
      </c>
      <c r="U249" s="116">
        <v>0</v>
      </c>
      <c r="V249" s="116">
        <v>0</v>
      </c>
      <c r="W249" s="116">
        <v>0</v>
      </c>
      <c r="X249" s="116">
        <v>0</v>
      </c>
      <c r="Y249" s="116">
        <v>0</v>
      </c>
      <c r="Z249" s="116">
        <v>0</v>
      </c>
      <c r="AA249" s="116">
        <v>0</v>
      </c>
      <c r="AB249" s="116">
        <v>0</v>
      </c>
      <c r="AC249" s="116">
        <v>0</v>
      </c>
      <c r="AD249" s="116">
        <v>0</v>
      </c>
      <c r="AE249" s="116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116">
        <v>0</v>
      </c>
      <c r="AO249" s="116">
        <v>0</v>
      </c>
      <c r="AP249" s="116">
        <v>0</v>
      </c>
      <c r="AQ249" s="116">
        <v>0</v>
      </c>
      <c r="AR249" s="116">
        <v>0</v>
      </c>
      <c r="AS249" s="116">
        <v>0</v>
      </c>
      <c r="AT249" s="116">
        <v>0</v>
      </c>
      <c r="AU249" s="116">
        <v>0</v>
      </c>
      <c r="AV249" s="116">
        <v>0</v>
      </c>
      <c r="AW249" s="116">
        <v>0</v>
      </c>
      <c r="AX249" s="116">
        <v>0</v>
      </c>
      <c r="AY249" s="116">
        <v>0</v>
      </c>
    </row>
    <row r="250" spans="1:51" x14ac:dyDescent="0.2">
      <c r="A250" s="115"/>
      <c r="B250" s="136">
        <v>42</v>
      </c>
      <c r="C250" s="112"/>
      <c r="D250" s="116">
        <v>0</v>
      </c>
      <c r="E250" s="116">
        <v>0</v>
      </c>
      <c r="F250" s="116">
        <v>0</v>
      </c>
      <c r="G250" s="116">
        <v>0</v>
      </c>
      <c r="H250" s="116">
        <v>0</v>
      </c>
      <c r="I250" s="116">
        <v>0</v>
      </c>
      <c r="J250" s="116">
        <v>0</v>
      </c>
      <c r="K250" s="116">
        <v>0</v>
      </c>
      <c r="L250" s="116">
        <v>0</v>
      </c>
      <c r="M250" s="116">
        <v>0</v>
      </c>
      <c r="N250" s="116">
        <v>0</v>
      </c>
      <c r="O250" s="116">
        <v>0</v>
      </c>
      <c r="P250" s="116">
        <v>0</v>
      </c>
      <c r="Q250" s="116">
        <v>0</v>
      </c>
      <c r="R250" s="116">
        <v>0</v>
      </c>
      <c r="S250" s="116">
        <v>0</v>
      </c>
      <c r="T250" s="116">
        <v>0</v>
      </c>
      <c r="U250" s="116">
        <v>0</v>
      </c>
      <c r="V250" s="116">
        <v>0</v>
      </c>
      <c r="W250" s="116">
        <v>0</v>
      </c>
      <c r="X250" s="116">
        <v>0</v>
      </c>
      <c r="Y250" s="116">
        <v>0</v>
      </c>
      <c r="Z250" s="116">
        <v>0</v>
      </c>
      <c r="AA250" s="116">
        <v>0</v>
      </c>
      <c r="AB250" s="116">
        <v>0</v>
      </c>
      <c r="AC250" s="116">
        <v>0</v>
      </c>
      <c r="AD250" s="116">
        <v>0</v>
      </c>
      <c r="AE250" s="116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116">
        <v>0</v>
      </c>
      <c r="AO250" s="116">
        <v>0</v>
      </c>
      <c r="AP250" s="116">
        <v>0</v>
      </c>
      <c r="AQ250" s="116">
        <v>0</v>
      </c>
      <c r="AR250" s="116">
        <v>0</v>
      </c>
      <c r="AS250" s="116">
        <v>0</v>
      </c>
      <c r="AT250" s="116">
        <v>0</v>
      </c>
      <c r="AU250" s="116">
        <v>0</v>
      </c>
      <c r="AV250" s="116">
        <v>0</v>
      </c>
      <c r="AW250" s="116">
        <v>0</v>
      </c>
      <c r="AX250" s="116">
        <v>0</v>
      </c>
      <c r="AY250" s="116">
        <v>0</v>
      </c>
    </row>
    <row r="251" spans="1:51" x14ac:dyDescent="0.2">
      <c r="A251" s="115"/>
      <c r="B251" s="136">
        <v>43</v>
      </c>
      <c r="C251" s="112"/>
      <c r="D251" s="116">
        <v>0</v>
      </c>
      <c r="E251" s="116">
        <v>0</v>
      </c>
      <c r="F251" s="116">
        <v>0</v>
      </c>
      <c r="G251" s="116">
        <v>0</v>
      </c>
      <c r="H251" s="116">
        <v>0</v>
      </c>
      <c r="I251" s="116">
        <v>0</v>
      </c>
      <c r="J251" s="116">
        <v>0</v>
      </c>
      <c r="K251" s="116">
        <v>0</v>
      </c>
      <c r="L251" s="116">
        <v>0</v>
      </c>
      <c r="M251" s="116">
        <v>0</v>
      </c>
      <c r="N251" s="116">
        <v>0</v>
      </c>
      <c r="O251" s="116">
        <v>0</v>
      </c>
      <c r="P251" s="116">
        <v>0</v>
      </c>
      <c r="Q251" s="116">
        <v>0</v>
      </c>
      <c r="R251" s="116">
        <v>0</v>
      </c>
      <c r="S251" s="116">
        <v>0</v>
      </c>
      <c r="T251" s="116">
        <v>0</v>
      </c>
      <c r="U251" s="116">
        <v>0</v>
      </c>
      <c r="V251" s="116">
        <v>0</v>
      </c>
      <c r="W251" s="116">
        <v>0</v>
      </c>
      <c r="X251" s="116">
        <v>0</v>
      </c>
      <c r="Y251" s="116">
        <v>0</v>
      </c>
      <c r="Z251" s="116">
        <v>0</v>
      </c>
      <c r="AA251" s="116">
        <v>0</v>
      </c>
      <c r="AB251" s="116">
        <v>0</v>
      </c>
      <c r="AC251" s="116">
        <v>0</v>
      </c>
      <c r="AD251" s="116">
        <v>0</v>
      </c>
      <c r="AE251" s="116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0</v>
      </c>
      <c r="AN251" s="116">
        <v>0</v>
      </c>
      <c r="AO251" s="116">
        <v>0</v>
      </c>
      <c r="AP251" s="116">
        <v>0</v>
      </c>
      <c r="AQ251" s="116">
        <v>0</v>
      </c>
      <c r="AR251" s="116">
        <v>0</v>
      </c>
      <c r="AS251" s="116">
        <v>0</v>
      </c>
      <c r="AT251" s="116">
        <v>0</v>
      </c>
      <c r="AU251" s="116">
        <v>0</v>
      </c>
      <c r="AV251" s="116">
        <v>0</v>
      </c>
      <c r="AW251" s="116">
        <v>0</v>
      </c>
      <c r="AX251" s="116">
        <v>0</v>
      </c>
      <c r="AY251" s="116">
        <v>0</v>
      </c>
    </row>
    <row r="252" spans="1:51" x14ac:dyDescent="0.2">
      <c r="A252" s="115"/>
      <c r="B252" s="136">
        <v>44</v>
      </c>
      <c r="C252" s="112"/>
      <c r="D252" s="116">
        <v>0</v>
      </c>
      <c r="E252" s="116">
        <v>0</v>
      </c>
      <c r="F252" s="116">
        <v>0</v>
      </c>
      <c r="G252" s="116">
        <v>0</v>
      </c>
      <c r="H252" s="116">
        <v>0</v>
      </c>
      <c r="I252" s="116">
        <v>0</v>
      </c>
      <c r="J252" s="116">
        <v>0</v>
      </c>
      <c r="K252" s="116">
        <v>0</v>
      </c>
      <c r="L252" s="116">
        <v>0</v>
      </c>
      <c r="M252" s="116">
        <v>0</v>
      </c>
      <c r="N252" s="116">
        <v>0</v>
      </c>
      <c r="O252" s="116">
        <v>0</v>
      </c>
      <c r="P252" s="116">
        <v>0</v>
      </c>
      <c r="Q252" s="116">
        <v>0</v>
      </c>
      <c r="R252" s="116">
        <v>0</v>
      </c>
      <c r="S252" s="116">
        <v>0</v>
      </c>
      <c r="T252" s="116">
        <v>0</v>
      </c>
      <c r="U252" s="116">
        <v>0</v>
      </c>
      <c r="V252" s="116">
        <v>0</v>
      </c>
      <c r="W252" s="116">
        <v>0</v>
      </c>
      <c r="X252" s="116">
        <v>0</v>
      </c>
      <c r="Y252" s="116">
        <v>0</v>
      </c>
      <c r="Z252" s="116">
        <v>0</v>
      </c>
      <c r="AA252" s="116">
        <v>0</v>
      </c>
      <c r="AB252" s="116">
        <v>0</v>
      </c>
      <c r="AC252" s="116">
        <v>0</v>
      </c>
      <c r="AD252" s="116">
        <v>0</v>
      </c>
      <c r="AE252" s="116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0</v>
      </c>
      <c r="AM252" s="116">
        <v>0</v>
      </c>
      <c r="AN252" s="116">
        <v>0</v>
      </c>
      <c r="AO252" s="116">
        <v>0</v>
      </c>
      <c r="AP252" s="116">
        <v>0</v>
      </c>
      <c r="AQ252" s="116">
        <v>0</v>
      </c>
      <c r="AR252" s="116">
        <v>0</v>
      </c>
      <c r="AS252" s="116">
        <v>0</v>
      </c>
      <c r="AT252" s="116">
        <v>0</v>
      </c>
      <c r="AU252" s="116">
        <v>0</v>
      </c>
      <c r="AV252" s="116">
        <v>0</v>
      </c>
      <c r="AW252" s="116">
        <v>0</v>
      </c>
      <c r="AX252" s="116">
        <v>0</v>
      </c>
      <c r="AY252" s="116">
        <v>0</v>
      </c>
    </row>
    <row r="253" spans="1:51" x14ac:dyDescent="0.2">
      <c r="A253" s="115"/>
      <c r="B253" s="136">
        <v>45</v>
      </c>
      <c r="C253" s="112"/>
      <c r="D253" s="116">
        <v>0</v>
      </c>
      <c r="E253" s="116">
        <v>0</v>
      </c>
      <c r="F253" s="116">
        <v>0</v>
      </c>
      <c r="G253" s="116">
        <v>0</v>
      </c>
      <c r="H253" s="116">
        <v>0</v>
      </c>
      <c r="I253" s="116">
        <v>0</v>
      </c>
      <c r="J253" s="116">
        <v>0</v>
      </c>
      <c r="K253" s="116">
        <v>0</v>
      </c>
      <c r="L253" s="116">
        <v>0</v>
      </c>
      <c r="M253" s="116">
        <v>0</v>
      </c>
      <c r="N253" s="116">
        <v>0</v>
      </c>
      <c r="O253" s="116">
        <v>0</v>
      </c>
      <c r="P253" s="116">
        <v>0</v>
      </c>
      <c r="Q253" s="116">
        <v>0</v>
      </c>
      <c r="R253" s="116">
        <v>0</v>
      </c>
      <c r="S253" s="116">
        <v>0</v>
      </c>
      <c r="T253" s="116">
        <v>0</v>
      </c>
      <c r="U253" s="116">
        <v>0</v>
      </c>
      <c r="V253" s="116">
        <v>0</v>
      </c>
      <c r="W253" s="116">
        <v>0</v>
      </c>
      <c r="X253" s="116">
        <v>0</v>
      </c>
      <c r="Y253" s="116">
        <v>0</v>
      </c>
      <c r="Z253" s="116">
        <v>0</v>
      </c>
      <c r="AA253" s="116">
        <v>0</v>
      </c>
      <c r="AB253" s="116">
        <v>0</v>
      </c>
      <c r="AC253" s="116">
        <v>0</v>
      </c>
      <c r="AD253" s="116">
        <v>0</v>
      </c>
      <c r="AE253" s="116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116">
        <v>0</v>
      </c>
      <c r="AO253" s="116">
        <v>0</v>
      </c>
      <c r="AP253" s="116">
        <v>0</v>
      </c>
      <c r="AQ253" s="116">
        <v>0</v>
      </c>
      <c r="AR253" s="116">
        <v>0</v>
      </c>
      <c r="AS253" s="116">
        <v>0</v>
      </c>
      <c r="AT253" s="116">
        <v>0</v>
      </c>
      <c r="AU253" s="116">
        <v>0</v>
      </c>
      <c r="AV253" s="116">
        <v>0</v>
      </c>
      <c r="AW253" s="116">
        <v>0</v>
      </c>
      <c r="AX253" s="116">
        <v>0</v>
      </c>
      <c r="AY253" s="116">
        <v>0</v>
      </c>
    </row>
    <row r="254" spans="1:51" x14ac:dyDescent="0.2">
      <c r="A254" s="115"/>
      <c r="B254" s="136">
        <v>46</v>
      </c>
      <c r="C254" s="112"/>
      <c r="D254" s="116">
        <v>0</v>
      </c>
      <c r="E254" s="116">
        <v>0</v>
      </c>
      <c r="F254" s="116">
        <v>0</v>
      </c>
      <c r="G254" s="116">
        <v>0</v>
      </c>
      <c r="H254" s="116">
        <v>0</v>
      </c>
      <c r="I254" s="116">
        <v>0</v>
      </c>
      <c r="J254" s="116">
        <v>0</v>
      </c>
      <c r="K254" s="116">
        <v>0</v>
      </c>
      <c r="L254" s="116">
        <v>0</v>
      </c>
      <c r="M254" s="116">
        <v>0</v>
      </c>
      <c r="N254" s="116">
        <v>0</v>
      </c>
      <c r="O254" s="116">
        <v>0</v>
      </c>
      <c r="P254" s="116">
        <v>0</v>
      </c>
      <c r="Q254" s="116">
        <v>0</v>
      </c>
      <c r="R254" s="116">
        <v>0</v>
      </c>
      <c r="S254" s="116">
        <v>0</v>
      </c>
      <c r="T254" s="116">
        <v>0</v>
      </c>
      <c r="U254" s="116">
        <v>0</v>
      </c>
      <c r="V254" s="116">
        <v>0</v>
      </c>
      <c r="W254" s="116">
        <v>0</v>
      </c>
      <c r="X254" s="116">
        <v>0</v>
      </c>
      <c r="Y254" s="116">
        <v>0</v>
      </c>
      <c r="Z254" s="116">
        <v>0</v>
      </c>
      <c r="AA254" s="116">
        <v>0</v>
      </c>
      <c r="AB254" s="116">
        <v>0</v>
      </c>
      <c r="AC254" s="116">
        <v>0</v>
      </c>
      <c r="AD254" s="116">
        <v>0</v>
      </c>
      <c r="AE254" s="116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0</v>
      </c>
      <c r="AM254" s="116">
        <v>0</v>
      </c>
      <c r="AN254" s="116">
        <v>0</v>
      </c>
      <c r="AO254" s="116">
        <v>0</v>
      </c>
      <c r="AP254" s="116">
        <v>0</v>
      </c>
      <c r="AQ254" s="116">
        <v>0</v>
      </c>
      <c r="AR254" s="116">
        <v>0</v>
      </c>
      <c r="AS254" s="116">
        <v>0</v>
      </c>
      <c r="AT254" s="116">
        <v>0</v>
      </c>
      <c r="AU254" s="116">
        <v>0</v>
      </c>
      <c r="AV254" s="116">
        <v>0</v>
      </c>
      <c r="AW254" s="116">
        <v>0</v>
      </c>
      <c r="AX254" s="116">
        <v>0</v>
      </c>
      <c r="AY254" s="116">
        <v>0</v>
      </c>
    </row>
    <row r="255" spans="1:51" x14ac:dyDescent="0.2">
      <c r="A255" s="115"/>
      <c r="B255" s="136">
        <v>47</v>
      </c>
      <c r="C255" s="112"/>
      <c r="D255" s="116">
        <v>0</v>
      </c>
      <c r="E255" s="116">
        <v>0</v>
      </c>
      <c r="F255" s="116">
        <v>0</v>
      </c>
      <c r="G255" s="116">
        <v>0</v>
      </c>
      <c r="H255" s="116">
        <v>0</v>
      </c>
      <c r="I255" s="116">
        <v>0</v>
      </c>
      <c r="J255" s="116">
        <v>0</v>
      </c>
      <c r="K255" s="116">
        <v>0</v>
      </c>
      <c r="L255" s="116">
        <v>0</v>
      </c>
      <c r="M255" s="116">
        <v>0</v>
      </c>
      <c r="N255" s="116">
        <v>0</v>
      </c>
      <c r="O255" s="116">
        <v>0</v>
      </c>
      <c r="P255" s="116">
        <v>0</v>
      </c>
      <c r="Q255" s="116">
        <v>0</v>
      </c>
      <c r="R255" s="116">
        <v>0</v>
      </c>
      <c r="S255" s="116">
        <v>0</v>
      </c>
      <c r="T255" s="116">
        <v>0</v>
      </c>
      <c r="U255" s="116">
        <v>0</v>
      </c>
      <c r="V255" s="116">
        <v>0</v>
      </c>
      <c r="W255" s="116">
        <v>0</v>
      </c>
      <c r="X255" s="116">
        <v>0</v>
      </c>
      <c r="Y255" s="116">
        <v>0</v>
      </c>
      <c r="Z255" s="116">
        <v>0</v>
      </c>
      <c r="AA255" s="116">
        <v>0</v>
      </c>
      <c r="AB255" s="116">
        <v>0</v>
      </c>
      <c r="AC255" s="116">
        <v>0</v>
      </c>
      <c r="AD255" s="116">
        <v>0</v>
      </c>
      <c r="AE255" s="116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116">
        <v>0</v>
      </c>
      <c r="AO255" s="116">
        <v>0</v>
      </c>
      <c r="AP255" s="116">
        <v>0</v>
      </c>
      <c r="AQ255" s="116">
        <v>0</v>
      </c>
      <c r="AR255" s="116">
        <v>0</v>
      </c>
      <c r="AS255" s="116">
        <v>0</v>
      </c>
      <c r="AT255" s="116">
        <v>0</v>
      </c>
      <c r="AU255" s="116">
        <v>0</v>
      </c>
      <c r="AV255" s="116">
        <v>0</v>
      </c>
      <c r="AW255" s="116">
        <v>0</v>
      </c>
      <c r="AX255" s="116">
        <v>0</v>
      </c>
      <c r="AY255" s="116">
        <v>0</v>
      </c>
    </row>
    <row r="256" spans="1:51" x14ac:dyDescent="0.2">
      <c r="A256" s="134"/>
      <c r="B256" s="135">
        <v>48</v>
      </c>
      <c r="C256" s="120"/>
      <c r="D256" s="131">
        <v>0</v>
      </c>
      <c r="E256" s="131">
        <v>0</v>
      </c>
      <c r="F256" s="131">
        <v>0</v>
      </c>
      <c r="G256" s="131">
        <v>0</v>
      </c>
      <c r="H256" s="131">
        <v>0</v>
      </c>
      <c r="I256" s="131">
        <v>0</v>
      </c>
      <c r="J256" s="131">
        <v>0</v>
      </c>
      <c r="K256" s="131">
        <v>0</v>
      </c>
      <c r="L256" s="131">
        <v>0</v>
      </c>
      <c r="M256" s="131">
        <v>0</v>
      </c>
      <c r="N256" s="131">
        <v>0</v>
      </c>
      <c r="O256" s="131">
        <v>0</v>
      </c>
      <c r="P256" s="131">
        <v>0</v>
      </c>
      <c r="Q256" s="131">
        <v>0</v>
      </c>
      <c r="R256" s="131">
        <v>0</v>
      </c>
      <c r="S256" s="131">
        <v>0</v>
      </c>
      <c r="T256" s="131">
        <v>0</v>
      </c>
      <c r="U256" s="131">
        <v>0</v>
      </c>
      <c r="V256" s="131">
        <v>0</v>
      </c>
      <c r="W256" s="131">
        <v>0</v>
      </c>
      <c r="X256" s="131">
        <v>0</v>
      </c>
      <c r="Y256" s="131">
        <v>0</v>
      </c>
      <c r="Z256" s="131">
        <v>0</v>
      </c>
      <c r="AA256" s="131">
        <v>0</v>
      </c>
      <c r="AB256" s="131">
        <v>0</v>
      </c>
      <c r="AC256" s="131">
        <v>0</v>
      </c>
      <c r="AD256" s="131">
        <v>0</v>
      </c>
      <c r="AE256" s="131">
        <v>0</v>
      </c>
      <c r="AF256" s="131">
        <v>0</v>
      </c>
      <c r="AG256" s="131">
        <v>0</v>
      </c>
      <c r="AH256" s="131">
        <v>0</v>
      </c>
      <c r="AI256" s="131">
        <v>0</v>
      </c>
      <c r="AJ256" s="131">
        <v>0</v>
      </c>
      <c r="AK256" s="131">
        <v>0</v>
      </c>
      <c r="AL256" s="131">
        <v>0</v>
      </c>
      <c r="AM256" s="131">
        <v>0</v>
      </c>
      <c r="AN256" s="131">
        <v>0</v>
      </c>
      <c r="AO256" s="131">
        <v>0</v>
      </c>
      <c r="AP256" s="131">
        <v>0</v>
      </c>
      <c r="AQ256" s="131">
        <v>0</v>
      </c>
      <c r="AR256" s="131">
        <v>0</v>
      </c>
      <c r="AS256" s="131">
        <v>0</v>
      </c>
      <c r="AT256" s="131">
        <v>0</v>
      </c>
      <c r="AU256" s="131">
        <v>0</v>
      </c>
      <c r="AV256" s="131">
        <v>0</v>
      </c>
      <c r="AW256" s="131">
        <v>0</v>
      </c>
      <c r="AX256" s="131">
        <v>0</v>
      </c>
      <c r="AY256" s="131">
        <v>0</v>
      </c>
    </row>
    <row r="258" spans="1:52" x14ac:dyDescent="0.2">
      <c r="A258" s="108" t="s">
        <v>300</v>
      </c>
    </row>
    <row r="259" spans="1:52" x14ac:dyDescent="0.2">
      <c r="A259" s="143" t="s">
        <v>124</v>
      </c>
      <c r="B259" s="144">
        <v>650</v>
      </c>
      <c r="C259" s="130" t="s">
        <v>292</v>
      </c>
      <c r="D259" s="130">
        <f>E$14*$B$259</f>
        <v>0</v>
      </c>
      <c r="E259" s="130">
        <f t="shared" ref="E259:AX259" si="5">F$14*$B$259</f>
        <v>0</v>
      </c>
      <c r="F259" s="130">
        <f t="shared" si="5"/>
        <v>0</v>
      </c>
      <c r="G259" s="130">
        <f t="shared" si="5"/>
        <v>0</v>
      </c>
      <c r="H259" s="130">
        <f t="shared" si="5"/>
        <v>0</v>
      </c>
      <c r="I259" s="130">
        <f t="shared" si="5"/>
        <v>0</v>
      </c>
      <c r="J259" s="130">
        <f t="shared" si="5"/>
        <v>0</v>
      </c>
      <c r="K259" s="130">
        <f t="shared" si="5"/>
        <v>0</v>
      </c>
      <c r="L259" s="130">
        <f t="shared" si="5"/>
        <v>0</v>
      </c>
      <c r="M259" s="130">
        <f t="shared" si="5"/>
        <v>0</v>
      </c>
      <c r="N259" s="130">
        <f t="shared" si="5"/>
        <v>0</v>
      </c>
      <c r="O259" s="130">
        <f t="shared" si="5"/>
        <v>0</v>
      </c>
      <c r="P259" s="130">
        <f t="shared" si="5"/>
        <v>0</v>
      </c>
      <c r="Q259" s="130">
        <f t="shared" si="5"/>
        <v>0</v>
      </c>
      <c r="R259" s="130">
        <f t="shared" si="5"/>
        <v>0</v>
      </c>
      <c r="S259" s="130">
        <f t="shared" si="5"/>
        <v>0</v>
      </c>
      <c r="T259" s="130">
        <f t="shared" si="5"/>
        <v>0</v>
      </c>
      <c r="U259" s="130">
        <f t="shared" si="5"/>
        <v>0</v>
      </c>
      <c r="V259" s="130">
        <f t="shared" si="5"/>
        <v>0</v>
      </c>
      <c r="W259" s="130">
        <f t="shared" si="5"/>
        <v>0</v>
      </c>
      <c r="X259" s="130">
        <f t="shared" si="5"/>
        <v>0</v>
      </c>
      <c r="Y259" s="130">
        <f t="shared" si="5"/>
        <v>0</v>
      </c>
      <c r="Z259" s="130">
        <f t="shared" si="5"/>
        <v>0</v>
      </c>
      <c r="AA259" s="130">
        <f t="shared" si="5"/>
        <v>0</v>
      </c>
      <c r="AB259" s="130">
        <f t="shared" si="5"/>
        <v>0</v>
      </c>
      <c r="AC259" s="130">
        <f t="shared" si="5"/>
        <v>0</v>
      </c>
      <c r="AD259" s="130">
        <f t="shared" si="5"/>
        <v>0</v>
      </c>
      <c r="AE259" s="130">
        <f t="shared" si="5"/>
        <v>0</v>
      </c>
      <c r="AF259" s="130">
        <f t="shared" si="5"/>
        <v>0</v>
      </c>
      <c r="AG259" s="130">
        <f t="shared" si="5"/>
        <v>0</v>
      </c>
      <c r="AH259" s="130">
        <f t="shared" si="5"/>
        <v>0</v>
      </c>
      <c r="AI259" s="130">
        <f t="shared" si="5"/>
        <v>0</v>
      </c>
      <c r="AJ259" s="130">
        <f t="shared" si="5"/>
        <v>0</v>
      </c>
      <c r="AK259" s="130">
        <f t="shared" si="5"/>
        <v>0</v>
      </c>
      <c r="AL259" s="130">
        <f t="shared" si="5"/>
        <v>0</v>
      </c>
      <c r="AM259" s="130">
        <f t="shared" si="5"/>
        <v>0</v>
      </c>
      <c r="AN259" s="130">
        <f t="shared" si="5"/>
        <v>0</v>
      </c>
      <c r="AO259" s="130">
        <f t="shared" si="5"/>
        <v>0</v>
      </c>
      <c r="AP259" s="130">
        <f t="shared" si="5"/>
        <v>0</v>
      </c>
      <c r="AQ259" s="130">
        <f t="shared" si="5"/>
        <v>0</v>
      </c>
      <c r="AR259" s="130">
        <f t="shared" si="5"/>
        <v>0</v>
      </c>
      <c r="AS259" s="130">
        <f t="shared" si="5"/>
        <v>0</v>
      </c>
      <c r="AT259" s="130">
        <f t="shared" si="5"/>
        <v>0</v>
      </c>
      <c r="AU259" s="130">
        <f t="shared" si="5"/>
        <v>0</v>
      </c>
      <c r="AV259" s="130">
        <f t="shared" si="5"/>
        <v>0</v>
      </c>
      <c r="AW259" s="130">
        <f t="shared" si="5"/>
        <v>0</v>
      </c>
      <c r="AX259" s="130">
        <f t="shared" si="5"/>
        <v>0</v>
      </c>
      <c r="AY259" s="130">
        <f>AZ$14*$B$259</f>
        <v>0</v>
      </c>
      <c r="AZ259" s="145">
        <f>SUM($D259:$AY259)</f>
        <v>0</v>
      </c>
    </row>
    <row r="260" spans="1:52" x14ac:dyDescent="0.2">
      <c r="A260" s="146" t="s">
        <v>301</v>
      </c>
      <c r="B260" s="120">
        <v>60</v>
      </c>
      <c r="C260" s="131" t="s">
        <v>292</v>
      </c>
      <c r="D260" s="131">
        <f>(D$175-D$176+D$177-D$178+D$179-D$180+D$181-D$182)*$B$260</f>
        <v>260943.33623133964</v>
      </c>
      <c r="E260" s="131">
        <f t="shared" ref="E260:AY260" si="6">(E$175-E$176+E$177-E$178+E$179-E$180+E$181-E$182)*$B$260</f>
        <v>525786.67246267921</v>
      </c>
      <c r="F260" s="131">
        <f t="shared" si="6"/>
        <v>785710.00869401894</v>
      </c>
      <c r="G260" s="131">
        <f t="shared" si="6"/>
        <v>1050433.3449253584</v>
      </c>
      <c r="H260" s="131">
        <f t="shared" si="6"/>
        <v>1140670.0992828193</v>
      </c>
      <c r="I260" s="131">
        <f t="shared" si="6"/>
        <v>1183986.8536402802</v>
      </c>
      <c r="J260" s="131">
        <f t="shared" si="6"/>
        <v>1211726.8404008984</v>
      </c>
      <c r="K260" s="131">
        <f t="shared" si="6"/>
        <v>1262806.8271615161</v>
      </c>
      <c r="L260" s="131">
        <f t="shared" si="6"/>
        <v>1154418.1211997147</v>
      </c>
      <c r="M260" s="131">
        <f t="shared" si="6"/>
        <v>1267537.6967874004</v>
      </c>
      <c r="N260" s="131">
        <f t="shared" si="6"/>
        <v>1369083.1316003427</v>
      </c>
      <c r="O260" s="131">
        <f t="shared" si="6"/>
        <v>1427308.5664132847</v>
      </c>
      <c r="P260" s="131">
        <f t="shared" si="6"/>
        <v>1647419.4492785512</v>
      </c>
      <c r="Q260" s="131">
        <f t="shared" si="6"/>
        <v>1756830.3321438176</v>
      </c>
      <c r="R260" s="131">
        <f t="shared" si="6"/>
        <v>1759086.6885677283</v>
      </c>
      <c r="S260" s="131">
        <f t="shared" si="6"/>
        <v>1912483.0449916394</v>
      </c>
      <c r="T260" s="131">
        <f t="shared" si="6"/>
        <v>1864762.0441807602</v>
      </c>
      <c r="U260" s="131">
        <f t="shared" si="6"/>
        <v>1844379.3935787133</v>
      </c>
      <c r="V260" s="131">
        <f t="shared" si="6"/>
        <v>1857686.9009748141</v>
      </c>
      <c r="W260" s="131">
        <f t="shared" si="6"/>
        <v>1789850.1588842915</v>
      </c>
      <c r="X260" s="131">
        <f t="shared" si="6"/>
        <v>1729330.5683433358</v>
      </c>
      <c r="Y260" s="131">
        <f t="shared" si="6"/>
        <v>1809803.9879276589</v>
      </c>
      <c r="Z260" s="131">
        <f t="shared" si="6"/>
        <v>1835542.0955889055</v>
      </c>
      <c r="AA260" s="131">
        <f t="shared" si="6"/>
        <v>1833587.5304018473</v>
      </c>
      <c r="AB260" s="131">
        <f t="shared" si="6"/>
        <v>1806024.2724923703</v>
      </c>
      <c r="AC260" s="131">
        <f t="shared" si="6"/>
        <v>1879429.2961323806</v>
      </c>
      <c r="AD260" s="131">
        <f t="shared" si="6"/>
        <v>1882965.5490393294</v>
      </c>
      <c r="AE260" s="131">
        <f t="shared" si="6"/>
        <v>1857233.1995014385</v>
      </c>
      <c r="AF260" s="131">
        <f t="shared" si="6"/>
        <v>1821302.8269225857</v>
      </c>
      <c r="AG260" s="131">
        <f t="shared" si="6"/>
        <v>1857839.5812800464</v>
      </c>
      <c r="AH260" s="131">
        <f t="shared" si="6"/>
        <v>1893801.5733402395</v>
      </c>
      <c r="AI260" s="131">
        <f t="shared" si="6"/>
        <v>1914341.5601008576</v>
      </c>
      <c r="AJ260" s="131">
        <f t="shared" si="6"/>
        <v>1964994.6370241544</v>
      </c>
      <c r="AK260" s="131">
        <f t="shared" si="6"/>
        <v>1953693.2245254265</v>
      </c>
      <c r="AL260" s="131">
        <f t="shared" si="6"/>
        <v>1965116.4569285833</v>
      </c>
      <c r="AM260" s="131">
        <f t="shared" si="6"/>
        <v>1974019.6893317406</v>
      </c>
      <c r="AN260" s="131">
        <f t="shared" si="6"/>
        <v>1947407.8546131803</v>
      </c>
      <c r="AO260" s="131">
        <f t="shared" si="6"/>
        <v>1917976.5350686619</v>
      </c>
      <c r="AP260" s="131">
        <f t="shared" si="6"/>
        <v>1955048.1429734144</v>
      </c>
      <c r="AQ260" s="131">
        <f t="shared" si="6"/>
        <v>1987759.4502509946</v>
      </c>
      <c r="AR260" s="131">
        <f t="shared" si="6"/>
        <v>1814601.6781671005</v>
      </c>
      <c r="AS260" s="131">
        <f t="shared" si="6"/>
        <v>1691178.4325245612</v>
      </c>
      <c r="AT260" s="131">
        <f t="shared" si="6"/>
        <v>1621178.4192851793</v>
      </c>
      <c r="AU260" s="131">
        <f t="shared" si="6"/>
        <v>1532578.4060457973</v>
      </c>
      <c r="AV260" s="131">
        <f t="shared" si="6"/>
        <v>1637363.8408587393</v>
      </c>
      <c r="AW260" s="131">
        <f t="shared" si="6"/>
        <v>1600729.2756716816</v>
      </c>
      <c r="AX260" s="131">
        <f t="shared" si="6"/>
        <v>1577174.7104846237</v>
      </c>
      <c r="AY260" s="131">
        <f t="shared" si="6"/>
        <v>1533820.145297566</v>
      </c>
      <c r="AZ260" s="147">
        <f>SUM($D260:$AY260)</f>
        <v>77868752.451522365</v>
      </c>
    </row>
  </sheetData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4</v>
      </c>
      <c r="E6" s="106">
        <v>2313.6</v>
      </c>
      <c r="F6" s="106">
        <v>3</v>
      </c>
      <c r="G6" s="106">
        <v>1735.1999999999998</v>
      </c>
      <c r="H6" s="106">
        <v>4</v>
      </c>
      <c r="I6" s="106">
        <v>2313.6</v>
      </c>
      <c r="J6" s="106">
        <v>3</v>
      </c>
      <c r="K6" s="106">
        <v>1735.1999999999998</v>
      </c>
      <c r="L6" s="106">
        <v>4</v>
      </c>
      <c r="M6" s="106">
        <v>2313.6</v>
      </c>
      <c r="N6" s="106">
        <v>5</v>
      </c>
      <c r="O6" s="106">
        <v>2892</v>
      </c>
      <c r="P6" s="106">
        <v>5</v>
      </c>
      <c r="Q6" s="106">
        <v>2892</v>
      </c>
      <c r="R6" s="106">
        <v>4</v>
      </c>
      <c r="S6" s="106">
        <v>2313.6</v>
      </c>
      <c r="T6" s="106">
        <v>14</v>
      </c>
      <c r="U6" s="106">
        <v>8097.5999999999995</v>
      </c>
      <c r="V6" s="106">
        <v>13</v>
      </c>
      <c r="W6" s="106">
        <v>7519.2</v>
      </c>
      <c r="X6" s="106">
        <v>13</v>
      </c>
      <c r="Y6" s="106">
        <v>7519.2</v>
      </c>
      <c r="Z6" s="106">
        <v>15</v>
      </c>
      <c r="AA6" s="106">
        <v>8676</v>
      </c>
      <c r="AB6" s="106">
        <v>32</v>
      </c>
      <c r="AC6" s="106">
        <v>18508.8</v>
      </c>
      <c r="AD6" s="106">
        <v>27</v>
      </c>
      <c r="AE6" s="106">
        <v>15616.8</v>
      </c>
      <c r="AF6" s="106">
        <v>25</v>
      </c>
      <c r="AG6" s="106">
        <v>14460</v>
      </c>
      <c r="AH6" s="106">
        <v>26</v>
      </c>
      <c r="AI6" s="106">
        <v>15038.4</v>
      </c>
      <c r="AJ6" s="106">
        <v>12</v>
      </c>
      <c r="AK6" s="106">
        <v>6940.7999999999993</v>
      </c>
      <c r="AL6" s="106">
        <v>14</v>
      </c>
      <c r="AM6" s="106">
        <v>8097.5999999999995</v>
      </c>
      <c r="AN6" s="106">
        <v>9</v>
      </c>
      <c r="AO6" s="106">
        <v>5205.5999999999995</v>
      </c>
      <c r="AP6" s="106">
        <v>11</v>
      </c>
      <c r="AQ6" s="106">
        <v>6362.4</v>
      </c>
      <c r="AR6" s="106">
        <v>17</v>
      </c>
      <c r="AS6" s="106">
        <v>9832.7999999999993</v>
      </c>
      <c r="AT6" s="106">
        <v>12</v>
      </c>
      <c r="AU6" s="106">
        <v>6940.7999999999993</v>
      </c>
      <c r="AV6" s="106">
        <v>14</v>
      </c>
      <c r="AW6" s="106">
        <v>8097.5999999999995</v>
      </c>
      <c r="AX6" s="106">
        <v>13</v>
      </c>
      <c r="AY6" s="106">
        <v>7519.2</v>
      </c>
      <c r="AZ6" s="106">
        <v>10</v>
      </c>
      <c r="BA6" s="106">
        <v>5784</v>
      </c>
      <c r="BB6" s="106">
        <v>14</v>
      </c>
      <c r="BC6" s="106">
        <v>8097.5999999999995</v>
      </c>
      <c r="BD6" s="106">
        <v>9</v>
      </c>
      <c r="BE6" s="106">
        <v>5205.5999999999995</v>
      </c>
      <c r="BF6" s="106">
        <v>15</v>
      </c>
      <c r="BG6" s="106">
        <v>8676</v>
      </c>
      <c r="BH6" s="106">
        <v>24</v>
      </c>
      <c r="BI6" s="106">
        <v>13881.599999999999</v>
      </c>
      <c r="BJ6" s="106">
        <v>34</v>
      </c>
      <c r="BK6" s="106">
        <v>19665.599999999999</v>
      </c>
      <c r="BL6" s="106">
        <v>39</v>
      </c>
      <c r="BM6" s="106">
        <v>22557.599999999999</v>
      </c>
      <c r="BN6" s="106">
        <v>18</v>
      </c>
      <c r="BO6" s="106">
        <v>10411.199999999999</v>
      </c>
      <c r="BP6" s="106">
        <v>23</v>
      </c>
      <c r="BQ6" s="106">
        <v>13303.199999999999</v>
      </c>
      <c r="BR6" s="106">
        <v>25</v>
      </c>
      <c r="BS6" s="106">
        <v>14460</v>
      </c>
      <c r="BT6" s="106">
        <v>33</v>
      </c>
      <c r="BU6" s="106">
        <v>19087.2</v>
      </c>
      <c r="BV6" s="106">
        <v>22</v>
      </c>
      <c r="BW6" s="106">
        <v>12724.8</v>
      </c>
      <c r="BX6" s="106">
        <v>15</v>
      </c>
      <c r="BY6" s="106">
        <v>8676</v>
      </c>
      <c r="BZ6" s="106">
        <v>15</v>
      </c>
      <c r="CA6" s="106">
        <v>8676</v>
      </c>
      <c r="CB6" s="106">
        <v>14</v>
      </c>
      <c r="CC6" s="106">
        <v>8097.5999999999995</v>
      </c>
      <c r="CD6" s="106">
        <v>9</v>
      </c>
      <c r="CE6" s="106">
        <v>5205.5999999999995</v>
      </c>
      <c r="CF6" s="106">
        <v>8</v>
      </c>
      <c r="CG6" s="106">
        <v>4627.2</v>
      </c>
      <c r="CH6" s="106">
        <v>6</v>
      </c>
      <c r="CI6" s="106">
        <v>3470.3999999999996</v>
      </c>
      <c r="CJ6" s="106">
        <v>6</v>
      </c>
      <c r="CK6" s="106">
        <v>3470.3999999999996</v>
      </c>
      <c r="CL6" s="106">
        <v>7</v>
      </c>
      <c r="CM6" s="106">
        <v>4048.7999999999997</v>
      </c>
      <c r="CN6" s="106">
        <v>7</v>
      </c>
      <c r="CO6" s="106">
        <v>4048.7999999999997</v>
      </c>
      <c r="CP6" s="106">
        <v>7</v>
      </c>
      <c r="CQ6" s="106">
        <v>4048.7999999999997</v>
      </c>
      <c r="CR6" s="106">
        <v>10</v>
      </c>
      <c r="CS6" s="106">
        <v>5784</v>
      </c>
      <c r="CT6" s="106">
        <v>8</v>
      </c>
      <c r="CU6" s="106">
        <v>4627.2</v>
      </c>
    </row>
    <row r="7" spans="1:99" x14ac:dyDescent="0.2">
      <c r="C7" s="105" t="s">
        <v>172</v>
      </c>
      <c r="D7" s="106">
        <v>4</v>
      </c>
      <c r="E7" s="106">
        <v>3153.6</v>
      </c>
      <c r="F7" s="106">
        <v>3</v>
      </c>
      <c r="G7" s="106">
        <v>2365.1999999999998</v>
      </c>
      <c r="H7" s="106">
        <v>4</v>
      </c>
      <c r="I7" s="106">
        <v>3153.6</v>
      </c>
      <c r="J7" s="106">
        <v>3</v>
      </c>
      <c r="K7" s="106">
        <v>2365.1999999999998</v>
      </c>
      <c r="L7" s="106">
        <v>3</v>
      </c>
      <c r="M7" s="106">
        <v>2365.1999999999998</v>
      </c>
      <c r="N7" s="106">
        <v>4</v>
      </c>
      <c r="O7" s="106">
        <v>3153.6</v>
      </c>
      <c r="P7" s="106">
        <v>6</v>
      </c>
      <c r="Q7" s="106">
        <v>4730.3999999999996</v>
      </c>
      <c r="R7" s="106">
        <v>4</v>
      </c>
      <c r="S7" s="106">
        <v>3153.6</v>
      </c>
      <c r="T7" s="106">
        <v>13</v>
      </c>
      <c r="U7" s="106">
        <v>10249.199999999999</v>
      </c>
      <c r="V7" s="106">
        <v>14</v>
      </c>
      <c r="W7" s="106">
        <v>11037.6</v>
      </c>
      <c r="X7" s="106">
        <v>15</v>
      </c>
      <c r="Y7" s="106">
        <v>11826</v>
      </c>
      <c r="Z7" s="106">
        <v>16</v>
      </c>
      <c r="AA7" s="106">
        <v>12614.4</v>
      </c>
      <c r="AB7" s="106">
        <v>34</v>
      </c>
      <c r="AC7" s="106">
        <v>26805.599999999999</v>
      </c>
      <c r="AD7" s="106">
        <v>24</v>
      </c>
      <c r="AE7" s="106">
        <v>18921.599999999999</v>
      </c>
      <c r="AF7" s="106">
        <v>28</v>
      </c>
      <c r="AG7" s="106">
        <v>22075.200000000001</v>
      </c>
      <c r="AH7" s="106">
        <v>30</v>
      </c>
      <c r="AI7" s="106">
        <v>23652</v>
      </c>
      <c r="AJ7" s="106">
        <v>10</v>
      </c>
      <c r="AK7" s="106">
        <v>7884</v>
      </c>
      <c r="AL7" s="106">
        <v>14</v>
      </c>
      <c r="AM7" s="106">
        <v>11037.6</v>
      </c>
      <c r="AN7" s="106">
        <v>7</v>
      </c>
      <c r="AO7" s="106">
        <v>5518.8</v>
      </c>
      <c r="AP7" s="106">
        <v>11</v>
      </c>
      <c r="AQ7" s="106">
        <v>8672.4</v>
      </c>
      <c r="AR7" s="106">
        <v>17</v>
      </c>
      <c r="AS7" s="106">
        <v>13402.8</v>
      </c>
      <c r="AT7" s="106">
        <v>12</v>
      </c>
      <c r="AU7" s="106">
        <v>9460.7999999999993</v>
      </c>
      <c r="AV7" s="106">
        <v>12</v>
      </c>
      <c r="AW7" s="106">
        <v>9460.7999999999993</v>
      </c>
      <c r="AX7" s="106">
        <v>11</v>
      </c>
      <c r="AY7" s="106">
        <v>8672.4</v>
      </c>
      <c r="AZ7" s="106">
        <v>10</v>
      </c>
      <c r="BA7" s="106">
        <v>7884</v>
      </c>
      <c r="BB7" s="106">
        <v>14</v>
      </c>
      <c r="BC7" s="106">
        <v>11037.6</v>
      </c>
      <c r="BD7" s="106">
        <v>8</v>
      </c>
      <c r="BE7" s="106">
        <v>6307.2</v>
      </c>
      <c r="BF7" s="106">
        <v>14</v>
      </c>
      <c r="BG7" s="106">
        <v>11037.6</v>
      </c>
      <c r="BH7" s="106">
        <v>25</v>
      </c>
      <c r="BI7" s="106">
        <v>19710</v>
      </c>
      <c r="BJ7" s="106">
        <v>31</v>
      </c>
      <c r="BK7" s="106">
        <v>24440.399999999998</v>
      </c>
      <c r="BL7" s="106">
        <v>37</v>
      </c>
      <c r="BM7" s="106">
        <v>29170.799999999999</v>
      </c>
      <c r="BN7" s="106">
        <v>19</v>
      </c>
      <c r="BO7" s="106">
        <v>14979.6</v>
      </c>
      <c r="BP7" s="106">
        <v>21</v>
      </c>
      <c r="BQ7" s="106">
        <v>16556.399999999998</v>
      </c>
      <c r="BR7" s="106">
        <v>24</v>
      </c>
      <c r="BS7" s="106">
        <v>18921.599999999999</v>
      </c>
      <c r="BT7" s="106">
        <v>33</v>
      </c>
      <c r="BU7" s="106">
        <v>26017.200000000001</v>
      </c>
      <c r="BV7" s="106">
        <v>20</v>
      </c>
      <c r="BW7" s="106">
        <v>15768</v>
      </c>
      <c r="BX7" s="106">
        <v>13</v>
      </c>
      <c r="BY7" s="106">
        <v>10249.199999999999</v>
      </c>
      <c r="BZ7" s="106">
        <v>16</v>
      </c>
      <c r="CA7" s="106">
        <v>12614.4</v>
      </c>
      <c r="CB7" s="106">
        <v>15</v>
      </c>
      <c r="CC7" s="106">
        <v>11826</v>
      </c>
      <c r="CD7" s="106">
        <v>10</v>
      </c>
      <c r="CE7" s="106">
        <v>7884</v>
      </c>
      <c r="CF7" s="106">
        <v>7</v>
      </c>
      <c r="CG7" s="106">
        <v>5518.8</v>
      </c>
      <c r="CH7" s="106">
        <v>5</v>
      </c>
      <c r="CI7" s="106">
        <v>3942</v>
      </c>
      <c r="CJ7" s="106">
        <v>5</v>
      </c>
      <c r="CK7" s="106">
        <v>3942</v>
      </c>
      <c r="CL7" s="106">
        <v>6</v>
      </c>
      <c r="CM7" s="106">
        <v>4730.3999999999996</v>
      </c>
      <c r="CN7" s="106">
        <v>7</v>
      </c>
      <c r="CO7" s="106">
        <v>5518.8</v>
      </c>
      <c r="CP7" s="106">
        <v>8</v>
      </c>
      <c r="CQ7" s="106">
        <v>6307.2</v>
      </c>
      <c r="CR7" s="106">
        <v>10</v>
      </c>
      <c r="CS7" s="106">
        <v>7884</v>
      </c>
      <c r="CT7" s="106">
        <v>7</v>
      </c>
      <c r="CU7" s="106">
        <v>5518.8</v>
      </c>
    </row>
    <row r="8" spans="1:99" x14ac:dyDescent="0.2">
      <c r="C8" s="105" t="s">
        <v>173</v>
      </c>
      <c r="D8" s="106">
        <v>4</v>
      </c>
      <c r="E8" s="106">
        <v>1238.3999999999999</v>
      </c>
      <c r="F8" s="106">
        <v>3</v>
      </c>
      <c r="G8" s="106">
        <v>928.8</v>
      </c>
      <c r="H8" s="106">
        <v>4</v>
      </c>
      <c r="I8" s="106">
        <v>1238.3999999999999</v>
      </c>
      <c r="J8" s="106">
        <v>4</v>
      </c>
      <c r="K8" s="106">
        <v>1238.3999999999999</v>
      </c>
      <c r="L8" s="106">
        <v>4</v>
      </c>
      <c r="M8" s="106">
        <v>1238.3999999999999</v>
      </c>
      <c r="N8" s="106">
        <v>4</v>
      </c>
      <c r="O8" s="106">
        <v>1238.3999999999999</v>
      </c>
      <c r="P8" s="106">
        <v>5</v>
      </c>
      <c r="Q8" s="106">
        <v>1547.9999999999998</v>
      </c>
      <c r="R8" s="106">
        <v>4</v>
      </c>
      <c r="S8" s="106">
        <v>1238.3999999999999</v>
      </c>
      <c r="T8" s="106">
        <v>14</v>
      </c>
      <c r="U8" s="106">
        <v>4334.3999999999996</v>
      </c>
      <c r="V8" s="106">
        <v>14</v>
      </c>
      <c r="W8" s="106">
        <v>4334.3999999999996</v>
      </c>
      <c r="X8" s="106">
        <v>14</v>
      </c>
      <c r="Y8" s="106">
        <v>4334.3999999999996</v>
      </c>
      <c r="Z8" s="106">
        <v>15</v>
      </c>
      <c r="AA8" s="106">
        <v>4643.9999999999991</v>
      </c>
      <c r="AB8" s="106">
        <v>36</v>
      </c>
      <c r="AC8" s="106">
        <v>11145.599999999999</v>
      </c>
      <c r="AD8" s="106">
        <v>29</v>
      </c>
      <c r="AE8" s="106">
        <v>8978.4</v>
      </c>
      <c r="AF8" s="106">
        <v>28</v>
      </c>
      <c r="AG8" s="106">
        <v>8668.7999999999993</v>
      </c>
      <c r="AH8" s="106">
        <v>32</v>
      </c>
      <c r="AI8" s="106">
        <v>9907.1999999999989</v>
      </c>
      <c r="AJ8" s="106">
        <v>11</v>
      </c>
      <c r="AK8" s="106">
        <v>3405.5999999999995</v>
      </c>
      <c r="AL8" s="106">
        <v>15</v>
      </c>
      <c r="AM8" s="106">
        <v>4643.9999999999991</v>
      </c>
      <c r="AN8" s="106">
        <v>8</v>
      </c>
      <c r="AO8" s="106">
        <v>2476.7999999999997</v>
      </c>
      <c r="AP8" s="106">
        <v>10</v>
      </c>
      <c r="AQ8" s="106">
        <v>3095.9999999999995</v>
      </c>
      <c r="AR8" s="106">
        <v>16</v>
      </c>
      <c r="AS8" s="106">
        <v>4953.5999999999995</v>
      </c>
      <c r="AT8" s="106">
        <v>11</v>
      </c>
      <c r="AU8" s="106">
        <v>3405.5999999999995</v>
      </c>
      <c r="AV8" s="106">
        <v>14</v>
      </c>
      <c r="AW8" s="106">
        <v>4334.3999999999996</v>
      </c>
      <c r="AX8" s="106">
        <v>13</v>
      </c>
      <c r="AY8" s="106">
        <v>4024.7999999999997</v>
      </c>
      <c r="AZ8" s="106">
        <v>11</v>
      </c>
      <c r="BA8" s="106">
        <v>3405.5999999999995</v>
      </c>
      <c r="BB8" s="106">
        <v>13</v>
      </c>
      <c r="BC8" s="106">
        <v>4024.7999999999997</v>
      </c>
      <c r="BD8" s="106">
        <v>9</v>
      </c>
      <c r="BE8" s="106">
        <v>2786.3999999999996</v>
      </c>
      <c r="BF8" s="106">
        <v>17</v>
      </c>
      <c r="BG8" s="106">
        <v>5263.2</v>
      </c>
      <c r="BH8" s="106">
        <v>22</v>
      </c>
      <c r="BI8" s="106">
        <v>6811.1999999999989</v>
      </c>
      <c r="BJ8" s="106">
        <v>34</v>
      </c>
      <c r="BK8" s="106">
        <v>10526.4</v>
      </c>
      <c r="BL8" s="106">
        <v>36</v>
      </c>
      <c r="BM8" s="106">
        <v>11145.599999999999</v>
      </c>
      <c r="BN8" s="106">
        <v>20</v>
      </c>
      <c r="BO8" s="106">
        <v>6191.9999999999991</v>
      </c>
      <c r="BP8" s="106">
        <v>25</v>
      </c>
      <c r="BQ8" s="106">
        <v>7739.9999999999991</v>
      </c>
      <c r="BR8" s="106">
        <v>25</v>
      </c>
      <c r="BS8" s="106">
        <v>7739.9999999999991</v>
      </c>
      <c r="BT8" s="106">
        <v>31</v>
      </c>
      <c r="BU8" s="106">
        <v>9597.5999999999985</v>
      </c>
      <c r="BV8" s="106">
        <v>22</v>
      </c>
      <c r="BW8" s="106">
        <v>6811.1999999999989</v>
      </c>
      <c r="BX8" s="106">
        <v>15</v>
      </c>
      <c r="BY8" s="106">
        <v>4643.9999999999991</v>
      </c>
      <c r="BZ8" s="106">
        <v>16</v>
      </c>
      <c r="CA8" s="106">
        <v>4953.5999999999995</v>
      </c>
      <c r="CB8" s="106">
        <v>15</v>
      </c>
      <c r="CC8" s="106">
        <v>4643.9999999999991</v>
      </c>
      <c r="CD8" s="106">
        <v>9</v>
      </c>
      <c r="CE8" s="106">
        <v>2786.3999999999996</v>
      </c>
      <c r="CF8" s="106">
        <v>8</v>
      </c>
      <c r="CG8" s="106">
        <v>2476.7999999999997</v>
      </c>
      <c r="CH8" s="106">
        <v>5</v>
      </c>
      <c r="CI8" s="106">
        <v>1547.9999999999998</v>
      </c>
      <c r="CJ8" s="106">
        <v>6</v>
      </c>
      <c r="CK8" s="106">
        <v>1857.6</v>
      </c>
      <c r="CL8" s="106">
        <v>7</v>
      </c>
      <c r="CM8" s="106">
        <v>2167.1999999999998</v>
      </c>
      <c r="CN8" s="106">
        <v>6</v>
      </c>
      <c r="CO8" s="106">
        <v>1857.6</v>
      </c>
      <c r="CP8" s="106">
        <v>7</v>
      </c>
      <c r="CQ8" s="106">
        <v>2167.1999999999998</v>
      </c>
      <c r="CR8" s="106">
        <v>10</v>
      </c>
      <c r="CS8" s="106">
        <v>3095.9999999999995</v>
      </c>
      <c r="CT8" s="106">
        <v>8</v>
      </c>
      <c r="CU8" s="106">
        <v>2476.7999999999997</v>
      </c>
    </row>
    <row r="9" spans="1:99" x14ac:dyDescent="0.2">
      <c r="C9" s="105" t="s">
        <v>174</v>
      </c>
      <c r="D9" s="106">
        <v>4</v>
      </c>
      <c r="E9" s="106">
        <v>2808</v>
      </c>
      <c r="F9" s="106">
        <v>3</v>
      </c>
      <c r="G9" s="106">
        <v>2106</v>
      </c>
      <c r="H9" s="106">
        <v>4</v>
      </c>
      <c r="I9" s="106">
        <v>2808</v>
      </c>
      <c r="J9" s="106">
        <v>4</v>
      </c>
      <c r="K9" s="106">
        <v>2808</v>
      </c>
      <c r="L9" s="106">
        <v>4</v>
      </c>
      <c r="M9" s="106">
        <v>2808</v>
      </c>
      <c r="N9" s="106">
        <v>5</v>
      </c>
      <c r="O9" s="106">
        <v>3510</v>
      </c>
      <c r="P9" s="106">
        <v>6</v>
      </c>
      <c r="Q9" s="106">
        <v>4212</v>
      </c>
      <c r="R9" s="106">
        <v>4</v>
      </c>
      <c r="S9" s="106">
        <v>2808</v>
      </c>
      <c r="T9" s="106">
        <v>13</v>
      </c>
      <c r="U9" s="106">
        <v>9126</v>
      </c>
      <c r="V9" s="106">
        <v>15</v>
      </c>
      <c r="W9" s="106">
        <v>10530</v>
      </c>
      <c r="X9" s="106">
        <v>13</v>
      </c>
      <c r="Y9" s="106">
        <v>9126</v>
      </c>
      <c r="Z9" s="106">
        <v>14</v>
      </c>
      <c r="AA9" s="106">
        <v>9828</v>
      </c>
      <c r="AB9" s="106">
        <v>29</v>
      </c>
      <c r="AC9" s="106">
        <v>20358</v>
      </c>
      <c r="AD9" s="106">
        <v>24</v>
      </c>
      <c r="AE9" s="106">
        <v>16848</v>
      </c>
      <c r="AF9" s="106">
        <v>29</v>
      </c>
      <c r="AG9" s="106">
        <v>20358</v>
      </c>
      <c r="AH9" s="106">
        <v>30</v>
      </c>
      <c r="AI9" s="106">
        <v>21060</v>
      </c>
      <c r="AJ9" s="106">
        <v>11</v>
      </c>
      <c r="AK9" s="106">
        <v>7722</v>
      </c>
      <c r="AL9" s="106">
        <v>15</v>
      </c>
      <c r="AM9" s="106">
        <v>10530</v>
      </c>
      <c r="AN9" s="106">
        <v>7</v>
      </c>
      <c r="AO9" s="106">
        <v>4914</v>
      </c>
      <c r="AP9" s="106">
        <v>10</v>
      </c>
      <c r="AQ9" s="106">
        <v>7020</v>
      </c>
      <c r="AR9" s="106">
        <v>17</v>
      </c>
      <c r="AS9" s="106">
        <v>11934</v>
      </c>
      <c r="AT9" s="106">
        <v>11</v>
      </c>
      <c r="AU9" s="106">
        <v>7722</v>
      </c>
      <c r="AV9" s="106">
        <v>12</v>
      </c>
      <c r="AW9" s="106">
        <v>8424</v>
      </c>
      <c r="AX9" s="106">
        <v>12</v>
      </c>
      <c r="AY9" s="106">
        <v>8424</v>
      </c>
      <c r="AZ9" s="106">
        <v>10</v>
      </c>
      <c r="BA9" s="106">
        <v>7020</v>
      </c>
      <c r="BB9" s="106">
        <v>12</v>
      </c>
      <c r="BC9" s="106">
        <v>8424</v>
      </c>
      <c r="BD9" s="106">
        <v>8</v>
      </c>
      <c r="BE9" s="106">
        <v>5616</v>
      </c>
      <c r="BF9" s="106">
        <v>13</v>
      </c>
      <c r="BG9" s="106">
        <v>9126</v>
      </c>
      <c r="BH9" s="106">
        <v>24</v>
      </c>
      <c r="BI9" s="106">
        <v>16848</v>
      </c>
      <c r="BJ9" s="106">
        <v>31</v>
      </c>
      <c r="BK9" s="106">
        <v>21762</v>
      </c>
      <c r="BL9" s="106">
        <v>40</v>
      </c>
      <c r="BM9" s="106">
        <v>28080</v>
      </c>
      <c r="BN9" s="106">
        <v>18</v>
      </c>
      <c r="BO9" s="106">
        <v>12636</v>
      </c>
      <c r="BP9" s="106">
        <v>24</v>
      </c>
      <c r="BQ9" s="106">
        <v>16848</v>
      </c>
      <c r="BR9" s="106">
        <v>23</v>
      </c>
      <c r="BS9" s="106">
        <v>16146</v>
      </c>
      <c r="BT9" s="106">
        <v>29</v>
      </c>
      <c r="BU9" s="106">
        <v>20358</v>
      </c>
      <c r="BV9" s="106">
        <v>21</v>
      </c>
      <c r="BW9" s="106">
        <v>14742</v>
      </c>
      <c r="BX9" s="106">
        <v>14</v>
      </c>
      <c r="BY9" s="106">
        <v>9828</v>
      </c>
      <c r="BZ9" s="106">
        <v>15</v>
      </c>
      <c r="CA9" s="106">
        <v>10530</v>
      </c>
      <c r="CB9" s="106">
        <v>15</v>
      </c>
      <c r="CC9" s="106">
        <v>10530</v>
      </c>
      <c r="CD9" s="106">
        <v>10</v>
      </c>
      <c r="CE9" s="106">
        <v>7020</v>
      </c>
      <c r="CF9" s="106">
        <v>8</v>
      </c>
      <c r="CG9" s="106">
        <v>5616</v>
      </c>
      <c r="CH9" s="106">
        <v>6</v>
      </c>
      <c r="CI9" s="106">
        <v>4212</v>
      </c>
      <c r="CJ9" s="106">
        <v>5</v>
      </c>
      <c r="CK9" s="106">
        <v>3510</v>
      </c>
      <c r="CL9" s="106">
        <v>6</v>
      </c>
      <c r="CM9" s="106">
        <v>4212</v>
      </c>
      <c r="CN9" s="106">
        <v>7</v>
      </c>
      <c r="CO9" s="106">
        <v>4914</v>
      </c>
      <c r="CP9" s="106">
        <v>7</v>
      </c>
      <c r="CQ9" s="106">
        <v>4914</v>
      </c>
      <c r="CR9" s="106">
        <v>9</v>
      </c>
      <c r="CS9" s="106">
        <v>6318</v>
      </c>
      <c r="CT9" s="106">
        <v>7</v>
      </c>
      <c r="CU9" s="106">
        <v>4914</v>
      </c>
    </row>
    <row r="10" spans="1:99" x14ac:dyDescent="0.2">
      <c r="C10" s="105" t="s">
        <v>175</v>
      </c>
      <c r="D10" s="106">
        <v>4</v>
      </c>
      <c r="E10" s="106">
        <v>2179.1999999999998</v>
      </c>
      <c r="F10" s="106">
        <v>3</v>
      </c>
      <c r="G10" s="106">
        <v>1634.3999999999999</v>
      </c>
      <c r="H10" s="106">
        <v>5</v>
      </c>
      <c r="I10" s="106">
        <v>2724</v>
      </c>
      <c r="J10" s="106">
        <v>3</v>
      </c>
      <c r="K10" s="106">
        <v>1634.3999999999999</v>
      </c>
      <c r="L10" s="106">
        <v>4</v>
      </c>
      <c r="M10" s="106">
        <v>2179.1999999999998</v>
      </c>
      <c r="N10" s="106">
        <v>5</v>
      </c>
      <c r="O10" s="106">
        <v>2724</v>
      </c>
      <c r="P10" s="106">
        <v>5</v>
      </c>
      <c r="Q10" s="106">
        <v>2724</v>
      </c>
      <c r="R10" s="106">
        <v>4</v>
      </c>
      <c r="S10" s="106">
        <v>2179.1999999999998</v>
      </c>
      <c r="T10" s="106">
        <v>12</v>
      </c>
      <c r="U10" s="106">
        <v>6537.5999999999995</v>
      </c>
      <c r="V10" s="106">
        <v>14</v>
      </c>
      <c r="W10" s="106">
        <v>7627.1999999999989</v>
      </c>
      <c r="X10" s="106">
        <v>13</v>
      </c>
      <c r="Y10" s="106">
        <v>7082.4</v>
      </c>
      <c r="Z10" s="106">
        <v>16</v>
      </c>
      <c r="AA10" s="106">
        <v>8716.7999999999993</v>
      </c>
      <c r="AB10" s="106">
        <v>33</v>
      </c>
      <c r="AC10" s="106">
        <v>17978.399999999998</v>
      </c>
      <c r="AD10" s="106">
        <v>27</v>
      </c>
      <c r="AE10" s="106">
        <v>14709.599999999999</v>
      </c>
      <c r="AF10" s="106">
        <v>24</v>
      </c>
      <c r="AG10" s="106">
        <v>13075.199999999999</v>
      </c>
      <c r="AH10" s="106">
        <v>30</v>
      </c>
      <c r="AI10" s="106">
        <v>16343.999999999998</v>
      </c>
      <c r="AJ10" s="106">
        <v>11</v>
      </c>
      <c r="AK10" s="106">
        <v>5992.7999999999993</v>
      </c>
      <c r="AL10" s="106">
        <v>16</v>
      </c>
      <c r="AM10" s="106">
        <v>8716.7999999999993</v>
      </c>
      <c r="AN10" s="106">
        <v>8</v>
      </c>
      <c r="AO10" s="106">
        <v>4358.3999999999996</v>
      </c>
      <c r="AP10" s="106">
        <v>11</v>
      </c>
      <c r="AQ10" s="106">
        <v>5992.7999999999993</v>
      </c>
      <c r="AR10" s="106">
        <v>15</v>
      </c>
      <c r="AS10" s="106">
        <v>8171.9999999999991</v>
      </c>
      <c r="AT10" s="106">
        <v>12</v>
      </c>
      <c r="AU10" s="106">
        <v>6537.5999999999995</v>
      </c>
      <c r="AV10" s="106">
        <v>13</v>
      </c>
      <c r="AW10" s="106">
        <v>7082.4</v>
      </c>
      <c r="AX10" s="106">
        <v>14</v>
      </c>
      <c r="AY10" s="106">
        <v>7627.1999999999989</v>
      </c>
      <c r="AZ10" s="106">
        <v>12</v>
      </c>
      <c r="BA10" s="106">
        <v>6537.5999999999995</v>
      </c>
      <c r="BB10" s="106">
        <v>13</v>
      </c>
      <c r="BC10" s="106">
        <v>7082.4</v>
      </c>
      <c r="BD10" s="106">
        <v>8</v>
      </c>
      <c r="BE10" s="106">
        <v>4358.3999999999996</v>
      </c>
      <c r="BF10" s="106">
        <v>13</v>
      </c>
      <c r="BG10" s="106">
        <v>7082.4</v>
      </c>
      <c r="BH10" s="106">
        <v>24</v>
      </c>
      <c r="BI10" s="106">
        <v>13075.199999999999</v>
      </c>
      <c r="BJ10" s="106">
        <v>34</v>
      </c>
      <c r="BK10" s="106">
        <v>18523.199999999997</v>
      </c>
      <c r="BL10" s="106">
        <v>38</v>
      </c>
      <c r="BM10" s="106">
        <v>20702.399999999998</v>
      </c>
      <c r="BN10" s="106">
        <v>21</v>
      </c>
      <c r="BO10" s="106">
        <v>11440.8</v>
      </c>
      <c r="BP10" s="106">
        <v>23</v>
      </c>
      <c r="BQ10" s="106">
        <v>12530.4</v>
      </c>
      <c r="BR10" s="106">
        <v>23</v>
      </c>
      <c r="BS10" s="106">
        <v>12530.4</v>
      </c>
      <c r="BT10" s="106">
        <v>30</v>
      </c>
      <c r="BU10" s="106">
        <v>16343.999999999998</v>
      </c>
      <c r="BV10" s="106">
        <v>22</v>
      </c>
      <c r="BW10" s="106">
        <v>11985.599999999999</v>
      </c>
      <c r="BX10" s="106">
        <v>14</v>
      </c>
      <c r="BY10" s="106">
        <v>7627.1999999999989</v>
      </c>
      <c r="BZ10" s="106">
        <v>16</v>
      </c>
      <c r="CA10" s="106">
        <v>8716.7999999999993</v>
      </c>
      <c r="CB10" s="106">
        <v>14</v>
      </c>
      <c r="CC10" s="106">
        <v>7627.1999999999989</v>
      </c>
      <c r="CD10" s="106">
        <v>9</v>
      </c>
      <c r="CE10" s="106">
        <v>4903.2</v>
      </c>
      <c r="CF10" s="106">
        <v>7</v>
      </c>
      <c r="CG10" s="106">
        <v>3813.5999999999995</v>
      </c>
      <c r="CH10" s="106">
        <v>6</v>
      </c>
      <c r="CI10" s="106">
        <v>3268.7999999999997</v>
      </c>
      <c r="CJ10" s="106">
        <v>5</v>
      </c>
      <c r="CK10" s="106">
        <v>2724</v>
      </c>
      <c r="CL10" s="106">
        <v>6</v>
      </c>
      <c r="CM10" s="106">
        <v>3268.7999999999997</v>
      </c>
      <c r="CN10" s="106">
        <v>7</v>
      </c>
      <c r="CO10" s="106">
        <v>3813.5999999999995</v>
      </c>
      <c r="CP10" s="106">
        <v>7</v>
      </c>
      <c r="CQ10" s="106">
        <v>3813.5999999999995</v>
      </c>
      <c r="CR10" s="106">
        <v>9</v>
      </c>
      <c r="CS10" s="106">
        <v>4903.2</v>
      </c>
      <c r="CT10" s="106">
        <v>8</v>
      </c>
      <c r="CU10" s="106">
        <v>4358.3999999999996</v>
      </c>
    </row>
    <row r="11" spans="1:99" x14ac:dyDescent="0.2">
      <c r="C11" s="105" t="s">
        <v>176</v>
      </c>
      <c r="D11" s="106">
        <v>4</v>
      </c>
      <c r="E11" s="106">
        <v>2131.1999999999998</v>
      </c>
      <c r="F11" s="106">
        <v>3</v>
      </c>
      <c r="G11" s="106">
        <v>1598.3999999999999</v>
      </c>
      <c r="H11" s="106">
        <v>4</v>
      </c>
      <c r="I11" s="106">
        <v>2131.1999999999998</v>
      </c>
      <c r="J11" s="106">
        <v>3</v>
      </c>
      <c r="K11" s="106">
        <v>1598.3999999999999</v>
      </c>
      <c r="L11" s="106">
        <v>4</v>
      </c>
      <c r="M11" s="106">
        <v>2131.1999999999998</v>
      </c>
      <c r="N11" s="106">
        <v>5</v>
      </c>
      <c r="O11" s="106">
        <v>2664</v>
      </c>
      <c r="P11" s="106">
        <v>5</v>
      </c>
      <c r="Q11" s="106">
        <v>2664</v>
      </c>
      <c r="R11" s="106">
        <v>4</v>
      </c>
      <c r="S11" s="106">
        <v>2131.1999999999998</v>
      </c>
      <c r="T11" s="106">
        <v>12</v>
      </c>
      <c r="U11" s="106">
        <v>6393.5999999999995</v>
      </c>
      <c r="V11" s="106">
        <v>13</v>
      </c>
      <c r="W11" s="106">
        <v>6926.4</v>
      </c>
      <c r="X11" s="106">
        <v>15</v>
      </c>
      <c r="Y11" s="106">
        <v>7991.9999999999991</v>
      </c>
      <c r="Z11" s="106">
        <v>15</v>
      </c>
      <c r="AA11" s="106">
        <v>7991.9999999999991</v>
      </c>
      <c r="AB11" s="106">
        <v>33</v>
      </c>
      <c r="AC11" s="106">
        <v>17582.399999999998</v>
      </c>
      <c r="AD11" s="106">
        <v>26</v>
      </c>
      <c r="AE11" s="106">
        <v>13852.8</v>
      </c>
      <c r="AF11" s="106">
        <v>29</v>
      </c>
      <c r="AG11" s="106">
        <v>15451.199999999999</v>
      </c>
      <c r="AH11" s="106">
        <v>31</v>
      </c>
      <c r="AI11" s="106">
        <v>16516.8</v>
      </c>
      <c r="AJ11" s="106">
        <v>10</v>
      </c>
      <c r="AK11" s="106">
        <v>5328</v>
      </c>
      <c r="AL11" s="106">
        <v>15</v>
      </c>
      <c r="AM11" s="106">
        <v>7991.9999999999991</v>
      </c>
      <c r="AN11" s="106">
        <v>8</v>
      </c>
      <c r="AO11" s="106">
        <v>4262.3999999999996</v>
      </c>
      <c r="AP11" s="106">
        <v>11</v>
      </c>
      <c r="AQ11" s="106">
        <v>5860.7999999999993</v>
      </c>
      <c r="AR11" s="106">
        <v>16</v>
      </c>
      <c r="AS11" s="106">
        <v>8524.7999999999993</v>
      </c>
      <c r="AT11" s="106">
        <v>12</v>
      </c>
      <c r="AU11" s="106">
        <v>6393.5999999999995</v>
      </c>
      <c r="AV11" s="106">
        <v>13</v>
      </c>
      <c r="AW11" s="106">
        <v>6926.4</v>
      </c>
      <c r="AX11" s="106">
        <v>14</v>
      </c>
      <c r="AY11" s="106">
        <v>7459.1999999999989</v>
      </c>
      <c r="AZ11" s="106">
        <v>11</v>
      </c>
      <c r="BA11" s="106">
        <v>5860.7999999999993</v>
      </c>
      <c r="BB11" s="106">
        <v>13</v>
      </c>
      <c r="BC11" s="106">
        <v>6926.4</v>
      </c>
      <c r="BD11" s="106">
        <v>8</v>
      </c>
      <c r="BE11" s="106">
        <v>4262.3999999999996</v>
      </c>
      <c r="BF11" s="106">
        <v>15</v>
      </c>
      <c r="BG11" s="106">
        <v>7991.9999999999991</v>
      </c>
      <c r="BH11" s="106">
        <v>23</v>
      </c>
      <c r="BI11" s="106">
        <v>12254.4</v>
      </c>
      <c r="BJ11" s="106">
        <v>35</v>
      </c>
      <c r="BK11" s="106">
        <v>18648</v>
      </c>
      <c r="BL11" s="106">
        <v>36</v>
      </c>
      <c r="BM11" s="106">
        <v>19180.8</v>
      </c>
      <c r="BN11" s="106">
        <v>18</v>
      </c>
      <c r="BO11" s="106">
        <v>9590.4</v>
      </c>
      <c r="BP11" s="106">
        <v>23</v>
      </c>
      <c r="BQ11" s="106">
        <v>12254.4</v>
      </c>
      <c r="BR11" s="106">
        <v>26</v>
      </c>
      <c r="BS11" s="106">
        <v>13852.8</v>
      </c>
      <c r="BT11" s="106">
        <v>33</v>
      </c>
      <c r="BU11" s="106">
        <v>17582.399999999998</v>
      </c>
      <c r="BV11" s="106">
        <v>20</v>
      </c>
      <c r="BW11" s="106">
        <v>10656</v>
      </c>
      <c r="BX11" s="106">
        <v>16</v>
      </c>
      <c r="BY11" s="106">
        <v>8524.7999999999993</v>
      </c>
      <c r="BZ11" s="106">
        <v>15</v>
      </c>
      <c r="CA11" s="106">
        <v>7991.9999999999991</v>
      </c>
      <c r="CB11" s="106">
        <v>15</v>
      </c>
      <c r="CC11" s="106">
        <v>7991.9999999999991</v>
      </c>
      <c r="CD11" s="106">
        <v>10</v>
      </c>
      <c r="CE11" s="106">
        <v>5328</v>
      </c>
      <c r="CF11" s="106">
        <v>8</v>
      </c>
      <c r="CG11" s="106">
        <v>4262.3999999999996</v>
      </c>
      <c r="CH11" s="106">
        <v>5</v>
      </c>
      <c r="CI11" s="106">
        <v>2664</v>
      </c>
      <c r="CJ11" s="106">
        <v>6</v>
      </c>
      <c r="CK11" s="106">
        <v>3196.7999999999997</v>
      </c>
      <c r="CL11" s="106">
        <v>7</v>
      </c>
      <c r="CM11" s="106">
        <v>3729.5999999999995</v>
      </c>
      <c r="CN11" s="106">
        <v>7</v>
      </c>
      <c r="CO11" s="106">
        <v>3729.5999999999995</v>
      </c>
      <c r="CP11" s="106">
        <v>7</v>
      </c>
      <c r="CQ11" s="106">
        <v>3729.5999999999995</v>
      </c>
      <c r="CR11" s="106">
        <v>10</v>
      </c>
      <c r="CS11" s="106">
        <v>5328</v>
      </c>
      <c r="CT11" s="106">
        <v>8</v>
      </c>
      <c r="CU11" s="106">
        <v>4262.3999999999996</v>
      </c>
    </row>
    <row r="12" spans="1:99" x14ac:dyDescent="0.2">
      <c r="C12" s="105" t="s">
        <v>177</v>
      </c>
      <c r="D12" s="106">
        <v>4</v>
      </c>
      <c r="E12" s="106">
        <v>2251.1999999999998</v>
      </c>
      <c r="F12" s="106">
        <v>3</v>
      </c>
      <c r="G12" s="106">
        <v>1688.3999999999999</v>
      </c>
      <c r="H12" s="106">
        <v>5</v>
      </c>
      <c r="I12" s="106">
        <v>2814</v>
      </c>
      <c r="J12" s="106">
        <v>4</v>
      </c>
      <c r="K12" s="106">
        <v>2251.1999999999998</v>
      </c>
      <c r="L12" s="106">
        <v>4</v>
      </c>
      <c r="M12" s="106">
        <v>2251.1999999999998</v>
      </c>
      <c r="N12" s="106">
        <v>5</v>
      </c>
      <c r="O12" s="106">
        <v>2814</v>
      </c>
      <c r="P12" s="106">
        <v>5</v>
      </c>
      <c r="Q12" s="106">
        <v>2814</v>
      </c>
      <c r="R12" s="106">
        <v>4</v>
      </c>
      <c r="S12" s="106">
        <v>2251.1999999999998</v>
      </c>
      <c r="T12" s="106">
        <v>12</v>
      </c>
      <c r="U12" s="106">
        <v>6753.5999999999995</v>
      </c>
      <c r="V12" s="106">
        <v>15</v>
      </c>
      <c r="W12" s="106">
        <v>8442</v>
      </c>
      <c r="X12" s="106">
        <v>14</v>
      </c>
      <c r="Y12" s="106">
        <v>7879.1999999999989</v>
      </c>
      <c r="Z12" s="106">
        <v>16</v>
      </c>
      <c r="AA12" s="106">
        <v>9004.7999999999993</v>
      </c>
      <c r="AB12" s="106">
        <v>35</v>
      </c>
      <c r="AC12" s="106">
        <v>19698</v>
      </c>
      <c r="AD12" s="106">
        <v>24</v>
      </c>
      <c r="AE12" s="106">
        <v>13507.199999999999</v>
      </c>
      <c r="AF12" s="106">
        <v>28</v>
      </c>
      <c r="AG12" s="106">
        <v>15758.399999999998</v>
      </c>
      <c r="AH12" s="106">
        <v>28</v>
      </c>
      <c r="AI12" s="106">
        <v>15758.399999999998</v>
      </c>
      <c r="AJ12" s="106">
        <v>11</v>
      </c>
      <c r="AK12" s="106">
        <v>6190.7999999999993</v>
      </c>
      <c r="AL12" s="106">
        <v>14</v>
      </c>
      <c r="AM12" s="106">
        <v>7879.1999999999989</v>
      </c>
      <c r="AN12" s="106">
        <v>8</v>
      </c>
      <c r="AO12" s="106">
        <v>4502.3999999999996</v>
      </c>
      <c r="AP12" s="106">
        <v>11</v>
      </c>
      <c r="AQ12" s="106">
        <v>6190.7999999999993</v>
      </c>
      <c r="AR12" s="106">
        <v>17</v>
      </c>
      <c r="AS12" s="106">
        <v>9567.5999999999985</v>
      </c>
      <c r="AT12" s="106">
        <v>12</v>
      </c>
      <c r="AU12" s="106">
        <v>6753.5999999999995</v>
      </c>
      <c r="AV12" s="106">
        <v>13</v>
      </c>
      <c r="AW12" s="106">
        <v>7316.4</v>
      </c>
      <c r="AX12" s="106">
        <v>13</v>
      </c>
      <c r="AY12" s="106">
        <v>7316.4</v>
      </c>
      <c r="AZ12" s="106">
        <v>12</v>
      </c>
      <c r="BA12" s="106">
        <v>6753.5999999999995</v>
      </c>
      <c r="BB12" s="106">
        <v>13</v>
      </c>
      <c r="BC12" s="106">
        <v>7316.4</v>
      </c>
      <c r="BD12" s="106">
        <v>9</v>
      </c>
      <c r="BE12" s="106">
        <v>5065.2</v>
      </c>
      <c r="BF12" s="106">
        <v>15</v>
      </c>
      <c r="BG12" s="106">
        <v>8442</v>
      </c>
      <c r="BH12" s="106">
        <v>24</v>
      </c>
      <c r="BI12" s="106">
        <v>13507.199999999999</v>
      </c>
      <c r="BJ12" s="106">
        <v>33</v>
      </c>
      <c r="BK12" s="106">
        <v>18572.399999999998</v>
      </c>
      <c r="BL12" s="106">
        <v>36</v>
      </c>
      <c r="BM12" s="106">
        <v>20260.8</v>
      </c>
      <c r="BN12" s="106">
        <v>21</v>
      </c>
      <c r="BO12" s="106">
        <v>11818.8</v>
      </c>
      <c r="BP12" s="106">
        <v>26</v>
      </c>
      <c r="BQ12" s="106">
        <v>14632.8</v>
      </c>
      <c r="BR12" s="106">
        <v>28</v>
      </c>
      <c r="BS12" s="106">
        <v>15758.399999999998</v>
      </c>
      <c r="BT12" s="106">
        <v>33</v>
      </c>
      <c r="BU12" s="106">
        <v>18572.399999999998</v>
      </c>
      <c r="BV12" s="106">
        <v>21</v>
      </c>
      <c r="BW12" s="106">
        <v>11818.8</v>
      </c>
      <c r="BX12" s="106">
        <v>14</v>
      </c>
      <c r="BY12" s="106">
        <v>7879.1999999999989</v>
      </c>
      <c r="BZ12" s="106">
        <v>16</v>
      </c>
      <c r="CA12" s="106">
        <v>9004.7999999999993</v>
      </c>
      <c r="CB12" s="106">
        <v>16</v>
      </c>
      <c r="CC12" s="106">
        <v>9004.7999999999993</v>
      </c>
      <c r="CD12" s="106">
        <v>10</v>
      </c>
      <c r="CE12" s="106">
        <v>5628</v>
      </c>
      <c r="CF12" s="106">
        <v>7</v>
      </c>
      <c r="CG12" s="106">
        <v>3939.5999999999995</v>
      </c>
      <c r="CH12" s="106">
        <v>5</v>
      </c>
      <c r="CI12" s="106">
        <v>2814</v>
      </c>
      <c r="CJ12" s="106">
        <v>6</v>
      </c>
      <c r="CK12" s="106">
        <v>3376.7999999999997</v>
      </c>
      <c r="CL12" s="106">
        <v>7</v>
      </c>
      <c r="CM12" s="106">
        <v>3939.5999999999995</v>
      </c>
      <c r="CN12" s="106">
        <v>7</v>
      </c>
      <c r="CO12" s="106">
        <v>3939.5999999999995</v>
      </c>
      <c r="CP12" s="106">
        <v>8</v>
      </c>
      <c r="CQ12" s="106">
        <v>4502.3999999999996</v>
      </c>
      <c r="CR12" s="106">
        <v>10</v>
      </c>
      <c r="CS12" s="106">
        <v>5628</v>
      </c>
      <c r="CT12" s="106">
        <v>8</v>
      </c>
      <c r="CU12" s="106">
        <v>4502.3999999999996</v>
      </c>
    </row>
    <row r="13" spans="1:99" x14ac:dyDescent="0.2">
      <c r="C13" s="105" t="s">
        <v>178</v>
      </c>
      <c r="D13" s="106">
        <v>5</v>
      </c>
      <c r="E13" s="106">
        <v>426</v>
      </c>
      <c r="F13" s="106">
        <v>3</v>
      </c>
      <c r="G13" s="106">
        <v>255.60000000000002</v>
      </c>
      <c r="H13" s="106">
        <v>5</v>
      </c>
      <c r="I13" s="106">
        <v>426</v>
      </c>
      <c r="J13" s="106">
        <v>3</v>
      </c>
      <c r="K13" s="106">
        <v>255.60000000000002</v>
      </c>
      <c r="L13" s="106">
        <v>4</v>
      </c>
      <c r="M13" s="106">
        <v>340.8</v>
      </c>
      <c r="N13" s="106">
        <v>5</v>
      </c>
      <c r="O13" s="106">
        <v>426</v>
      </c>
      <c r="P13" s="106">
        <v>6</v>
      </c>
      <c r="Q13" s="106">
        <v>511.20000000000005</v>
      </c>
      <c r="R13" s="106">
        <v>4</v>
      </c>
      <c r="S13" s="106">
        <v>340.8</v>
      </c>
      <c r="T13" s="106">
        <v>13</v>
      </c>
      <c r="U13" s="106">
        <v>1107.6000000000001</v>
      </c>
      <c r="V13" s="106">
        <v>16</v>
      </c>
      <c r="W13" s="106">
        <v>1363.2</v>
      </c>
      <c r="X13" s="106">
        <v>15</v>
      </c>
      <c r="Y13" s="106">
        <v>1278</v>
      </c>
      <c r="Z13" s="106">
        <v>16</v>
      </c>
      <c r="AA13" s="106">
        <v>1363.2</v>
      </c>
      <c r="AB13" s="106">
        <v>35</v>
      </c>
      <c r="AC13" s="106">
        <v>2982</v>
      </c>
      <c r="AD13" s="106">
        <v>25</v>
      </c>
      <c r="AE13" s="106">
        <v>2130</v>
      </c>
      <c r="AF13" s="106">
        <v>27</v>
      </c>
      <c r="AG13" s="106">
        <v>2300.4</v>
      </c>
      <c r="AH13" s="106">
        <v>32</v>
      </c>
      <c r="AI13" s="106">
        <v>2726.4</v>
      </c>
      <c r="AJ13" s="106">
        <v>11</v>
      </c>
      <c r="AK13" s="106">
        <v>937.2</v>
      </c>
      <c r="AL13" s="106">
        <v>14</v>
      </c>
      <c r="AM13" s="106">
        <v>1192.8</v>
      </c>
      <c r="AN13" s="106">
        <v>9</v>
      </c>
      <c r="AO13" s="106">
        <v>766.80000000000007</v>
      </c>
      <c r="AP13" s="106">
        <v>12</v>
      </c>
      <c r="AQ13" s="106">
        <v>1022.4000000000001</v>
      </c>
      <c r="AR13" s="106">
        <v>17</v>
      </c>
      <c r="AS13" s="106">
        <v>1448.4</v>
      </c>
      <c r="AT13" s="106">
        <v>11</v>
      </c>
      <c r="AU13" s="106">
        <v>937.2</v>
      </c>
      <c r="AV13" s="106">
        <v>15</v>
      </c>
      <c r="AW13" s="106">
        <v>1278</v>
      </c>
      <c r="AX13" s="106">
        <v>15</v>
      </c>
      <c r="AY13" s="106">
        <v>1278</v>
      </c>
      <c r="AZ13" s="106">
        <v>11</v>
      </c>
      <c r="BA13" s="106">
        <v>937.2</v>
      </c>
      <c r="BB13" s="106">
        <v>13</v>
      </c>
      <c r="BC13" s="106">
        <v>1107.6000000000001</v>
      </c>
      <c r="BD13" s="106">
        <v>9</v>
      </c>
      <c r="BE13" s="106">
        <v>766.80000000000007</v>
      </c>
      <c r="BF13" s="106">
        <v>15</v>
      </c>
      <c r="BG13" s="106">
        <v>1278</v>
      </c>
      <c r="BH13" s="106">
        <v>25</v>
      </c>
      <c r="BI13" s="106">
        <v>2130</v>
      </c>
      <c r="BJ13" s="106">
        <v>36</v>
      </c>
      <c r="BK13" s="106">
        <v>3067.2000000000003</v>
      </c>
      <c r="BL13" s="106">
        <v>39</v>
      </c>
      <c r="BM13" s="106">
        <v>3322.8</v>
      </c>
      <c r="BN13" s="106">
        <v>23</v>
      </c>
      <c r="BO13" s="106">
        <v>1959.6000000000001</v>
      </c>
      <c r="BP13" s="106">
        <v>24</v>
      </c>
      <c r="BQ13" s="106">
        <v>2044.8000000000002</v>
      </c>
      <c r="BR13" s="106">
        <v>27</v>
      </c>
      <c r="BS13" s="106">
        <v>2300.4</v>
      </c>
      <c r="BT13" s="106">
        <v>37</v>
      </c>
      <c r="BU13" s="106">
        <v>3152.4</v>
      </c>
      <c r="BV13" s="106">
        <v>23</v>
      </c>
      <c r="BW13" s="106">
        <v>1959.6000000000001</v>
      </c>
      <c r="BX13" s="106">
        <v>14</v>
      </c>
      <c r="BY13" s="106">
        <v>1192.8</v>
      </c>
      <c r="BZ13" s="106">
        <v>19</v>
      </c>
      <c r="CA13" s="106">
        <v>1618.8</v>
      </c>
      <c r="CB13" s="106">
        <v>17</v>
      </c>
      <c r="CC13" s="106">
        <v>1448.4</v>
      </c>
      <c r="CD13" s="106">
        <v>9</v>
      </c>
      <c r="CE13" s="106">
        <v>766.80000000000007</v>
      </c>
      <c r="CF13" s="106">
        <v>8</v>
      </c>
      <c r="CG13" s="106">
        <v>681.6</v>
      </c>
      <c r="CH13" s="106">
        <v>6</v>
      </c>
      <c r="CI13" s="106">
        <v>511.20000000000005</v>
      </c>
      <c r="CJ13" s="106">
        <v>5</v>
      </c>
      <c r="CK13" s="106">
        <v>426</v>
      </c>
      <c r="CL13" s="106">
        <v>7</v>
      </c>
      <c r="CM13" s="106">
        <v>596.4</v>
      </c>
      <c r="CN13" s="106">
        <v>6</v>
      </c>
      <c r="CO13" s="106">
        <v>511.20000000000005</v>
      </c>
      <c r="CP13" s="106">
        <v>8</v>
      </c>
      <c r="CQ13" s="106">
        <v>681.6</v>
      </c>
      <c r="CR13" s="106">
        <v>10</v>
      </c>
      <c r="CS13" s="106">
        <v>852</v>
      </c>
      <c r="CT13" s="106">
        <v>9</v>
      </c>
      <c r="CU13" s="106">
        <v>766.80000000000007</v>
      </c>
    </row>
    <row r="14" spans="1:99" x14ac:dyDescent="0.2">
      <c r="C14" s="105" t="s">
        <v>179</v>
      </c>
      <c r="D14" s="106">
        <v>4</v>
      </c>
      <c r="E14" s="106">
        <v>1953.6</v>
      </c>
      <c r="F14" s="106">
        <v>3</v>
      </c>
      <c r="G14" s="106">
        <v>1465.1999999999998</v>
      </c>
      <c r="H14" s="106">
        <v>5</v>
      </c>
      <c r="I14" s="106">
        <v>2442</v>
      </c>
      <c r="J14" s="106">
        <v>3</v>
      </c>
      <c r="K14" s="106">
        <v>1465.1999999999998</v>
      </c>
      <c r="L14" s="106">
        <v>4</v>
      </c>
      <c r="M14" s="106">
        <v>1953.6</v>
      </c>
      <c r="N14" s="106">
        <v>5</v>
      </c>
      <c r="O14" s="106">
        <v>2442</v>
      </c>
      <c r="P14" s="106">
        <v>5</v>
      </c>
      <c r="Q14" s="106">
        <v>2442</v>
      </c>
      <c r="R14" s="106">
        <v>4</v>
      </c>
      <c r="S14" s="106">
        <v>1953.6</v>
      </c>
      <c r="T14" s="106">
        <v>14</v>
      </c>
      <c r="U14" s="106">
        <v>6837.5999999999995</v>
      </c>
      <c r="V14" s="106">
        <v>14</v>
      </c>
      <c r="W14" s="106">
        <v>6837.5999999999995</v>
      </c>
      <c r="X14" s="106">
        <v>15</v>
      </c>
      <c r="Y14" s="106">
        <v>7326</v>
      </c>
      <c r="Z14" s="106">
        <v>15</v>
      </c>
      <c r="AA14" s="106">
        <v>7326</v>
      </c>
      <c r="AB14" s="106">
        <v>36</v>
      </c>
      <c r="AC14" s="106">
        <v>17582.399999999998</v>
      </c>
      <c r="AD14" s="106">
        <v>26</v>
      </c>
      <c r="AE14" s="106">
        <v>12698.4</v>
      </c>
      <c r="AF14" s="106">
        <v>25</v>
      </c>
      <c r="AG14" s="106">
        <v>12210</v>
      </c>
      <c r="AH14" s="106">
        <v>28</v>
      </c>
      <c r="AI14" s="106">
        <v>13675.199999999999</v>
      </c>
      <c r="AJ14" s="106">
        <v>11</v>
      </c>
      <c r="AK14" s="106">
        <v>5372.4</v>
      </c>
      <c r="AL14" s="106">
        <v>15</v>
      </c>
      <c r="AM14" s="106">
        <v>7326</v>
      </c>
      <c r="AN14" s="106">
        <v>8</v>
      </c>
      <c r="AO14" s="106">
        <v>3907.2</v>
      </c>
      <c r="AP14" s="106">
        <v>11</v>
      </c>
      <c r="AQ14" s="106">
        <v>5372.4</v>
      </c>
      <c r="AR14" s="106">
        <v>17</v>
      </c>
      <c r="AS14" s="106">
        <v>8302.7999999999993</v>
      </c>
      <c r="AT14" s="106">
        <v>11</v>
      </c>
      <c r="AU14" s="106">
        <v>5372.4</v>
      </c>
      <c r="AV14" s="106">
        <v>14</v>
      </c>
      <c r="AW14" s="106">
        <v>6837.5999999999995</v>
      </c>
      <c r="AX14" s="106">
        <v>12</v>
      </c>
      <c r="AY14" s="106">
        <v>5860.7999999999993</v>
      </c>
      <c r="AZ14" s="106">
        <v>11</v>
      </c>
      <c r="BA14" s="106">
        <v>5372.4</v>
      </c>
      <c r="BB14" s="106">
        <v>13</v>
      </c>
      <c r="BC14" s="106">
        <v>6349.2</v>
      </c>
      <c r="BD14" s="106">
        <v>8</v>
      </c>
      <c r="BE14" s="106">
        <v>3907.2</v>
      </c>
      <c r="BF14" s="106">
        <v>15</v>
      </c>
      <c r="BG14" s="106">
        <v>7326</v>
      </c>
      <c r="BH14" s="106">
        <v>25</v>
      </c>
      <c r="BI14" s="106">
        <v>12210</v>
      </c>
      <c r="BJ14" s="106">
        <v>31</v>
      </c>
      <c r="BK14" s="106">
        <v>15140.4</v>
      </c>
      <c r="BL14" s="106">
        <v>39</v>
      </c>
      <c r="BM14" s="106">
        <v>19047.599999999999</v>
      </c>
      <c r="BN14" s="106">
        <v>21</v>
      </c>
      <c r="BO14" s="106">
        <v>10256.4</v>
      </c>
      <c r="BP14" s="106">
        <v>25</v>
      </c>
      <c r="BQ14" s="106">
        <v>12210</v>
      </c>
      <c r="BR14" s="106">
        <v>25</v>
      </c>
      <c r="BS14" s="106">
        <v>12210</v>
      </c>
      <c r="BT14" s="106">
        <v>33</v>
      </c>
      <c r="BU14" s="106">
        <v>16117.199999999999</v>
      </c>
      <c r="BV14" s="106">
        <v>20</v>
      </c>
      <c r="BW14" s="106">
        <v>9768</v>
      </c>
      <c r="BX14" s="106">
        <v>16</v>
      </c>
      <c r="BY14" s="106">
        <v>7814.4</v>
      </c>
      <c r="BZ14" s="106">
        <v>16</v>
      </c>
      <c r="CA14" s="106">
        <v>7814.4</v>
      </c>
      <c r="CB14" s="106">
        <v>14</v>
      </c>
      <c r="CC14" s="106">
        <v>6837.5999999999995</v>
      </c>
      <c r="CD14" s="106">
        <v>9</v>
      </c>
      <c r="CE14" s="106">
        <v>4395.5999999999995</v>
      </c>
      <c r="CF14" s="106">
        <v>7</v>
      </c>
      <c r="CG14" s="106">
        <v>3418.7999999999997</v>
      </c>
      <c r="CH14" s="106">
        <v>5</v>
      </c>
      <c r="CI14" s="106">
        <v>2442</v>
      </c>
      <c r="CJ14" s="106">
        <v>5</v>
      </c>
      <c r="CK14" s="106">
        <v>2442</v>
      </c>
      <c r="CL14" s="106">
        <v>6</v>
      </c>
      <c r="CM14" s="106">
        <v>2930.3999999999996</v>
      </c>
      <c r="CN14" s="106">
        <v>6</v>
      </c>
      <c r="CO14" s="106">
        <v>2930.3999999999996</v>
      </c>
      <c r="CP14" s="106">
        <v>8</v>
      </c>
      <c r="CQ14" s="106">
        <v>3907.2</v>
      </c>
      <c r="CR14" s="106">
        <v>9</v>
      </c>
      <c r="CS14" s="106">
        <v>4395.5999999999995</v>
      </c>
      <c r="CT14" s="106">
        <v>8</v>
      </c>
      <c r="CU14" s="106">
        <v>3907.2</v>
      </c>
    </row>
    <row r="15" spans="1:99" x14ac:dyDescent="0.2">
      <c r="C15" s="105" t="s">
        <v>180</v>
      </c>
      <c r="D15" s="106">
        <v>4</v>
      </c>
      <c r="E15" s="106">
        <v>3052.7999999999997</v>
      </c>
      <c r="F15" s="106">
        <v>3</v>
      </c>
      <c r="G15" s="106">
        <v>2289.6</v>
      </c>
      <c r="H15" s="106">
        <v>5</v>
      </c>
      <c r="I15" s="106">
        <v>3815.9999999999995</v>
      </c>
      <c r="J15" s="106">
        <v>4</v>
      </c>
      <c r="K15" s="106">
        <v>3052.7999999999997</v>
      </c>
      <c r="L15" s="106">
        <v>4</v>
      </c>
      <c r="M15" s="106">
        <v>3052.7999999999997</v>
      </c>
      <c r="N15" s="106">
        <v>4</v>
      </c>
      <c r="O15" s="106">
        <v>3052.7999999999997</v>
      </c>
      <c r="P15" s="106">
        <v>6</v>
      </c>
      <c r="Q15" s="106">
        <v>4579.2</v>
      </c>
      <c r="R15" s="106">
        <v>4</v>
      </c>
      <c r="S15" s="106">
        <v>3052.7999999999997</v>
      </c>
      <c r="T15" s="106">
        <v>13</v>
      </c>
      <c r="U15" s="106">
        <v>9921.5999999999985</v>
      </c>
      <c r="V15" s="106">
        <v>15</v>
      </c>
      <c r="W15" s="106">
        <v>11447.999999999998</v>
      </c>
      <c r="X15" s="106">
        <v>13</v>
      </c>
      <c r="Y15" s="106">
        <v>9921.5999999999985</v>
      </c>
      <c r="Z15" s="106">
        <v>16</v>
      </c>
      <c r="AA15" s="106">
        <v>12211.199999999999</v>
      </c>
      <c r="AB15" s="106">
        <v>29</v>
      </c>
      <c r="AC15" s="106">
        <v>22132.799999999999</v>
      </c>
      <c r="AD15" s="106">
        <v>27</v>
      </c>
      <c r="AE15" s="106">
        <v>20606.399999999998</v>
      </c>
      <c r="AF15" s="106">
        <v>26</v>
      </c>
      <c r="AG15" s="106">
        <v>19843.199999999997</v>
      </c>
      <c r="AH15" s="106">
        <v>27</v>
      </c>
      <c r="AI15" s="106">
        <v>20606.399999999998</v>
      </c>
      <c r="AJ15" s="106">
        <v>11</v>
      </c>
      <c r="AK15" s="106">
        <v>8395.1999999999989</v>
      </c>
      <c r="AL15" s="106">
        <v>13</v>
      </c>
      <c r="AM15" s="106">
        <v>9921.5999999999985</v>
      </c>
      <c r="AN15" s="106">
        <v>9</v>
      </c>
      <c r="AO15" s="106">
        <v>6868.7999999999993</v>
      </c>
      <c r="AP15" s="106">
        <v>10</v>
      </c>
      <c r="AQ15" s="106">
        <v>7631.9999999999991</v>
      </c>
      <c r="AR15" s="106">
        <v>15</v>
      </c>
      <c r="AS15" s="106">
        <v>11447.999999999998</v>
      </c>
      <c r="AT15" s="106">
        <v>11</v>
      </c>
      <c r="AU15" s="106">
        <v>8395.1999999999989</v>
      </c>
      <c r="AV15" s="106">
        <v>14</v>
      </c>
      <c r="AW15" s="106">
        <v>10684.8</v>
      </c>
      <c r="AX15" s="106">
        <v>13</v>
      </c>
      <c r="AY15" s="106">
        <v>9921.5999999999985</v>
      </c>
      <c r="AZ15" s="106">
        <v>11</v>
      </c>
      <c r="BA15" s="106">
        <v>8395.1999999999989</v>
      </c>
      <c r="BB15" s="106">
        <v>14</v>
      </c>
      <c r="BC15" s="106">
        <v>10684.8</v>
      </c>
      <c r="BD15" s="106">
        <v>8</v>
      </c>
      <c r="BE15" s="106">
        <v>6105.5999999999995</v>
      </c>
      <c r="BF15" s="106">
        <v>15</v>
      </c>
      <c r="BG15" s="106">
        <v>11447.999999999998</v>
      </c>
      <c r="BH15" s="106">
        <v>23</v>
      </c>
      <c r="BI15" s="106">
        <v>17553.599999999999</v>
      </c>
      <c r="BJ15" s="106">
        <v>30</v>
      </c>
      <c r="BK15" s="106">
        <v>22895.999999999996</v>
      </c>
      <c r="BL15" s="106">
        <v>35</v>
      </c>
      <c r="BM15" s="106">
        <v>26711.999999999996</v>
      </c>
      <c r="BN15" s="106">
        <v>18</v>
      </c>
      <c r="BO15" s="106">
        <v>13737.599999999999</v>
      </c>
      <c r="BP15" s="106">
        <v>22</v>
      </c>
      <c r="BQ15" s="106">
        <v>16790.399999999998</v>
      </c>
      <c r="BR15" s="106">
        <v>23</v>
      </c>
      <c r="BS15" s="106">
        <v>17553.599999999999</v>
      </c>
      <c r="BT15" s="106">
        <v>28</v>
      </c>
      <c r="BU15" s="106">
        <v>21369.599999999999</v>
      </c>
      <c r="BV15" s="106">
        <v>18</v>
      </c>
      <c r="BW15" s="106">
        <v>13737.599999999999</v>
      </c>
      <c r="BX15" s="106">
        <v>15</v>
      </c>
      <c r="BY15" s="106">
        <v>11447.999999999998</v>
      </c>
      <c r="BZ15" s="106">
        <v>17</v>
      </c>
      <c r="CA15" s="106">
        <v>12974.4</v>
      </c>
      <c r="CB15" s="106">
        <v>15</v>
      </c>
      <c r="CC15" s="106">
        <v>11447.999999999998</v>
      </c>
      <c r="CD15" s="106">
        <v>9</v>
      </c>
      <c r="CE15" s="106">
        <v>6868.7999999999993</v>
      </c>
      <c r="CF15" s="106">
        <v>7</v>
      </c>
      <c r="CG15" s="106">
        <v>5342.4</v>
      </c>
      <c r="CH15" s="106">
        <v>6</v>
      </c>
      <c r="CI15" s="106">
        <v>4579.2</v>
      </c>
      <c r="CJ15" s="106">
        <v>5</v>
      </c>
      <c r="CK15" s="106">
        <v>3815.9999999999995</v>
      </c>
      <c r="CL15" s="106">
        <v>7</v>
      </c>
      <c r="CM15" s="106">
        <v>5342.4</v>
      </c>
      <c r="CN15" s="106">
        <v>6</v>
      </c>
      <c r="CO15" s="106">
        <v>4579.2</v>
      </c>
      <c r="CP15" s="106">
        <v>8</v>
      </c>
      <c r="CQ15" s="106">
        <v>6105.5999999999995</v>
      </c>
      <c r="CR15" s="106">
        <v>10</v>
      </c>
      <c r="CS15" s="106">
        <v>7631.9999999999991</v>
      </c>
      <c r="CT15" s="106">
        <v>7</v>
      </c>
      <c r="CU15" s="106">
        <v>5342.4</v>
      </c>
    </row>
    <row r="16" spans="1:99" x14ac:dyDescent="0.2">
      <c r="C16" s="105" t="s">
        <v>181</v>
      </c>
      <c r="D16" s="106">
        <v>4</v>
      </c>
      <c r="E16" s="106">
        <v>1363.2</v>
      </c>
      <c r="F16" s="106">
        <v>3</v>
      </c>
      <c r="G16" s="106">
        <v>1022.4000000000001</v>
      </c>
      <c r="H16" s="106">
        <v>4</v>
      </c>
      <c r="I16" s="106">
        <v>1363.2</v>
      </c>
      <c r="J16" s="106">
        <v>3</v>
      </c>
      <c r="K16" s="106">
        <v>1022.4000000000001</v>
      </c>
      <c r="L16" s="106">
        <v>4</v>
      </c>
      <c r="M16" s="106">
        <v>1363.2</v>
      </c>
      <c r="N16" s="106">
        <v>5</v>
      </c>
      <c r="O16" s="106">
        <v>1704</v>
      </c>
      <c r="P16" s="106">
        <v>5</v>
      </c>
      <c r="Q16" s="106">
        <v>1704</v>
      </c>
      <c r="R16" s="106">
        <v>4</v>
      </c>
      <c r="S16" s="106">
        <v>1363.2</v>
      </c>
      <c r="T16" s="106">
        <v>13</v>
      </c>
      <c r="U16" s="106">
        <v>4430.4000000000005</v>
      </c>
      <c r="V16" s="106">
        <v>16</v>
      </c>
      <c r="W16" s="106">
        <v>5452.8</v>
      </c>
      <c r="X16" s="106">
        <v>15</v>
      </c>
      <c r="Y16" s="106">
        <v>5112</v>
      </c>
      <c r="Z16" s="106">
        <v>15</v>
      </c>
      <c r="AA16" s="106">
        <v>5112</v>
      </c>
      <c r="AB16" s="106">
        <v>35</v>
      </c>
      <c r="AC16" s="106">
        <v>11928</v>
      </c>
      <c r="AD16" s="106">
        <v>27</v>
      </c>
      <c r="AE16" s="106">
        <v>9201.6</v>
      </c>
      <c r="AF16" s="106">
        <v>28</v>
      </c>
      <c r="AG16" s="106">
        <v>9542.4</v>
      </c>
      <c r="AH16" s="106">
        <v>31</v>
      </c>
      <c r="AI16" s="106">
        <v>10564.800000000001</v>
      </c>
      <c r="AJ16" s="106">
        <v>11</v>
      </c>
      <c r="AK16" s="106">
        <v>3748.8</v>
      </c>
      <c r="AL16" s="106">
        <v>14</v>
      </c>
      <c r="AM16" s="106">
        <v>4771.2</v>
      </c>
      <c r="AN16" s="106">
        <v>9</v>
      </c>
      <c r="AO16" s="106">
        <v>3067.2000000000003</v>
      </c>
      <c r="AP16" s="106">
        <v>11</v>
      </c>
      <c r="AQ16" s="106">
        <v>3748.8</v>
      </c>
      <c r="AR16" s="106">
        <v>15</v>
      </c>
      <c r="AS16" s="106">
        <v>5112</v>
      </c>
      <c r="AT16" s="106">
        <v>12</v>
      </c>
      <c r="AU16" s="106">
        <v>4089.6000000000004</v>
      </c>
      <c r="AV16" s="106">
        <v>13</v>
      </c>
      <c r="AW16" s="106">
        <v>4430.4000000000005</v>
      </c>
      <c r="AX16" s="106">
        <v>14</v>
      </c>
      <c r="AY16" s="106">
        <v>4771.2</v>
      </c>
      <c r="AZ16" s="106">
        <v>11</v>
      </c>
      <c r="BA16" s="106">
        <v>3748.8</v>
      </c>
      <c r="BB16" s="106">
        <v>13</v>
      </c>
      <c r="BC16" s="106">
        <v>4430.4000000000005</v>
      </c>
      <c r="BD16" s="106">
        <v>9</v>
      </c>
      <c r="BE16" s="106">
        <v>3067.2000000000003</v>
      </c>
      <c r="BF16" s="106">
        <v>15</v>
      </c>
      <c r="BG16" s="106">
        <v>5112</v>
      </c>
      <c r="BH16" s="106">
        <v>23</v>
      </c>
      <c r="BI16" s="106">
        <v>7838.4000000000005</v>
      </c>
      <c r="BJ16" s="106">
        <v>30</v>
      </c>
      <c r="BK16" s="106">
        <v>10224</v>
      </c>
      <c r="BL16" s="106">
        <v>35</v>
      </c>
      <c r="BM16" s="106">
        <v>11928</v>
      </c>
      <c r="BN16" s="106">
        <v>20</v>
      </c>
      <c r="BO16" s="106">
        <v>6816</v>
      </c>
      <c r="BP16" s="106">
        <v>23</v>
      </c>
      <c r="BQ16" s="106">
        <v>7838.4000000000005</v>
      </c>
      <c r="BR16" s="106">
        <v>28</v>
      </c>
      <c r="BS16" s="106">
        <v>9542.4</v>
      </c>
      <c r="BT16" s="106">
        <v>33</v>
      </c>
      <c r="BU16" s="106">
        <v>11246.4</v>
      </c>
      <c r="BV16" s="106">
        <v>20</v>
      </c>
      <c r="BW16" s="106">
        <v>6816</v>
      </c>
      <c r="BX16" s="106">
        <v>15</v>
      </c>
      <c r="BY16" s="106">
        <v>5112</v>
      </c>
      <c r="BZ16" s="106">
        <v>16</v>
      </c>
      <c r="CA16" s="106">
        <v>5452.8</v>
      </c>
      <c r="CB16" s="106">
        <v>14</v>
      </c>
      <c r="CC16" s="106">
        <v>4771.2</v>
      </c>
      <c r="CD16" s="106">
        <v>10</v>
      </c>
      <c r="CE16" s="106">
        <v>3408</v>
      </c>
      <c r="CF16" s="106">
        <v>8</v>
      </c>
      <c r="CG16" s="106">
        <v>2726.4</v>
      </c>
      <c r="CH16" s="106">
        <v>5</v>
      </c>
      <c r="CI16" s="106">
        <v>1704</v>
      </c>
      <c r="CJ16" s="106">
        <v>6</v>
      </c>
      <c r="CK16" s="106">
        <v>2044.8000000000002</v>
      </c>
      <c r="CL16" s="106">
        <v>7</v>
      </c>
      <c r="CM16" s="106">
        <v>2385.6</v>
      </c>
      <c r="CN16" s="106">
        <v>6</v>
      </c>
      <c r="CO16" s="106">
        <v>2044.8000000000002</v>
      </c>
      <c r="CP16" s="106">
        <v>8</v>
      </c>
      <c r="CQ16" s="106">
        <v>2726.4</v>
      </c>
      <c r="CR16" s="106">
        <v>9</v>
      </c>
      <c r="CS16" s="106">
        <v>3067.2000000000003</v>
      </c>
      <c r="CT16" s="106">
        <v>9</v>
      </c>
      <c r="CU16" s="106">
        <v>3067.2000000000003</v>
      </c>
    </row>
    <row r="17" spans="2:99" x14ac:dyDescent="0.2">
      <c r="C17" s="105" t="s">
        <v>182</v>
      </c>
      <c r="D17" s="106">
        <v>4</v>
      </c>
      <c r="E17" s="106">
        <v>1689.6</v>
      </c>
      <c r="F17" s="106">
        <v>3</v>
      </c>
      <c r="G17" s="106">
        <v>1267.1999999999998</v>
      </c>
      <c r="H17" s="106">
        <v>5</v>
      </c>
      <c r="I17" s="106">
        <v>2112</v>
      </c>
      <c r="J17" s="106">
        <v>3</v>
      </c>
      <c r="K17" s="106">
        <v>1267.1999999999998</v>
      </c>
      <c r="L17" s="106">
        <v>4</v>
      </c>
      <c r="M17" s="106">
        <v>1689.6</v>
      </c>
      <c r="N17" s="106">
        <v>5</v>
      </c>
      <c r="O17" s="106">
        <v>2112</v>
      </c>
      <c r="P17" s="106">
        <v>5</v>
      </c>
      <c r="Q17" s="106">
        <v>2112</v>
      </c>
      <c r="R17" s="106">
        <v>4</v>
      </c>
      <c r="S17" s="106">
        <v>1689.6</v>
      </c>
      <c r="T17" s="106">
        <v>12</v>
      </c>
      <c r="U17" s="106">
        <v>5068.7999999999993</v>
      </c>
      <c r="V17" s="106">
        <v>16</v>
      </c>
      <c r="W17" s="106">
        <v>6758.4</v>
      </c>
      <c r="X17" s="106">
        <v>13</v>
      </c>
      <c r="Y17" s="106">
        <v>5491.2</v>
      </c>
      <c r="Z17" s="106">
        <v>15</v>
      </c>
      <c r="AA17" s="106">
        <v>6336</v>
      </c>
      <c r="AB17" s="106">
        <v>35</v>
      </c>
      <c r="AC17" s="106">
        <v>14784</v>
      </c>
      <c r="AD17" s="106">
        <v>26</v>
      </c>
      <c r="AE17" s="106">
        <v>10982.4</v>
      </c>
      <c r="AF17" s="106">
        <v>26</v>
      </c>
      <c r="AG17" s="106">
        <v>10982.4</v>
      </c>
      <c r="AH17" s="106">
        <v>31</v>
      </c>
      <c r="AI17" s="106">
        <v>13094.4</v>
      </c>
      <c r="AJ17" s="106">
        <v>11</v>
      </c>
      <c r="AK17" s="106">
        <v>4646.3999999999996</v>
      </c>
      <c r="AL17" s="106">
        <v>14</v>
      </c>
      <c r="AM17" s="106">
        <v>5913.5999999999995</v>
      </c>
      <c r="AN17" s="106">
        <v>8</v>
      </c>
      <c r="AO17" s="106">
        <v>3379.2</v>
      </c>
      <c r="AP17" s="106">
        <v>11</v>
      </c>
      <c r="AQ17" s="106">
        <v>4646.3999999999996</v>
      </c>
      <c r="AR17" s="106">
        <v>15</v>
      </c>
      <c r="AS17" s="106">
        <v>6336</v>
      </c>
      <c r="AT17" s="106">
        <v>11</v>
      </c>
      <c r="AU17" s="106">
        <v>4646.3999999999996</v>
      </c>
      <c r="AV17" s="106">
        <v>14</v>
      </c>
      <c r="AW17" s="106">
        <v>5913.5999999999995</v>
      </c>
      <c r="AX17" s="106">
        <v>12</v>
      </c>
      <c r="AY17" s="106">
        <v>5068.7999999999993</v>
      </c>
      <c r="AZ17" s="106">
        <v>10</v>
      </c>
      <c r="BA17" s="106">
        <v>4224</v>
      </c>
      <c r="BB17" s="106">
        <v>13</v>
      </c>
      <c r="BC17" s="106">
        <v>5491.2</v>
      </c>
      <c r="BD17" s="106">
        <v>8</v>
      </c>
      <c r="BE17" s="106">
        <v>3379.2</v>
      </c>
      <c r="BF17" s="106">
        <v>16</v>
      </c>
      <c r="BG17" s="106">
        <v>6758.4</v>
      </c>
      <c r="BH17" s="106">
        <v>23</v>
      </c>
      <c r="BI17" s="106">
        <v>9715.1999999999989</v>
      </c>
      <c r="BJ17" s="106">
        <v>32</v>
      </c>
      <c r="BK17" s="106">
        <v>13516.8</v>
      </c>
      <c r="BL17" s="106">
        <v>41</v>
      </c>
      <c r="BM17" s="106">
        <v>17318.399999999998</v>
      </c>
      <c r="BN17" s="106">
        <v>18</v>
      </c>
      <c r="BO17" s="106">
        <v>7603.2</v>
      </c>
      <c r="BP17" s="106">
        <v>27</v>
      </c>
      <c r="BQ17" s="106">
        <v>11404.8</v>
      </c>
      <c r="BR17" s="106">
        <v>27</v>
      </c>
      <c r="BS17" s="106">
        <v>11404.8</v>
      </c>
      <c r="BT17" s="106">
        <v>33</v>
      </c>
      <c r="BU17" s="106">
        <v>13939.199999999999</v>
      </c>
      <c r="BV17" s="106">
        <v>18</v>
      </c>
      <c r="BW17" s="106">
        <v>7603.2</v>
      </c>
      <c r="BX17" s="106">
        <v>13</v>
      </c>
      <c r="BY17" s="106">
        <v>5491.2</v>
      </c>
      <c r="BZ17" s="106">
        <v>17</v>
      </c>
      <c r="CA17" s="106">
        <v>7180.7999999999993</v>
      </c>
      <c r="CB17" s="106">
        <v>14</v>
      </c>
      <c r="CC17" s="106">
        <v>5913.5999999999995</v>
      </c>
      <c r="CD17" s="106">
        <v>10</v>
      </c>
      <c r="CE17" s="106">
        <v>4224</v>
      </c>
      <c r="CF17" s="106">
        <v>8</v>
      </c>
      <c r="CG17" s="106">
        <v>3379.2</v>
      </c>
      <c r="CH17" s="106">
        <v>6</v>
      </c>
      <c r="CI17" s="106">
        <v>2534.3999999999996</v>
      </c>
      <c r="CJ17" s="106">
        <v>5</v>
      </c>
      <c r="CK17" s="106">
        <v>2112</v>
      </c>
      <c r="CL17" s="106">
        <v>7</v>
      </c>
      <c r="CM17" s="106">
        <v>2956.7999999999997</v>
      </c>
      <c r="CN17" s="106">
        <v>7</v>
      </c>
      <c r="CO17" s="106">
        <v>2956.7999999999997</v>
      </c>
      <c r="CP17" s="106">
        <v>8</v>
      </c>
      <c r="CQ17" s="106">
        <v>3379.2</v>
      </c>
      <c r="CR17" s="106">
        <v>10</v>
      </c>
      <c r="CS17" s="106">
        <v>4224</v>
      </c>
      <c r="CT17" s="106">
        <v>8</v>
      </c>
      <c r="CU17" s="106">
        <v>3379.2</v>
      </c>
    </row>
    <row r="18" spans="2:99" x14ac:dyDescent="0.2">
      <c r="C18" s="105" t="s">
        <v>183</v>
      </c>
      <c r="D18" s="106">
        <v>4</v>
      </c>
      <c r="E18" s="106">
        <v>2611.1999999999998</v>
      </c>
      <c r="F18" s="106">
        <v>3</v>
      </c>
      <c r="G18" s="106">
        <v>1958.3999999999999</v>
      </c>
      <c r="H18" s="106">
        <v>5</v>
      </c>
      <c r="I18" s="106">
        <v>3264</v>
      </c>
      <c r="J18" s="106">
        <v>3</v>
      </c>
      <c r="K18" s="106">
        <v>1958.3999999999999</v>
      </c>
      <c r="L18" s="106">
        <v>4</v>
      </c>
      <c r="M18" s="106">
        <v>2611.1999999999998</v>
      </c>
      <c r="N18" s="106">
        <v>5</v>
      </c>
      <c r="O18" s="106">
        <v>3264</v>
      </c>
      <c r="P18" s="106">
        <v>5</v>
      </c>
      <c r="Q18" s="106">
        <v>3264</v>
      </c>
      <c r="R18" s="106">
        <v>4</v>
      </c>
      <c r="S18" s="106">
        <v>2611.1999999999998</v>
      </c>
      <c r="T18" s="106">
        <v>14</v>
      </c>
      <c r="U18" s="106">
        <v>9139.1999999999989</v>
      </c>
      <c r="V18" s="106">
        <v>13</v>
      </c>
      <c r="W18" s="106">
        <v>8486.4</v>
      </c>
      <c r="X18" s="106">
        <v>15</v>
      </c>
      <c r="Y18" s="106">
        <v>9792</v>
      </c>
      <c r="Z18" s="106">
        <v>14</v>
      </c>
      <c r="AA18" s="106">
        <v>9139.1999999999989</v>
      </c>
      <c r="AB18" s="106">
        <v>34</v>
      </c>
      <c r="AC18" s="106">
        <v>22195.199999999997</v>
      </c>
      <c r="AD18" s="106">
        <v>24</v>
      </c>
      <c r="AE18" s="106">
        <v>15667.199999999999</v>
      </c>
      <c r="AF18" s="106">
        <v>29</v>
      </c>
      <c r="AG18" s="106">
        <v>18931.199999999997</v>
      </c>
      <c r="AH18" s="106">
        <v>29</v>
      </c>
      <c r="AI18" s="106">
        <v>18931.199999999997</v>
      </c>
      <c r="AJ18" s="106">
        <v>10</v>
      </c>
      <c r="AK18" s="106">
        <v>6528</v>
      </c>
      <c r="AL18" s="106">
        <v>15</v>
      </c>
      <c r="AM18" s="106">
        <v>9792</v>
      </c>
      <c r="AN18" s="106">
        <v>8</v>
      </c>
      <c r="AO18" s="106">
        <v>5222.3999999999996</v>
      </c>
      <c r="AP18" s="106">
        <v>11</v>
      </c>
      <c r="AQ18" s="106">
        <v>7180.7999999999993</v>
      </c>
      <c r="AR18" s="106">
        <v>17</v>
      </c>
      <c r="AS18" s="106">
        <v>11097.599999999999</v>
      </c>
      <c r="AT18" s="106">
        <v>11</v>
      </c>
      <c r="AU18" s="106">
        <v>7180.7999999999993</v>
      </c>
      <c r="AV18" s="106">
        <v>13</v>
      </c>
      <c r="AW18" s="106">
        <v>8486.4</v>
      </c>
      <c r="AX18" s="106">
        <v>13</v>
      </c>
      <c r="AY18" s="106">
        <v>8486.4</v>
      </c>
      <c r="AZ18" s="106">
        <v>12</v>
      </c>
      <c r="BA18" s="106">
        <v>7833.5999999999995</v>
      </c>
      <c r="BB18" s="106">
        <v>13</v>
      </c>
      <c r="BC18" s="106">
        <v>8486.4</v>
      </c>
      <c r="BD18" s="106">
        <v>9</v>
      </c>
      <c r="BE18" s="106">
        <v>5875.2</v>
      </c>
      <c r="BF18" s="106">
        <v>15</v>
      </c>
      <c r="BG18" s="106">
        <v>9792</v>
      </c>
      <c r="BH18" s="106">
        <v>23</v>
      </c>
      <c r="BI18" s="106">
        <v>15014.4</v>
      </c>
      <c r="BJ18" s="106">
        <v>29</v>
      </c>
      <c r="BK18" s="106">
        <v>18931.199999999997</v>
      </c>
      <c r="BL18" s="106">
        <v>37</v>
      </c>
      <c r="BM18" s="106">
        <v>24153.599999999999</v>
      </c>
      <c r="BN18" s="106">
        <v>21</v>
      </c>
      <c r="BO18" s="106">
        <v>13708.8</v>
      </c>
      <c r="BP18" s="106">
        <v>23</v>
      </c>
      <c r="BQ18" s="106">
        <v>15014.4</v>
      </c>
      <c r="BR18" s="106">
        <v>28</v>
      </c>
      <c r="BS18" s="106">
        <v>18278.399999999998</v>
      </c>
      <c r="BT18" s="106">
        <v>32</v>
      </c>
      <c r="BU18" s="106">
        <v>20889.599999999999</v>
      </c>
      <c r="BV18" s="106">
        <v>18</v>
      </c>
      <c r="BW18" s="106">
        <v>11750.4</v>
      </c>
      <c r="BX18" s="106">
        <v>14</v>
      </c>
      <c r="BY18" s="106">
        <v>9139.1999999999989</v>
      </c>
      <c r="BZ18" s="106">
        <v>15</v>
      </c>
      <c r="CA18" s="106">
        <v>9792</v>
      </c>
      <c r="CB18" s="106">
        <v>15</v>
      </c>
      <c r="CC18" s="106">
        <v>9792</v>
      </c>
      <c r="CD18" s="106">
        <v>9</v>
      </c>
      <c r="CE18" s="106">
        <v>5875.2</v>
      </c>
      <c r="CF18" s="106">
        <v>8</v>
      </c>
      <c r="CG18" s="106">
        <v>5222.3999999999996</v>
      </c>
      <c r="CH18" s="106">
        <v>5</v>
      </c>
      <c r="CI18" s="106">
        <v>3264</v>
      </c>
      <c r="CJ18" s="106">
        <v>6</v>
      </c>
      <c r="CK18" s="106">
        <v>3916.7999999999997</v>
      </c>
      <c r="CL18" s="106">
        <v>6</v>
      </c>
      <c r="CM18" s="106">
        <v>3916.7999999999997</v>
      </c>
      <c r="CN18" s="106">
        <v>7</v>
      </c>
      <c r="CO18" s="106">
        <v>4569.5999999999995</v>
      </c>
      <c r="CP18" s="106">
        <v>8</v>
      </c>
      <c r="CQ18" s="106">
        <v>5222.3999999999996</v>
      </c>
      <c r="CR18" s="106">
        <v>9</v>
      </c>
      <c r="CS18" s="106">
        <v>5875.2</v>
      </c>
      <c r="CT18" s="106">
        <v>8</v>
      </c>
      <c r="CU18" s="106">
        <v>5222.3999999999996</v>
      </c>
    </row>
    <row r="19" spans="2:99" x14ac:dyDescent="0.2">
      <c r="C19" s="105" t="s">
        <v>184</v>
      </c>
      <c r="D19" s="106">
        <v>4</v>
      </c>
      <c r="E19" s="106">
        <v>1320</v>
      </c>
      <c r="F19" s="106">
        <v>3</v>
      </c>
      <c r="G19" s="106">
        <v>990</v>
      </c>
      <c r="H19" s="106">
        <v>5</v>
      </c>
      <c r="I19" s="106">
        <v>1650</v>
      </c>
      <c r="J19" s="106">
        <v>4</v>
      </c>
      <c r="K19" s="106">
        <v>1320</v>
      </c>
      <c r="L19" s="106">
        <v>4</v>
      </c>
      <c r="M19" s="106">
        <v>1320</v>
      </c>
      <c r="N19" s="106">
        <v>5</v>
      </c>
      <c r="O19" s="106">
        <v>1650</v>
      </c>
      <c r="P19" s="106">
        <v>5</v>
      </c>
      <c r="Q19" s="106">
        <v>1650</v>
      </c>
      <c r="R19" s="106">
        <v>4</v>
      </c>
      <c r="S19" s="106">
        <v>1320</v>
      </c>
      <c r="T19" s="106">
        <v>15</v>
      </c>
      <c r="U19" s="106">
        <v>4950</v>
      </c>
      <c r="V19" s="106">
        <v>15</v>
      </c>
      <c r="W19" s="106">
        <v>4950</v>
      </c>
      <c r="X19" s="106">
        <v>14</v>
      </c>
      <c r="Y19" s="106">
        <v>4620</v>
      </c>
      <c r="Z19" s="106">
        <v>16</v>
      </c>
      <c r="AA19" s="106">
        <v>5280</v>
      </c>
      <c r="AB19" s="106">
        <v>34</v>
      </c>
      <c r="AC19" s="106">
        <v>11220</v>
      </c>
      <c r="AD19" s="106">
        <v>25</v>
      </c>
      <c r="AE19" s="106">
        <v>8250</v>
      </c>
      <c r="AF19" s="106">
        <v>26</v>
      </c>
      <c r="AG19" s="106">
        <v>8580</v>
      </c>
      <c r="AH19" s="106">
        <v>29</v>
      </c>
      <c r="AI19" s="106">
        <v>9570</v>
      </c>
      <c r="AJ19" s="106">
        <v>12</v>
      </c>
      <c r="AK19" s="106">
        <v>3960</v>
      </c>
      <c r="AL19" s="106">
        <v>16</v>
      </c>
      <c r="AM19" s="106">
        <v>5280</v>
      </c>
      <c r="AN19" s="106">
        <v>9</v>
      </c>
      <c r="AO19" s="106">
        <v>2970</v>
      </c>
      <c r="AP19" s="106">
        <v>12</v>
      </c>
      <c r="AQ19" s="106">
        <v>3960</v>
      </c>
      <c r="AR19" s="106">
        <v>16</v>
      </c>
      <c r="AS19" s="106">
        <v>5280</v>
      </c>
      <c r="AT19" s="106">
        <v>11</v>
      </c>
      <c r="AU19" s="106">
        <v>3630</v>
      </c>
      <c r="AV19" s="106">
        <v>12</v>
      </c>
      <c r="AW19" s="106">
        <v>3960</v>
      </c>
      <c r="AX19" s="106">
        <v>13</v>
      </c>
      <c r="AY19" s="106">
        <v>4290</v>
      </c>
      <c r="AZ19" s="106">
        <v>11</v>
      </c>
      <c r="BA19" s="106">
        <v>3630</v>
      </c>
      <c r="BB19" s="106">
        <v>13</v>
      </c>
      <c r="BC19" s="106">
        <v>4290</v>
      </c>
      <c r="BD19" s="106">
        <v>9</v>
      </c>
      <c r="BE19" s="106">
        <v>2970</v>
      </c>
      <c r="BF19" s="106">
        <v>16</v>
      </c>
      <c r="BG19" s="106">
        <v>5280</v>
      </c>
      <c r="BH19" s="106">
        <v>25</v>
      </c>
      <c r="BI19" s="106">
        <v>8250</v>
      </c>
      <c r="BJ19" s="106">
        <v>33</v>
      </c>
      <c r="BK19" s="106">
        <v>10890</v>
      </c>
      <c r="BL19" s="106">
        <v>43</v>
      </c>
      <c r="BM19" s="106">
        <v>14190</v>
      </c>
      <c r="BN19" s="106">
        <v>21</v>
      </c>
      <c r="BO19" s="106">
        <v>6930</v>
      </c>
      <c r="BP19" s="106">
        <v>25</v>
      </c>
      <c r="BQ19" s="106">
        <v>8250</v>
      </c>
      <c r="BR19" s="106">
        <v>27</v>
      </c>
      <c r="BS19" s="106">
        <v>8910</v>
      </c>
      <c r="BT19" s="106">
        <v>35</v>
      </c>
      <c r="BU19" s="106">
        <v>11550</v>
      </c>
      <c r="BV19" s="106">
        <v>19</v>
      </c>
      <c r="BW19" s="106">
        <v>6270</v>
      </c>
      <c r="BX19" s="106">
        <v>15</v>
      </c>
      <c r="BY19" s="106">
        <v>4950</v>
      </c>
      <c r="BZ19" s="106">
        <v>16</v>
      </c>
      <c r="CA19" s="106">
        <v>5280</v>
      </c>
      <c r="CB19" s="106">
        <v>17</v>
      </c>
      <c r="CC19" s="106">
        <v>5610</v>
      </c>
      <c r="CD19" s="106">
        <v>9</v>
      </c>
      <c r="CE19" s="106">
        <v>2970</v>
      </c>
      <c r="CF19" s="106">
        <v>7</v>
      </c>
      <c r="CG19" s="106">
        <v>2310</v>
      </c>
      <c r="CH19" s="106">
        <v>5</v>
      </c>
      <c r="CI19" s="106">
        <v>1650</v>
      </c>
      <c r="CJ19" s="106">
        <v>5</v>
      </c>
      <c r="CK19" s="106">
        <v>1650</v>
      </c>
      <c r="CL19" s="106">
        <v>7</v>
      </c>
      <c r="CM19" s="106">
        <v>2310</v>
      </c>
      <c r="CN19" s="106">
        <v>7</v>
      </c>
      <c r="CO19" s="106">
        <v>2310</v>
      </c>
      <c r="CP19" s="106">
        <v>8</v>
      </c>
      <c r="CQ19" s="106">
        <v>2640</v>
      </c>
      <c r="CR19" s="106">
        <v>10</v>
      </c>
      <c r="CS19" s="106">
        <v>3300</v>
      </c>
      <c r="CT19" s="106">
        <v>7</v>
      </c>
      <c r="CU19" s="106">
        <v>2310</v>
      </c>
    </row>
    <row r="20" spans="2:99" x14ac:dyDescent="0.2">
      <c r="B20" s="105" t="s">
        <v>127</v>
      </c>
      <c r="C20" s="105" t="s">
        <v>185</v>
      </c>
      <c r="D20" s="106">
        <v>12</v>
      </c>
      <c r="E20" s="106">
        <v>3441.6000000000004</v>
      </c>
      <c r="F20" s="106">
        <v>7</v>
      </c>
      <c r="G20" s="106">
        <v>2007.6000000000001</v>
      </c>
      <c r="H20" s="106">
        <v>9</v>
      </c>
      <c r="I20" s="106">
        <v>2581.2000000000003</v>
      </c>
      <c r="J20" s="106">
        <v>9</v>
      </c>
      <c r="K20" s="106">
        <v>2581.2000000000003</v>
      </c>
      <c r="L20" s="106">
        <v>11</v>
      </c>
      <c r="M20" s="106">
        <v>3154.8</v>
      </c>
      <c r="N20" s="106">
        <v>17</v>
      </c>
      <c r="O20" s="106">
        <v>4875.6000000000004</v>
      </c>
      <c r="P20" s="106">
        <v>14</v>
      </c>
      <c r="Q20" s="106">
        <v>4015.2000000000003</v>
      </c>
      <c r="R20" s="106">
        <v>11</v>
      </c>
      <c r="S20" s="106">
        <v>3154.8</v>
      </c>
      <c r="T20" s="106">
        <v>95</v>
      </c>
      <c r="U20" s="106">
        <v>27246</v>
      </c>
      <c r="V20" s="106">
        <v>123</v>
      </c>
      <c r="W20" s="106">
        <v>35276.400000000001</v>
      </c>
      <c r="X20" s="106">
        <v>90</v>
      </c>
      <c r="Y20" s="106">
        <v>25812</v>
      </c>
      <c r="Z20" s="106">
        <v>105</v>
      </c>
      <c r="AA20" s="106">
        <v>30114</v>
      </c>
      <c r="AB20" s="106">
        <v>18</v>
      </c>
      <c r="AC20" s="106">
        <v>5162.4000000000005</v>
      </c>
      <c r="AD20" s="106">
        <v>14</v>
      </c>
      <c r="AE20" s="106">
        <v>4015.2000000000003</v>
      </c>
      <c r="AF20" s="106">
        <v>13</v>
      </c>
      <c r="AG20" s="106">
        <v>3728.4</v>
      </c>
      <c r="AH20" s="106">
        <v>10</v>
      </c>
      <c r="AI20" s="106">
        <v>2868</v>
      </c>
      <c r="AJ20" s="106">
        <v>13</v>
      </c>
      <c r="AK20" s="106">
        <v>3728.4</v>
      </c>
      <c r="AL20" s="106">
        <v>11</v>
      </c>
      <c r="AM20" s="106">
        <v>3154.8</v>
      </c>
      <c r="AN20" s="106">
        <v>15</v>
      </c>
      <c r="AO20" s="106">
        <v>4302</v>
      </c>
      <c r="AP20" s="106">
        <v>15</v>
      </c>
      <c r="AQ20" s="106">
        <v>4302</v>
      </c>
      <c r="AR20" s="106">
        <v>9</v>
      </c>
      <c r="AS20" s="106">
        <v>2581.2000000000003</v>
      </c>
      <c r="AT20" s="106">
        <v>7</v>
      </c>
      <c r="AU20" s="106">
        <v>2007.6000000000001</v>
      </c>
      <c r="AV20" s="106">
        <v>8</v>
      </c>
      <c r="AW20" s="106">
        <v>2294.4</v>
      </c>
      <c r="AX20" s="106">
        <v>10</v>
      </c>
      <c r="AY20" s="106">
        <v>2868</v>
      </c>
      <c r="AZ20" s="106">
        <v>12</v>
      </c>
      <c r="BA20" s="106">
        <v>3441.6000000000004</v>
      </c>
      <c r="BB20" s="106">
        <v>13</v>
      </c>
      <c r="BC20" s="106">
        <v>3728.4</v>
      </c>
      <c r="BD20" s="106">
        <v>10</v>
      </c>
      <c r="BE20" s="106">
        <v>2868</v>
      </c>
      <c r="BF20" s="106">
        <v>12</v>
      </c>
      <c r="BG20" s="106">
        <v>3441.6000000000004</v>
      </c>
      <c r="BH20" s="106">
        <v>8</v>
      </c>
      <c r="BI20" s="106">
        <v>2294.4</v>
      </c>
      <c r="BJ20" s="106">
        <v>7</v>
      </c>
      <c r="BK20" s="106">
        <v>2007.6000000000001</v>
      </c>
      <c r="BL20" s="106">
        <v>7</v>
      </c>
      <c r="BM20" s="106">
        <v>2007.6000000000001</v>
      </c>
      <c r="BN20" s="106">
        <v>7</v>
      </c>
      <c r="BO20" s="106">
        <v>2007.6000000000001</v>
      </c>
      <c r="BP20" s="106">
        <v>15</v>
      </c>
      <c r="BQ20" s="106">
        <v>4302</v>
      </c>
      <c r="BR20" s="106">
        <v>16</v>
      </c>
      <c r="BS20" s="106">
        <v>4588.8</v>
      </c>
      <c r="BT20" s="106">
        <v>11</v>
      </c>
      <c r="BU20" s="106">
        <v>3154.8</v>
      </c>
      <c r="BV20" s="106">
        <v>17</v>
      </c>
      <c r="BW20" s="106">
        <v>4875.6000000000004</v>
      </c>
      <c r="BX20" s="106">
        <v>110</v>
      </c>
      <c r="BY20" s="106">
        <v>31548</v>
      </c>
      <c r="BZ20" s="106">
        <v>144</v>
      </c>
      <c r="CA20" s="106">
        <v>41299.200000000004</v>
      </c>
      <c r="CB20" s="106">
        <v>133</v>
      </c>
      <c r="CC20" s="106">
        <v>38144.400000000001</v>
      </c>
      <c r="CD20" s="106">
        <v>75</v>
      </c>
      <c r="CE20" s="106">
        <v>21510</v>
      </c>
      <c r="CF20" s="106">
        <v>55</v>
      </c>
      <c r="CG20" s="106">
        <v>15774</v>
      </c>
      <c r="CH20" s="106">
        <v>90</v>
      </c>
      <c r="CI20" s="106">
        <v>25812</v>
      </c>
      <c r="CJ20" s="106">
        <v>72</v>
      </c>
      <c r="CK20" s="106">
        <v>20649.600000000002</v>
      </c>
      <c r="CL20" s="106">
        <v>76</v>
      </c>
      <c r="CM20" s="106">
        <v>21796.799999999999</v>
      </c>
      <c r="CN20" s="106">
        <v>11</v>
      </c>
      <c r="CO20" s="106">
        <v>3154.8</v>
      </c>
      <c r="CP20" s="106">
        <v>14</v>
      </c>
      <c r="CQ20" s="106">
        <v>4015.2000000000003</v>
      </c>
      <c r="CR20" s="106">
        <v>12</v>
      </c>
      <c r="CS20" s="106">
        <v>3441.6000000000004</v>
      </c>
      <c r="CT20" s="106">
        <v>9</v>
      </c>
      <c r="CU20" s="106">
        <v>2581.2000000000003</v>
      </c>
    </row>
    <row r="21" spans="2:99" x14ac:dyDescent="0.2">
      <c r="C21" s="105" t="s">
        <v>186</v>
      </c>
      <c r="D21" s="106">
        <v>10</v>
      </c>
      <c r="E21" s="106">
        <v>624</v>
      </c>
      <c r="F21" s="106">
        <v>7</v>
      </c>
      <c r="G21" s="106">
        <v>436.8</v>
      </c>
      <c r="H21" s="106">
        <v>11</v>
      </c>
      <c r="I21" s="106">
        <v>686.4</v>
      </c>
      <c r="J21" s="106">
        <v>9</v>
      </c>
      <c r="K21" s="106">
        <v>561.6</v>
      </c>
      <c r="L21" s="106">
        <v>11</v>
      </c>
      <c r="M21" s="106">
        <v>686.4</v>
      </c>
      <c r="N21" s="106">
        <v>16</v>
      </c>
      <c r="O21" s="106">
        <v>998.4</v>
      </c>
      <c r="P21" s="106">
        <v>16</v>
      </c>
      <c r="Q21" s="106">
        <v>998.4</v>
      </c>
      <c r="R21" s="106">
        <v>10</v>
      </c>
      <c r="S21" s="106">
        <v>624</v>
      </c>
      <c r="T21" s="106">
        <v>103</v>
      </c>
      <c r="U21" s="106">
        <v>6427.2</v>
      </c>
      <c r="V21" s="106">
        <v>119</v>
      </c>
      <c r="W21" s="106">
        <v>7425.5999999999995</v>
      </c>
      <c r="X21" s="106">
        <v>90</v>
      </c>
      <c r="Y21" s="106">
        <v>5616</v>
      </c>
      <c r="Z21" s="106">
        <v>128</v>
      </c>
      <c r="AA21" s="106">
        <v>7987.2</v>
      </c>
      <c r="AB21" s="106">
        <v>16</v>
      </c>
      <c r="AC21" s="106">
        <v>998.4</v>
      </c>
      <c r="AD21" s="106">
        <v>16</v>
      </c>
      <c r="AE21" s="106">
        <v>998.4</v>
      </c>
      <c r="AF21" s="106">
        <v>16</v>
      </c>
      <c r="AG21" s="106">
        <v>998.4</v>
      </c>
      <c r="AH21" s="106">
        <v>9</v>
      </c>
      <c r="AI21" s="106">
        <v>561.6</v>
      </c>
      <c r="AJ21" s="106">
        <v>13</v>
      </c>
      <c r="AK21" s="106">
        <v>811.19999999999993</v>
      </c>
      <c r="AL21" s="106">
        <v>12</v>
      </c>
      <c r="AM21" s="106">
        <v>748.8</v>
      </c>
      <c r="AN21" s="106">
        <v>17</v>
      </c>
      <c r="AO21" s="106">
        <v>1060.8</v>
      </c>
      <c r="AP21" s="106">
        <v>15</v>
      </c>
      <c r="AQ21" s="106">
        <v>936</v>
      </c>
      <c r="AR21" s="106">
        <v>10</v>
      </c>
      <c r="AS21" s="106">
        <v>624</v>
      </c>
      <c r="AT21" s="106">
        <v>7</v>
      </c>
      <c r="AU21" s="106">
        <v>436.8</v>
      </c>
      <c r="AV21" s="106">
        <v>9</v>
      </c>
      <c r="AW21" s="106">
        <v>561.6</v>
      </c>
      <c r="AX21" s="106">
        <v>10</v>
      </c>
      <c r="AY21" s="106">
        <v>624</v>
      </c>
      <c r="AZ21" s="106">
        <v>13</v>
      </c>
      <c r="BA21" s="106">
        <v>811.19999999999993</v>
      </c>
      <c r="BB21" s="106">
        <v>11</v>
      </c>
      <c r="BC21" s="106">
        <v>686.4</v>
      </c>
      <c r="BD21" s="106">
        <v>9</v>
      </c>
      <c r="BE21" s="106">
        <v>561.6</v>
      </c>
      <c r="BF21" s="106">
        <v>12</v>
      </c>
      <c r="BG21" s="106">
        <v>748.8</v>
      </c>
      <c r="BH21" s="106">
        <v>9</v>
      </c>
      <c r="BI21" s="106">
        <v>561.6</v>
      </c>
      <c r="BJ21" s="106">
        <v>6</v>
      </c>
      <c r="BK21" s="106">
        <v>374.4</v>
      </c>
      <c r="BL21" s="106">
        <v>8</v>
      </c>
      <c r="BM21" s="106">
        <v>499.2</v>
      </c>
      <c r="BN21" s="106">
        <v>8</v>
      </c>
      <c r="BO21" s="106">
        <v>499.2</v>
      </c>
      <c r="BP21" s="106">
        <v>17</v>
      </c>
      <c r="BQ21" s="106">
        <v>1060.8</v>
      </c>
      <c r="BR21" s="106">
        <v>17</v>
      </c>
      <c r="BS21" s="106">
        <v>1060.8</v>
      </c>
      <c r="BT21" s="106">
        <v>11</v>
      </c>
      <c r="BU21" s="106">
        <v>686.4</v>
      </c>
      <c r="BV21" s="106">
        <v>19</v>
      </c>
      <c r="BW21" s="106">
        <v>1185.5999999999999</v>
      </c>
      <c r="BX21" s="106">
        <v>110</v>
      </c>
      <c r="BY21" s="106">
        <v>6864</v>
      </c>
      <c r="BZ21" s="106">
        <v>151</v>
      </c>
      <c r="CA21" s="106">
        <v>9422.4</v>
      </c>
      <c r="CB21" s="106">
        <v>145</v>
      </c>
      <c r="CC21" s="106">
        <v>9048</v>
      </c>
      <c r="CD21" s="106">
        <v>85</v>
      </c>
      <c r="CE21" s="106">
        <v>5304</v>
      </c>
      <c r="CF21" s="106">
        <v>58</v>
      </c>
      <c r="CG21" s="106">
        <v>3619.2</v>
      </c>
      <c r="CH21" s="106">
        <v>106</v>
      </c>
      <c r="CI21" s="106">
        <v>6614.4</v>
      </c>
      <c r="CJ21" s="106">
        <v>71</v>
      </c>
      <c r="CK21" s="106">
        <v>4430.3999999999996</v>
      </c>
      <c r="CL21" s="106">
        <v>86</v>
      </c>
      <c r="CM21" s="106">
        <v>5366.4</v>
      </c>
      <c r="CN21" s="106">
        <v>11</v>
      </c>
      <c r="CO21" s="106">
        <v>686.4</v>
      </c>
      <c r="CP21" s="106">
        <v>13</v>
      </c>
      <c r="CQ21" s="106">
        <v>811.19999999999993</v>
      </c>
      <c r="CR21" s="106">
        <v>12</v>
      </c>
      <c r="CS21" s="106">
        <v>748.8</v>
      </c>
      <c r="CT21" s="106">
        <v>8</v>
      </c>
      <c r="CU21" s="106">
        <v>499.2</v>
      </c>
    </row>
    <row r="22" spans="2:99" x14ac:dyDescent="0.2">
      <c r="C22" s="105" t="s">
        <v>187</v>
      </c>
      <c r="D22" s="106">
        <v>12</v>
      </c>
      <c r="E22" s="106">
        <v>2246.3999999999996</v>
      </c>
      <c r="F22" s="106">
        <v>7</v>
      </c>
      <c r="G22" s="106">
        <v>1310.3999999999999</v>
      </c>
      <c r="H22" s="106">
        <v>9</v>
      </c>
      <c r="I22" s="106">
        <v>1684.8</v>
      </c>
      <c r="J22" s="106">
        <v>10</v>
      </c>
      <c r="K22" s="106">
        <v>1872</v>
      </c>
      <c r="L22" s="106">
        <v>11</v>
      </c>
      <c r="M22" s="106">
        <v>2059.1999999999998</v>
      </c>
      <c r="N22" s="106">
        <v>14</v>
      </c>
      <c r="O22" s="106">
        <v>2620.7999999999997</v>
      </c>
      <c r="P22" s="106">
        <v>15</v>
      </c>
      <c r="Q22" s="106">
        <v>2808</v>
      </c>
      <c r="R22" s="106">
        <v>11</v>
      </c>
      <c r="S22" s="106">
        <v>2059.1999999999998</v>
      </c>
      <c r="T22" s="106">
        <v>92</v>
      </c>
      <c r="U22" s="106">
        <v>17222.399999999998</v>
      </c>
      <c r="V22" s="106">
        <v>125</v>
      </c>
      <c r="W22" s="106">
        <v>23400</v>
      </c>
      <c r="X22" s="106">
        <v>98</v>
      </c>
      <c r="Y22" s="106">
        <v>18345.599999999999</v>
      </c>
      <c r="Z22" s="106">
        <v>118</v>
      </c>
      <c r="AA22" s="106">
        <v>22089.599999999999</v>
      </c>
      <c r="AB22" s="106">
        <v>18</v>
      </c>
      <c r="AC22" s="106">
        <v>3369.6</v>
      </c>
      <c r="AD22" s="106">
        <v>16</v>
      </c>
      <c r="AE22" s="106">
        <v>2995.2</v>
      </c>
      <c r="AF22" s="106">
        <v>13</v>
      </c>
      <c r="AG22" s="106">
        <v>2433.6</v>
      </c>
      <c r="AH22" s="106">
        <v>9</v>
      </c>
      <c r="AI22" s="106">
        <v>1684.8</v>
      </c>
      <c r="AJ22" s="106">
        <v>13</v>
      </c>
      <c r="AK22" s="106">
        <v>2433.6</v>
      </c>
      <c r="AL22" s="106">
        <v>12</v>
      </c>
      <c r="AM22" s="106">
        <v>2246.3999999999996</v>
      </c>
      <c r="AN22" s="106">
        <v>15</v>
      </c>
      <c r="AO22" s="106">
        <v>2808</v>
      </c>
      <c r="AP22" s="106">
        <v>15</v>
      </c>
      <c r="AQ22" s="106">
        <v>2808</v>
      </c>
      <c r="AR22" s="106">
        <v>9</v>
      </c>
      <c r="AS22" s="106">
        <v>1684.8</v>
      </c>
      <c r="AT22" s="106">
        <v>8</v>
      </c>
      <c r="AU22" s="106">
        <v>1497.6</v>
      </c>
      <c r="AV22" s="106">
        <v>9</v>
      </c>
      <c r="AW22" s="106">
        <v>1684.8</v>
      </c>
      <c r="AX22" s="106">
        <v>10</v>
      </c>
      <c r="AY22" s="106">
        <v>1872</v>
      </c>
      <c r="AZ22" s="106">
        <v>12</v>
      </c>
      <c r="BA22" s="106">
        <v>2246.3999999999996</v>
      </c>
      <c r="BB22" s="106">
        <v>12</v>
      </c>
      <c r="BC22" s="106">
        <v>2246.3999999999996</v>
      </c>
      <c r="BD22" s="106">
        <v>9</v>
      </c>
      <c r="BE22" s="106">
        <v>1684.8</v>
      </c>
      <c r="BF22" s="106">
        <v>12</v>
      </c>
      <c r="BG22" s="106">
        <v>2246.3999999999996</v>
      </c>
      <c r="BH22" s="106">
        <v>8</v>
      </c>
      <c r="BI22" s="106">
        <v>1497.6</v>
      </c>
      <c r="BJ22" s="106">
        <v>8</v>
      </c>
      <c r="BK22" s="106">
        <v>1497.6</v>
      </c>
      <c r="BL22" s="106">
        <v>7</v>
      </c>
      <c r="BM22" s="106">
        <v>1310.3999999999999</v>
      </c>
      <c r="BN22" s="106">
        <v>7</v>
      </c>
      <c r="BO22" s="106">
        <v>1310.3999999999999</v>
      </c>
      <c r="BP22" s="106">
        <v>16</v>
      </c>
      <c r="BQ22" s="106">
        <v>2995.2</v>
      </c>
      <c r="BR22" s="106">
        <v>17</v>
      </c>
      <c r="BS22" s="106">
        <v>3182.3999999999996</v>
      </c>
      <c r="BT22" s="106">
        <v>10</v>
      </c>
      <c r="BU22" s="106">
        <v>1872</v>
      </c>
      <c r="BV22" s="106">
        <v>17</v>
      </c>
      <c r="BW22" s="106">
        <v>3182.3999999999996</v>
      </c>
      <c r="BX22" s="106">
        <v>122</v>
      </c>
      <c r="BY22" s="106">
        <v>22838.399999999998</v>
      </c>
      <c r="BZ22" s="106">
        <v>141</v>
      </c>
      <c r="CA22" s="106">
        <v>26395.199999999997</v>
      </c>
      <c r="CB22" s="106">
        <v>142</v>
      </c>
      <c r="CC22" s="106">
        <v>26582.399999999998</v>
      </c>
      <c r="CD22" s="106">
        <v>87</v>
      </c>
      <c r="CE22" s="106">
        <v>16286.4</v>
      </c>
      <c r="CF22" s="106">
        <v>56</v>
      </c>
      <c r="CG22" s="106">
        <v>10483.199999999999</v>
      </c>
      <c r="CH22" s="106">
        <v>105</v>
      </c>
      <c r="CI22" s="106">
        <v>19656</v>
      </c>
      <c r="CJ22" s="106">
        <v>75</v>
      </c>
      <c r="CK22" s="106">
        <v>14040</v>
      </c>
      <c r="CL22" s="106">
        <v>85</v>
      </c>
      <c r="CM22" s="106">
        <v>15911.999999999998</v>
      </c>
      <c r="CN22" s="106">
        <v>10</v>
      </c>
      <c r="CO22" s="106">
        <v>1872</v>
      </c>
      <c r="CP22" s="106">
        <v>13</v>
      </c>
      <c r="CQ22" s="106">
        <v>2433.6</v>
      </c>
      <c r="CR22" s="106">
        <v>12</v>
      </c>
      <c r="CS22" s="106">
        <v>2246.3999999999996</v>
      </c>
      <c r="CT22" s="106">
        <v>9</v>
      </c>
      <c r="CU22" s="106">
        <v>1684.8</v>
      </c>
    </row>
    <row r="23" spans="2:99" x14ac:dyDescent="0.2">
      <c r="C23" s="105" t="s">
        <v>188</v>
      </c>
      <c r="D23" s="106">
        <v>10</v>
      </c>
      <c r="E23" s="106">
        <v>2940</v>
      </c>
      <c r="F23" s="106">
        <v>8</v>
      </c>
      <c r="G23" s="106">
        <v>2352</v>
      </c>
      <c r="H23" s="106">
        <v>11</v>
      </c>
      <c r="I23" s="106">
        <v>3234</v>
      </c>
      <c r="J23" s="106">
        <v>9</v>
      </c>
      <c r="K23" s="106">
        <v>2646</v>
      </c>
      <c r="L23" s="106">
        <v>10</v>
      </c>
      <c r="M23" s="106">
        <v>2940</v>
      </c>
      <c r="N23" s="106">
        <v>16</v>
      </c>
      <c r="O23" s="106">
        <v>4704</v>
      </c>
      <c r="P23" s="106">
        <v>14</v>
      </c>
      <c r="Q23" s="106">
        <v>4116</v>
      </c>
      <c r="R23" s="106">
        <v>10</v>
      </c>
      <c r="S23" s="106">
        <v>2940</v>
      </c>
      <c r="T23" s="106">
        <v>82</v>
      </c>
      <c r="U23" s="106">
        <v>24108</v>
      </c>
      <c r="V23" s="106">
        <v>115</v>
      </c>
      <c r="W23" s="106">
        <v>33810</v>
      </c>
      <c r="X23" s="106">
        <v>87</v>
      </c>
      <c r="Y23" s="106">
        <v>25578</v>
      </c>
      <c r="Z23" s="106">
        <v>122</v>
      </c>
      <c r="AA23" s="106">
        <v>35868</v>
      </c>
      <c r="AB23" s="106">
        <v>16</v>
      </c>
      <c r="AC23" s="106">
        <v>4704</v>
      </c>
      <c r="AD23" s="106">
        <v>14</v>
      </c>
      <c r="AE23" s="106">
        <v>4116</v>
      </c>
      <c r="AF23" s="106">
        <v>14</v>
      </c>
      <c r="AG23" s="106">
        <v>4116</v>
      </c>
      <c r="AH23" s="106">
        <v>9</v>
      </c>
      <c r="AI23" s="106">
        <v>2646</v>
      </c>
      <c r="AJ23" s="106">
        <v>14</v>
      </c>
      <c r="AK23" s="106">
        <v>4116</v>
      </c>
      <c r="AL23" s="106">
        <v>13</v>
      </c>
      <c r="AM23" s="106">
        <v>3822</v>
      </c>
      <c r="AN23" s="106">
        <v>16</v>
      </c>
      <c r="AO23" s="106">
        <v>4704</v>
      </c>
      <c r="AP23" s="106">
        <v>15</v>
      </c>
      <c r="AQ23" s="106">
        <v>4410</v>
      </c>
      <c r="AR23" s="106">
        <v>9</v>
      </c>
      <c r="AS23" s="106">
        <v>2646</v>
      </c>
      <c r="AT23" s="106">
        <v>8</v>
      </c>
      <c r="AU23" s="106">
        <v>2352</v>
      </c>
      <c r="AV23" s="106">
        <v>8</v>
      </c>
      <c r="AW23" s="106">
        <v>2352</v>
      </c>
      <c r="AX23" s="106">
        <v>9</v>
      </c>
      <c r="AY23" s="106">
        <v>2646</v>
      </c>
      <c r="AZ23" s="106">
        <v>12</v>
      </c>
      <c r="BA23" s="106">
        <v>3528</v>
      </c>
      <c r="BB23" s="106">
        <v>11</v>
      </c>
      <c r="BC23" s="106">
        <v>3234</v>
      </c>
      <c r="BD23" s="106">
        <v>9</v>
      </c>
      <c r="BE23" s="106">
        <v>2646</v>
      </c>
      <c r="BF23" s="106">
        <v>11</v>
      </c>
      <c r="BG23" s="106">
        <v>3234</v>
      </c>
      <c r="BH23" s="106">
        <v>8</v>
      </c>
      <c r="BI23" s="106">
        <v>2352</v>
      </c>
      <c r="BJ23" s="106">
        <v>7</v>
      </c>
      <c r="BK23" s="106">
        <v>2058</v>
      </c>
      <c r="BL23" s="106">
        <v>6</v>
      </c>
      <c r="BM23" s="106">
        <v>1764</v>
      </c>
      <c r="BN23" s="106">
        <v>7</v>
      </c>
      <c r="BO23" s="106">
        <v>2058</v>
      </c>
      <c r="BP23" s="106">
        <v>16</v>
      </c>
      <c r="BQ23" s="106">
        <v>4704</v>
      </c>
      <c r="BR23" s="106">
        <v>17</v>
      </c>
      <c r="BS23" s="106">
        <v>4998</v>
      </c>
      <c r="BT23" s="106">
        <v>11</v>
      </c>
      <c r="BU23" s="106">
        <v>3234</v>
      </c>
      <c r="BV23" s="106">
        <v>19</v>
      </c>
      <c r="BW23" s="106">
        <v>5586</v>
      </c>
      <c r="BX23" s="106">
        <v>113</v>
      </c>
      <c r="BY23" s="106">
        <v>33222</v>
      </c>
      <c r="BZ23" s="106">
        <v>146</v>
      </c>
      <c r="CA23" s="106">
        <v>42924</v>
      </c>
      <c r="CB23" s="106">
        <v>139</v>
      </c>
      <c r="CC23" s="106">
        <v>40866</v>
      </c>
      <c r="CD23" s="106">
        <v>80</v>
      </c>
      <c r="CE23" s="106">
        <v>23520</v>
      </c>
      <c r="CF23" s="106">
        <v>61</v>
      </c>
      <c r="CG23" s="106">
        <v>17934</v>
      </c>
      <c r="CH23" s="106">
        <v>93</v>
      </c>
      <c r="CI23" s="106">
        <v>27342</v>
      </c>
      <c r="CJ23" s="106">
        <v>76</v>
      </c>
      <c r="CK23" s="106">
        <v>22344</v>
      </c>
      <c r="CL23" s="106">
        <v>80</v>
      </c>
      <c r="CM23" s="106">
        <v>23520</v>
      </c>
      <c r="CN23" s="106">
        <v>11</v>
      </c>
      <c r="CO23" s="106">
        <v>3234</v>
      </c>
      <c r="CP23" s="106">
        <v>13</v>
      </c>
      <c r="CQ23" s="106">
        <v>3822</v>
      </c>
      <c r="CR23" s="106">
        <v>12</v>
      </c>
      <c r="CS23" s="106">
        <v>3528</v>
      </c>
      <c r="CT23" s="106">
        <v>9</v>
      </c>
      <c r="CU23" s="106">
        <v>2646</v>
      </c>
    </row>
    <row r="24" spans="2:99" x14ac:dyDescent="0.2">
      <c r="C24" s="105" t="s">
        <v>189</v>
      </c>
      <c r="D24" s="106">
        <v>11</v>
      </c>
      <c r="E24" s="106">
        <v>4039.2</v>
      </c>
      <c r="F24" s="106">
        <v>7</v>
      </c>
      <c r="G24" s="106">
        <v>2570.4</v>
      </c>
      <c r="H24" s="106">
        <v>9</v>
      </c>
      <c r="I24" s="106">
        <v>3304.7999999999997</v>
      </c>
      <c r="J24" s="106">
        <v>10</v>
      </c>
      <c r="K24" s="106">
        <v>3672</v>
      </c>
      <c r="L24" s="106">
        <v>11</v>
      </c>
      <c r="M24" s="106">
        <v>4039.2</v>
      </c>
      <c r="N24" s="106">
        <v>17</v>
      </c>
      <c r="O24" s="106">
        <v>6242.4</v>
      </c>
      <c r="P24" s="106">
        <v>14</v>
      </c>
      <c r="Q24" s="106">
        <v>5140.8</v>
      </c>
      <c r="R24" s="106">
        <v>11</v>
      </c>
      <c r="S24" s="106">
        <v>4039.2</v>
      </c>
      <c r="T24" s="106">
        <v>91</v>
      </c>
      <c r="U24" s="106">
        <v>33415.199999999997</v>
      </c>
      <c r="V24" s="106">
        <v>110</v>
      </c>
      <c r="W24" s="106">
        <v>40392</v>
      </c>
      <c r="X24" s="106">
        <v>85</v>
      </c>
      <c r="Y24" s="106">
        <v>31212</v>
      </c>
      <c r="Z24" s="106">
        <v>117</v>
      </c>
      <c r="AA24" s="106">
        <v>42962.400000000001</v>
      </c>
      <c r="AB24" s="106">
        <v>18</v>
      </c>
      <c r="AC24" s="106">
        <v>6609.5999999999995</v>
      </c>
      <c r="AD24" s="106">
        <v>16</v>
      </c>
      <c r="AE24" s="106">
        <v>5875.2</v>
      </c>
      <c r="AF24" s="106">
        <v>14</v>
      </c>
      <c r="AG24" s="106">
        <v>5140.8</v>
      </c>
      <c r="AH24" s="106">
        <v>10</v>
      </c>
      <c r="AI24" s="106">
        <v>3672</v>
      </c>
      <c r="AJ24" s="106">
        <v>13</v>
      </c>
      <c r="AK24" s="106">
        <v>4773.5999999999995</v>
      </c>
      <c r="AL24" s="106">
        <v>12</v>
      </c>
      <c r="AM24" s="106">
        <v>4406.3999999999996</v>
      </c>
      <c r="AN24" s="106">
        <v>14</v>
      </c>
      <c r="AO24" s="106">
        <v>5140.8</v>
      </c>
      <c r="AP24" s="106">
        <v>16</v>
      </c>
      <c r="AQ24" s="106">
        <v>5875.2</v>
      </c>
      <c r="AR24" s="106">
        <v>9</v>
      </c>
      <c r="AS24" s="106">
        <v>3304.7999999999997</v>
      </c>
      <c r="AT24" s="106">
        <v>8</v>
      </c>
      <c r="AU24" s="106">
        <v>2937.6</v>
      </c>
      <c r="AV24" s="106">
        <v>8</v>
      </c>
      <c r="AW24" s="106">
        <v>2937.6</v>
      </c>
      <c r="AX24" s="106">
        <v>9</v>
      </c>
      <c r="AY24" s="106">
        <v>3304.7999999999997</v>
      </c>
      <c r="AZ24" s="106">
        <v>11</v>
      </c>
      <c r="BA24" s="106">
        <v>4039.2</v>
      </c>
      <c r="BB24" s="106">
        <v>11</v>
      </c>
      <c r="BC24" s="106">
        <v>4039.2</v>
      </c>
      <c r="BD24" s="106">
        <v>9</v>
      </c>
      <c r="BE24" s="106">
        <v>3304.7999999999997</v>
      </c>
      <c r="BF24" s="106">
        <v>11</v>
      </c>
      <c r="BG24" s="106">
        <v>4039.2</v>
      </c>
      <c r="BH24" s="106">
        <v>7</v>
      </c>
      <c r="BI24" s="106">
        <v>2570.4</v>
      </c>
      <c r="BJ24" s="106">
        <v>6</v>
      </c>
      <c r="BK24" s="106">
        <v>2203.1999999999998</v>
      </c>
      <c r="BL24" s="106">
        <v>7</v>
      </c>
      <c r="BM24" s="106">
        <v>2570.4</v>
      </c>
      <c r="BN24" s="106">
        <v>8</v>
      </c>
      <c r="BO24" s="106">
        <v>2937.6</v>
      </c>
      <c r="BP24" s="106">
        <v>16</v>
      </c>
      <c r="BQ24" s="106">
        <v>5875.2</v>
      </c>
      <c r="BR24" s="106">
        <v>17</v>
      </c>
      <c r="BS24" s="106">
        <v>6242.4</v>
      </c>
      <c r="BT24" s="106">
        <v>12</v>
      </c>
      <c r="BU24" s="106">
        <v>4406.3999999999996</v>
      </c>
      <c r="BV24" s="106">
        <v>18</v>
      </c>
      <c r="BW24" s="106">
        <v>6609.5999999999995</v>
      </c>
      <c r="BX24" s="106">
        <v>98</v>
      </c>
      <c r="BY24" s="106">
        <v>35985.599999999999</v>
      </c>
      <c r="BZ24" s="106">
        <v>131</v>
      </c>
      <c r="CA24" s="106">
        <v>48103.199999999997</v>
      </c>
      <c r="CB24" s="106">
        <v>138</v>
      </c>
      <c r="CC24" s="106">
        <v>50673.599999999999</v>
      </c>
      <c r="CD24" s="106">
        <v>83</v>
      </c>
      <c r="CE24" s="106">
        <v>30477.599999999999</v>
      </c>
      <c r="CF24" s="106">
        <v>60</v>
      </c>
      <c r="CG24" s="106">
        <v>22032</v>
      </c>
      <c r="CH24" s="106">
        <v>91</v>
      </c>
      <c r="CI24" s="106">
        <v>33415.199999999997</v>
      </c>
      <c r="CJ24" s="106">
        <v>68</v>
      </c>
      <c r="CK24" s="106">
        <v>24969.599999999999</v>
      </c>
      <c r="CL24" s="106">
        <v>76</v>
      </c>
      <c r="CM24" s="106">
        <v>27907.200000000001</v>
      </c>
      <c r="CN24" s="106">
        <v>10</v>
      </c>
      <c r="CO24" s="106">
        <v>3672</v>
      </c>
      <c r="CP24" s="106">
        <v>13</v>
      </c>
      <c r="CQ24" s="106">
        <v>4773.5999999999995</v>
      </c>
      <c r="CR24" s="106">
        <v>13</v>
      </c>
      <c r="CS24" s="106">
        <v>4773.5999999999995</v>
      </c>
      <c r="CT24" s="106">
        <v>8</v>
      </c>
      <c r="CU24" s="106">
        <v>2937.6</v>
      </c>
    </row>
    <row r="25" spans="2:99" x14ac:dyDescent="0.2">
      <c r="C25" s="105" t="s">
        <v>190</v>
      </c>
      <c r="D25" s="106">
        <v>11</v>
      </c>
      <c r="E25" s="106">
        <v>5834.4</v>
      </c>
      <c r="F25" s="106">
        <v>8</v>
      </c>
      <c r="G25" s="106">
        <v>4243.2</v>
      </c>
      <c r="H25" s="106">
        <v>9</v>
      </c>
      <c r="I25" s="106">
        <v>4773.5999999999995</v>
      </c>
      <c r="J25" s="106">
        <v>9</v>
      </c>
      <c r="K25" s="106">
        <v>4773.5999999999995</v>
      </c>
      <c r="L25" s="106">
        <v>10</v>
      </c>
      <c r="M25" s="106">
        <v>5304</v>
      </c>
      <c r="N25" s="106">
        <v>13</v>
      </c>
      <c r="O25" s="106">
        <v>6895.2</v>
      </c>
      <c r="P25" s="106">
        <v>13</v>
      </c>
      <c r="Q25" s="106">
        <v>6895.2</v>
      </c>
      <c r="R25" s="106">
        <v>9</v>
      </c>
      <c r="S25" s="106">
        <v>4773.5999999999995</v>
      </c>
      <c r="T25" s="106">
        <v>83</v>
      </c>
      <c r="U25" s="106">
        <v>44023.199999999997</v>
      </c>
      <c r="V25" s="106">
        <v>115</v>
      </c>
      <c r="W25" s="106">
        <v>60996</v>
      </c>
      <c r="X25" s="106">
        <v>85</v>
      </c>
      <c r="Y25" s="106">
        <v>45084</v>
      </c>
      <c r="Z25" s="106">
        <v>104</v>
      </c>
      <c r="AA25" s="106">
        <v>55161.599999999999</v>
      </c>
      <c r="AB25" s="106">
        <v>17</v>
      </c>
      <c r="AC25" s="106">
        <v>9016.7999999999993</v>
      </c>
      <c r="AD25" s="106">
        <v>16</v>
      </c>
      <c r="AE25" s="106">
        <v>8486.4</v>
      </c>
      <c r="AF25" s="106">
        <v>13</v>
      </c>
      <c r="AG25" s="106">
        <v>6895.2</v>
      </c>
      <c r="AH25" s="106">
        <v>9</v>
      </c>
      <c r="AI25" s="106">
        <v>4773.5999999999995</v>
      </c>
      <c r="AJ25" s="106">
        <v>12</v>
      </c>
      <c r="AK25" s="106">
        <v>6364.7999999999993</v>
      </c>
      <c r="AL25" s="106">
        <v>11</v>
      </c>
      <c r="AM25" s="106">
        <v>5834.4</v>
      </c>
      <c r="AN25" s="106">
        <v>14</v>
      </c>
      <c r="AO25" s="106">
        <v>7425.5999999999995</v>
      </c>
      <c r="AP25" s="106">
        <v>15</v>
      </c>
      <c r="AQ25" s="106">
        <v>7956</v>
      </c>
      <c r="AR25" s="106">
        <v>9</v>
      </c>
      <c r="AS25" s="106">
        <v>4773.5999999999995</v>
      </c>
      <c r="AT25" s="106">
        <v>8</v>
      </c>
      <c r="AU25" s="106">
        <v>4243.2</v>
      </c>
      <c r="AV25" s="106">
        <v>8</v>
      </c>
      <c r="AW25" s="106">
        <v>4243.2</v>
      </c>
      <c r="AX25" s="106">
        <v>9</v>
      </c>
      <c r="AY25" s="106">
        <v>4773.5999999999995</v>
      </c>
      <c r="AZ25" s="106">
        <v>12</v>
      </c>
      <c r="BA25" s="106">
        <v>6364.7999999999993</v>
      </c>
      <c r="BB25" s="106">
        <v>12</v>
      </c>
      <c r="BC25" s="106">
        <v>6364.7999999999993</v>
      </c>
      <c r="BD25" s="106">
        <v>9</v>
      </c>
      <c r="BE25" s="106">
        <v>4773.5999999999995</v>
      </c>
      <c r="BF25" s="106">
        <v>11</v>
      </c>
      <c r="BG25" s="106">
        <v>5834.4</v>
      </c>
      <c r="BH25" s="106">
        <v>8</v>
      </c>
      <c r="BI25" s="106">
        <v>4243.2</v>
      </c>
      <c r="BJ25" s="106">
        <v>7</v>
      </c>
      <c r="BK25" s="106">
        <v>3712.7999999999997</v>
      </c>
      <c r="BL25" s="106">
        <v>7</v>
      </c>
      <c r="BM25" s="106">
        <v>3712.7999999999997</v>
      </c>
      <c r="BN25" s="106">
        <v>7</v>
      </c>
      <c r="BO25" s="106">
        <v>3712.7999999999997</v>
      </c>
      <c r="BP25" s="106">
        <v>13</v>
      </c>
      <c r="BQ25" s="106">
        <v>6895.2</v>
      </c>
      <c r="BR25" s="106">
        <v>15</v>
      </c>
      <c r="BS25" s="106">
        <v>7956</v>
      </c>
      <c r="BT25" s="106">
        <v>11</v>
      </c>
      <c r="BU25" s="106">
        <v>5834.4</v>
      </c>
      <c r="BV25" s="106">
        <v>18</v>
      </c>
      <c r="BW25" s="106">
        <v>9547.1999999999989</v>
      </c>
      <c r="BX25" s="106">
        <v>97</v>
      </c>
      <c r="BY25" s="106">
        <v>51448.799999999996</v>
      </c>
      <c r="BZ25" s="106">
        <v>125</v>
      </c>
      <c r="CA25" s="106">
        <v>66300</v>
      </c>
      <c r="CB25" s="106">
        <v>137</v>
      </c>
      <c r="CC25" s="106">
        <v>72664.800000000003</v>
      </c>
      <c r="CD25" s="106">
        <v>73</v>
      </c>
      <c r="CE25" s="106">
        <v>38719.199999999997</v>
      </c>
      <c r="CF25" s="106">
        <v>57</v>
      </c>
      <c r="CG25" s="106">
        <v>30232.799999999999</v>
      </c>
      <c r="CH25" s="106">
        <v>97</v>
      </c>
      <c r="CI25" s="106">
        <v>51448.799999999996</v>
      </c>
      <c r="CJ25" s="106">
        <v>72</v>
      </c>
      <c r="CK25" s="106">
        <v>38188.799999999996</v>
      </c>
      <c r="CL25" s="106">
        <v>77</v>
      </c>
      <c r="CM25" s="106">
        <v>40840.799999999996</v>
      </c>
      <c r="CN25" s="106">
        <v>10</v>
      </c>
      <c r="CO25" s="106">
        <v>5304</v>
      </c>
      <c r="CP25" s="106">
        <v>14</v>
      </c>
      <c r="CQ25" s="106">
        <v>7425.5999999999995</v>
      </c>
      <c r="CR25" s="106">
        <v>13</v>
      </c>
      <c r="CS25" s="106">
        <v>6895.2</v>
      </c>
      <c r="CT25" s="106">
        <v>9</v>
      </c>
      <c r="CU25" s="106">
        <v>4773.5999999999995</v>
      </c>
    </row>
    <row r="26" spans="2:99" x14ac:dyDescent="0.2">
      <c r="C26" s="105" t="s">
        <v>191</v>
      </c>
      <c r="D26" s="106">
        <v>10</v>
      </c>
      <c r="E26" s="106">
        <v>4860</v>
      </c>
      <c r="F26" s="106">
        <v>7</v>
      </c>
      <c r="G26" s="106">
        <v>3402</v>
      </c>
      <c r="H26" s="106">
        <v>10</v>
      </c>
      <c r="I26" s="106">
        <v>4860</v>
      </c>
      <c r="J26" s="106">
        <v>9</v>
      </c>
      <c r="K26" s="106">
        <v>4374</v>
      </c>
      <c r="L26" s="106">
        <v>11</v>
      </c>
      <c r="M26" s="106">
        <v>5346</v>
      </c>
      <c r="N26" s="106">
        <v>16</v>
      </c>
      <c r="O26" s="106">
        <v>7776</v>
      </c>
      <c r="P26" s="106">
        <v>15</v>
      </c>
      <c r="Q26" s="106">
        <v>7290</v>
      </c>
      <c r="R26" s="106">
        <v>10</v>
      </c>
      <c r="S26" s="106">
        <v>4860</v>
      </c>
      <c r="T26" s="106">
        <v>82</v>
      </c>
      <c r="U26" s="106">
        <v>39852</v>
      </c>
      <c r="V26" s="106">
        <v>114</v>
      </c>
      <c r="W26" s="106">
        <v>55404</v>
      </c>
      <c r="X26" s="106">
        <v>87</v>
      </c>
      <c r="Y26" s="106">
        <v>42282</v>
      </c>
      <c r="Z26" s="106">
        <v>110</v>
      </c>
      <c r="AA26" s="106">
        <v>53460</v>
      </c>
      <c r="AB26" s="106">
        <v>16</v>
      </c>
      <c r="AC26" s="106">
        <v>7776</v>
      </c>
      <c r="AD26" s="106">
        <v>15</v>
      </c>
      <c r="AE26" s="106">
        <v>7290</v>
      </c>
      <c r="AF26" s="106">
        <v>13</v>
      </c>
      <c r="AG26" s="106">
        <v>6318</v>
      </c>
      <c r="AH26" s="106">
        <v>10</v>
      </c>
      <c r="AI26" s="106">
        <v>4860</v>
      </c>
      <c r="AJ26" s="106">
        <v>12</v>
      </c>
      <c r="AK26" s="106">
        <v>5832</v>
      </c>
      <c r="AL26" s="106">
        <v>11</v>
      </c>
      <c r="AM26" s="106">
        <v>5346</v>
      </c>
      <c r="AN26" s="106">
        <v>16</v>
      </c>
      <c r="AO26" s="106">
        <v>7776</v>
      </c>
      <c r="AP26" s="106">
        <v>15</v>
      </c>
      <c r="AQ26" s="106">
        <v>7290</v>
      </c>
      <c r="AR26" s="106">
        <v>9</v>
      </c>
      <c r="AS26" s="106">
        <v>4374</v>
      </c>
      <c r="AT26" s="106">
        <v>8</v>
      </c>
      <c r="AU26" s="106">
        <v>3888</v>
      </c>
      <c r="AV26" s="106">
        <v>8</v>
      </c>
      <c r="AW26" s="106">
        <v>3888</v>
      </c>
      <c r="AX26" s="106">
        <v>10</v>
      </c>
      <c r="AY26" s="106">
        <v>4860</v>
      </c>
      <c r="AZ26" s="106">
        <v>11</v>
      </c>
      <c r="BA26" s="106">
        <v>5346</v>
      </c>
      <c r="BB26" s="106">
        <v>12</v>
      </c>
      <c r="BC26" s="106">
        <v>5832</v>
      </c>
      <c r="BD26" s="106">
        <v>8</v>
      </c>
      <c r="BE26" s="106">
        <v>3888</v>
      </c>
      <c r="BF26" s="106">
        <v>12</v>
      </c>
      <c r="BG26" s="106">
        <v>5832</v>
      </c>
      <c r="BH26" s="106">
        <v>9</v>
      </c>
      <c r="BI26" s="106">
        <v>4374</v>
      </c>
      <c r="BJ26" s="106">
        <v>7</v>
      </c>
      <c r="BK26" s="106">
        <v>3402</v>
      </c>
      <c r="BL26" s="106">
        <v>7</v>
      </c>
      <c r="BM26" s="106">
        <v>3402</v>
      </c>
      <c r="BN26" s="106">
        <v>7</v>
      </c>
      <c r="BO26" s="106">
        <v>3402</v>
      </c>
      <c r="BP26" s="106">
        <v>14</v>
      </c>
      <c r="BQ26" s="106">
        <v>6804</v>
      </c>
      <c r="BR26" s="106">
        <v>14</v>
      </c>
      <c r="BS26" s="106">
        <v>6804</v>
      </c>
      <c r="BT26" s="106">
        <v>11</v>
      </c>
      <c r="BU26" s="106">
        <v>5346</v>
      </c>
      <c r="BV26" s="106">
        <v>16</v>
      </c>
      <c r="BW26" s="106">
        <v>7776</v>
      </c>
      <c r="BX26" s="106">
        <v>98</v>
      </c>
      <c r="BY26" s="106">
        <v>47628</v>
      </c>
      <c r="BZ26" s="106">
        <v>120</v>
      </c>
      <c r="CA26" s="106">
        <v>58320</v>
      </c>
      <c r="CB26" s="106">
        <v>122</v>
      </c>
      <c r="CC26" s="106">
        <v>59292</v>
      </c>
      <c r="CD26" s="106">
        <v>75</v>
      </c>
      <c r="CE26" s="106">
        <v>36450</v>
      </c>
      <c r="CF26" s="106">
        <v>58</v>
      </c>
      <c r="CG26" s="106">
        <v>28188</v>
      </c>
      <c r="CH26" s="106">
        <v>89</v>
      </c>
      <c r="CI26" s="106">
        <v>43254</v>
      </c>
      <c r="CJ26" s="106">
        <v>65</v>
      </c>
      <c r="CK26" s="106">
        <v>31590</v>
      </c>
      <c r="CL26" s="106">
        <v>71</v>
      </c>
      <c r="CM26" s="106">
        <v>34506</v>
      </c>
      <c r="CN26" s="106">
        <v>10</v>
      </c>
      <c r="CO26" s="106">
        <v>4860</v>
      </c>
      <c r="CP26" s="106">
        <v>13</v>
      </c>
      <c r="CQ26" s="106">
        <v>6318</v>
      </c>
      <c r="CR26" s="106">
        <v>13</v>
      </c>
      <c r="CS26" s="106">
        <v>6318</v>
      </c>
      <c r="CT26" s="106">
        <v>9</v>
      </c>
      <c r="CU26" s="106">
        <v>4374</v>
      </c>
    </row>
    <row r="27" spans="2:99" x14ac:dyDescent="0.2">
      <c r="C27" s="105" t="s">
        <v>192</v>
      </c>
      <c r="D27" s="106">
        <v>11</v>
      </c>
      <c r="E27" s="106">
        <v>4699.2</v>
      </c>
      <c r="F27" s="106">
        <v>7</v>
      </c>
      <c r="G27" s="106">
        <v>2990.4</v>
      </c>
      <c r="H27" s="106">
        <v>10</v>
      </c>
      <c r="I27" s="106">
        <v>4272</v>
      </c>
      <c r="J27" s="106">
        <v>9</v>
      </c>
      <c r="K27" s="106">
        <v>3844.7999999999997</v>
      </c>
      <c r="L27" s="106">
        <v>11</v>
      </c>
      <c r="M27" s="106">
        <v>4699.2</v>
      </c>
      <c r="N27" s="106">
        <v>14</v>
      </c>
      <c r="O27" s="106">
        <v>5980.8</v>
      </c>
      <c r="P27" s="106">
        <v>13</v>
      </c>
      <c r="Q27" s="106">
        <v>5553.5999999999995</v>
      </c>
      <c r="R27" s="106">
        <v>11</v>
      </c>
      <c r="S27" s="106">
        <v>4699.2</v>
      </c>
      <c r="T27" s="106">
        <v>90</v>
      </c>
      <c r="U27" s="106">
        <v>38448</v>
      </c>
      <c r="V27" s="106">
        <v>119</v>
      </c>
      <c r="W27" s="106">
        <v>50836.799999999996</v>
      </c>
      <c r="X27" s="106">
        <v>94</v>
      </c>
      <c r="Y27" s="106">
        <v>40156.799999999996</v>
      </c>
      <c r="Z27" s="106">
        <v>117</v>
      </c>
      <c r="AA27" s="106">
        <v>49982.400000000001</v>
      </c>
      <c r="AB27" s="106">
        <v>15</v>
      </c>
      <c r="AC27" s="106">
        <v>6408</v>
      </c>
      <c r="AD27" s="106">
        <v>14</v>
      </c>
      <c r="AE27" s="106">
        <v>5980.8</v>
      </c>
      <c r="AF27" s="106">
        <v>14</v>
      </c>
      <c r="AG27" s="106">
        <v>5980.8</v>
      </c>
      <c r="AH27" s="106">
        <v>10</v>
      </c>
      <c r="AI27" s="106">
        <v>4272</v>
      </c>
      <c r="AJ27" s="106">
        <v>12</v>
      </c>
      <c r="AK27" s="106">
        <v>5126.3999999999996</v>
      </c>
      <c r="AL27" s="106">
        <v>11</v>
      </c>
      <c r="AM27" s="106">
        <v>4699.2</v>
      </c>
      <c r="AN27" s="106">
        <v>15</v>
      </c>
      <c r="AO27" s="106">
        <v>6408</v>
      </c>
      <c r="AP27" s="106">
        <v>16</v>
      </c>
      <c r="AQ27" s="106">
        <v>6835.2</v>
      </c>
      <c r="AR27" s="106">
        <v>10</v>
      </c>
      <c r="AS27" s="106">
        <v>4272</v>
      </c>
      <c r="AT27" s="106">
        <v>8</v>
      </c>
      <c r="AU27" s="106">
        <v>3417.6</v>
      </c>
      <c r="AV27" s="106">
        <v>8</v>
      </c>
      <c r="AW27" s="106">
        <v>3417.6</v>
      </c>
      <c r="AX27" s="106">
        <v>9</v>
      </c>
      <c r="AY27" s="106">
        <v>3844.7999999999997</v>
      </c>
      <c r="AZ27" s="106">
        <v>11</v>
      </c>
      <c r="BA27" s="106">
        <v>4699.2</v>
      </c>
      <c r="BB27" s="106">
        <v>12</v>
      </c>
      <c r="BC27" s="106">
        <v>5126.3999999999996</v>
      </c>
      <c r="BD27" s="106">
        <v>9</v>
      </c>
      <c r="BE27" s="106">
        <v>3844.7999999999997</v>
      </c>
      <c r="BF27" s="106">
        <v>11</v>
      </c>
      <c r="BG27" s="106">
        <v>4699.2</v>
      </c>
      <c r="BH27" s="106">
        <v>9</v>
      </c>
      <c r="BI27" s="106">
        <v>3844.7999999999997</v>
      </c>
      <c r="BJ27" s="106">
        <v>6</v>
      </c>
      <c r="BK27" s="106">
        <v>2563.1999999999998</v>
      </c>
      <c r="BL27" s="106">
        <v>8</v>
      </c>
      <c r="BM27" s="106">
        <v>3417.6</v>
      </c>
      <c r="BN27" s="106">
        <v>7</v>
      </c>
      <c r="BO27" s="106">
        <v>2990.4</v>
      </c>
      <c r="BP27" s="106">
        <v>16</v>
      </c>
      <c r="BQ27" s="106">
        <v>6835.2</v>
      </c>
      <c r="BR27" s="106">
        <v>14</v>
      </c>
      <c r="BS27" s="106">
        <v>5980.8</v>
      </c>
      <c r="BT27" s="106">
        <v>12</v>
      </c>
      <c r="BU27" s="106">
        <v>5126.3999999999996</v>
      </c>
      <c r="BV27" s="106">
        <v>17</v>
      </c>
      <c r="BW27" s="106">
        <v>7262.4</v>
      </c>
      <c r="BX27" s="106">
        <v>105</v>
      </c>
      <c r="BY27" s="106">
        <v>44856</v>
      </c>
      <c r="BZ27" s="106">
        <v>128</v>
      </c>
      <c r="CA27" s="106">
        <v>54681.599999999999</v>
      </c>
      <c r="CB27" s="106">
        <v>130</v>
      </c>
      <c r="CC27" s="106">
        <v>55536</v>
      </c>
      <c r="CD27" s="106">
        <v>72</v>
      </c>
      <c r="CE27" s="106">
        <v>30758.399999999998</v>
      </c>
      <c r="CF27" s="106">
        <v>51</v>
      </c>
      <c r="CG27" s="106">
        <v>21787.200000000001</v>
      </c>
      <c r="CH27" s="106">
        <v>86</v>
      </c>
      <c r="CI27" s="106">
        <v>36739.199999999997</v>
      </c>
      <c r="CJ27" s="106">
        <v>73</v>
      </c>
      <c r="CK27" s="106">
        <v>31185.599999999999</v>
      </c>
      <c r="CL27" s="106">
        <v>77</v>
      </c>
      <c r="CM27" s="106">
        <v>32894.400000000001</v>
      </c>
      <c r="CN27" s="106">
        <v>11</v>
      </c>
      <c r="CO27" s="106">
        <v>4699.2</v>
      </c>
      <c r="CP27" s="106">
        <v>14</v>
      </c>
      <c r="CQ27" s="106">
        <v>5980.8</v>
      </c>
      <c r="CR27" s="106">
        <v>12</v>
      </c>
      <c r="CS27" s="106">
        <v>5126.3999999999996</v>
      </c>
      <c r="CT27" s="106">
        <v>8</v>
      </c>
      <c r="CU27" s="106">
        <v>3417.6</v>
      </c>
    </row>
    <row r="28" spans="2:99" x14ac:dyDescent="0.2">
      <c r="C28" s="105" t="s">
        <v>193</v>
      </c>
      <c r="D28" s="106">
        <v>10</v>
      </c>
      <c r="E28" s="106">
        <v>7380</v>
      </c>
      <c r="F28" s="106">
        <v>7</v>
      </c>
      <c r="G28" s="106">
        <v>5166</v>
      </c>
      <c r="H28" s="106">
        <v>9</v>
      </c>
      <c r="I28" s="106">
        <v>6642</v>
      </c>
      <c r="J28" s="106">
        <v>8</v>
      </c>
      <c r="K28" s="106">
        <v>5904</v>
      </c>
      <c r="L28" s="106">
        <v>11</v>
      </c>
      <c r="M28" s="106">
        <v>8118</v>
      </c>
      <c r="N28" s="106">
        <v>14</v>
      </c>
      <c r="O28" s="106">
        <v>10332</v>
      </c>
      <c r="P28" s="106">
        <v>14</v>
      </c>
      <c r="Q28" s="106">
        <v>10332</v>
      </c>
      <c r="R28" s="106">
        <v>9</v>
      </c>
      <c r="S28" s="106">
        <v>6642</v>
      </c>
      <c r="T28" s="106">
        <v>80</v>
      </c>
      <c r="U28" s="106">
        <v>59040</v>
      </c>
      <c r="V28" s="106">
        <v>96</v>
      </c>
      <c r="W28" s="106">
        <v>70848</v>
      </c>
      <c r="X28" s="106">
        <v>78</v>
      </c>
      <c r="Y28" s="106">
        <v>57564</v>
      </c>
      <c r="Z28" s="106">
        <v>96</v>
      </c>
      <c r="AA28" s="106">
        <v>70848</v>
      </c>
      <c r="AB28" s="106">
        <v>17</v>
      </c>
      <c r="AC28" s="106">
        <v>12546</v>
      </c>
      <c r="AD28" s="106">
        <v>14</v>
      </c>
      <c r="AE28" s="106">
        <v>10332</v>
      </c>
      <c r="AF28" s="106">
        <v>12</v>
      </c>
      <c r="AG28" s="106">
        <v>8856</v>
      </c>
      <c r="AH28" s="106">
        <v>9</v>
      </c>
      <c r="AI28" s="106">
        <v>6642</v>
      </c>
      <c r="AJ28" s="106">
        <v>14</v>
      </c>
      <c r="AK28" s="106">
        <v>10332</v>
      </c>
      <c r="AL28" s="106">
        <v>12</v>
      </c>
      <c r="AM28" s="106">
        <v>8856</v>
      </c>
      <c r="AN28" s="106">
        <v>16</v>
      </c>
      <c r="AO28" s="106">
        <v>11808</v>
      </c>
      <c r="AP28" s="106">
        <v>16</v>
      </c>
      <c r="AQ28" s="106">
        <v>11808</v>
      </c>
      <c r="AR28" s="106">
        <v>8</v>
      </c>
      <c r="AS28" s="106">
        <v>5904</v>
      </c>
      <c r="AT28" s="106">
        <v>8</v>
      </c>
      <c r="AU28" s="106">
        <v>5904</v>
      </c>
      <c r="AV28" s="106">
        <v>8</v>
      </c>
      <c r="AW28" s="106">
        <v>5904</v>
      </c>
      <c r="AX28" s="106">
        <v>9</v>
      </c>
      <c r="AY28" s="106">
        <v>6642</v>
      </c>
      <c r="AZ28" s="106">
        <v>11</v>
      </c>
      <c r="BA28" s="106">
        <v>8118</v>
      </c>
      <c r="BB28" s="106">
        <v>11</v>
      </c>
      <c r="BC28" s="106">
        <v>8118</v>
      </c>
      <c r="BD28" s="106">
        <v>9</v>
      </c>
      <c r="BE28" s="106">
        <v>6642</v>
      </c>
      <c r="BF28" s="106">
        <v>10</v>
      </c>
      <c r="BG28" s="106">
        <v>7380</v>
      </c>
      <c r="BH28" s="106">
        <v>8</v>
      </c>
      <c r="BI28" s="106">
        <v>5904</v>
      </c>
      <c r="BJ28" s="106">
        <v>7</v>
      </c>
      <c r="BK28" s="106">
        <v>5166</v>
      </c>
      <c r="BL28" s="106">
        <v>7</v>
      </c>
      <c r="BM28" s="106">
        <v>5166</v>
      </c>
      <c r="BN28" s="106">
        <v>7</v>
      </c>
      <c r="BO28" s="106">
        <v>5166</v>
      </c>
      <c r="BP28" s="106">
        <v>13</v>
      </c>
      <c r="BQ28" s="106">
        <v>9594</v>
      </c>
      <c r="BR28" s="106">
        <v>14</v>
      </c>
      <c r="BS28" s="106">
        <v>10332</v>
      </c>
      <c r="BT28" s="106">
        <v>11</v>
      </c>
      <c r="BU28" s="106">
        <v>8118</v>
      </c>
      <c r="BV28" s="106">
        <v>17</v>
      </c>
      <c r="BW28" s="106">
        <v>12546</v>
      </c>
      <c r="BX28" s="106">
        <v>106</v>
      </c>
      <c r="BY28" s="106">
        <v>78228</v>
      </c>
      <c r="BZ28" s="106">
        <v>123</v>
      </c>
      <c r="CA28" s="106">
        <v>90774</v>
      </c>
      <c r="CB28" s="106">
        <v>129</v>
      </c>
      <c r="CC28" s="106">
        <v>95202</v>
      </c>
      <c r="CD28" s="106">
        <v>64</v>
      </c>
      <c r="CE28" s="106">
        <v>47232</v>
      </c>
      <c r="CF28" s="106">
        <v>50</v>
      </c>
      <c r="CG28" s="106">
        <v>36900</v>
      </c>
      <c r="CH28" s="106">
        <v>82</v>
      </c>
      <c r="CI28" s="106">
        <v>60516</v>
      </c>
      <c r="CJ28" s="106">
        <v>70</v>
      </c>
      <c r="CK28" s="106">
        <v>51660</v>
      </c>
      <c r="CL28" s="106">
        <v>69</v>
      </c>
      <c r="CM28" s="106">
        <v>50922</v>
      </c>
      <c r="CN28" s="106">
        <v>11</v>
      </c>
      <c r="CO28" s="106">
        <v>8118</v>
      </c>
      <c r="CP28" s="106">
        <v>13</v>
      </c>
      <c r="CQ28" s="106">
        <v>9594</v>
      </c>
      <c r="CR28" s="106">
        <v>12</v>
      </c>
      <c r="CS28" s="106">
        <v>8856</v>
      </c>
      <c r="CT28" s="106">
        <v>9</v>
      </c>
      <c r="CU28" s="106">
        <v>6642</v>
      </c>
    </row>
    <row r="29" spans="2:99" x14ac:dyDescent="0.2">
      <c r="C29" s="105" t="s">
        <v>194</v>
      </c>
      <c r="D29" s="106">
        <v>10</v>
      </c>
      <c r="E29" s="106">
        <v>3384</v>
      </c>
      <c r="F29" s="106">
        <v>7</v>
      </c>
      <c r="G29" s="106">
        <v>2368.7999999999997</v>
      </c>
      <c r="H29" s="106">
        <v>9</v>
      </c>
      <c r="I29" s="106">
        <v>3045.6</v>
      </c>
      <c r="J29" s="106">
        <v>8</v>
      </c>
      <c r="K29" s="106">
        <v>2707.2</v>
      </c>
      <c r="L29" s="106">
        <v>11</v>
      </c>
      <c r="M29" s="106">
        <v>3722.3999999999996</v>
      </c>
      <c r="N29" s="106">
        <v>15</v>
      </c>
      <c r="O29" s="106">
        <v>5076</v>
      </c>
      <c r="P29" s="106">
        <v>14</v>
      </c>
      <c r="Q29" s="106">
        <v>4737.5999999999995</v>
      </c>
      <c r="R29" s="106">
        <v>11</v>
      </c>
      <c r="S29" s="106">
        <v>3722.3999999999996</v>
      </c>
      <c r="T29" s="106">
        <v>87</v>
      </c>
      <c r="U29" s="106">
        <v>29440.799999999999</v>
      </c>
      <c r="V29" s="106">
        <v>119</v>
      </c>
      <c r="W29" s="106">
        <v>40269.599999999999</v>
      </c>
      <c r="X29" s="106">
        <v>90</v>
      </c>
      <c r="Y29" s="106">
        <v>30455.999999999996</v>
      </c>
      <c r="Z29" s="106">
        <v>119</v>
      </c>
      <c r="AA29" s="106">
        <v>40269.599999999999</v>
      </c>
      <c r="AB29" s="106">
        <v>16</v>
      </c>
      <c r="AC29" s="106">
        <v>5414.4</v>
      </c>
      <c r="AD29" s="106">
        <v>14</v>
      </c>
      <c r="AE29" s="106">
        <v>4737.5999999999995</v>
      </c>
      <c r="AF29" s="106">
        <v>15</v>
      </c>
      <c r="AG29" s="106">
        <v>5076</v>
      </c>
      <c r="AH29" s="106">
        <v>9</v>
      </c>
      <c r="AI29" s="106">
        <v>3045.6</v>
      </c>
      <c r="AJ29" s="106">
        <v>12</v>
      </c>
      <c r="AK29" s="106">
        <v>4060.7999999999997</v>
      </c>
      <c r="AL29" s="106">
        <v>12</v>
      </c>
      <c r="AM29" s="106">
        <v>4060.7999999999997</v>
      </c>
      <c r="AN29" s="106">
        <v>16</v>
      </c>
      <c r="AO29" s="106">
        <v>5414.4</v>
      </c>
      <c r="AP29" s="106">
        <v>16</v>
      </c>
      <c r="AQ29" s="106">
        <v>5414.4</v>
      </c>
      <c r="AR29" s="106">
        <v>9</v>
      </c>
      <c r="AS29" s="106">
        <v>3045.6</v>
      </c>
      <c r="AT29" s="106">
        <v>7</v>
      </c>
      <c r="AU29" s="106">
        <v>2368.7999999999997</v>
      </c>
      <c r="AV29" s="106">
        <v>8</v>
      </c>
      <c r="AW29" s="106">
        <v>2707.2</v>
      </c>
      <c r="AX29" s="106">
        <v>9</v>
      </c>
      <c r="AY29" s="106">
        <v>3045.6</v>
      </c>
      <c r="AZ29" s="106">
        <v>11</v>
      </c>
      <c r="BA29" s="106">
        <v>3722.3999999999996</v>
      </c>
      <c r="BB29" s="106">
        <v>11</v>
      </c>
      <c r="BC29" s="106">
        <v>3722.3999999999996</v>
      </c>
      <c r="BD29" s="106">
        <v>9</v>
      </c>
      <c r="BE29" s="106">
        <v>3045.6</v>
      </c>
      <c r="BF29" s="106">
        <v>11</v>
      </c>
      <c r="BG29" s="106">
        <v>3722.3999999999996</v>
      </c>
      <c r="BH29" s="106">
        <v>8</v>
      </c>
      <c r="BI29" s="106">
        <v>2707.2</v>
      </c>
      <c r="BJ29" s="106">
        <v>8</v>
      </c>
      <c r="BK29" s="106">
        <v>2707.2</v>
      </c>
      <c r="BL29" s="106">
        <v>7</v>
      </c>
      <c r="BM29" s="106">
        <v>2368.7999999999997</v>
      </c>
      <c r="BN29" s="106">
        <v>8</v>
      </c>
      <c r="BO29" s="106">
        <v>2707.2</v>
      </c>
      <c r="BP29" s="106">
        <v>15</v>
      </c>
      <c r="BQ29" s="106">
        <v>5076</v>
      </c>
      <c r="BR29" s="106">
        <v>16</v>
      </c>
      <c r="BS29" s="106">
        <v>5414.4</v>
      </c>
      <c r="BT29" s="106">
        <v>11</v>
      </c>
      <c r="BU29" s="106">
        <v>3722.3999999999996</v>
      </c>
      <c r="BV29" s="106">
        <v>17</v>
      </c>
      <c r="BW29" s="106">
        <v>5752.7999999999993</v>
      </c>
      <c r="BX29" s="106">
        <v>116</v>
      </c>
      <c r="BY29" s="106">
        <v>39254.399999999994</v>
      </c>
      <c r="BZ29" s="106">
        <v>125</v>
      </c>
      <c r="CA29" s="106">
        <v>42300</v>
      </c>
      <c r="CB29" s="106">
        <v>129</v>
      </c>
      <c r="CC29" s="106">
        <v>43653.599999999999</v>
      </c>
      <c r="CD29" s="106">
        <v>81</v>
      </c>
      <c r="CE29" s="106">
        <v>27410.399999999998</v>
      </c>
      <c r="CF29" s="106">
        <v>56</v>
      </c>
      <c r="CG29" s="106">
        <v>18950.399999999998</v>
      </c>
      <c r="CH29" s="106">
        <v>93</v>
      </c>
      <c r="CI29" s="106">
        <v>31471.199999999997</v>
      </c>
      <c r="CJ29" s="106">
        <v>65</v>
      </c>
      <c r="CK29" s="106">
        <v>21996</v>
      </c>
      <c r="CL29" s="106">
        <v>68</v>
      </c>
      <c r="CM29" s="106">
        <v>23011.199999999997</v>
      </c>
      <c r="CN29" s="106">
        <v>11</v>
      </c>
      <c r="CO29" s="106">
        <v>3722.3999999999996</v>
      </c>
      <c r="CP29" s="106">
        <v>14</v>
      </c>
      <c r="CQ29" s="106">
        <v>4737.5999999999995</v>
      </c>
      <c r="CR29" s="106">
        <v>13</v>
      </c>
      <c r="CS29" s="106">
        <v>4399.2</v>
      </c>
      <c r="CT29" s="106">
        <v>8</v>
      </c>
      <c r="CU29" s="106">
        <v>2707.2</v>
      </c>
    </row>
    <row r="30" spans="2:99" x14ac:dyDescent="0.2">
      <c r="C30" s="105" t="s">
        <v>195</v>
      </c>
      <c r="D30" s="106">
        <v>11</v>
      </c>
      <c r="E30" s="106">
        <v>1531.1999999999998</v>
      </c>
      <c r="F30" s="106">
        <v>7</v>
      </c>
      <c r="G30" s="106">
        <v>974.39999999999986</v>
      </c>
      <c r="H30" s="106">
        <v>9</v>
      </c>
      <c r="I30" s="106">
        <v>1252.8</v>
      </c>
      <c r="J30" s="106">
        <v>8</v>
      </c>
      <c r="K30" s="106">
        <v>1113.5999999999999</v>
      </c>
      <c r="L30" s="106">
        <v>11</v>
      </c>
      <c r="M30" s="106">
        <v>1531.1999999999998</v>
      </c>
      <c r="N30" s="106">
        <v>16</v>
      </c>
      <c r="O30" s="106">
        <v>2227.1999999999998</v>
      </c>
      <c r="P30" s="106">
        <v>15</v>
      </c>
      <c r="Q30" s="106">
        <v>2088</v>
      </c>
      <c r="R30" s="106">
        <v>11</v>
      </c>
      <c r="S30" s="106">
        <v>1531.1999999999998</v>
      </c>
      <c r="T30" s="106">
        <v>87</v>
      </c>
      <c r="U30" s="106">
        <v>12110.4</v>
      </c>
      <c r="V30" s="106">
        <v>121</v>
      </c>
      <c r="W30" s="106">
        <v>16843.199999999997</v>
      </c>
      <c r="X30" s="106">
        <v>101</v>
      </c>
      <c r="Y30" s="106">
        <v>14059.199999999999</v>
      </c>
      <c r="Z30" s="106">
        <v>115</v>
      </c>
      <c r="AA30" s="106">
        <v>16007.999999999998</v>
      </c>
      <c r="AB30" s="106">
        <v>18</v>
      </c>
      <c r="AC30" s="106">
        <v>2505.6</v>
      </c>
      <c r="AD30" s="106">
        <v>16</v>
      </c>
      <c r="AE30" s="106">
        <v>2227.1999999999998</v>
      </c>
      <c r="AF30" s="106">
        <v>16</v>
      </c>
      <c r="AG30" s="106">
        <v>2227.1999999999998</v>
      </c>
      <c r="AH30" s="106">
        <v>10</v>
      </c>
      <c r="AI30" s="106">
        <v>1392</v>
      </c>
      <c r="AJ30" s="106">
        <v>14</v>
      </c>
      <c r="AK30" s="106">
        <v>1948.7999999999997</v>
      </c>
      <c r="AL30" s="106">
        <v>11</v>
      </c>
      <c r="AM30" s="106">
        <v>1531.1999999999998</v>
      </c>
      <c r="AN30" s="106">
        <v>15</v>
      </c>
      <c r="AO30" s="106">
        <v>2088</v>
      </c>
      <c r="AP30" s="106">
        <v>17</v>
      </c>
      <c r="AQ30" s="106">
        <v>2366.3999999999996</v>
      </c>
      <c r="AR30" s="106">
        <v>9</v>
      </c>
      <c r="AS30" s="106">
        <v>1252.8</v>
      </c>
      <c r="AT30" s="106">
        <v>8</v>
      </c>
      <c r="AU30" s="106">
        <v>1113.5999999999999</v>
      </c>
      <c r="AV30" s="106">
        <v>8</v>
      </c>
      <c r="AW30" s="106">
        <v>1113.5999999999999</v>
      </c>
      <c r="AX30" s="106">
        <v>9</v>
      </c>
      <c r="AY30" s="106">
        <v>1252.8</v>
      </c>
      <c r="AZ30" s="106">
        <v>13</v>
      </c>
      <c r="BA30" s="106">
        <v>1809.6</v>
      </c>
      <c r="BB30" s="106">
        <v>12</v>
      </c>
      <c r="BC30" s="106">
        <v>1670.3999999999999</v>
      </c>
      <c r="BD30" s="106">
        <v>10</v>
      </c>
      <c r="BE30" s="106">
        <v>1392</v>
      </c>
      <c r="BF30" s="106">
        <v>12</v>
      </c>
      <c r="BG30" s="106">
        <v>1670.3999999999999</v>
      </c>
      <c r="BH30" s="106">
        <v>8</v>
      </c>
      <c r="BI30" s="106">
        <v>1113.5999999999999</v>
      </c>
      <c r="BJ30" s="106">
        <v>7</v>
      </c>
      <c r="BK30" s="106">
        <v>974.39999999999986</v>
      </c>
      <c r="BL30" s="106">
        <v>7</v>
      </c>
      <c r="BM30" s="106">
        <v>974.39999999999986</v>
      </c>
      <c r="BN30" s="106">
        <v>7</v>
      </c>
      <c r="BO30" s="106">
        <v>974.39999999999986</v>
      </c>
      <c r="BP30" s="106">
        <v>14</v>
      </c>
      <c r="BQ30" s="106">
        <v>1948.7999999999997</v>
      </c>
      <c r="BR30" s="106">
        <v>17</v>
      </c>
      <c r="BS30" s="106">
        <v>2366.3999999999996</v>
      </c>
      <c r="BT30" s="106">
        <v>11</v>
      </c>
      <c r="BU30" s="106">
        <v>1531.1999999999998</v>
      </c>
      <c r="BV30" s="106">
        <v>20</v>
      </c>
      <c r="BW30" s="106">
        <v>2784</v>
      </c>
      <c r="BX30" s="106">
        <v>107</v>
      </c>
      <c r="BY30" s="106">
        <v>14894.4</v>
      </c>
      <c r="BZ30" s="106">
        <v>149</v>
      </c>
      <c r="CA30" s="106">
        <v>20740.8</v>
      </c>
      <c r="CB30" s="106">
        <v>146</v>
      </c>
      <c r="CC30" s="106">
        <v>20323.199999999997</v>
      </c>
      <c r="CD30" s="106">
        <v>86</v>
      </c>
      <c r="CE30" s="106">
        <v>11971.199999999999</v>
      </c>
      <c r="CF30" s="106">
        <v>64</v>
      </c>
      <c r="CG30" s="106">
        <v>8908.7999999999993</v>
      </c>
      <c r="CH30" s="106">
        <v>95</v>
      </c>
      <c r="CI30" s="106">
        <v>13223.999999999998</v>
      </c>
      <c r="CJ30" s="106">
        <v>73</v>
      </c>
      <c r="CK30" s="106">
        <v>10161.599999999999</v>
      </c>
      <c r="CL30" s="106">
        <v>75</v>
      </c>
      <c r="CM30" s="106">
        <v>10440</v>
      </c>
      <c r="CN30" s="106">
        <v>11</v>
      </c>
      <c r="CO30" s="106">
        <v>1531.1999999999998</v>
      </c>
      <c r="CP30" s="106">
        <v>13</v>
      </c>
      <c r="CQ30" s="106">
        <v>1809.6</v>
      </c>
      <c r="CR30" s="106">
        <v>14</v>
      </c>
      <c r="CS30" s="106">
        <v>1948.7999999999997</v>
      </c>
      <c r="CT30" s="106">
        <v>9</v>
      </c>
      <c r="CU30" s="106">
        <v>1252.8</v>
      </c>
    </row>
    <row r="31" spans="2:99" x14ac:dyDescent="0.2">
      <c r="C31" s="105" t="s">
        <v>196</v>
      </c>
      <c r="D31" s="106">
        <v>11</v>
      </c>
      <c r="E31" s="106">
        <v>3748.8</v>
      </c>
      <c r="F31" s="106">
        <v>7</v>
      </c>
      <c r="G31" s="106">
        <v>2385.6</v>
      </c>
      <c r="H31" s="106">
        <v>9</v>
      </c>
      <c r="I31" s="106">
        <v>3067.2000000000003</v>
      </c>
      <c r="J31" s="106">
        <v>9</v>
      </c>
      <c r="K31" s="106">
        <v>3067.2000000000003</v>
      </c>
      <c r="L31" s="106">
        <v>11</v>
      </c>
      <c r="M31" s="106">
        <v>3748.8</v>
      </c>
      <c r="N31" s="106">
        <v>14</v>
      </c>
      <c r="O31" s="106">
        <v>4771.2</v>
      </c>
      <c r="P31" s="106">
        <v>15</v>
      </c>
      <c r="Q31" s="106">
        <v>5112</v>
      </c>
      <c r="R31" s="106">
        <v>11</v>
      </c>
      <c r="S31" s="106">
        <v>3748.8</v>
      </c>
      <c r="T31" s="106">
        <v>96</v>
      </c>
      <c r="U31" s="106">
        <v>32716.800000000003</v>
      </c>
      <c r="V31" s="106">
        <v>122</v>
      </c>
      <c r="W31" s="106">
        <v>41577.599999999999</v>
      </c>
      <c r="X31" s="106">
        <v>92</v>
      </c>
      <c r="Y31" s="106">
        <v>31353.600000000002</v>
      </c>
      <c r="Z31" s="106">
        <v>113</v>
      </c>
      <c r="AA31" s="106">
        <v>38510.400000000001</v>
      </c>
      <c r="AB31" s="106">
        <v>16</v>
      </c>
      <c r="AC31" s="106">
        <v>5452.8</v>
      </c>
      <c r="AD31" s="106">
        <v>16</v>
      </c>
      <c r="AE31" s="106">
        <v>5452.8</v>
      </c>
      <c r="AF31" s="106">
        <v>14</v>
      </c>
      <c r="AG31" s="106">
        <v>4771.2</v>
      </c>
      <c r="AH31" s="106">
        <v>10</v>
      </c>
      <c r="AI31" s="106">
        <v>3408</v>
      </c>
      <c r="AJ31" s="106">
        <v>12</v>
      </c>
      <c r="AK31" s="106">
        <v>4089.6000000000004</v>
      </c>
      <c r="AL31" s="106">
        <v>12</v>
      </c>
      <c r="AM31" s="106">
        <v>4089.6000000000004</v>
      </c>
      <c r="AN31" s="106">
        <v>15</v>
      </c>
      <c r="AO31" s="106">
        <v>5112</v>
      </c>
      <c r="AP31" s="106">
        <v>17</v>
      </c>
      <c r="AQ31" s="106">
        <v>5793.6</v>
      </c>
      <c r="AR31" s="106">
        <v>10</v>
      </c>
      <c r="AS31" s="106">
        <v>3408</v>
      </c>
      <c r="AT31" s="106">
        <v>8</v>
      </c>
      <c r="AU31" s="106">
        <v>2726.4</v>
      </c>
      <c r="AV31" s="106">
        <v>8</v>
      </c>
      <c r="AW31" s="106">
        <v>2726.4</v>
      </c>
      <c r="AX31" s="106">
        <v>9</v>
      </c>
      <c r="AY31" s="106">
        <v>3067.2000000000003</v>
      </c>
      <c r="AZ31" s="106">
        <v>12</v>
      </c>
      <c r="BA31" s="106">
        <v>4089.6000000000004</v>
      </c>
      <c r="BB31" s="106">
        <v>11</v>
      </c>
      <c r="BC31" s="106">
        <v>3748.8</v>
      </c>
      <c r="BD31" s="106">
        <v>9</v>
      </c>
      <c r="BE31" s="106">
        <v>3067.2000000000003</v>
      </c>
      <c r="BF31" s="106">
        <v>13</v>
      </c>
      <c r="BG31" s="106">
        <v>4430.4000000000005</v>
      </c>
      <c r="BH31" s="106">
        <v>8</v>
      </c>
      <c r="BI31" s="106">
        <v>2726.4</v>
      </c>
      <c r="BJ31" s="106">
        <v>7</v>
      </c>
      <c r="BK31" s="106">
        <v>2385.6</v>
      </c>
      <c r="BL31" s="106">
        <v>8</v>
      </c>
      <c r="BM31" s="106">
        <v>2726.4</v>
      </c>
      <c r="BN31" s="106">
        <v>7</v>
      </c>
      <c r="BO31" s="106">
        <v>2385.6</v>
      </c>
      <c r="BP31" s="106">
        <v>16</v>
      </c>
      <c r="BQ31" s="106">
        <v>5452.8</v>
      </c>
      <c r="BR31" s="106">
        <v>16</v>
      </c>
      <c r="BS31" s="106">
        <v>5452.8</v>
      </c>
      <c r="BT31" s="106">
        <v>12</v>
      </c>
      <c r="BU31" s="106">
        <v>4089.6000000000004</v>
      </c>
      <c r="BV31" s="106">
        <v>18</v>
      </c>
      <c r="BW31" s="106">
        <v>6134.4000000000005</v>
      </c>
      <c r="BX31" s="106">
        <v>103</v>
      </c>
      <c r="BY31" s="106">
        <v>35102.400000000001</v>
      </c>
      <c r="BZ31" s="106">
        <v>145</v>
      </c>
      <c r="CA31" s="106">
        <v>49416</v>
      </c>
      <c r="CB31" s="106">
        <v>147</v>
      </c>
      <c r="CC31" s="106">
        <v>50097.599999999999</v>
      </c>
      <c r="CD31" s="106">
        <v>76</v>
      </c>
      <c r="CE31" s="106">
        <v>25900.799999999999</v>
      </c>
      <c r="CF31" s="106">
        <v>52</v>
      </c>
      <c r="CG31" s="106">
        <v>17721.600000000002</v>
      </c>
      <c r="CH31" s="106">
        <v>97</v>
      </c>
      <c r="CI31" s="106">
        <v>33057.599999999999</v>
      </c>
      <c r="CJ31" s="106">
        <v>72</v>
      </c>
      <c r="CK31" s="106">
        <v>24537.600000000002</v>
      </c>
      <c r="CL31" s="106">
        <v>71</v>
      </c>
      <c r="CM31" s="106">
        <v>24196.799999999999</v>
      </c>
      <c r="CN31" s="106">
        <v>11</v>
      </c>
      <c r="CO31" s="106">
        <v>3748.8</v>
      </c>
      <c r="CP31" s="106">
        <v>13</v>
      </c>
      <c r="CQ31" s="106">
        <v>4430.4000000000005</v>
      </c>
      <c r="CR31" s="106">
        <v>12</v>
      </c>
      <c r="CS31" s="106">
        <v>4089.6000000000004</v>
      </c>
      <c r="CT31" s="106">
        <v>8</v>
      </c>
      <c r="CU31" s="106">
        <v>2726.4</v>
      </c>
    </row>
    <row r="32" spans="2:99" x14ac:dyDescent="0.2">
      <c r="C32" s="105" t="s">
        <v>197</v>
      </c>
      <c r="D32" s="106">
        <v>10</v>
      </c>
      <c r="E32" s="106">
        <v>8400</v>
      </c>
      <c r="F32" s="106">
        <v>7</v>
      </c>
      <c r="G32" s="106">
        <v>5880</v>
      </c>
      <c r="H32" s="106">
        <v>9</v>
      </c>
      <c r="I32" s="106">
        <v>7560</v>
      </c>
      <c r="J32" s="106">
        <v>8</v>
      </c>
      <c r="K32" s="106">
        <v>6720</v>
      </c>
      <c r="L32" s="106">
        <v>11</v>
      </c>
      <c r="M32" s="106">
        <v>9240</v>
      </c>
      <c r="N32" s="106">
        <v>13</v>
      </c>
      <c r="O32" s="106">
        <v>10920</v>
      </c>
      <c r="P32" s="106">
        <v>14</v>
      </c>
      <c r="Q32" s="106">
        <v>11760</v>
      </c>
      <c r="R32" s="106">
        <v>10</v>
      </c>
      <c r="S32" s="106">
        <v>8400</v>
      </c>
      <c r="T32" s="106">
        <v>75</v>
      </c>
      <c r="U32" s="106">
        <v>63000</v>
      </c>
      <c r="V32" s="106">
        <v>108</v>
      </c>
      <c r="W32" s="106">
        <v>90720</v>
      </c>
      <c r="X32" s="106">
        <v>87</v>
      </c>
      <c r="Y32" s="106">
        <v>73080</v>
      </c>
      <c r="Z32" s="106">
        <v>92</v>
      </c>
      <c r="AA32" s="106">
        <v>77280</v>
      </c>
      <c r="AB32" s="106">
        <v>15</v>
      </c>
      <c r="AC32" s="106">
        <v>12600</v>
      </c>
      <c r="AD32" s="106">
        <v>14</v>
      </c>
      <c r="AE32" s="106">
        <v>11760</v>
      </c>
      <c r="AF32" s="106">
        <v>12</v>
      </c>
      <c r="AG32" s="106">
        <v>10080</v>
      </c>
      <c r="AH32" s="106">
        <v>9</v>
      </c>
      <c r="AI32" s="106">
        <v>7560</v>
      </c>
      <c r="AJ32" s="106">
        <v>12</v>
      </c>
      <c r="AK32" s="106">
        <v>10080</v>
      </c>
      <c r="AL32" s="106">
        <v>10</v>
      </c>
      <c r="AM32" s="106">
        <v>8400</v>
      </c>
      <c r="AN32" s="106">
        <v>14</v>
      </c>
      <c r="AO32" s="106">
        <v>11760</v>
      </c>
      <c r="AP32" s="106">
        <v>14</v>
      </c>
      <c r="AQ32" s="106">
        <v>11760</v>
      </c>
      <c r="AR32" s="106">
        <v>10</v>
      </c>
      <c r="AS32" s="106">
        <v>8400</v>
      </c>
      <c r="AT32" s="106">
        <v>7</v>
      </c>
      <c r="AU32" s="106">
        <v>5880</v>
      </c>
      <c r="AV32" s="106">
        <v>8</v>
      </c>
      <c r="AW32" s="106">
        <v>6720</v>
      </c>
      <c r="AX32" s="106">
        <v>9</v>
      </c>
      <c r="AY32" s="106">
        <v>7560</v>
      </c>
      <c r="AZ32" s="106">
        <v>12</v>
      </c>
      <c r="BA32" s="106">
        <v>10080</v>
      </c>
      <c r="BB32" s="106">
        <v>13</v>
      </c>
      <c r="BC32" s="106">
        <v>10920</v>
      </c>
      <c r="BD32" s="106">
        <v>8</v>
      </c>
      <c r="BE32" s="106">
        <v>6720</v>
      </c>
      <c r="BF32" s="106">
        <v>12</v>
      </c>
      <c r="BG32" s="106">
        <v>10080</v>
      </c>
      <c r="BH32" s="106">
        <v>8</v>
      </c>
      <c r="BI32" s="106">
        <v>6720</v>
      </c>
      <c r="BJ32" s="106">
        <v>7</v>
      </c>
      <c r="BK32" s="106">
        <v>5880</v>
      </c>
      <c r="BL32" s="106">
        <v>6</v>
      </c>
      <c r="BM32" s="106">
        <v>5040</v>
      </c>
      <c r="BN32" s="106">
        <v>7</v>
      </c>
      <c r="BO32" s="106">
        <v>5880</v>
      </c>
      <c r="BP32" s="106">
        <v>14</v>
      </c>
      <c r="BQ32" s="106">
        <v>11760</v>
      </c>
      <c r="BR32" s="106">
        <v>13</v>
      </c>
      <c r="BS32" s="106">
        <v>10920</v>
      </c>
      <c r="BT32" s="106">
        <v>10</v>
      </c>
      <c r="BU32" s="106">
        <v>8400</v>
      </c>
      <c r="BV32" s="106">
        <v>16</v>
      </c>
      <c r="BW32" s="106">
        <v>13440</v>
      </c>
      <c r="BX32" s="106">
        <v>95</v>
      </c>
      <c r="BY32" s="106">
        <v>79800</v>
      </c>
      <c r="BZ32" s="106">
        <v>128</v>
      </c>
      <c r="CA32" s="106">
        <v>107520</v>
      </c>
      <c r="CB32" s="106">
        <v>111</v>
      </c>
      <c r="CC32" s="106">
        <v>93240</v>
      </c>
      <c r="CD32" s="106">
        <v>67</v>
      </c>
      <c r="CE32" s="106">
        <v>56280</v>
      </c>
      <c r="CF32" s="106">
        <v>52</v>
      </c>
      <c r="CG32" s="106">
        <v>43680</v>
      </c>
      <c r="CH32" s="106">
        <v>82</v>
      </c>
      <c r="CI32" s="106">
        <v>68880</v>
      </c>
      <c r="CJ32" s="106">
        <v>66</v>
      </c>
      <c r="CK32" s="106">
        <v>55440</v>
      </c>
      <c r="CL32" s="106">
        <v>62</v>
      </c>
      <c r="CM32" s="106">
        <v>52080</v>
      </c>
      <c r="CN32" s="106">
        <v>10</v>
      </c>
      <c r="CO32" s="106">
        <v>8400</v>
      </c>
      <c r="CP32" s="106">
        <v>14</v>
      </c>
      <c r="CQ32" s="106">
        <v>11760</v>
      </c>
      <c r="CR32" s="106">
        <v>13</v>
      </c>
      <c r="CS32" s="106">
        <v>10920</v>
      </c>
      <c r="CT32" s="106">
        <v>8</v>
      </c>
      <c r="CU32" s="106">
        <v>6720</v>
      </c>
    </row>
    <row r="33" spans="2:99" x14ac:dyDescent="0.2">
      <c r="C33" s="105" t="s">
        <v>198</v>
      </c>
      <c r="D33" s="106">
        <v>10</v>
      </c>
      <c r="E33" s="106">
        <v>4740</v>
      </c>
      <c r="F33" s="106">
        <v>8</v>
      </c>
      <c r="G33" s="106">
        <v>3792</v>
      </c>
      <c r="H33" s="106">
        <v>10</v>
      </c>
      <c r="I33" s="106">
        <v>4740</v>
      </c>
      <c r="J33" s="106">
        <v>9</v>
      </c>
      <c r="K33" s="106">
        <v>4266</v>
      </c>
      <c r="L33" s="106">
        <v>10</v>
      </c>
      <c r="M33" s="106">
        <v>4740</v>
      </c>
      <c r="N33" s="106">
        <v>15</v>
      </c>
      <c r="O33" s="106">
        <v>7110</v>
      </c>
      <c r="P33" s="106">
        <v>15</v>
      </c>
      <c r="Q33" s="106">
        <v>7110</v>
      </c>
      <c r="R33" s="106">
        <v>10</v>
      </c>
      <c r="S33" s="106">
        <v>4740</v>
      </c>
      <c r="T33" s="106">
        <v>85</v>
      </c>
      <c r="U33" s="106">
        <v>40290</v>
      </c>
      <c r="V33" s="106">
        <v>115</v>
      </c>
      <c r="W33" s="106">
        <v>54510</v>
      </c>
      <c r="X33" s="106">
        <v>85</v>
      </c>
      <c r="Y33" s="106">
        <v>40290</v>
      </c>
      <c r="Z33" s="106">
        <v>99</v>
      </c>
      <c r="AA33" s="106">
        <v>46926</v>
      </c>
      <c r="AB33" s="106">
        <v>17</v>
      </c>
      <c r="AC33" s="106">
        <v>8058</v>
      </c>
      <c r="AD33" s="106">
        <v>13</v>
      </c>
      <c r="AE33" s="106">
        <v>6162</v>
      </c>
      <c r="AF33" s="106">
        <v>14</v>
      </c>
      <c r="AG33" s="106">
        <v>6636</v>
      </c>
      <c r="AH33" s="106">
        <v>11</v>
      </c>
      <c r="AI33" s="106">
        <v>5214</v>
      </c>
      <c r="AJ33" s="106">
        <v>13</v>
      </c>
      <c r="AK33" s="106">
        <v>6162</v>
      </c>
      <c r="AL33" s="106">
        <v>11</v>
      </c>
      <c r="AM33" s="106">
        <v>5214</v>
      </c>
      <c r="AN33" s="106">
        <v>15</v>
      </c>
      <c r="AO33" s="106">
        <v>7110</v>
      </c>
      <c r="AP33" s="106">
        <v>15</v>
      </c>
      <c r="AQ33" s="106">
        <v>7110</v>
      </c>
      <c r="AR33" s="106">
        <v>9</v>
      </c>
      <c r="AS33" s="106">
        <v>4266</v>
      </c>
      <c r="AT33" s="106">
        <v>7</v>
      </c>
      <c r="AU33" s="106">
        <v>3318</v>
      </c>
      <c r="AV33" s="106">
        <v>9</v>
      </c>
      <c r="AW33" s="106">
        <v>4266</v>
      </c>
      <c r="AX33" s="106">
        <v>9</v>
      </c>
      <c r="AY33" s="106">
        <v>4266</v>
      </c>
      <c r="AZ33" s="106">
        <v>11</v>
      </c>
      <c r="BA33" s="106">
        <v>5214</v>
      </c>
      <c r="BB33" s="106">
        <v>13</v>
      </c>
      <c r="BC33" s="106">
        <v>6162</v>
      </c>
      <c r="BD33" s="106">
        <v>9</v>
      </c>
      <c r="BE33" s="106">
        <v>4266</v>
      </c>
      <c r="BF33" s="106">
        <v>12</v>
      </c>
      <c r="BG33" s="106">
        <v>5688</v>
      </c>
      <c r="BH33" s="106">
        <v>8</v>
      </c>
      <c r="BI33" s="106">
        <v>3792</v>
      </c>
      <c r="BJ33" s="106">
        <v>7</v>
      </c>
      <c r="BK33" s="106">
        <v>3318</v>
      </c>
      <c r="BL33" s="106">
        <v>6</v>
      </c>
      <c r="BM33" s="106">
        <v>2844</v>
      </c>
      <c r="BN33" s="106">
        <v>7</v>
      </c>
      <c r="BO33" s="106">
        <v>3318</v>
      </c>
      <c r="BP33" s="106">
        <v>16</v>
      </c>
      <c r="BQ33" s="106">
        <v>7584</v>
      </c>
      <c r="BR33" s="106">
        <v>17</v>
      </c>
      <c r="BS33" s="106">
        <v>8058</v>
      </c>
      <c r="BT33" s="106">
        <v>11</v>
      </c>
      <c r="BU33" s="106">
        <v>5214</v>
      </c>
      <c r="BV33" s="106">
        <v>19</v>
      </c>
      <c r="BW33" s="106">
        <v>9006</v>
      </c>
      <c r="BX33" s="106">
        <v>99</v>
      </c>
      <c r="BY33" s="106">
        <v>46926</v>
      </c>
      <c r="BZ33" s="106">
        <v>128</v>
      </c>
      <c r="CA33" s="106">
        <v>60672</v>
      </c>
      <c r="CB33" s="106">
        <v>131</v>
      </c>
      <c r="CC33" s="106">
        <v>62094</v>
      </c>
      <c r="CD33" s="106">
        <v>78</v>
      </c>
      <c r="CE33" s="106">
        <v>36972</v>
      </c>
      <c r="CF33" s="106">
        <v>60</v>
      </c>
      <c r="CG33" s="106">
        <v>28440</v>
      </c>
      <c r="CH33" s="106">
        <v>96</v>
      </c>
      <c r="CI33" s="106">
        <v>45504</v>
      </c>
      <c r="CJ33" s="106">
        <v>75</v>
      </c>
      <c r="CK33" s="106">
        <v>35550</v>
      </c>
      <c r="CL33" s="106">
        <v>66</v>
      </c>
      <c r="CM33" s="106">
        <v>31284</v>
      </c>
      <c r="CN33" s="106">
        <v>10</v>
      </c>
      <c r="CO33" s="106">
        <v>4740</v>
      </c>
      <c r="CP33" s="106">
        <v>12</v>
      </c>
      <c r="CQ33" s="106">
        <v>5688</v>
      </c>
      <c r="CR33" s="106">
        <v>13</v>
      </c>
      <c r="CS33" s="106">
        <v>6162</v>
      </c>
      <c r="CT33" s="106">
        <v>10</v>
      </c>
      <c r="CU33" s="106">
        <v>4740</v>
      </c>
    </row>
    <row r="34" spans="2:99" x14ac:dyDescent="0.2">
      <c r="C34" s="105" t="s">
        <v>199</v>
      </c>
      <c r="D34" s="106">
        <v>11</v>
      </c>
      <c r="E34" s="106">
        <v>6032.4</v>
      </c>
      <c r="F34" s="106">
        <v>7</v>
      </c>
      <c r="G34" s="106">
        <v>3838.7999999999997</v>
      </c>
      <c r="H34" s="106">
        <v>10</v>
      </c>
      <c r="I34" s="106">
        <v>5484</v>
      </c>
      <c r="J34" s="106">
        <v>9</v>
      </c>
      <c r="K34" s="106">
        <v>4935.5999999999995</v>
      </c>
      <c r="L34" s="106">
        <v>10</v>
      </c>
      <c r="M34" s="106">
        <v>5484</v>
      </c>
      <c r="N34" s="106">
        <v>14</v>
      </c>
      <c r="O34" s="106">
        <v>7677.5999999999995</v>
      </c>
      <c r="P34" s="106">
        <v>13</v>
      </c>
      <c r="Q34" s="106">
        <v>7129.2</v>
      </c>
      <c r="R34" s="106">
        <v>10</v>
      </c>
      <c r="S34" s="106">
        <v>5484</v>
      </c>
      <c r="T34" s="106">
        <v>87</v>
      </c>
      <c r="U34" s="106">
        <v>47710.799999999996</v>
      </c>
      <c r="V34" s="106">
        <v>114</v>
      </c>
      <c r="W34" s="106">
        <v>62517.599999999999</v>
      </c>
      <c r="X34" s="106">
        <v>80</v>
      </c>
      <c r="Y34" s="106">
        <v>43872</v>
      </c>
      <c r="Z34" s="106">
        <v>114</v>
      </c>
      <c r="AA34" s="106">
        <v>62517.599999999999</v>
      </c>
      <c r="AB34" s="106">
        <v>17</v>
      </c>
      <c r="AC34" s="106">
        <v>9322.7999999999993</v>
      </c>
      <c r="AD34" s="106">
        <v>15</v>
      </c>
      <c r="AE34" s="106">
        <v>8226</v>
      </c>
      <c r="AF34" s="106">
        <v>15</v>
      </c>
      <c r="AG34" s="106">
        <v>8226</v>
      </c>
      <c r="AH34" s="106">
        <v>9</v>
      </c>
      <c r="AI34" s="106">
        <v>4935.5999999999995</v>
      </c>
      <c r="AJ34" s="106">
        <v>12</v>
      </c>
      <c r="AK34" s="106">
        <v>6580.7999999999993</v>
      </c>
      <c r="AL34" s="106">
        <v>11</v>
      </c>
      <c r="AM34" s="106">
        <v>6032.4</v>
      </c>
      <c r="AN34" s="106">
        <v>15</v>
      </c>
      <c r="AO34" s="106">
        <v>8226</v>
      </c>
      <c r="AP34" s="106">
        <v>15</v>
      </c>
      <c r="AQ34" s="106">
        <v>8226</v>
      </c>
      <c r="AR34" s="106">
        <v>9</v>
      </c>
      <c r="AS34" s="106">
        <v>4935.5999999999995</v>
      </c>
      <c r="AT34" s="106">
        <v>8</v>
      </c>
      <c r="AU34" s="106">
        <v>4387.2</v>
      </c>
      <c r="AV34" s="106">
        <v>8</v>
      </c>
      <c r="AW34" s="106">
        <v>4387.2</v>
      </c>
      <c r="AX34" s="106">
        <v>10</v>
      </c>
      <c r="AY34" s="106">
        <v>5484</v>
      </c>
      <c r="AZ34" s="106">
        <v>11</v>
      </c>
      <c r="BA34" s="106">
        <v>6032.4</v>
      </c>
      <c r="BB34" s="106">
        <v>12</v>
      </c>
      <c r="BC34" s="106">
        <v>6580.7999999999993</v>
      </c>
      <c r="BD34" s="106">
        <v>9</v>
      </c>
      <c r="BE34" s="106">
        <v>4935.5999999999995</v>
      </c>
      <c r="BF34" s="106">
        <v>11</v>
      </c>
      <c r="BG34" s="106">
        <v>6032.4</v>
      </c>
      <c r="BH34" s="106">
        <v>8</v>
      </c>
      <c r="BI34" s="106">
        <v>4387.2</v>
      </c>
      <c r="BJ34" s="106">
        <v>7</v>
      </c>
      <c r="BK34" s="106">
        <v>3838.7999999999997</v>
      </c>
      <c r="BL34" s="106">
        <v>6</v>
      </c>
      <c r="BM34" s="106">
        <v>3290.3999999999996</v>
      </c>
      <c r="BN34" s="106">
        <v>8</v>
      </c>
      <c r="BO34" s="106">
        <v>4387.2</v>
      </c>
      <c r="BP34" s="106">
        <v>14</v>
      </c>
      <c r="BQ34" s="106">
        <v>7677.5999999999995</v>
      </c>
      <c r="BR34" s="106">
        <v>16</v>
      </c>
      <c r="BS34" s="106">
        <v>8774.4</v>
      </c>
      <c r="BT34" s="106">
        <v>12</v>
      </c>
      <c r="BU34" s="106">
        <v>6580.7999999999993</v>
      </c>
      <c r="BV34" s="106">
        <v>17</v>
      </c>
      <c r="BW34" s="106">
        <v>9322.7999999999993</v>
      </c>
      <c r="BX34" s="106">
        <v>102</v>
      </c>
      <c r="BY34" s="106">
        <v>55936.799999999996</v>
      </c>
      <c r="BZ34" s="106">
        <v>132</v>
      </c>
      <c r="CA34" s="106">
        <v>72388.800000000003</v>
      </c>
      <c r="CB34" s="106">
        <v>130</v>
      </c>
      <c r="CC34" s="106">
        <v>71292</v>
      </c>
      <c r="CD34" s="106">
        <v>78</v>
      </c>
      <c r="CE34" s="106">
        <v>42775.199999999997</v>
      </c>
      <c r="CF34" s="106">
        <v>55</v>
      </c>
      <c r="CG34" s="106">
        <v>30162</v>
      </c>
      <c r="CH34" s="106">
        <v>86</v>
      </c>
      <c r="CI34" s="106">
        <v>47162.400000000001</v>
      </c>
      <c r="CJ34" s="106">
        <v>71</v>
      </c>
      <c r="CK34" s="106">
        <v>38936.400000000001</v>
      </c>
      <c r="CL34" s="106">
        <v>71</v>
      </c>
      <c r="CM34" s="106">
        <v>38936.400000000001</v>
      </c>
      <c r="CN34" s="106">
        <v>10</v>
      </c>
      <c r="CO34" s="106">
        <v>5484</v>
      </c>
      <c r="CP34" s="106">
        <v>14</v>
      </c>
      <c r="CQ34" s="106">
        <v>7677.5999999999995</v>
      </c>
      <c r="CR34" s="106">
        <v>11</v>
      </c>
      <c r="CS34" s="106">
        <v>6032.4</v>
      </c>
      <c r="CT34" s="106">
        <v>9</v>
      </c>
      <c r="CU34" s="106">
        <v>4935.5999999999995</v>
      </c>
    </row>
    <row r="35" spans="2:99" x14ac:dyDescent="0.2">
      <c r="C35" s="105" t="s">
        <v>200</v>
      </c>
      <c r="D35" s="106">
        <v>11</v>
      </c>
      <c r="E35" s="106">
        <v>5530.7999999999993</v>
      </c>
      <c r="F35" s="106">
        <v>7</v>
      </c>
      <c r="G35" s="106">
        <v>3519.5999999999995</v>
      </c>
      <c r="H35" s="106">
        <v>10</v>
      </c>
      <c r="I35" s="106">
        <v>5027.9999999999991</v>
      </c>
      <c r="J35" s="106">
        <v>8</v>
      </c>
      <c r="K35" s="106">
        <v>4022.3999999999992</v>
      </c>
      <c r="L35" s="106">
        <v>11</v>
      </c>
      <c r="M35" s="106">
        <v>5530.7999999999993</v>
      </c>
      <c r="N35" s="106">
        <v>15</v>
      </c>
      <c r="O35" s="106">
        <v>7541.9999999999982</v>
      </c>
      <c r="P35" s="106">
        <v>14</v>
      </c>
      <c r="Q35" s="106">
        <v>7039.1999999999989</v>
      </c>
      <c r="R35" s="106">
        <v>9</v>
      </c>
      <c r="S35" s="106">
        <v>4525.1999999999989</v>
      </c>
      <c r="T35" s="106">
        <v>87</v>
      </c>
      <c r="U35" s="106">
        <v>43743.599999999991</v>
      </c>
      <c r="V35" s="106">
        <v>108</v>
      </c>
      <c r="W35" s="106">
        <v>54302.399999999987</v>
      </c>
      <c r="X35" s="106">
        <v>90</v>
      </c>
      <c r="Y35" s="106">
        <v>45251.999999999993</v>
      </c>
      <c r="Z35" s="106">
        <v>119</v>
      </c>
      <c r="AA35" s="106">
        <v>59833.19999999999</v>
      </c>
      <c r="AB35" s="106">
        <v>17</v>
      </c>
      <c r="AC35" s="106">
        <v>8547.5999999999985</v>
      </c>
      <c r="AD35" s="106">
        <v>15</v>
      </c>
      <c r="AE35" s="106">
        <v>7541.9999999999982</v>
      </c>
      <c r="AF35" s="106">
        <v>14</v>
      </c>
      <c r="AG35" s="106">
        <v>7039.1999999999989</v>
      </c>
      <c r="AH35" s="106">
        <v>9</v>
      </c>
      <c r="AI35" s="106">
        <v>4525.1999999999989</v>
      </c>
      <c r="AJ35" s="106">
        <v>13</v>
      </c>
      <c r="AK35" s="106">
        <v>6536.3999999999987</v>
      </c>
      <c r="AL35" s="106">
        <v>11</v>
      </c>
      <c r="AM35" s="106">
        <v>5530.7999999999993</v>
      </c>
      <c r="AN35" s="106">
        <v>15</v>
      </c>
      <c r="AO35" s="106">
        <v>7541.9999999999982</v>
      </c>
      <c r="AP35" s="106">
        <v>14</v>
      </c>
      <c r="AQ35" s="106">
        <v>7039.1999999999989</v>
      </c>
      <c r="AR35" s="106">
        <v>9</v>
      </c>
      <c r="AS35" s="106">
        <v>4525.1999999999989</v>
      </c>
      <c r="AT35" s="106">
        <v>7</v>
      </c>
      <c r="AU35" s="106">
        <v>3519.5999999999995</v>
      </c>
      <c r="AV35" s="106">
        <v>8</v>
      </c>
      <c r="AW35" s="106">
        <v>4022.3999999999992</v>
      </c>
      <c r="AX35" s="106">
        <v>8</v>
      </c>
      <c r="AY35" s="106">
        <v>4022.3999999999992</v>
      </c>
      <c r="AZ35" s="106">
        <v>12</v>
      </c>
      <c r="BA35" s="106">
        <v>6033.5999999999985</v>
      </c>
      <c r="BB35" s="106">
        <v>12</v>
      </c>
      <c r="BC35" s="106">
        <v>6033.5999999999985</v>
      </c>
      <c r="BD35" s="106">
        <v>8</v>
      </c>
      <c r="BE35" s="106">
        <v>4022.3999999999992</v>
      </c>
      <c r="BF35" s="106">
        <v>11</v>
      </c>
      <c r="BG35" s="106">
        <v>5530.7999999999993</v>
      </c>
      <c r="BH35" s="106">
        <v>8</v>
      </c>
      <c r="BI35" s="106">
        <v>4022.3999999999992</v>
      </c>
      <c r="BJ35" s="106">
        <v>7</v>
      </c>
      <c r="BK35" s="106">
        <v>3519.5999999999995</v>
      </c>
      <c r="BL35" s="106">
        <v>7</v>
      </c>
      <c r="BM35" s="106">
        <v>3519.5999999999995</v>
      </c>
      <c r="BN35" s="106">
        <v>7</v>
      </c>
      <c r="BO35" s="106">
        <v>3519.5999999999995</v>
      </c>
      <c r="BP35" s="106">
        <v>14</v>
      </c>
      <c r="BQ35" s="106">
        <v>7039.1999999999989</v>
      </c>
      <c r="BR35" s="106">
        <v>15</v>
      </c>
      <c r="BS35" s="106">
        <v>7541.9999999999982</v>
      </c>
      <c r="BT35" s="106">
        <v>10</v>
      </c>
      <c r="BU35" s="106">
        <v>5027.9999999999991</v>
      </c>
      <c r="BV35" s="106">
        <v>19</v>
      </c>
      <c r="BW35" s="106">
        <v>9553.1999999999989</v>
      </c>
      <c r="BX35" s="106">
        <v>97</v>
      </c>
      <c r="BY35" s="106">
        <v>48771.599999999991</v>
      </c>
      <c r="BZ35" s="106">
        <v>119</v>
      </c>
      <c r="CA35" s="106">
        <v>59833.19999999999</v>
      </c>
      <c r="CB35" s="106">
        <v>124</v>
      </c>
      <c r="CC35" s="106">
        <v>62347.19999999999</v>
      </c>
      <c r="CD35" s="106">
        <v>70</v>
      </c>
      <c r="CE35" s="106">
        <v>35195.999999999993</v>
      </c>
      <c r="CF35" s="106">
        <v>59</v>
      </c>
      <c r="CG35" s="106">
        <v>29665.199999999993</v>
      </c>
      <c r="CH35" s="106">
        <v>101</v>
      </c>
      <c r="CI35" s="106">
        <v>50782.799999999988</v>
      </c>
      <c r="CJ35" s="106">
        <v>71</v>
      </c>
      <c r="CK35" s="106">
        <v>35698.799999999996</v>
      </c>
      <c r="CL35" s="106">
        <v>67</v>
      </c>
      <c r="CM35" s="106">
        <v>33687.599999999991</v>
      </c>
      <c r="CN35" s="106">
        <v>11</v>
      </c>
      <c r="CO35" s="106">
        <v>5530.7999999999993</v>
      </c>
      <c r="CP35" s="106">
        <v>13</v>
      </c>
      <c r="CQ35" s="106">
        <v>6536.3999999999987</v>
      </c>
      <c r="CR35" s="106">
        <v>11</v>
      </c>
      <c r="CS35" s="106">
        <v>5530.7999999999993</v>
      </c>
      <c r="CT35" s="106">
        <v>10</v>
      </c>
      <c r="CU35" s="106">
        <v>5027.9999999999991</v>
      </c>
    </row>
    <row r="36" spans="2:99" x14ac:dyDescent="0.2">
      <c r="C36" s="105" t="s">
        <v>201</v>
      </c>
      <c r="D36" s="106">
        <v>11</v>
      </c>
      <c r="E36" s="106">
        <v>8368.7999999999993</v>
      </c>
      <c r="F36" s="106">
        <v>7</v>
      </c>
      <c r="G36" s="106">
        <v>5325.5999999999995</v>
      </c>
      <c r="H36" s="106">
        <v>9</v>
      </c>
      <c r="I36" s="106">
        <v>6847.2</v>
      </c>
      <c r="J36" s="106">
        <v>9</v>
      </c>
      <c r="K36" s="106">
        <v>6847.2</v>
      </c>
      <c r="L36" s="106">
        <v>9</v>
      </c>
      <c r="M36" s="106">
        <v>6847.2</v>
      </c>
      <c r="N36" s="106">
        <v>15</v>
      </c>
      <c r="O36" s="106">
        <v>11412</v>
      </c>
      <c r="P36" s="106">
        <v>14</v>
      </c>
      <c r="Q36" s="106">
        <v>10651.199999999999</v>
      </c>
      <c r="R36" s="106">
        <v>10</v>
      </c>
      <c r="S36" s="106">
        <v>7608</v>
      </c>
      <c r="T36" s="106">
        <v>85</v>
      </c>
      <c r="U36" s="106">
        <v>64667.999999999993</v>
      </c>
      <c r="V36" s="106">
        <v>108</v>
      </c>
      <c r="W36" s="106">
        <v>82166.399999999994</v>
      </c>
      <c r="X36" s="106">
        <v>84</v>
      </c>
      <c r="Y36" s="106">
        <v>63907.199999999997</v>
      </c>
      <c r="Z36" s="106">
        <v>93</v>
      </c>
      <c r="AA36" s="106">
        <v>70754.399999999994</v>
      </c>
      <c r="AB36" s="106">
        <v>17</v>
      </c>
      <c r="AC36" s="106">
        <v>12933.599999999999</v>
      </c>
      <c r="AD36" s="106">
        <v>16</v>
      </c>
      <c r="AE36" s="106">
        <v>12172.8</v>
      </c>
      <c r="AF36" s="106">
        <v>14</v>
      </c>
      <c r="AG36" s="106">
        <v>10651.199999999999</v>
      </c>
      <c r="AH36" s="106">
        <v>10</v>
      </c>
      <c r="AI36" s="106">
        <v>7608</v>
      </c>
      <c r="AJ36" s="106">
        <v>12</v>
      </c>
      <c r="AK36" s="106">
        <v>9129.5999999999985</v>
      </c>
      <c r="AL36" s="106">
        <v>12</v>
      </c>
      <c r="AM36" s="106">
        <v>9129.5999999999985</v>
      </c>
      <c r="AN36" s="106">
        <v>16</v>
      </c>
      <c r="AO36" s="106">
        <v>12172.8</v>
      </c>
      <c r="AP36" s="106">
        <v>16</v>
      </c>
      <c r="AQ36" s="106">
        <v>12172.8</v>
      </c>
      <c r="AR36" s="106">
        <v>9</v>
      </c>
      <c r="AS36" s="106">
        <v>6847.2</v>
      </c>
      <c r="AT36" s="106">
        <v>8</v>
      </c>
      <c r="AU36" s="106">
        <v>6086.4</v>
      </c>
      <c r="AV36" s="106">
        <v>8</v>
      </c>
      <c r="AW36" s="106">
        <v>6086.4</v>
      </c>
      <c r="AX36" s="106">
        <v>9</v>
      </c>
      <c r="AY36" s="106">
        <v>6847.2</v>
      </c>
      <c r="AZ36" s="106">
        <v>11</v>
      </c>
      <c r="BA36" s="106">
        <v>8368.7999999999993</v>
      </c>
      <c r="BB36" s="106">
        <v>11</v>
      </c>
      <c r="BC36" s="106">
        <v>8368.7999999999993</v>
      </c>
      <c r="BD36" s="106">
        <v>8</v>
      </c>
      <c r="BE36" s="106">
        <v>6086.4</v>
      </c>
      <c r="BF36" s="106">
        <v>11</v>
      </c>
      <c r="BG36" s="106">
        <v>8368.7999999999993</v>
      </c>
      <c r="BH36" s="106">
        <v>8</v>
      </c>
      <c r="BI36" s="106">
        <v>6086.4</v>
      </c>
      <c r="BJ36" s="106">
        <v>7</v>
      </c>
      <c r="BK36" s="106">
        <v>5325.5999999999995</v>
      </c>
      <c r="BL36" s="106">
        <v>6</v>
      </c>
      <c r="BM36" s="106">
        <v>4564.7999999999993</v>
      </c>
      <c r="BN36" s="106">
        <v>7</v>
      </c>
      <c r="BO36" s="106">
        <v>5325.5999999999995</v>
      </c>
      <c r="BP36" s="106">
        <v>14</v>
      </c>
      <c r="BQ36" s="106">
        <v>10651.199999999999</v>
      </c>
      <c r="BR36" s="106">
        <v>15</v>
      </c>
      <c r="BS36" s="106">
        <v>11412</v>
      </c>
      <c r="BT36" s="106">
        <v>11</v>
      </c>
      <c r="BU36" s="106">
        <v>8368.7999999999993</v>
      </c>
      <c r="BV36" s="106">
        <v>16</v>
      </c>
      <c r="BW36" s="106">
        <v>12172.8</v>
      </c>
      <c r="BX36" s="106">
        <v>97</v>
      </c>
      <c r="BY36" s="106">
        <v>73797.599999999991</v>
      </c>
      <c r="BZ36" s="106">
        <v>128</v>
      </c>
      <c r="CA36" s="106">
        <v>97382.399999999994</v>
      </c>
      <c r="CB36" s="106">
        <v>126</v>
      </c>
      <c r="CC36" s="106">
        <v>95860.799999999988</v>
      </c>
      <c r="CD36" s="106">
        <v>64</v>
      </c>
      <c r="CE36" s="106">
        <v>48691.199999999997</v>
      </c>
      <c r="CF36" s="106">
        <v>51</v>
      </c>
      <c r="CG36" s="106">
        <v>38800.799999999996</v>
      </c>
      <c r="CH36" s="106">
        <v>97</v>
      </c>
      <c r="CI36" s="106">
        <v>73797.599999999991</v>
      </c>
      <c r="CJ36" s="106">
        <v>71</v>
      </c>
      <c r="CK36" s="106">
        <v>54016.799999999996</v>
      </c>
      <c r="CL36" s="106">
        <v>67</v>
      </c>
      <c r="CM36" s="106">
        <v>50973.599999999999</v>
      </c>
      <c r="CN36" s="106">
        <v>10</v>
      </c>
      <c r="CO36" s="106">
        <v>7608</v>
      </c>
      <c r="CP36" s="106">
        <v>12</v>
      </c>
      <c r="CQ36" s="106">
        <v>9129.5999999999985</v>
      </c>
      <c r="CR36" s="106">
        <v>13</v>
      </c>
      <c r="CS36" s="106">
        <v>9890.4</v>
      </c>
      <c r="CT36" s="106">
        <v>9</v>
      </c>
      <c r="CU36" s="106">
        <v>6847.2</v>
      </c>
    </row>
    <row r="37" spans="2:99" x14ac:dyDescent="0.2">
      <c r="B37" s="105" t="s">
        <v>128</v>
      </c>
      <c r="C37" s="105" t="s">
        <v>202</v>
      </c>
      <c r="D37" s="106">
        <v>8</v>
      </c>
      <c r="E37" s="106">
        <v>6883.2</v>
      </c>
      <c r="F37" s="106">
        <v>6</v>
      </c>
      <c r="G37" s="106">
        <v>5162.3999999999996</v>
      </c>
      <c r="H37" s="106">
        <v>6</v>
      </c>
      <c r="I37" s="106">
        <v>5162.3999999999996</v>
      </c>
      <c r="J37" s="106">
        <v>6</v>
      </c>
      <c r="K37" s="106">
        <v>5162.3999999999996</v>
      </c>
      <c r="L37" s="106">
        <v>16</v>
      </c>
      <c r="M37" s="106">
        <v>13766.4</v>
      </c>
      <c r="N37" s="106">
        <v>20</v>
      </c>
      <c r="O37" s="106">
        <v>17208</v>
      </c>
      <c r="P37" s="106">
        <v>17</v>
      </c>
      <c r="Q37" s="106">
        <v>14626.8</v>
      </c>
      <c r="R37" s="106">
        <v>20</v>
      </c>
      <c r="S37" s="106">
        <v>17208</v>
      </c>
      <c r="T37" s="106">
        <v>16</v>
      </c>
      <c r="U37" s="106">
        <v>13766.4</v>
      </c>
      <c r="V37" s="106">
        <v>21</v>
      </c>
      <c r="W37" s="106">
        <v>18068.399999999998</v>
      </c>
      <c r="X37" s="106">
        <v>24</v>
      </c>
      <c r="Y37" s="106">
        <v>20649.599999999999</v>
      </c>
      <c r="Z37" s="106">
        <v>26</v>
      </c>
      <c r="AA37" s="106">
        <v>22370.399999999998</v>
      </c>
      <c r="AB37" s="106">
        <v>32</v>
      </c>
      <c r="AC37" s="106">
        <v>27532.799999999999</v>
      </c>
      <c r="AD37" s="106">
        <v>22</v>
      </c>
      <c r="AE37" s="106">
        <v>18928.8</v>
      </c>
      <c r="AF37" s="106">
        <v>21</v>
      </c>
      <c r="AG37" s="106">
        <v>18068.399999999998</v>
      </c>
      <c r="AH37" s="106">
        <v>22</v>
      </c>
      <c r="AI37" s="106">
        <v>18928.8</v>
      </c>
      <c r="AJ37" s="106">
        <v>7</v>
      </c>
      <c r="AK37" s="106">
        <v>6022.8</v>
      </c>
      <c r="AL37" s="106">
        <v>11</v>
      </c>
      <c r="AM37" s="106">
        <v>9464.4</v>
      </c>
      <c r="AN37" s="106">
        <v>7</v>
      </c>
      <c r="AO37" s="106">
        <v>6022.8</v>
      </c>
      <c r="AP37" s="106">
        <v>12</v>
      </c>
      <c r="AQ37" s="106">
        <v>10324.799999999999</v>
      </c>
      <c r="AR37" s="106">
        <v>53</v>
      </c>
      <c r="AS37" s="106">
        <v>45601.2</v>
      </c>
      <c r="AT37" s="106">
        <v>34</v>
      </c>
      <c r="AU37" s="106">
        <v>29253.599999999999</v>
      </c>
      <c r="AV37" s="106">
        <v>52</v>
      </c>
      <c r="AW37" s="106">
        <v>44740.799999999996</v>
      </c>
      <c r="AX37" s="106">
        <v>53</v>
      </c>
      <c r="AY37" s="106">
        <v>45601.2</v>
      </c>
      <c r="AZ37" s="106">
        <v>8</v>
      </c>
      <c r="BA37" s="106">
        <v>6883.2</v>
      </c>
      <c r="BB37" s="106">
        <v>8</v>
      </c>
      <c r="BC37" s="106">
        <v>6883.2</v>
      </c>
      <c r="BD37" s="106">
        <v>11</v>
      </c>
      <c r="BE37" s="106">
        <v>9464.4</v>
      </c>
      <c r="BF37" s="106">
        <v>14</v>
      </c>
      <c r="BG37" s="106">
        <v>12045.6</v>
      </c>
      <c r="BH37" s="106">
        <v>14</v>
      </c>
      <c r="BI37" s="106">
        <v>12045.6</v>
      </c>
      <c r="BJ37" s="106">
        <v>20</v>
      </c>
      <c r="BK37" s="106">
        <v>17208</v>
      </c>
      <c r="BL37" s="106">
        <v>12</v>
      </c>
      <c r="BM37" s="106">
        <v>10324.799999999999</v>
      </c>
      <c r="BN37" s="106">
        <v>20</v>
      </c>
      <c r="BO37" s="106">
        <v>17208</v>
      </c>
      <c r="BP37" s="106">
        <v>12</v>
      </c>
      <c r="BQ37" s="106">
        <v>10324.799999999999</v>
      </c>
      <c r="BR37" s="106">
        <v>15</v>
      </c>
      <c r="BS37" s="106">
        <v>12906</v>
      </c>
      <c r="BT37" s="106">
        <v>8</v>
      </c>
      <c r="BU37" s="106">
        <v>6883.2</v>
      </c>
      <c r="BV37" s="106">
        <v>8</v>
      </c>
      <c r="BW37" s="106">
        <v>6883.2</v>
      </c>
      <c r="BX37" s="106">
        <v>5</v>
      </c>
      <c r="BY37" s="106">
        <v>4302</v>
      </c>
      <c r="BZ37" s="106">
        <v>6</v>
      </c>
      <c r="CA37" s="106">
        <v>5162.3999999999996</v>
      </c>
      <c r="CB37" s="106">
        <v>5</v>
      </c>
      <c r="CC37" s="106">
        <v>4302</v>
      </c>
      <c r="CD37" s="106">
        <v>6</v>
      </c>
      <c r="CE37" s="106">
        <v>5162.3999999999996</v>
      </c>
      <c r="CF37" s="106">
        <v>23</v>
      </c>
      <c r="CG37" s="106">
        <v>19789.2</v>
      </c>
      <c r="CH37" s="106">
        <v>34</v>
      </c>
      <c r="CI37" s="106">
        <v>29253.599999999999</v>
      </c>
      <c r="CJ37" s="106">
        <v>25</v>
      </c>
      <c r="CK37" s="106">
        <v>21510</v>
      </c>
      <c r="CL37" s="106">
        <v>31</v>
      </c>
      <c r="CM37" s="106">
        <v>26672.399999999998</v>
      </c>
      <c r="CN37" s="106">
        <v>19</v>
      </c>
      <c r="CO37" s="106">
        <v>16347.6</v>
      </c>
      <c r="CP37" s="106">
        <v>16</v>
      </c>
      <c r="CQ37" s="106">
        <v>13766.4</v>
      </c>
      <c r="CR37" s="106">
        <v>20</v>
      </c>
      <c r="CS37" s="106">
        <v>17208</v>
      </c>
      <c r="CT37" s="106">
        <v>22</v>
      </c>
      <c r="CU37" s="106">
        <v>18928.8</v>
      </c>
    </row>
    <row r="38" spans="2:99" x14ac:dyDescent="0.2">
      <c r="C38" s="105" t="s">
        <v>203</v>
      </c>
      <c r="D38" s="106">
        <v>7</v>
      </c>
      <c r="E38" s="106">
        <v>8694</v>
      </c>
      <c r="F38" s="106">
        <v>5</v>
      </c>
      <c r="G38" s="106">
        <v>6210</v>
      </c>
      <c r="H38" s="106">
        <v>6</v>
      </c>
      <c r="I38" s="106">
        <v>7452</v>
      </c>
      <c r="J38" s="106">
        <v>6</v>
      </c>
      <c r="K38" s="106">
        <v>7452</v>
      </c>
      <c r="L38" s="106">
        <v>14</v>
      </c>
      <c r="M38" s="106">
        <v>17388</v>
      </c>
      <c r="N38" s="106">
        <v>18</v>
      </c>
      <c r="O38" s="106">
        <v>22356</v>
      </c>
      <c r="P38" s="106">
        <v>17</v>
      </c>
      <c r="Q38" s="106">
        <v>21114</v>
      </c>
      <c r="R38" s="106">
        <v>17</v>
      </c>
      <c r="S38" s="106">
        <v>21114</v>
      </c>
      <c r="T38" s="106">
        <v>14</v>
      </c>
      <c r="U38" s="106">
        <v>17388</v>
      </c>
      <c r="V38" s="106">
        <v>21</v>
      </c>
      <c r="W38" s="106">
        <v>26082</v>
      </c>
      <c r="X38" s="106">
        <v>24</v>
      </c>
      <c r="Y38" s="106">
        <v>29808</v>
      </c>
      <c r="Z38" s="106">
        <v>21</v>
      </c>
      <c r="AA38" s="106">
        <v>26082</v>
      </c>
      <c r="AB38" s="106">
        <v>30</v>
      </c>
      <c r="AC38" s="106">
        <v>37260</v>
      </c>
      <c r="AD38" s="106">
        <v>22</v>
      </c>
      <c r="AE38" s="106">
        <v>27324</v>
      </c>
      <c r="AF38" s="106">
        <v>18</v>
      </c>
      <c r="AG38" s="106">
        <v>22356</v>
      </c>
      <c r="AH38" s="106">
        <v>21</v>
      </c>
      <c r="AI38" s="106">
        <v>26082</v>
      </c>
      <c r="AJ38" s="106">
        <v>8</v>
      </c>
      <c r="AK38" s="106">
        <v>9936</v>
      </c>
      <c r="AL38" s="106">
        <v>11</v>
      </c>
      <c r="AM38" s="106">
        <v>13662</v>
      </c>
      <c r="AN38" s="106">
        <v>7</v>
      </c>
      <c r="AO38" s="106">
        <v>8694</v>
      </c>
      <c r="AP38" s="106">
        <v>12</v>
      </c>
      <c r="AQ38" s="106">
        <v>14904</v>
      </c>
      <c r="AR38" s="106">
        <v>51</v>
      </c>
      <c r="AS38" s="106">
        <v>63342</v>
      </c>
      <c r="AT38" s="106">
        <v>36</v>
      </c>
      <c r="AU38" s="106">
        <v>44712</v>
      </c>
      <c r="AV38" s="106">
        <v>46</v>
      </c>
      <c r="AW38" s="106">
        <v>57132</v>
      </c>
      <c r="AX38" s="106">
        <v>44</v>
      </c>
      <c r="AY38" s="106">
        <v>54648</v>
      </c>
      <c r="AZ38" s="106">
        <v>9</v>
      </c>
      <c r="BA38" s="106">
        <v>11178</v>
      </c>
      <c r="BB38" s="106">
        <v>8</v>
      </c>
      <c r="BC38" s="106">
        <v>9936</v>
      </c>
      <c r="BD38" s="106">
        <v>10</v>
      </c>
      <c r="BE38" s="106">
        <v>12420</v>
      </c>
      <c r="BF38" s="106">
        <v>13</v>
      </c>
      <c r="BG38" s="106">
        <v>16146</v>
      </c>
      <c r="BH38" s="106">
        <v>16</v>
      </c>
      <c r="BI38" s="106">
        <v>19872</v>
      </c>
      <c r="BJ38" s="106">
        <v>16</v>
      </c>
      <c r="BK38" s="106">
        <v>19872</v>
      </c>
      <c r="BL38" s="106">
        <v>11</v>
      </c>
      <c r="BM38" s="106">
        <v>13662</v>
      </c>
      <c r="BN38" s="106">
        <v>20</v>
      </c>
      <c r="BO38" s="106">
        <v>24840</v>
      </c>
      <c r="BP38" s="106">
        <v>11</v>
      </c>
      <c r="BQ38" s="106">
        <v>13662</v>
      </c>
      <c r="BR38" s="106">
        <v>14</v>
      </c>
      <c r="BS38" s="106">
        <v>17388</v>
      </c>
      <c r="BT38" s="106">
        <v>8</v>
      </c>
      <c r="BU38" s="106">
        <v>9936</v>
      </c>
      <c r="BV38" s="106">
        <v>7</v>
      </c>
      <c r="BW38" s="106">
        <v>8694</v>
      </c>
      <c r="BX38" s="106">
        <v>6</v>
      </c>
      <c r="BY38" s="106">
        <v>7452</v>
      </c>
      <c r="BZ38" s="106">
        <v>7</v>
      </c>
      <c r="CA38" s="106">
        <v>8694</v>
      </c>
      <c r="CB38" s="106">
        <v>6</v>
      </c>
      <c r="CC38" s="106">
        <v>7452</v>
      </c>
      <c r="CD38" s="106">
        <v>6</v>
      </c>
      <c r="CE38" s="106">
        <v>7452</v>
      </c>
      <c r="CF38" s="106">
        <v>27</v>
      </c>
      <c r="CG38" s="106">
        <v>33534</v>
      </c>
      <c r="CH38" s="106">
        <v>28</v>
      </c>
      <c r="CI38" s="106">
        <v>34776</v>
      </c>
      <c r="CJ38" s="106">
        <v>24</v>
      </c>
      <c r="CK38" s="106">
        <v>29808</v>
      </c>
      <c r="CL38" s="106">
        <v>34</v>
      </c>
      <c r="CM38" s="106">
        <v>42228</v>
      </c>
      <c r="CN38" s="106">
        <v>18</v>
      </c>
      <c r="CO38" s="106">
        <v>22356</v>
      </c>
      <c r="CP38" s="106">
        <v>18</v>
      </c>
      <c r="CQ38" s="106">
        <v>22356</v>
      </c>
      <c r="CR38" s="106">
        <v>18</v>
      </c>
      <c r="CS38" s="106">
        <v>22356</v>
      </c>
      <c r="CT38" s="106">
        <v>22</v>
      </c>
      <c r="CU38" s="106">
        <v>27324</v>
      </c>
    </row>
    <row r="39" spans="2:99" x14ac:dyDescent="0.2">
      <c r="C39" s="105" t="s">
        <v>204</v>
      </c>
      <c r="D39" s="106">
        <v>8</v>
      </c>
      <c r="E39" s="106">
        <v>11385.6</v>
      </c>
      <c r="F39" s="106">
        <v>5</v>
      </c>
      <c r="G39" s="106">
        <v>7116</v>
      </c>
      <c r="H39" s="106">
        <v>5</v>
      </c>
      <c r="I39" s="106">
        <v>7116</v>
      </c>
      <c r="J39" s="106">
        <v>5</v>
      </c>
      <c r="K39" s="106">
        <v>7116</v>
      </c>
      <c r="L39" s="106">
        <v>13</v>
      </c>
      <c r="M39" s="106">
        <v>18501.600000000002</v>
      </c>
      <c r="N39" s="106">
        <v>17</v>
      </c>
      <c r="O39" s="106">
        <v>24194.400000000001</v>
      </c>
      <c r="P39" s="106">
        <v>16</v>
      </c>
      <c r="Q39" s="106">
        <v>22771.200000000001</v>
      </c>
      <c r="R39" s="106">
        <v>16</v>
      </c>
      <c r="S39" s="106">
        <v>22771.200000000001</v>
      </c>
      <c r="T39" s="106">
        <v>16</v>
      </c>
      <c r="U39" s="106">
        <v>22771.200000000001</v>
      </c>
      <c r="V39" s="106">
        <v>21</v>
      </c>
      <c r="W39" s="106">
        <v>29887.200000000001</v>
      </c>
      <c r="X39" s="106">
        <v>21</v>
      </c>
      <c r="Y39" s="106">
        <v>29887.200000000001</v>
      </c>
      <c r="Z39" s="106">
        <v>22</v>
      </c>
      <c r="AA39" s="106">
        <v>31310.400000000001</v>
      </c>
      <c r="AB39" s="106">
        <v>33</v>
      </c>
      <c r="AC39" s="106">
        <v>46965.599999999999</v>
      </c>
      <c r="AD39" s="106">
        <v>21</v>
      </c>
      <c r="AE39" s="106">
        <v>29887.200000000001</v>
      </c>
      <c r="AF39" s="106">
        <v>19</v>
      </c>
      <c r="AG39" s="106">
        <v>27040.799999999999</v>
      </c>
      <c r="AH39" s="106">
        <v>22</v>
      </c>
      <c r="AI39" s="106">
        <v>31310.400000000001</v>
      </c>
      <c r="AJ39" s="106">
        <v>7</v>
      </c>
      <c r="AK39" s="106">
        <v>9962.4</v>
      </c>
      <c r="AL39" s="106">
        <v>10</v>
      </c>
      <c r="AM39" s="106">
        <v>14232</v>
      </c>
      <c r="AN39" s="106">
        <v>6</v>
      </c>
      <c r="AO39" s="106">
        <v>8539.2000000000007</v>
      </c>
      <c r="AP39" s="106">
        <v>12</v>
      </c>
      <c r="AQ39" s="106">
        <v>17078.400000000001</v>
      </c>
      <c r="AR39" s="106">
        <v>51</v>
      </c>
      <c r="AS39" s="106">
        <v>72583.199999999997</v>
      </c>
      <c r="AT39" s="106">
        <v>35</v>
      </c>
      <c r="AU39" s="106">
        <v>49812</v>
      </c>
      <c r="AV39" s="106">
        <v>45</v>
      </c>
      <c r="AW39" s="106">
        <v>64044</v>
      </c>
      <c r="AX39" s="106">
        <v>49</v>
      </c>
      <c r="AY39" s="106">
        <v>69736.800000000003</v>
      </c>
      <c r="AZ39" s="106">
        <v>8</v>
      </c>
      <c r="BA39" s="106">
        <v>11385.6</v>
      </c>
      <c r="BB39" s="106">
        <v>8</v>
      </c>
      <c r="BC39" s="106">
        <v>11385.6</v>
      </c>
      <c r="BD39" s="106">
        <v>9</v>
      </c>
      <c r="BE39" s="106">
        <v>12808.800000000001</v>
      </c>
      <c r="BF39" s="106">
        <v>14</v>
      </c>
      <c r="BG39" s="106">
        <v>19924.8</v>
      </c>
      <c r="BH39" s="106">
        <v>13</v>
      </c>
      <c r="BI39" s="106">
        <v>18501.600000000002</v>
      </c>
      <c r="BJ39" s="106">
        <v>18</v>
      </c>
      <c r="BK39" s="106">
        <v>25617.600000000002</v>
      </c>
      <c r="BL39" s="106">
        <v>12</v>
      </c>
      <c r="BM39" s="106">
        <v>17078.400000000001</v>
      </c>
      <c r="BN39" s="106">
        <v>17</v>
      </c>
      <c r="BO39" s="106">
        <v>24194.400000000001</v>
      </c>
      <c r="BP39" s="106">
        <v>10</v>
      </c>
      <c r="BQ39" s="106">
        <v>14232</v>
      </c>
      <c r="BR39" s="106">
        <v>14</v>
      </c>
      <c r="BS39" s="106">
        <v>19924.8</v>
      </c>
      <c r="BT39" s="106">
        <v>8</v>
      </c>
      <c r="BU39" s="106">
        <v>11385.6</v>
      </c>
      <c r="BV39" s="106">
        <v>8</v>
      </c>
      <c r="BW39" s="106">
        <v>11385.6</v>
      </c>
      <c r="BX39" s="106">
        <v>6</v>
      </c>
      <c r="BY39" s="106">
        <v>8539.2000000000007</v>
      </c>
      <c r="BZ39" s="106">
        <v>6</v>
      </c>
      <c r="CA39" s="106">
        <v>8539.2000000000007</v>
      </c>
      <c r="CB39" s="106">
        <v>6</v>
      </c>
      <c r="CC39" s="106">
        <v>8539.2000000000007</v>
      </c>
      <c r="CD39" s="106">
        <v>6</v>
      </c>
      <c r="CE39" s="106">
        <v>8539.2000000000007</v>
      </c>
      <c r="CF39" s="106">
        <v>22</v>
      </c>
      <c r="CG39" s="106">
        <v>31310.400000000001</v>
      </c>
      <c r="CH39" s="106">
        <v>31</v>
      </c>
      <c r="CI39" s="106">
        <v>44119.200000000004</v>
      </c>
      <c r="CJ39" s="106">
        <v>23</v>
      </c>
      <c r="CK39" s="106">
        <v>32733.600000000002</v>
      </c>
      <c r="CL39" s="106">
        <v>31</v>
      </c>
      <c r="CM39" s="106">
        <v>44119.200000000004</v>
      </c>
      <c r="CN39" s="106">
        <v>19</v>
      </c>
      <c r="CO39" s="106">
        <v>27040.799999999999</v>
      </c>
      <c r="CP39" s="106">
        <v>17</v>
      </c>
      <c r="CQ39" s="106">
        <v>24194.400000000001</v>
      </c>
      <c r="CR39" s="106">
        <v>16</v>
      </c>
      <c r="CS39" s="106">
        <v>22771.200000000001</v>
      </c>
      <c r="CT39" s="106">
        <v>21</v>
      </c>
      <c r="CU39" s="106">
        <v>29887.200000000001</v>
      </c>
    </row>
    <row r="40" spans="2:99" x14ac:dyDescent="0.2">
      <c r="C40" s="105" t="s">
        <v>205</v>
      </c>
      <c r="D40" s="106">
        <v>9</v>
      </c>
      <c r="E40" s="106">
        <v>6523.2</v>
      </c>
      <c r="F40" s="106">
        <v>5</v>
      </c>
      <c r="G40" s="106">
        <v>3624</v>
      </c>
      <c r="H40" s="106">
        <v>6</v>
      </c>
      <c r="I40" s="106">
        <v>4348.7999999999993</v>
      </c>
      <c r="J40" s="106">
        <v>5</v>
      </c>
      <c r="K40" s="106">
        <v>3624</v>
      </c>
      <c r="L40" s="106">
        <v>15</v>
      </c>
      <c r="M40" s="106">
        <v>10872</v>
      </c>
      <c r="N40" s="106">
        <v>20</v>
      </c>
      <c r="O40" s="106">
        <v>14496</v>
      </c>
      <c r="P40" s="106">
        <v>20</v>
      </c>
      <c r="Q40" s="106">
        <v>14496</v>
      </c>
      <c r="R40" s="106">
        <v>19</v>
      </c>
      <c r="S40" s="106">
        <v>13771.199999999999</v>
      </c>
      <c r="T40" s="106">
        <v>18</v>
      </c>
      <c r="U40" s="106">
        <v>13046.4</v>
      </c>
      <c r="V40" s="106">
        <v>25</v>
      </c>
      <c r="W40" s="106">
        <v>18120</v>
      </c>
      <c r="X40" s="106">
        <v>27</v>
      </c>
      <c r="Y40" s="106">
        <v>19569.599999999999</v>
      </c>
      <c r="Z40" s="106">
        <v>24</v>
      </c>
      <c r="AA40" s="106">
        <v>17395.199999999997</v>
      </c>
      <c r="AB40" s="106">
        <v>37</v>
      </c>
      <c r="AC40" s="106">
        <v>26817.599999999999</v>
      </c>
      <c r="AD40" s="106">
        <v>24</v>
      </c>
      <c r="AE40" s="106">
        <v>17395.199999999997</v>
      </c>
      <c r="AF40" s="106">
        <v>22</v>
      </c>
      <c r="AG40" s="106">
        <v>15945.599999999999</v>
      </c>
      <c r="AH40" s="106">
        <v>23</v>
      </c>
      <c r="AI40" s="106">
        <v>16670.399999999998</v>
      </c>
      <c r="AJ40" s="106">
        <v>8</v>
      </c>
      <c r="AK40" s="106">
        <v>5798.4</v>
      </c>
      <c r="AL40" s="106">
        <v>11</v>
      </c>
      <c r="AM40" s="106">
        <v>7972.7999999999993</v>
      </c>
      <c r="AN40" s="106">
        <v>7</v>
      </c>
      <c r="AO40" s="106">
        <v>5073.5999999999995</v>
      </c>
      <c r="AP40" s="106">
        <v>13</v>
      </c>
      <c r="AQ40" s="106">
        <v>9422.4</v>
      </c>
      <c r="AR40" s="106">
        <v>57</v>
      </c>
      <c r="AS40" s="106">
        <v>41313.599999999999</v>
      </c>
      <c r="AT40" s="106">
        <v>41</v>
      </c>
      <c r="AU40" s="106">
        <v>29716.799999999999</v>
      </c>
      <c r="AV40" s="106">
        <v>50</v>
      </c>
      <c r="AW40" s="106">
        <v>36240</v>
      </c>
      <c r="AX40" s="106">
        <v>55</v>
      </c>
      <c r="AY40" s="106">
        <v>39864</v>
      </c>
      <c r="AZ40" s="106">
        <v>9</v>
      </c>
      <c r="BA40" s="106">
        <v>6523.2</v>
      </c>
      <c r="BB40" s="106">
        <v>8</v>
      </c>
      <c r="BC40" s="106">
        <v>5798.4</v>
      </c>
      <c r="BD40" s="106">
        <v>11</v>
      </c>
      <c r="BE40" s="106">
        <v>7972.7999999999993</v>
      </c>
      <c r="BF40" s="106">
        <v>14</v>
      </c>
      <c r="BG40" s="106">
        <v>10147.199999999999</v>
      </c>
      <c r="BH40" s="106">
        <v>14</v>
      </c>
      <c r="BI40" s="106">
        <v>10147.199999999999</v>
      </c>
      <c r="BJ40" s="106">
        <v>20</v>
      </c>
      <c r="BK40" s="106">
        <v>14496</v>
      </c>
      <c r="BL40" s="106">
        <v>12</v>
      </c>
      <c r="BM40" s="106">
        <v>8697.5999999999985</v>
      </c>
      <c r="BN40" s="106">
        <v>18</v>
      </c>
      <c r="BO40" s="106">
        <v>13046.4</v>
      </c>
      <c r="BP40" s="106">
        <v>11</v>
      </c>
      <c r="BQ40" s="106">
        <v>7972.7999999999993</v>
      </c>
      <c r="BR40" s="106">
        <v>16</v>
      </c>
      <c r="BS40" s="106">
        <v>11596.8</v>
      </c>
      <c r="BT40" s="106">
        <v>9</v>
      </c>
      <c r="BU40" s="106">
        <v>6523.2</v>
      </c>
      <c r="BV40" s="106">
        <v>7</v>
      </c>
      <c r="BW40" s="106">
        <v>5073.5999999999995</v>
      </c>
      <c r="BX40" s="106">
        <v>6</v>
      </c>
      <c r="BY40" s="106">
        <v>4348.7999999999993</v>
      </c>
      <c r="BZ40" s="106">
        <v>6</v>
      </c>
      <c r="CA40" s="106">
        <v>4348.7999999999993</v>
      </c>
      <c r="CB40" s="106">
        <v>6</v>
      </c>
      <c r="CC40" s="106">
        <v>4348.7999999999993</v>
      </c>
      <c r="CD40" s="106">
        <v>7</v>
      </c>
      <c r="CE40" s="106">
        <v>5073.5999999999995</v>
      </c>
      <c r="CF40" s="106">
        <v>24</v>
      </c>
      <c r="CG40" s="106">
        <v>17395.199999999997</v>
      </c>
      <c r="CH40" s="106">
        <v>35</v>
      </c>
      <c r="CI40" s="106">
        <v>25368</v>
      </c>
      <c r="CJ40" s="106">
        <v>26</v>
      </c>
      <c r="CK40" s="106">
        <v>18844.8</v>
      </c>
      <c r="CL40" s="106">
        <v>35</v>
      </c>
      <c r="CM40" s="106">
        <v>25368</v>
      </c>
      <c r="CN40" s="106">
        <v>21</v>
      </c>
      <c r="CO40" s="106">
        <v>15220.8</v>
      </c>
      <c r="CP40" s="106">
        <v>17</v>
      </c>
      <c r="CQ40" s="106">
        <v>12321.599999999999</v>
      </c>
      <c r="CR40" s="106">
        <v>20</v>
      </c>
      <c r="CS40" s="106">
        <v>14496</v>
      </c>
      <c r="CT40" s="106">
        <v>20</v>
      </c>
      <c r="CU40" s="106">
        <v>14496</v>
      </c>
    </row>
    <row r="41" spans="2:99" x14ac:dyDescent="0.2">
      <c r="C41" s="105" t="s">
        <v>206</v>
      </c>
      <c r="D41" s="106">
        <v>8</v>
      </c>
      <c r="E41" s="106">
        <v>5280</v>
      </c>
      <c r="F41" s="106">
        <v>5</v>
      </c>
      <c r="G41" s="106">
        <v>3300</v>
      </c>
      <c r="H41" s="106">
        <v>6</v>
      </c>
      <c r="I41" s="106">
        <v>3960</v>
      </c>
      <c r="J41" s="106">
        <v>6</v>
      </c>
      <c r="K41" s="106">
        <v>3960</v>
      </c>
      <c r="L41" s="106">
        <v>15</v>
      </c>
      <c r="M41" s="106">
        <v>9900</v>
      </c>
      <c r="N41" s="106">
        <v>21</v>
      </c>
      <c r="O41" s="106">
        <v>13860</v>
      </c>
      <c r="P41" s="106">
        <v>18</v>
      </c>
      <c r="Q41" s="106">
        <v>11880</v>
      </c>
      <c r="R41" s="106">
        <v>17</v>
      </c>
      <c r="S41" s="106">
        <v>11220</v>
      </c>
      <c r="T41" s="106">
        <v>16</v>
      </c>
      <c r="U41" s="106">
        <v>10560</v>
      </c>
      <c r="V41" s="106">
        <v>25</v>
      </c>
      <c r="W41" s="106">
        <v>16500</v>
      </c>
      <c r="X41" s="106">
        <v>24</v>
      </c>
      <c r="Y41" s="106">
        <v>15840</v>
      </c>
      <c r="Z41" s="106">
        <v>27</v>
      </c>
      <c r="AA41" s="106">
        <v>17820</v>
      </c>
      <c r="AB41" s="106">
        <v>34</v>
      </c>
      <c r="AC41" s="106">
        <v>22440</v>
      </c>
      <c r="AD41" s="106">
        <v>24</v>
      </c>
      <c r="AE41" s="106">
        <v>15840</v>
      </c>
      <c r="AF41" s="106">
        <v>21</v>
      </c>
      <c r="AG41" s="106">
        <v>13860</v>
      </c>
      <c r="AH41" s="106">
        <v>25</v>
      </c>
      <c r="AI41" s="106">
        <v>16500</v>
      </c>
      <c r="AJ41" s="106">
        <v>7</v>
      </c>
      <c r="AK41" s="106">
        <v>4620</v>
      </c>
      <c r="AL41" s="106">
        <v>12</v>
      </c>
      <c r="AM41" s="106">
        <v>7920</v>
      </c>
      <c r="AN41" s="106">
        <v>7</v>
      </c>
      <c r="AO41" s="106">
        <v>4620</v>
      </c>
      <c r="AP41" s="106">
        <v>14</v>
      </c>
      <c r="AQ41" s="106">
        <v>9240</v>
      </c>
      <c r="AR41" s="106">
        <v>52</v>
      </c>
      <c r="AS41" s="106">
        <v>34320</v>
      </c>
      <c r="AT41" s="106">
        <v>37</v>
      </c>
      <c r="AU41" s="106">
        <v>24420</v>
      </c>
      <c r="AV41" s="106">
        <v>57</v>
      </c>
      <c r="AW41" s="106">
        <v>37620</v>
      </c>
      <c r="AX41" s="106">
        <v>52</v>
      </c>
      <c r="AY41" s="106">
        <v>34320</v>
      </c>
      <c r="AZ41" s="106">
        <v>9</v>
      </c>
      <c r="BA41" s="106">
        <v>5940</v>
      </c>
      <c r="BB41" s="106">
        <v>8</v>
      </c>
      <c r="BC41" s="106">
        <v>5280</v>
      </c>
      <c r="BD41" s="106">
        <v>10</v>
      </c>
      <c r="BE41" s="106">
        <v>6600</v>
      </c>
      <c r="BF41" s="106">
        <v>15</v>
      </c>
      <c r="BG41" s="106">
        <v>9900</v>
      </c>
      <c r="BH41" s="106">
        <v>16</v>
      </c>
      <c r="BI41" s="106">
        <v>10560</v>
      </c>
      <c r="BJ41" s="106">
        <v>17</v>
      </c>
      <c r="BK41" s="106">
        <v>11220</v>
      </c>
      <c r="BL41" s="106">
        <v>14</v>
      </c>
      <c r="BM41" s="106">
        <v>9240</v>
      </c>
      <c r="BN41" s="106">
        <v>20</v>
      </c>
      <c r="BO41" s="106">
        <v>13200</v>
      </c>
      <c r="BP41" s="106">
        <v>12</v>
      </c>
      <c r="BQ41" s="106">
        <v>7920</v>
      </c>
      <c r="BR41" s="106">
        <v>16</v>
      </c>
      <c r="BS41" s="106">
        <v>10560</v>
      </c>
      <c r="BT41" s="106">
        <v>10</v>
      </c>
      <c r="BU41" s="106">
        <v>6600</v>
      </c>
      <c r="BV41" s="106">
        <v>9</v>
      </c>
      <c r="BW41" s="106">
        <v>5940</v>
      </c>
      <c r="BX41" s="106">
        <v>6</v>
      </c>
      <c r="BY41" s="106">
        <v>3960</v>
      </c>
      <c r="BZ41" s="106">
        <v>7</v>
      </c>
      <c r="CA41" s="106">
        <v>4620</v>
      </c>
      <c r="CB41" s="106">
        <v>6</v>
      </c>
      <c r="CC41" s="106">
        <v>3960</v>
      </c>
      <c r="CD41" s="106">
        <v>6</v>
      </c>
      <c r="CE41" s="106">
        <v>3960</v>
      </c>
      <c r="CF41" s="106">
        <v>28</v>
      </c>
      <c r="CG41" s="106">
        <v>18480</v>
      </c>
      <c r="CH41" s="106">
        <v>36</v>
      </c>
      <c r="CI41" s="106">
        <v>23760</v>
      </c>
      <c r="CJ41" s="106">
        <v>28</v>
      </c>
      <c r="CK41" s="106">
        <v>18480</v>
      </c>
      <c r="CL41" s="106">
        <v>36</v>
      </c>
      <c r="CM41" s="106">
        <v>23760</v>
      </c>
      <c r="CN41" s="106">
        <v>22</v>
      </c>
      <c r="CO41" s="106">
        <v>14520</v>
      </c>
      <c r="CP41" s="106">
        <v>17</v>
      </c>
      <c r="CQ41" s="106">
        <v>11220</v>
      </c>
      <c r="CR41" s="106">
        <v>18</v>
      </c>
      <c r="CS41" s="106">
        <v>11880</v>
      </c>
      <c r="CT41" s="106">
        <v>20</v>
      </c>
      <c r="CU41" s="106">
        <v>13200</v>
      </c>
    </row>
    <row r="42" spans="2:99" x14ac:dyDescent="0.2">
      <c r="C42" s="105" t="s">
        <v>207</v>
      </c>
      <c r="D42" s="106">
        <v>8</v>
      </c>
      <c r="E42" s="106">
        <v>6768</v>
      </c>
      <c r="F42" s="106">
        <v>6</v>
      </c>
      <c r="G42" s="106">
        <v>5076</v>
      </c>
      <c r="H42" s="106">
        <v>5</v>
      </c>
      <c r="I42" s="106">
        <v>4230</v>
      </c>
      <c r="J42" s="106">
        <v>5</v>
      </c>
      <c r="K42" s="106">
        <v>4230</v>
      </c>
      <c r="L42" s="106">
        <v>16</v>
      </c>
      <c r="M42" s="106">
        <v>13536</v>
      </c>
      <c r="N42" s="106">
        <v>21</v>
      </c>
      <c r="O42" s="106">
        <v>17766</v>
      </c>
      <c r="P42" s="106">
        <v>18</v>
      </c>
      <c r="Q42" s="106">
        <v>15228</v>
      </c>
      <c r="R42" s="106">
        <v>18</v>
      </c>
      <c r="S42" s="106">
        <v>15228</v>
      </c>
      <c r="T42" s="106">
        <v>15</v>
      </c>
      <c r="U42" s="106">
        <v>12690</v>
      </c>
      <c r="V42" s="106">
        <v>22</v>
      </c>
      <c r="W42" s="106">
        <v>18612</v>
      </c>
      <c r="X42" s="106">
        <v>26</v>
      </c>
      <c r="Y42" s="106">
        <v>21996</v>
      </c>
      <c r="Z42" s="106">
        <v>23</v>
      </c>
      <c r="AA42" s="106">
        <v>19458</v>
      </c>
      <c r="AB42" s="106">
        <v>36</v>
      </c>
      <c r="AC42" s="106">
        <v>30456</v>
      </c>
      <c r="AD42" s="106">
        <v>24</v>
      </c>
      <c r="AE42" s="106">
        <v>20304</v>
      </c>
      <c r="AF42" s="106">
        <v>22</v>
      </c>
      <c r="AG42" s="106">
        <v>18612</v>
      </c>
      <c r="AH42" s="106">
        <v>23</v>
      </c>
      <c r="AI42" s="106">
        <v>19458</v>
      </c>
      <c r="AJ42" s="106">
        <v>8</v>
      </c>
      <c r="AK42" s="106">
        <v>6768</v>
      </c>
      <c r="AL42" s="106">
        <v>12</v>
      </c>
      <c r="AM42" s="106">
        <v>10152</v>
      </c>
      <c r="AN42" s="106">
        <v>7</v>
      </c>
      <c r="AO42" s="106">
        <v>5922</v>
      </c>
      <c r="AP42" s="106">
        <v>14</v>
      </c>
      <c r="AQ42" s="106">
        <v>11844</v>
      </c>
      <c r="AR42" s="106">
        <v>48</v>
      </c>
      <c r="AS42" s="106">
        <v>40608</v>
      </c>
      <c r="AT42" s="106">
        <v>37</v>
      </c>
      <c r="AU42" s="106">
        <v>31302</v>
      </c>
      <c r="AV42" s="106">
        <v>52</v>
      </c>
      <c r="AW42" s="106">
        <v>43992</v>
      </c>
      <c r="AX42" s="106">
        <v>46</v>
      </c>
      <c r="AY42" s="106">
        <v>38916</v>
      </c>
      <c r="AZ42" s="106">
        <v>9</v>
      </c>
      <c r="BA42" s="106">
        <v>7614</v>
      </c>
      <c r="BB42" s="106">
        <v>8</v>
      </c>
      <c r="BC42" s="106">
        <v>6768</v>
      </c>
      <c r="BD42" s="106">
        <v>10</v>
      </c>
      <c r="BE42" s="106">
        <v>8460</v>
      </c>
      <c r="BF42" s="106">
        <v>16</v>
      </c>
      <c r="BG42" s="106">
        <v>13536</v>
      </c>
      <c r="BH42" s="106">
        <v>14</v>
      </c>
      <c r="BI42" s="106">
        <v>11844</v>
      </c>
      <c r="BJ42" s="106">
        <v>18</v>
      </c>
      <c r="BK42" s="106">
        <v>15228</v>
      </c>
      <c r="BL42" s="106">
        <v>12</v>
      </c>
      <c r="BM42" s="106">
        <v>10152</v>
      </c>
      <c r="BN42" s="106">
        <v>20</v>
      </c>
      <c r="BO42" s="106">
        <v>16920</v>
      </c>
      <c r="BP42" s="106">
        <v>11</v>
      </c>
      <c r="BQ42" s="106">
        <v>9306</v>
      </c>
      <c r="BR42" s="106">
        <v>15</v>
      </c>
      <c r="BS42" s="106">
        <v>12690</v>
      </c>
      <c r="BT42" s="106">
        <v>9</v>
      </c>
      <c r="BU42" s="106">
        <v>7614</v>
      </c>
      <c r="BV42" s="106">
        <v>7</v>
      </c>
      <c r="BW42" s="106">
        <v>5922</v>
      </c>
      <c r="BX42" s="106">
        <v>6</v>
      </c>
      <c r="BY42" s="106">
        <v>5076</v>
      </c>
      <c r="BZ42" s="106">
        <v>7</v>
      </c>
      <c r="CA42" s="106">
        <v>5922</v>
      </c>
      <c r="CB42" s="106">
        <v>5</v>
      </c>
      <c r="CC42" s="106">
        <v>4230</v>
      </c>
      <c r="CD42" s="106">
        <v>6</v>
      </c>
      <c r="CE42" s="106">
        <v>5076</v>
      </c>
      <c r="CF42" s="106">
        <v>25</v>
      </c>
      <c r="CG42" s="106">
        <v>21150</v>
      </c>
      <c r="CH42" s="106">
        <v>35</v>
      </c>
      <c r="CI42" s="106">
        <v>29610</v>
      </c>
      <c r="CJ42" s="106">
        <v>25</v>
      </c>
      <c r="CK42" s="106">
        <v>21150</v>
      </c>
      <c r="CL42" s="106">
        <v>34</v>
      </c>
      <c r="CM42" s="106">
        <v>28764</v>
      </c>
      <c r="CN42" s="106">
        <v>19</v>
      </c>
      <c r="CO42" s="106">
        <v>16074</v>
      </c>
      <c r="CP42" s="106">
        <v>16</v>
      </c>
      <c r="CQ42" s="106">
        <v>13536</v>
      </c>
      <c r="CR42" s="106">
        <v>18</v>
      </c>
      <c r="CS42" s="106">
        <v>15228</v>
      </c>
      <c r="CT42" s="106">
        <v>21</v>
      </c>
      <c r="CU42" s="106">
        <v>17766</v>
      </c>
    </row>
    <row r="43" spans="2:99" x14ac:dyDescent="0.2">
      <c r="C43" s="105" t="s">
        <v>208</v>
      </c>
      <c r="D43" s="106">
        <v>7</v>
      </c>
      <c r="E43" s="106">
        <v>7156.8</v>
      </c>
      <c r="F43" s="106">
        <v>5</v>
      </c>
      <c r="G43" s="106">
        <v>5112</v>
      </c>
      <c r="H43" s="106">
        <v>6</v>
      </c>
      <c r="I43" s="106">
        <v>6134.4</v>
      </c>
      <c r="J43" s="106">
        <v>6</v>
      </c>
      <c r="K43" s="106">
        <v>6134.4</v>
      </c>
      <c r="L43" s="106">
        <v>14</v>
      </c>
      <c r="M43" s="106">
        <v>14313.6</v>
      </c>
      <c r="N43" s="106">
        <v>20</v>
      </c>
      <c r="O43" s="106">
        <v>20448</v>
      </c>
      <c r="P43" s="106">
        <v>17</v>
      </c>
      <c r="Q43" s="106">
        <v>17380.8</v>
      </c>
      <c r="R43" s="106">
        <v>18</v>
      </c>
      <c r="S43" s="106">
        <v>18403.2</v>
      </c>
      <c r="T43" s="106">
        <v>17</v>
      </c>
      <c r="U43" s="106">
        <v>17380.8</v>
      </c>
      <c r="V43" s="106">
        <v>24</v>
      </c>
      <c r="W43" s="106">
        <v>24537.599999999999</v>
      </c>
      <c r="X43" s="106">
        <v>22</v>
      </c>
      <c r="Y43" s="106">
        <v>22492.799999999999</v>
      </c>
      <c r="Z43" s="106">
        <v>25</v>
      </c>
      <c r="AA43" s="106">
        <v>25560</v>
      </c>
      <c r="AB43" s="106">
        <v>35</v>
      </c>
      <c r="AC43" s="106">
        <v>35784</v>
      </c>
      <c r="AD43" s="106">
        <v>21</v>
      </c>
      <c r="AE43" s="106">
        <v>21470.399999999998</v>
      </c>
      <c r="AF43" s="106">
        <v>20</v>
      </c>
      <c r="AG43" s="106">
        <v>20448</v>
      </c>
      <c r="AH43" s="106">
        <v>23</v>
      </c>
      <c r="AI43" s="106">
        <v>23515.200000000001</v>
      </c>
      <c r="AJ43" s="106">
        <v>8</v>
      </c>
      <c r="AK43" s="106">
        <v>8179.2</v>
      </c>
      <c r="AL43" s="106">
        <v>12</v>
      </c>
      <c r="AM43" s="106">
        <v>12268.8</v>
      </c>
      <c r="AN43" s="106">
        <v>7</v>
      </c>
      <c r="AO43" s="106">
        <v>7156.8</v>
      </c>
      <c r="AP43" s="106">
        <v>13</v>
      </c>
      <c r="AQ43" s="106">
        <v>13291.199999999999</v>
      </c>
      <c r="AR43" s="106">
        <v>51</v>
      </c>
      <c r="AS43" s="106">
        <v>52142.400000000001</v>
      </c>
      <c r="AT43" s="106">
        <v>35</v>
      </c>
      <c r="AU43" s="106">
        <v>35784</v>
      </c>
      <c r="AV43" s="106">
        <v>47</v>
      </c>
      <c r="AW43" s="106">
        <v>48052.799999999996</v>
      </c>
      <c r="AX43" s="106">
        <v>44</v>
      </c>
      <c r="AY43" s="106">
        <v>44985.599999999999</v>
      </c>
      <c r="AZ43" s="106">
        <v>8</v>
      </c>
      <c r="BA43" s="106">
        <v>8179.2</v>
      </c>
      <c r="BB43" s="106">
        <v>7</v>
      </c>
      <c r="BC43" s="106">
        <v>7156.8</v>
      </c>
      <c r="BD43" s="106">
        <v>11</v>
      </c>
      <c r="BE43" s="106">
        <v>11246.4</v>
      </c>
      <c r="BF43" s="106">
        <v>15</v>
      </c>
      <c r="BG43" s="106">
        <v>15336</v>
      </c>
      <c r="BH43" s="106">
        <v>15</v>
      </c>
      <c r="BI43" s="106">
        <v>15336</v>
      </c>
      <c r="BJ43" s="106">
        <v>18</v>
      </c>
      <c r="BK43" s="106">
        <v>18403.2</v>
      </c>
      <c r="BL43" s="106">
        <v>11</v>
      </c>
      <c r="BM43" s="106">
        <v>11246.4</v>
      </c>
      <c r="BN43" s="106">
        <v>20</v>
      </c>
      <c r="BO43" s="106">
        <v>20448</v>
      </c>
      <c r="BP43" s="106">
        <v>11</v>
      </c>
      <c r="BQ43" s="106">
        <v>11246.4</v>
      </c>
      <c r="BR43" s="106">
        <v>15</v>
      </c>
      <c r="BS43" s="106">
        <v>15336</v>
      </c>
      <c r="BT43" s="106">
        <v>9</v>
      </c>
      <c r="BU43" s="106">
        <v>9201.6</v>
      </c>
      <c r="BV43" s="106">
        <v>7</v>
      </c>
      <c r="BW43" s="106">
        <v>7156.8</v>
      </c>
      <c r="BX43" s="106">
        <v>5</v>
      </c>
      <c r="BY43" s="106">
        <v>5112</v>
      </c>
      <c r="BZ43" s="106">
        <v>7</v>
      </c>
      <c r="CA43" s="106">
        <v>7156.8</v>
      </c>
      <c r="CB43" s="106">
        <v>6</v>
      </c>
      <c r="CC43" s="106">
        <v>6134.4</v>
      </c>
      <c r="CD43" s="106">
        <v>6</v>
      </c>
      <c r="CE43" s="106">
        <v>6134.4</v>
      </c>
      <c r="CF43" s="106">
        <v>23</v>
      </c>
      <c r="CG43" s="106">
        <v>23515.200000000001</v>
      </c>
      <c r="CH43" s="106">
        <v>28</v>
      </c>
      <c r="CI43" s="106">
        <v>28627.200000000001</v>
      </c>
      <c r="CJ43" s="106">
        <v>23</v>
      </c>
      <c r="CK43" s="106">
        <v>23515.200000000001</v>
      </c>
      <c r="CL43" s="106">
        <v>33</v>
      </c>
      <c r="CM43" s="106">
        <v>33739.199999999997</v>
      </c>
      <c r="CN43" s="106">
        <v>19</v>
      </c>
      <c r="CO43" s="106">
        <v>19425.599999999999</v>
      </c>
      <c r="CP43" s="106">
        <v>18</v>
      </c>
      <c r="CQ43" s="106">
        <v>18403.2</v>
      </c>
      <c r="CR43" s="106">
        <v>18</v>
      </c>
      <c r="CS43" s="106">
        <v>18403.2</v>
      </c>
      <c r="CT43" s="106">
        <v>22</v>
      </c>
      <c r="CU43" s="106">
        <v>22492.799999999999</v>
      </c>
    </row>
    <row r="44" spans="2:99" x14ac:dyDescent="0.2">
      <c r="C44" s="105" t="s">
        <v>209</v>
      </c>
      <c r="D44" s="106">
        <v>9</v>
      </c>
      <c r="E44" s="106">
        <v>9201.6</v>
      </c>
      <c r="F44" s="106">
        <v>6</v>
      </c>
      <c r="G44" s="106">
        <v>6134.4</v>
      </c>
      <c r="H44" s="106">
        <v>6</v>
      </c>
      <c r="I44" s="106">
        <v>6134.4</v>
      </c>
      <c r="J44" s="106">
        <v>5</v>
      </c>
      <c r="K44" s="106">
        <v>5112</v>
      </c>
      <c r="L44" s="106">
        <v>14</v>
      </c>
      <c r="M44" s="106">
        <v>14313.6</v>
      </c>
      <c r="N44" s="106">
        <v>20</v>
      </c>
      <c r="O44" s="106">
        <v>20448</v>
      </c>
      <c r="P44" s="106">
        <v>16</v>
      </c>
      <c r="Q44" s="106">
        <v>16358.4</v>
      </c>
      <c r="R44" s="106">
        <v>17</v>
      </c>
      <c r="S44" s="106">
        <v>17380.8</v>
      </c>
      <c r="T44" s="106">
        <v>15</v>
      </c>
      <c r="U44" s="106">
        <v>15336</v>
      </c>
      <c r="V44" s="106">
        <v>22</v>
      </c>
      <c r="W44" s="106">
        <v>22492.799999999999</v>
      </c>
      <c r="X44" s="106">
        <v>24</v>
      </c>
      <c r="Y44" s="106">
        <v>24537.599999999999</v>
      </c>
      <c r="Z44" s="106">
        <v>24</v>
      </c>
      <c r="AA44" s="106">
        <v>24537.599999999999</v>
      </c>
      <c r="AB44" s="106">
        <v>32</v>
      </c>
      <c r="AC44" s="106">
        <v>32716.799999999999</v>
      </c>
      <c r="AD44" s="106">
        <v>23</v>
      </c>
      <c r="AE44" s="106">
        <v>23515.200000000001</v>
      </c>
      <c r="AF44" s="106">
        <v>21</v>
      </c>
      <c r="AG44" s="106">
        <v>21470.399999999998</v>
      </c>
      <c r="AH44" s="106">
        <v>22</v>
      </c>
      <c r="AI44" s="106">
        <v>22492.799999999999</v>
      </c>
      <c r="AJ44" s="106">
        <v>8</v>
      </c>
      <c r="AK44" s="106">
        <v>8179.2</v>
      </c>
      <c r="AL44" s="106">
        <v>12</v>
      </c>
      <c r="AM44" s="106">
        <v>12268.8</v>
      </c>
      <c r="AN44" s="106">
        <v>7</v>
      </c>
      <c r="AO44" s="106">
        <v>7156.8</v>
      </c>
      <c r="AP44" s="106">
        <v>13</v>
      </c>
      <c r="AQ44" s="106">
        <v>13291.199999999999</v>
      </c>
      <c r="AR44" s="106">
        <v>47</v>
      </c>
      <c r="AS44" s="106">
        <v>48052.799999999996</v>
      </c>
      <c r="AT44" s="106">
        <v>34</v>
      </c>
      <c r="AU44" s="106">
        <v>34761.599999999999</v>
      </c>
      <c r="AV44" s="106">
        <v>52</v>
      </c>
      <c r="AW44" s="106">
        <v>53164.799999999996</v>
      </c>
      <c r="AX44" s="106">
        <v>51</v>
      </c>
      <c r="AY44" s="106">
        <v>52142.400000000001</v>
      </c>
      <c r="AZ44" s="106">
        <v>9</v>
      </c>
      <c r="BA44" s="106">
        <v>9201.6</v>
      </c>
      <c r="BB44" s="106">
        <v>7</v>
      </c>
      <c r="BC44" s="106">
        <v>7156.8</v>
      </c>
      <c r="BD44" s="106">
        <v>10</v>
      </c>
      <c r="BE44" s="106">
        <v>10224</v>
      </c>
      <c r="BF44" s="106">
        <v>15</v>
      </c>
      <c r="BG44" s="106">
        <v>15336</v>
      </c>
      <c r="BH44" s="106">
        <v>16</v>
      </c>
      <c r="BI44" s="106">
        <v>16358.4</v>
      </c>
      <c r="BJ44" s="106">
        <v>19</v>
      </c>
      <c r="BK44" s="106">
        <v>19425.599999999999</v>
      </c>
      <c r="BL44" s="106">
        <v>13</v>
      </c>
      <c r="BM44" s="106">
        <v>13291.199999999999</v>
      </c>
      <c r="BN44" s="106">
        <v>20</v>
      </c>
      <c r="BO44" s="106">
        <v>20448</v>
      </c>
      <c r="BP44" s="106">
        <v>12</v>
      </c>
      <c r="BQ44" s="106">
        <v>12268.8</v>
      </c>
      <c r="BR44" s="106">
        <v>14</v>
      </c>
      <c r="BS44" s="106">
        <v>14313.6</v>
      </c>
      <c r="BT44" s="106">
        <v>9</v>
      </c>
      <c r="BU44" s="106">
        <v>9201.6</v>
      </c>
      <c r="BV44" s="106">
        <v>8</v>
      </c>
      <c r="BW44" s="106">
        <v>8179.2</v>
      </c>
      <c r="BX44" s="106">
        <v>6</v>
      </c>
      <c r="BY44" s="106">
        <v>6134.4</v>
      </c>
      <c r="BZ44" s="106">
        <v>6</v>
      </c>
      <c r="CA44" s="106">
        <v>6134.4</v>
      </c>
      <c r="CB44" s="106">
        <v>5</v>
      </c>
      <c r="CC44" s="106">
        <v>5112</v>
      </c>
      <c r="CD44" s="106">
        <v>7</v>
      </c>
      <c r="CE44" s="106">
        <v>7156.8</v>
      </c>
      <c r="CF44" s="106">
        <v>26</v>
      </c>
      <c r="CG44" s="106">
        <v>26582.399999999998</v>
      </c>
      <c r="CH44" s="106">
        <v>33</v>
      </c>
      <c r="CI44" s="106">
        <v>33739.199999999997</v>
      </c>
      <c r="CJ44" s="106">
        <v>26</v>
      </c>
      <c r="CK44" s="106">
        <v>26582.399999999998</v>
      </c>
      <c r="CL44" s="106">
        <v>30</v>
      </c>
      <c r="CM44" s="106">
        <v>30672</v>
      </c>
      <c r="CN44" s="106">
        <v>21</v>
      </c>
      <c r="CO44" s="106">
        <v>21470.399999999998</v>
      </c>
      <c r="CP44" s="106">
        <v>19</v>
      </c>
      <c r="CQ44" s="106">
        <v>19425.599999999999</v>
      </c>
      <c r="CR44" s="106">
        <v>16</v>
      </c>
      <c r="CS44" s="106">
        <v>16358.4</v>
      </c>
      <c r="CT44" s="106">
        <v>21</v>
      </c>
      <c r="CU44" s="106">
        <v>21470.399999999998</v>
      </c>
    </row>
    <row r="45" spans="2:99" x14ac:dyDescent="0.2">
      <c r="C45" s="105" t="s">
        <v>210</v>
      </c>
      <c r="D45" s="106">
        <v>8</v>
      </c>
      <c r="E45" s="106">
        <v>9993.6</v>
      </c>
      <c r="F45" s="106">
        <v>5</v>
      </c>
      <c r="G45" s="106">
        <v>6246</v>
      </c>
      <c r="H45" s="106">
        <v>5</v>
      </c>
      <c r="I45" s="106">
        <v>6246</v>
      </c>
      <c r="J45" s="106">
        <v>6</v>
      </c>
      <c r="K45" s="106">
        <v>7495.2000000000007</v>
      </c>
      <c r="L45" s="106">
        <v>16</v>
      </c>
      <c r="M45" s="106">
        <v>19987.2</v>
      </c>
      <c r="N45" s="106">
        <v>20</v>
      </c>
      <c r="O45" s="106">
        <v>24984</v>
      </c>
      <c r="P45" s="106">
        <v>17</v>
      </c>
      <c r="Q45" s="106">
        <v>21236.400000000001</v>
      </c>
      <c r="R45" s="106">
        <v>19</v>
      </c>
      <c r="S45" s="106">
        <v>23734.799999999999</v>
      </c>
      <c r="T45" s="106">
        <v>15</v>
      </c>
      <c r="U45" s="106">
        <v>18738</v>
      </c>
      <c r="V45" s="106">
        <v>24</v>
      </c>
      <c r="W45" s="106">
        <v>29980.800000000003</v>
      </c>
      <c r="X45" s="106">
        <v>21</v>
      </c>
      <c r="Y45" s="106">
        <v>26233.200000000001</v>
      </c>
      <c r="Z45" s="106">
        <v>22</v>
      </c>
      <c r="AA45" s="106">
        <v>27482.400000000001</v>
      </c>
      <c r="AB45" s="106">
        <v>33</v>
      </c>
      <c r="AC45" s="106">
        <v>41223.599999999999</v>
      </c>
      <c r="AD45" s="106">
        <v>24</v>
      </c>
      <c r="AE45" s="106">
        <v>29980.800000000003</v>
      </c>
      <c r="AF45" s="106">
        <v>18</v>
      </c>
      <c r="AG45" s="106">
        <v>22485.600000000002</v>
      </c>
      <c r="AH45" s="106">
        <v>20</v>
      </c>
      <c r="AI45" s="106">
        <v>24984</v>
      </c>
      <c r="AJ45" s="106">
        <v>8</v>
      </c>
      <c r="AK45" s="106">
        <v>9993.6</v>
      </c>
      <c r="AL45" s="106">
        <v>11</v>
      </c>
      <c r="AM45" s="106">
        <v>13741.2</v>
      </c>
      <c r="AN45" s="106">
        <v>6</v>
      </c>
      <c r="AO45" s="106">
        <v>7495.2000000000007</v>
      </c>
      <c r="AP45" s="106">
        <v>13</v>
      </c>
      <c r="AQ45" s="106">
        <v>16239.6</v>
      </c>
      <c r="AR45" s="106">
        <v>46</v>
      </c>
      <c r="AS45" s="106">
        <v>57463.200000000004</v>
      </c>
      <c r="AT45" s="106">
        <v>33</v>
      </c>
      <c r="AU45" s="106">
        <v>41223.599999999999</v>
      </c>
      <c r="AV45" s="106">
        <v>51</v>
      </c>
      <c r="AW45" s="106">
        <v>63709.200000000004</v>
      </c>
      <c r="AX45" s="106">
        <v>45</v>
      </c>
      <c r="AY45" s="106">
        <v>56214</v>
      </c>
      <c r="AZ45" s="106">
        <v>9</v>
      </c>
      <c r="BA45" s="106">
        <v>11242.800000000001</v>
      </c>
      <c r="BB45" s="106">
        <v>7</v>
      </c>
      <c r="BC45" s="106">
        <v>8744.4</v>
      </c>
      <c r="BD45" s="106">
        <v>9</v>
      </c>
      <c r="BE45" s="106">
        <v>11242.800000000001</v>
      </c>
      <c r="BF45" s="106">
        <v>15</v>
      </c>
      <c r="BG45" s="106">
        <v>18738</v>
      </c>
      <c r="BH45" s="106">
        <v>15</v>
      </c>
      <c r="BI45" s="106">
        <v>18738</v>
      </c>
      <c r="BJ45" s="106">
        <v>19</v>
      </c>
      <c r="BK45" s="106">
        <v>23734.799999999999</v>
      </c>
      <c r="BL45" s="106">
        <v>12</v>
      </c>
      <c r="BM45" s="106">
        <v>14990.400000000001</v>
      </c>
      <c r="BN45" s="106">
        <v>19</v>
      </c>
      <c r="BO45" s="106">
        <v>23734.799999999999</v>
      </c>
      <c r="BP45" s="106">
        <v>11</v>
      </c>
      <c r="BQ45" s="106">
        <v>13741.2</v>
      </c>
      <c r="BR45" s="106">
        <v>15</v>
      </c>
      <c r="BS45" s="106">
        <v>18738</v>
      </c>
      <c r="BT45" s="106">
        <v>9</v>
      </c>
      <c r="BU45" s="106">
        <v>11242.800000000001</v>
      </c>
      <c r="BV45" s="106">
        <v>7</v>
      </c>
      <c r="BW45" s="106">
        <v>8744.4</v>
      </c>
      <c r="BX45" s="106">
        <v>6</v>
      </c>
      <c r="BY45" s="106">
        <v>7495.2000000000007</v>
      </c>
      <c r="BZ45" s="106">
        <v>7</v>
      </c>
      <c r="CA45" s="106">
        <v>8744.4</v>
      </c>
      <c r="CB45" s="106">
        <v>5</v>
      </c>
      <c r="CC45" s="106">
        <v>6246</v>
      </c>
      <c r="CD45" s="106">
        <v>6</v>
      </c>
      <c r="CE45" s="106">
        <v>7495.2000000000007</v>
      </c>
      <c r="CF45" s="106">
        <v>23</v>
      </c>
      <c r="CG45" s="106">
        <v>28731.600000000002</v>
      </c>
      <c r="CH45" s="106">
        <v>29</v>
      </c>
      <c r="CI45" s="106">
        <v>36226.800000000003</v>
      </c>
      <c r="CJ45" s="106">
        <v>27</v>
      </c>
      <c r="CK45" s="106">
        <v>33728.400000000001</v>
      </c>
      <c r="CL45" s="106">
        <v>33</v>
      </c>
      <c r="CM45" s="106">
        <v>41223.599999999999</v>
      </c>
      <c r="CN45" s="106">
        <v>18</v>
      </c>
      <c r="CO45" s="106">
        <v>22485.600000000002</v>
      </c>
      <c r="CP45" s="106">
        <v>16</v>
      </c>
      <c r="CQ45" s="106">
        <v>19987.2</v>
      </c>
      <c r="CR45" s="106">
        <v>18</v>
      </c>
      <c r="CS45" s="106">
        <v>22485.600000000002</v>
      </c>
      <c r="CT45" s="106">
        <v>20</v>
      </c>
      <c r="CU45" s="106">
        <v>24984</v>
      </c>
    </row>
    <row r="46" spans="2:99" x14ac:dyDescent="0.2">
      <c r="C46" s="105" t="s">
        <v>211</v>
      </c>
      <c r="D46" s="106">
        <v>7</v>
      </c>
      <c r="E46" s="106">
        <v>8484</v>
      </c>
      <c r="F46" s="106">
        <v>5</v>
      </c>
      <c r="G46" s="106">
        <v>6060</v>
      </c>
      <c r="H46" s="106">
        <v>6</v>
      </c>
      <c r="I46" s="106">
        <v>7272</v>
      </c>
      <c r="J46" s="106">
        <v>5</v>
      </c>
      <c r="K46" s="106">
        <v>6060</v>
      </c>
      <c r="L46" s="106">
        <v>14</v>
      </c>
      <c r="M46" s="106">
        <v>16968</v>
      </c>
      <c r="N46" s="106">
        <v>19</v>
      </c>
      <c r="O46" s="106">
        <v>23028</v>
      </c>
      <c r="P46" s="106">
        <v>16</v>
      </c>
      <c r="Q46" s="106">
        <v>19392</v>
      </c>
      <c r="R46" s="106">
        <v>16</v>
      </c>
      <c r="S46" s="106">
        <v>19392</v>
      </c>
      <c r="T46" s="106">
        <v>15</v>
      </c>
      <c r="U46" s="106">
        <v>18180</v>
      </c>
      <c r="V46" s="106">
        <v>22</v>
      </c>
      <c r="W46" s="106">
        <v>26664</v>
      </c>
      <c r="X46" s="106">
        <v>25</v>
      </c>
      <c r="Y46" s="106">
        <v>30300</v>
      </c>
      <c r="Z46" s="106">
        <v>21</v>
      </c>
      <c r="AA46" s="106">
        <v>25452</v>
      </c>
      <c r="AB46" s="106">
        <v>32</v>
      </c>
      <c r="AC46" s="106">
        <v>38784</v>
      </c>
      <c r="AD46" s="106">
        <v>23</v>
      </c>
      <c r="AE46" s="106">
        <v>27876</v>
      </c>
      <c r="AF46" s="106">
        <v>20</v>
      </c>
      <c r="AG46" s="106">
        <v>24240</v>
      </c>
      <c r="AH46" s="106">
        <v>20</v>
      </c>
      <c r="AI46" s="106">
        <v>24240</v>
      </c>
      <c r="AJ46" s="106">
        <v>8</v>
      </c>
      <c r="AK46" s="106">
        <v>9696</v>
      </c>
      <c r="AL46" s="106">
        <v>11</v>
      </c>
      <c r="AM46" s="106">
        <v>13332</v>
      </c>
      <c r="AN46" s="106">
        <v>7</v>
      </c>
      <c r="AO46" s="106">
        <v>8484</v>
      </c>
      <c r="AP46" s="106">
        <v>12</v>
      </c>
      <c r="AQ46" s="106">
        <v>14544</v>
      </c>
      <c r="AR46" s="106">
        <v>49</v>
      </c>
      <c r="AS46" s="106">
        <v>59388</v>
      </c>
      <c r="AT46" s="106">
        <v>36</v>
      </c>
      <c r="AU46" s="106">
        <v>43632</v>
      </c>
      <c r="AV46" s="106">
        <v>44</v>
      </c>
      <c r="AW46" s="106">
        <v>53328</v>
      </c>
      <c r="AX46" s="106">
        <v>47</v>
      </c>
      <c r="AY46" s="106">
        <v>56964</v>
      </c>
      <c r="AZ46" s="106">
        <v>9</v>
      </c>
      <c r="BA46" s="106">
        <v>10908</v>
      </c>
      <c r="BB46" s="106">
        <v>8</v>
      </c>
      <c r="BC46" s="106">
        <v>9696</v>
      </c>
      <c r="BD46" s="106">
        <v>11</v>
      </c>
      <c r="BE46" s="106">
        <v>13332</v>
      </c>
      <c r="BF46" s="106">
        <v>16</v>
      </c>
      <c r="BG46" s="106">
        <v>19392</v>
      </c>
      <c r="BH46" s="106">
        <v>14</v>
      </c>
      <c r="BI46" s="106">
        <v>16968</v>
      </c>
      <c r="BJ46" s="106">
        <v>18</v>
      </c>
      <c r="BK46" s="106">
        <v>21816</v>
      </c>
      <c r="BL46" s="106">
        <v>12</v>
      </c>
      <c r="BM46" s="106">
        <v>14544</v>
      </c>
      <c r="BN46" s="106">
        <v>20</v>
      </c>
      <c r="BO46" s="106">
        <v>24240</v>
      </c>
      <c r="BP46" s="106">
        <v>10</v>
      </c>
      <c r="BQ46" s="106">
        <v>12120</v>
      </c>
      <c r="BR46" s="106">
        <v>15</v>
      </c>
      <c r="BS46" s="106">
        <v>18180</v>
      </c>
      <c r="BT46" s="106">
        <v>9</v>
      </c>
      <c r="BU46" s="106">
        <v>10908</v>
      </c>
      <c r="BV46" s="106">
        <v>7</v>
      </c>
      <c r="BW46" s="106">
        <v>8484</v>
      </c>
      <c r="BX46" s="106">
        <v>6</v>
      </c>
      <c r="BY46" s="106">
        <v>7272</v>
      </c>
      <c r="BZ46" s="106">
        <v>7</v>
      </c>
      <c r="CA46" s="106">
        <v>8484</v>
      </c>
      <c r="CB46" s="106">
        <v>6</v>
      </c>
      <c r="CC46" s="106">
        <v>7272</v>
      </c>
      <c r="CD46" s="106">
        <v>6</v>
      </c>
      <c r="CE46" s="106">
        <v>7272</v>
      </c>
      <c r="CF46" s="106">
        <v>24</v>
      </c>
      <c r="CG46" s="106">
        <v>29088</v>
      </c>
      <c r="CH46" s="106">
        <v>29</v>
      </c>
      <c r="CI46" s="106">
        <v>35148</v>
      </c>
      <c r="CJ46" s="106">
        <v>24</v>
      </c>
      <c r="CK46" s="106">
        <v>29088</v>
      </c>
      <c r="CL46" s="106">
        <v>32</v>
      </c>
      <c r="CM46" s="106">
        <v>38784</v>
      </c>
      <c r="CN46" s="106">
        <v>20</v>
      </c>
      <c r="CO46" s="106">
        <v>24240</v>
      </c>
      <c r="CP46" s="106">
        <v>17</v>
      </c>
      <c r="CQ46" s="106">
        <v>20604</v>
      </c>
      <c r="CR46" s="106">
        <v>19</v>
      </c>
      <c r="CS46" s="106">
        <v>23028</v>
      </c>
      <c r="CT46" s="106">
        <v>22</v>
      </c>
      <c r="CU46" s="106">
        <v>26664</v>
      </c>
    </row>
    <row r="47" spans="2:99" x14ac:dyDescent="0.2">
      <c r="C47" s="105" t="s">
        <v>212</v>
      </c>
      <c r="D47" s="106">
        <v>8</v>
      </c>
      <c r="E47" s="106">
        <v>12220.8</v>
      </c>
      <c r="F47" s="106">
        <v>5</v>
      </c>
      <c r="G47" s="106">
        <v>7638</v>
      </c>
      <c r="H47" s="106">
        <v>5</v>
      </c>
      <c r="I47" s="106">
        <v>7638</v>
      </c>
      <c r="J47" s="106">
        <v>5</v>
      </c>
      <c r="K47" s="106">
        <v>7638</v>
      </c>
      <c r="L47" s="106">
        <v>14</v>
      </c>
      <c r="M47" s="106">
        <v>21386.399999999998</v>
      </c>
      <c r="N47" s="106">
        <v>20</v>
      </c>
      <c r="O47" s="106">
        <v>30552</v>
      </c>
      <c r="P47" s="106">
        <v>17</v>
      </c>
      <c r="Q47" s="106">
        <v>25969.199999999997</v>
      </c>
      <c r="R47" s="106">
        <v>18</v>
      </c>
      <c r="S47" s="106">
        <v>27496.799999999999</v>
      </c>
      <c r="T47" s="106">
        <v>15</v>
      </c>
      <c r="U47" s="106">
        <v>22914</v>
      </c>
      <c r="V47" s="106">
        <v>22</v>
      </c>
      <c r="W47" s="106">
        <v>33607.199999999997</v>
      </c>
      <c r="X47" s="106">
        <v>24</v>
      </c>
      <c r="Y47" s="106">
        <v>36662.399999999994</v>
      </c>
      <c r="Z47" s="106">
        <v>24</v>
      </c>
      <c r="AA47" s="106">
        <v>36662.399999999994</v>
      </c>
      <c r="AB47" s="106">
        <v>31</v>
      </c>
      <c r="AC47" s="106">
        <v>47355.6</v>
      </c>
      <c r="AD47" s="106">
        <v>23</v>
      </c>
      <c r="AE47" s="106">
        <v>35134.799999999996</v>
      </c>
      <c r="AF47" s="106">
        <v>20</v>
      </c>
      <c r="AG47" s="106">
        <v>30552</v>
      </c>
      <c r="AH47" s="106">
        <v>22</v>
      </c>
      <c r="AI47" s="106">
        <v>33607.199999999997</v>
      </c>
      <c r="AJ47" s="106">
        <v>8</v>
      </c>
      <c r="AK47" s="106">
        <v>12220.8</v>
      </c>
      <c r="AL47" s="106">
        <v>10</v>
      </c>
      <c r="AM47" s="106">
        <v>15276</v>
      </c>
      <c r="AN47" s="106">
        <v>7</v>
      </c>
      <c r="AO47" s="106">
        <v>10693.199999999999</v>
      </c>
      <c r="AP47" s="106">
        <v>13</v>
      </c>
      <c r="AQ47" s="106">
        <v>19858.8</v>
      </c>
      <c r="AR47" s="106">
        <v>50</v>
      </c>
      <c r="AS47" s="106">
        <v>76380</v>
      </c>
      <c r="AT47" s="106">
        <v>31</v>
      </c>
      <c r="AU47" s="106">
        <v>47355.6</v>
      </c>
      <c r="AV47" s="106">
        <v>47</v>
      </c>
      <c r="AW47" s="106">
        <v>71797.2</v>
      </c>
      <c r="AX47" s="106">
        <v>43</v>
      </c>
      <c r="AY47" s="106">
        <v>65686.8</v>
      </c>
      <c r="AZ47" s="106">
        <v>8</v>
      </c>
      <c r="BA47" s="106">
        <v>12220.8</v>
      </c>
      <c r="BB47" s="106">
        <v>7</v>
      </c>
      <c r="BC47" s="106">
        <v>10693.199999999999</v>
      </c>
      <c r="BD47" s="106">
        <v>10</v>
      </c>
      <c r="BE47" s="106">
        <v>15276</v>
      </c>
      <c r="BF47" s="106">
        <v>14</v>
      </c>
      <c r="BG47" s="106">
        <v>21386.399999999998</v>
      </c>
      <c r="BH47" s="106">
        <v>15</v>
      </c>
      <c r="BI47" s="106">
        <v>22914</v>
      </c>
      <c r="BJ47" s="106">
        <v>18</v>
      </c>
      <c r="BK47" s="106">
        <v>27496.799999999999</v>
      </c>
      <c r="BL47" s="106">
        <v>11</v>
      </c>
      <c r="BM47" s="106">
        <v>16803.599999999999</v>
      </c>
      <c r="BN47" s="106">
        <v>19</v>
      </c>
      <c r="BO47" s="106">
        <v>29024.399999999998</v>
      </c>
      <c r="BP47" s="106">
        <v>11</v>
      </c>
      <c r="BQ47" s="106">
        <v>16803.599999999999</v>
      </c>
      <c r="BR47" s="106">
        <v>14</v>
      </c>
      <c r="BS47" s="106">
        <v>21386.399999999998</v>
      </c>
      <c r="BT47" s="106">
        <v>8</v>
      </c>
      <c r="BU47" s="106">
        <v>12220.8</v>
      </c>
      <c r="BV47" s="106">
        <v>7</v>
      </c>
      <c r="BW47" s="106">
        <v>10693.199999999999</v>
      </c>
      <c r="BX47" s="106">
        <v>5</v>
      </c>
      <c r="BY47" s="106">
        <v>7638</v>
      </c>
      <c r="BZ47" s="106">
        <v>7</v>
      </c>
      <c r="CA47" s="106">
        <v>10693.199999999999</v>
      </c>
      <c r="CB47" s="106">
        <v>6</v>
      </c>
      <c r="CC47" s="106">
        <v>9165.5999999999985</v>
      </c>
      <c r="CD47" s="106">
        <v>7</v>
      </c>
      <c r="CE47" s="106">
        <v>10693.199999999999</v>
      </c>
      <c r="CF47" s="106">
        <v>24</v>
      </c>
      <c r="CG47" s="106">
        <v>36662.399999999994</v>
      </c>
      <c r="CH47" s="106">
        <v>32</v>
      </c>
      <c r="CI47" s="106">
        <v>48883.199999999997</v>
      </c>
      <c r="CJ47" s="106">
        <v>26</v>
      </c>
      <c r="CK47" s="106">
        <v>39717.599999999999</v>
      </c>
      <c r="CL47" s="106">
        <v>32</v>
      </c>
      <c r="CM47" s="106">
        <v>48883.199999999997</v>
      </c>
      <c r="CN47" s="106">
        <v>18</v>
      </c>
      <c r="CO47" s="106">
        <v>27496.799999999999</v>
      </c>
      <c r="CP47" s="106">
        <v>16</v>
      </c>
      <c r="CQ47" s="106">
        <v>24441.599999999999</v>
      </c>
      <c r="CR47" s="106">
        <v>16</v>
      </c>
      <c r="CS47" s="106">
        <v>24441.599999999999</v>
      </c>
      <c r="CT47" s="106">
        <v>18</v>
      </c>
      <c r="CU47" s="106">
        <v>27496.799999999999</v>
      </c>
    </row>
    <row r="48" spans="2:99" x14ac:dyDescent="0.2">
      <c r="C48" s="105" t="s">
        <v>213</v>
      </c>
      <c r="D48" s="106">
        <v>7</v>
      </c>
      <c r="E48" s="106">
        <v>6073.2</v>
      </c>
      <c r="F48" s="106">
        <v>6</v>
      </c>
      <c r="G48" s="106">
        <v>5205.6000000000004</v>
      </c>
      <c r="H48" s="106">
        <v>6</v>
      </c>
      <c r="I48" s="106">
        <v>5205.6000000000004</v>
      </c>
      <c r="J48" s="106">
        <v>6</v>
      </c>
      <c r="K48" s="106">
        <v>5205.6000000000004</v>
      </c>
      <c r="L48" s="106">
        <v>15</v>
      </c>
      <c r="M48" s="106">
        <v>13014</v>
      </c>
      <c r="N48" s="106">
        <v>21</v>
      </c>
      <c r="O48" s="106">
        <v>18219.600000000002</v>
      </c>
      <c r="P48" s="106">
        <v>17</v>
      </c>
      <c r="Q48" s="106">
        <v>14749.2</v>
      </c>
      <c r="R48" s="106">
        <v>19</v>
      </c>
      <c r="S48" s="106">
        <v>16484.400000000001</v>
      </c>
      <c r="T48" s="106">
        <v>18</v>
      </c>
      <c r="U48" s="106">
        <v>15616.800000000001</v>
      </c>
      <c r="V48" s="106">
        <v>22</v>
      </c>
      <c r="W48" s="106">
        <v>19087.2</v>
      </c>
      <c r="X48" s="106">
        <v>23</v>
      </c>
      <c r="Y48" s="106">
        <v>19954.8</v>
      </c>
      <c r="Z48" s="106">
        <v>24</v>
      </c>
      <c r="AA48" s="106">
        <v>20822.400000000001</v>
      </c>
      <c r="AB48" s="106">
        <v>34</v>
      </c>
      <c r="AC48" s="106">
        <v>29498.400000000001</v>
      </c>
      <c r="AD48" s="106">
        <v>21</v>
      </c>
      <c r="AE48" s="106">
        <v>18219.600000000002</v>
      </c>
      <c r="AF48" s="106">
        <v>22</v>
      </c>
      <c r="AG48" s="106">
        <v>19087.2</v>
      </c>
      <c r="AH48" s="106">
        <v>23</v>
      </c>
      <c r="AI48" s="106">
        <v>19954.8</v>
      </c>
      <c r="AJ48" s="106">
        <v>8</v>
      </c>
      <c r="AK48" s="106">
        <v>6940.8</v>
      </c>
      <c r="AL48" s="106">
        <v>11</v>
      </c>
      <c r="AM48" s="106">
        <v>9543.6</v>
      </c>
      <c r="AN48" s="106">
        <v>7</v>
      </c>
      <c r="AO48" s="106">
        <v>6073.2</v>
      </c>
      <c r="AP48" s="106">
        <v>12</v>
      </c>
      <c r="AQ48" s="106">
        <v>10411.200000000001</v>
      </c>
      <c r="AR48" s="106">
        <v>53</v>
      </c>
      <c r="AS48" s="106">
        <v>45982.8</v>
      </c>
      <c r="AT48" s="106">
        <v>33</v>
      </c>
      <c r="AU48" s="106">
        <v>28630.799999999999</v>
      </c>
      <c r="AV48" s="106">
        <v>55</v>
      </c>
      <c r="AW48" s="106">
        <v>47718</v>
      </c>
      <c r="AX48" s="106">
        <v>45</v>
      </c>
      <c r="AY48" s="106">
        <v>39042</v>
      </c>
      <c r="AZ48" s="106">
        <v>9</v>
      </c>
      <c r="BA48" s="106">
        <v>7808.4000000000005</v>
      </c>
      <c r="BB48" s="106">
        <v>8</v>
      </c>
      <c r="BC48" s="106">
        <v>6940.8</v>
      </c>
      <c r="BD48" s="106">
        <v>11</v>
      </c>
      <c r="BE48" s="106">
        <v>9543.6</v>
      </c>
      <c r="BF48" s="106">
        <v>14</v>
      </c>
      <c r="BG48" s="106">
        <v>12146.4</v>
      </c>
      <c r="BH48" s="106">
        <v>16</v>
      </c>
      <c r="BI48" s="106">
        <v>13881.6</v>
      </c>
      <c r="BJ48" s="106">
        <v>19</v>
      </c>
      <c r="BK48" s="106">
        <v>16484.400000000001</v>
      </c>
      <c r="BL48" s="106">
        <v>13</v>
      </c>
      <c r="BM48" s="106">
        <v>11278.800000000001</v>
      </c>
      <c r="BN48" s="106">
        <v>18</v>
      </c>
      <c r="BO48" s="106">
        <v>15616.800000000001</v>
      </c>
      <c r="BP48" s="106">
        <v>12</v>
      </c>
      <c r="BQ48" s="106">
        <v>10411.200000000001</v>
      </c>
      <c r="BR48" s="106">
        <v>14</v>
      </c>
      <c r="BS48" s="106">
        <v>12146.4</v>
      </c>
      <c r="BT48" s="106">
        <v>9</v>
      </c>
      <c r="BU48" s="106">
        <v>7808.4000000000005</v>
      </c>
      <c r="BV48" s="106">
        <v>9</v>
      </c>
      <c r="BW48" s="106">
        <v>7808.4000000000005</v>
      </c>
      <c r="BX48" s="106">
        <v>6</v>
      </c>
      <c r="BY48" s="106">
        <v>5205.6000000000004</v>
      </c>
      <c r="BZ48" s="106">
        <v>7</v>
      </c>
      <c r="CA48" s="106">
        <v>6073.2</v>
      </c>
      <c r="CB48" s="106">
        <v>6</v>
      </c>
      <c r="CC48" s="106">
        <v>5205.6000000000004</v>
      </c>
      <c r="CD48" s="106">
        <v>7</v>
      </c>
      <c r="CE48" s="106">
        <v>6073.2</v>
      </c>
      <c r="CF48" s="106">
        <v>28</v>
      </c>
      <c r="CG48" s="106">
        <v>24292.799999999999</v>
      </c>
      <c r="CH48" s="106">
        <v>32</v>
      </c>
      <c r="CI48" s="106">
        <v>27763.200000000001</v>
      </c>
      <c r="CJ48" s="106">
        <v>25</v>
      </c>
      <c r="CK48" s="106">
        <v>21690</v>
      </c>
      <c r="CL48" s="106">
        <v>33</v>
      </c>
      <c r="CM48" s="106">
        <v>28630.799999999999</v>
      </c>
      <c r="CN48" s="106">
        <v>19</v>
      </c>
      <c r="CO48" s="106">
        <v>16484.400000000001</v>
      </c>
      <c r="CP48" s="106">
        <v>18</v>
      </c>
      <c r="CQ48" s="106">
        <v>15616.800000000001</v>
      </c>
      <c r="CR48" s="106">
        <v>19</v>
      </c>
      <c r="CS48" s="106">
        <v>16484.400000000001</v>
      </c>
      <c r="CT48" s="106">
        <v>21</v>
      </c>
      <c r="CU48" s="106">
        <v>18219.600000000002</v>
      </c>
    </row>
    <row r="49" spans="2:99" x14ac:dyDescent="0.2">
      <c r="B49" s="105" t="s">
        <v>129</v>
      </c>
      <c r="C49" s="105" t="s">
        <v>214</v>
      </c>
      <c r="D49" s="106">
        <v>4</v>
      </c>
      <c r="E49" s="106">
        <v>3940.7999999999997</v>
      </c>
      <c r="F49" s="106">
        <v>6</v>
      </c>
      <c r="G49" s="106">
        <v>5911.2</v>
      </c>
      <c r="H49" s="106">
        <v>7</v>
      </c>
      <c r="I49" s="106">
        <v>6896.4</v>
      </c>
      <c r="J49" s="106">
        <v>5</v>
      </c>
      <c r="K49" s="106">
        <v>4926</v>
      </c>
      <c r="L49" s="106">
        <v>6</v>
      </c>
      <c r="M49" s="106">
        <v>5911.2</v>
      </c>
      <c r="N49" s="106">
        <v>6</v>
      </c>
      <c r="O49" s="106">
        <v>5911.2</v>
      </c>
      <c r="P49" s="106">
        <v>4</v>
      </c>
      <c r="Q49" s="106">
        <v>3940.7999999999997</v>
      </c>
      <c r="R49" s="106">
        <v>5</v>
      </c>
      <c r="S49" s="106">
        <v>4926</v>
      </c>
      <c r="T49" s="106">
        <v>54</v>
      </c>
      <c r="U49" s="106">
        <v>53200.799999999996</v>
      </c>
      <c r="V49" s="106">
        <v>40</v>
      </c>
      <c r="W49" s="106">
        <v>39408</v>
      </c>
      <c r="X49" s="106">
        <v>49</v>
      </c>
      <c r="Y49" s="106">
        <v>48274.799999999996</v>
      </c>
      <c r="Z49" s="106">
        <v>52</v>
      </c>
      <c r="AA49" s="106">
        <v>51230.399999999994</v>
      </c>
      <c r="AB49" s="106">
        <v>12</v>
      </c>
      <c r="AC49" s="106">
        <v>11822.4</v>
      </c>
      <c r="AD49" s="106">
        <v>10</v>
      </c>
      <c r="AE49" s="106">
        <v>9852</v>
      </c>
      <c r="AF49" s="106">
        <v>14</v>
      </c>
      <c r="AG49" s="106">
        <v>13792.8</v>
      </c>
      <c r="AH49" s="106">
        <v>10</v>
      </c>
      <c r="AI49" s="106">
        <v>9852</v>
      </c>
      <c r="AJ49" s="106">
        <v>21</v>
      </c>
      <c r="AK49" s="106">
        <v>20689.199999999997</v>
      </c>
      <c r="AL49" s="106">
        <v>12</v>
      </c>
      <c r="AM49" s="106">
        <v>11822.4</v>
      </c>
      <c r="AN49" s="106">
        <v>13</v>
      </c>
      <c r="AO49" s="106">
        <v>12807.599999999999</v>
      </c>
      <c r="AP49" s="106">
        <v>13</v>
      </c>
      <c r="AQ49" s="106">
        <v>12807.599999999999</v>
      </c>
      <c r="AR49" s="106">
        <v>3</v>
      </c>
      <c r="AS49" s="106">
        <v>2955.6</v>
      </c>
      <c r="AT49" s="106">
        <v>4</v>
      </c>
      <c r="AU49" s="106">
        <v>3940.7999999999997</v>
      </c>
      <c r="AV49" s="106">
        <v>3</v>
      </c>
      <c r="AW49" s="106">
        <v>2955.6</v>
      </c>
      <c r="AX49" s="106">
        <v>5</v>
      </c>
      <c r="AY49" s="106">
        <v>4926</v>
      </c>
      <c r="AZ49" s="106">
        <v>6</v>
      </c>
      <c r="BA49" s="106">
        <v>5911.2</v>
      </c>
      <c r="BB49" s="106">
        <v>6</v>
      </c>
      <c r="BC49" s="106">
        <v>5911.2</v>
      </c>
      <c r="BD49" s="106">
        <v>6</v>
      </c>
      <c r="BE49" s="106">
        <v>5911.2</v>
      </c>
      <c r="BF49" s="106">
        <v>7</v>
      </c>
      <c r="BG49" s="106">
        <v>6896.4</v>
      </c>
      <c r="BH49" s="106">
        <v>5</v>
      </c>
      <c r="BI49" s="106">
        <v>4926</v>
      </c>
      <c r="BJ49" s="106">
        <v>6</v>
      </c>
      <c r="BK49" s="106">
        <v>5911.2</v>
      </c>
      <c r="BL49" s="106">
        <v>7</v>
      </c>
      <c r="BM49" s="106">
        <v>6896.4</v>
      </c>
      <c r="BN49" s="106">
        <v>7</v>
      </c>
      <c r="BO49" s="106">
        <v>6896.4</v>
      </c>
      <c r="BP49" s="106">
        <v>15</v>
      </c>
      <c r="BQ49" s="106">
        <v>14777.999999999998</v>
      </c>
      <c r="BR49" s="106">
        <v>14</v>
      </c>
      <c r="BS49" s="106">
        <v>13792.8</v>
      </c>
      <c r="BT49" s="106">
        <v>14</v>
      </c>
      <c r="BU49" s="106">
        <v>13792.8</v>
      </c>
      <c r="BV49" s="106">
        <v>8</v>
      </c>
      <c r="BW49" s="106">
        <v>7881.5999999999995</v>
      </c>
      <c r="BX49" s="106">
        <v>4</v>
      </c>
      <c r="BY49" s="106">
        <v>3940.7999999999997</v>
      </c>
      <c r="BZ49" s="106">
        <v>3</v>
      </c>
      <c r="CA49" s="106">
        <v>2955.6</v>
      </c>
      <c r="CB49" s="106">
        <v>4</v>
      </c>
      <c r="CC49" s="106">
        <v>3940.7999999999997</v>
      </c>
      <c r="CD49" s="106">
        <v>5</v>
      </c>
      <c r="CE49" s="106">
        <v>4926</v>
      </c>
      <c r="CF49" s="106">
        <v>76</v>
      </c>
      <c r="CG49" s="106">
        <v>74875.199999999997</v>
      </c>
      <c r="CH49" s="106">
        <v>65</v>
      </c>
      <c r="CI49" s="106">
        <v>64037.999999999993</v>
      </c>
      <c r="CJ49" s="106">
        <v>59</v>
      </c>
      <c r="CK49" s="106">
        <v>58126.799999999996</v>
      </c>
      <c r="CL49" s="106">
        <v>53</v>
      </c>
      <c r="CM49" s="106">
        <v>52215.6</v>
      </c>
      <c r="CN49" s="106">
        <v>7</v>
      </c>
      <c r="CO49" s="106">
        <v>6896.4</v>
      </c>
      <c r="CP49" s="106">
        <v>10</v>
      </c>
      <c r="CQ49" s="106">
        <v>9852</v>
      </c>
      <c r="CR49" s="106">
        <v>10</v>
      </c>
      <c r="CS49" s="106">
        <v>9852</v>
      </c>
      <c r="CT49" s="106">
        <v>6</v>
      </c>
      <c r="CU49" s="106">
        <v>5911.2</v>
      </c>
    </row>
    <row r="50" spans="2:99" x14ac:dyDescent="0.2">
      <c r="C50" s="105" t="s">
        <v>215</v>
      </c>
      <c r="D50" s="106">
        <v>4</v>
      </c>
      <c r="E50" s="106">
        <v>1128</v>
      </c>
      <c r="F50" s="106">
        <v>6</v>
      </c>
      <c r="G50" s="106">
        <v>1692</v>
      </c>
      <c r="H50" s="106">
        <v>7</v>
      </c>
      <c r="I50" s="106">
        <v>1974</v>
      </c>
      <c r="J50" s="106">
        <v>4</v>
      </c>
      <c r="K50" s="106">
        <v>1128</v>
      </c>
      <c r="L50" s="106">
        <v>7</v>
      </c>
      <c r="M50" s="106">
        <v>1974</v>
      </c>
      <c r="N50" s="106">
        <v>6</v>
      </c>
      <c r="O50" s="106">
        <v>1692</v>
      </c>
      <c r="P50" s="106">
        <v>4</v>
      </c>
      <c r="Q50" s="106">
        <v>1128</v>
      </c>
      <c r="R50" s="106">
        <v>6</v>
      </c>
      <c r="S50" s="106">
        <v>1692</v>
      </c>
      <c r="T50" s="106">
        <v>57</v>
      </c>
      <c r="U50" s="106">
        <v>16074</v>
      </c>
      <c r="V50" s="106">
        <v>43</v>
      </c>
      <c r="W50" s="106">
        <v>12126</v>
      </c>
      <c r="X50" s="106">
        <v>50</v>
      </c>
      <c r="Y50" s="106">
        <v>14100</v>
      </c>
      <c r="Z50" s="106">
        <v>59</v>
      </c>
      <c r="AA50" s="106">
        <v>16638</v>
      </c>
      <c r="AB50" s="106">
        <v>12</v>
      </c>
      <c r="AC50" s="106">
        <v>3384</v>
      </c>
      <c r="AD50" s="106">
        <v>10</v>
      </c>
      <c r="AE50" s="106">
        <v>2820</v>
      </c>
      <c r="AF50" s="106">
        <v>14</v>
      </c>
      <c r="AG50" s="106">
        <v>3948</v>
      </c>
      <c r="AH50" s="106">
        <v>10</v>
      </c>
      <c r="AI50" s="106">
        <v>2820</v>
      </c>
      <c r="AJ50" s="106">
        <v>21</v>
      </c>
      <c r="AK50" s="106">
        <v>5922</v>
      </c>
      <c r="AL50" s="106">
        <v>14</v>
      </c>
      <c r="AM50" s="106">
        <v>3948</v>
      </c>
      <c r="AN50" s="106">
        <v>14</v>
      </c>
      <c r="AO50" s="106">
        <v>3948</v>
      </c>
      <c r="AP50" s="106">
        <v>13</v>
      </c>
      <c r="AQ50" s="106">
        <v>3666</v>
      </c>
      <c r="AR50" s="106">
        <v>3</v>
      </c>
      <c r="AS50" s="106">
        <v>846</v>
      </c>
      <c r="AT50" s="106">
        <v>5</v>
      </c>
      <c r="AU50" s="106">
        <v>1410</v>
      </c>
      <c r="AV50" s="106">
        <v>3</v>
      </c>
      <c r="AW50" s="106">
        <v>846</v>
      </c>
      <c r="AX50" s="106">
        <v>4</v>
      </c>
      <c r="AY50" s="106">
        <v>1128</v>
      </c>
      <c r="AZ50" s="106">
        <v>6</v>
      </c>
      <c r="BA50" s="106">
        <v>1692</v>
      </c>
      <c r="BB50" s="106">
        <v>6</v>
      </c>
      <c r="BC50" s="106">
        <v>1692</v>
      </c>
      <c r="BD50" s="106">
        <v>5</v>
      </c>
      <c r="BE50" s="106">
        <v>1410</v>
      </c>
      <c r="BF50" s="106">
        <v>7</v>
      </c>
      <c r="BG50" s="106">
        <v>1974</v>
      </c>
      <c r="BH50" s="106">
        <v>5</v>
      </c>
      <c r="BI50" s="106">
        <v>1410</v>
      </c>
      <c r="BJ50" s="106">
        <v>6</v>
      </c>
      <c r="BK50" s="106">
        <v>1692</v>
      </c>
      <c r="BL50" s="106">
        <v>8</v>
      </c>
      <c r="BM50" s="106">
        <v>2256</v>
      </c>
      <c r="BN50" s="106">
        <v>7</v>
      </c>
      <c r="BO50" s="106">
        <v>1974</v>
      </c>
      <c r="BP50" s="106">
        <v>16</v>
      </c>
      <c r="BQ50" s="106">
        <v>4512</v>
      </c>
      <c r="BR50" s="106">
        <v>16</v>
      </c>
      <c r="BS50" s="106">
        <v>4512</v>
      </c>
      <c r="BT50" s="106">
        <v>13</v>
      </c>
      <c r="BU50" s="106">
        <v>3666</v>
      </c>
      <c r="BV50" s="106">
        <v>10</v>
      </c>
      <c r="BW50" s="106">
        <v>2820</v>
      </c>
      <c r="BX50" s="106">
        <v>4</v>
      </c>
      <c r="BY50" s="106">
        <v>1128</v>
      </c>
      <c r="BZ50" s="106">
        <v>3</v>
      </c>
      <c r="CA50" s="106">
        <v>846</v>
      </c>
      <c r="CB50" s="106">
        <v>5</v>
      </c>
      <c r="CC50" s="106">
        <v>1410</v>
      </c>
      <c r="CD50" s="106">
        <v>5</v>
      </c>
      <c r="CE50" s="106">
        <v>1410</v>
      </c>
      <c r="CF50" s="106">
        <v>82</v>
      </c>
      <c r="CG50" s="106">
        <v>23124</v>
      </c>
      <c r="CH50" s="106">
        <v>87</v>
      </c>
      <c r="CI50" s="106">
        <v>24534</v>
      </c>
      <c r="CJ50" s="106">
        <v>65</v>
      </c>
      <c r="CK50" s="106">
        <v>18330</v>
      </c>
      <c r="CL50" s="106">
        <v>62</v>
      </c>
      <c r="CM50" s="106">
        <v>17484</v>
      </c>
      <c r="CN50" s="106">
        <v>7</v>
      </c>
      <c r="CO50" s="106">
        <v>1974</v>
      </c>
      <c r="CP50" s="106">
        <v>9</v>
      </c>
      <c r="CQ50" s="106">
        <v>2538</v>
      </c>
      <c r="CR50" s="106">
        <v>11</v>
      </c>
      <c r="CS50" s="106">
        <v>3102</v>
      </c>
      <c r="CT50" s="106">
        <v>7</v>
      </c>
      <c r="CU50" s="106">
        <v>1974</v>
      </c>
    </row>
    <row r="51" spans="2:99" x14ac:dyDescent="0.2">
      <c r="C51" s="105" t="s">
        <v>216</v>
      </c>
      <c r="D51" s="106">
        <v>3</v>
      </c>
      <c r="E51" s="106">
        <v>2563.1999999999998</v>
      </c>
      <c r="F51" s="106">
        <v>6</v>
      </c>
      <c r="G51" s="106">
        <v>5126.3999999999996</v>
      </c>
      <c r="H51" s="106">
        <v>7</v>
      </c>
      <c r="I51" s="106">
        <v>5980.8</v>
      </c>
      <c r="J51" s="106">
        <v>5</v>
      </c>
      <c r="K51" s="106">
        <v>4272</v>
      </c>
      <c r="L51" s="106">
        <v>6</v>
      </c>
      <c r="M51" s="106">
        <v>5126.3999999999996</v>
      </c>
      <c r="N51" s="106">
        <v>6</v>
      </c>
      <c r="O51" s="106">
        <v>5126.3999999999996</v>
      </c>
      <c r="P51" s="106">
        <v>4</v>
      </c>
      <c r="Q51" s="106">
        <v>3417.6</v>
      </c>
      <c r="R51" s="106">
        <v>5</v>
      </c>
      <c r="S51" s="106">
        <v>4272</v>
      </c>
      <c r="T51" s="106">
        <v>59</v>
      </c>
      <c r="U51" s="106">
        <v>50409.599999999999</v>
      </c>
      <c r="V51" s="106">
        <v>40</v>
      </c>
      <c r="W51" s="106">
        <v>34176</v>
      </c>
      <c r="X51" s="106">
        <v>51</v>
      </c>
      <c r="Y51" s="106">
        <v>43574.400000000001</v>
      </c>
      <c r="Z51" s="106">
        <v>64</v>
      </c>
      <c r="AA51" s="106">
        <v>54681.599999999999</v>
      </c>
      <c r="AB51" s="106">
        <v>11</v>
      </c>
      <c r="AC51" s="106">
        <v>9398.4</v>
      </c>
      <c r="AD51" s="106">
        <v>11</v>
      </c>
      <c r="AE51" s="106">
        <v>9398.4</v>
      </c>
      <c r="AF51" s="106">
        <v>13</v>
      </c>
      <c r="AG51" s="106">
        <v>11107.199999999999</v>
      </c>
      <c r="AH51" s="106">
        <v>12</v>
      </c>
      <c r="AI51" s="106">
        <v>10252.799999999999</v>
      </c>
      <c r="AJ51" s="106">
        <v>18</v>
      </c>
      <c r="AK51" s="106">
        <v>15379.199999999999</v>
      </c>
      <c r="AL51" s="106">
        <v>11</v>
      </c>
      <c r="AM51" s="106">
        <v>9398.4</v>
      </c>
      <c r="AN51" s="106">
        <v>12</v>
      </c>
      <c r="AO51" s="106">
        <v>10252.799999999999</v>
      </c>
      <c r="AP51" s="106">
        <v>14</v>
      </c>
      <c r="AQ51" s="106">
        <v>11961.6</v>
      </c>
      <c r="AR51" s="106">
        <v>3</v>
      </c>
      <c r="AS51" s="106">
        <v>2563.1999999999998</v>
      </c>
      <c r="AT51" s="106">
        <v>5</v>
      </c>
      <c r="AU51" s="106">
        <v>4272</v>
      </c>
      <c r="AV51" s="106">
        <v>4</v>
      </c>
      <c r="AW51" s="106">
        <v>3417.6</v>
      </c>
      <c r="AX51" s="106">
        <v>5</v>
      </c>
      <c r="AY51" s="106">
        <v>4272</v>
      </c>
      <c r="AZ51" s="106">
        <v>6</v>
      </c>
      <c r="BA51" s="106">
        <v>5126.3999999999996</v>
      </c>
      <c r="BB51" s="106">
        <v>5</v>
      </c>
      <c r="BC51" s="106">
        <v>4272</v>
      </c>
      <c r="BD51" s="106">
        <v>5</v>
      </c>
      <c r="BE51" s="106">
        <v>4272</v>
      </c>
      <c r="BF51" s="106">
        <v>7</v>
      </c>
      <c r="BG51" s="106">
        <v>5980.8</v>
      </c>
      <c r="BH51" s="106">
        <v>4</v>
      </c>
      <c r="BI51" s="106">
        <v>3417.6</v>
      </c>
      <c r="BJ51" s="106">
        <v>6</v>
      </c>
      <c r="BK51" s="106">
        <v>5126.3999999999996</v>
      </c>
      <c r="BL51" s="106">
        <v>7</v>
      </c>
      <c r="BM51" s="106">
        <v>5980.8</v>
      </c>
      <c r="BN51" s="106">
        <v>7</v>
      </c>
      <c r="BO51" s="106">
        <v>5980.8</v>
      </c>
      <c r="BP51" s="106">
        <v>17</v>
      </c>
      <c r="BQ51" s="106">
        <v>14524.8</v>
      </c>
      <c r="BR51" s="106">
        <v>15</v>
      </c>
      <c r="BS51" s="106">
        <v>12816</v>
      </c>
      <c r="BT51" s="106">
        <v>13</v>
      </c>
      <c r="BU51" s="106">
        <v>11107.199999999999</v>
      </c>
      <c r="BV51" s="106">
        <v>8</v>
      </c>
      <c r="BW51" s="106">
        <v>6835.2</v>
      </c>
      <c r="BX51" s="106">
        <v>3</v>
      </c>
      <c r="BY51" s="106">
        <v>2563.1999999999998</v>
      </c>
      <c r="BZ51" s="106">
        <v>3</v>
      </c>
      <c r="CA51" s="106">
        <v>2563.1999999999998</v>
      </c>
      <c r="CB51" s="106">
        <v>5</v>
      </c>
      <c r="CC51" s="106">
        <v>4272</v>
      </c>
      <c r="CD51" s="106">
        <v>5</v>
      </c>
      <c r="CE51" s="106">
        <v>4272</v>
      </c>
      <c r="CF51" s="106">
        <v>70</v>
      </c>
      <c r="CG51" s="106">
        <v>59808</v>
      </c>
      <c r="CH51" s="106">
        <v>75</v>
      </c>
      <c r="CI51" s="106">
        <v>64080</v>
      </c>
      <c r="CJ51" s="106">
        <v>65</v>
      </c>
      <c r="CK51" s="106">
        <v>55536</v>
      </c>
      <c r="CL51" s="106">
        <v>60</v>
      </c>
      <c r="CM51" s="106">
        <v>51264</v>
      </c>
      <c r="CN51" s="106">
        <v>7</v>
      </c>
      <c r="CO51" s="106">
        <v>5980.8</v>
      </c>
      <c r="CP51" s="106">
        <v>9</v>
      </c>
      <c r="CQ51" s="106">
        <v>7689.5999999999995</v>
      </c>
      <c r="CR51" s="106">
        <v>10</v>
      </c>
      <c r="CS51" s="106">
        <v>8544</v>
      </c>
      <c r="CT51" s="106">
        <v>7</v>
      </c>
      <c r="CU51" s="106">
        <v>5980.8</v>
      </c>
    </row>
    <row r="52" spans="2:99" x14ac:dyDescent="0.2">
      <c r="C52" s="105" t="s">
        <v>217</v>
      </c>
      <c r="D52" s="106">
        <v>4</v>
      </c>
      <c r="E52" s="106">
        <v>2160</v>
      </c>
      <c r="F52" s="106">
        <v>6</v>
      </c>
      <c r="G52" s="106">
        <v>3240</v>
      </c>
      <c r="H52" s="106">
        <v>7</v>
      </c>
      <c r="I52" s="106">
        <v>3780</v>
      </c>
      <c r="J52" s="106">
        <v>4</v>
      </c>
      <c r="K52" s="106">
        <v>2160</v>
      </c>
      <c r="L52" s="106">
        <v>6</v>
      </c>
      <c r="M52" s="106">
        <v>3240</v>
      </c>
      <c r="N52" s="106">
        <v>5</v>
      </c>
      <c r="O52" s="106">
        <v>2700</v>
      </c>
      <c r="P52" s="106">
        <v>4</v>
      </c>
      <c r="Q52" s="106">
        <v>2160</v>
      </c>
      <c r="R52" s="106">
        <v>6</v>
      </c>
      <c r="S52" s="106">
        <v>3240</v>
      </c>
      <c r="T52" s="106">
        <v>53</v>
      </c>
      <c r="U52" s="106">
        <v>28620</v>
      </c>
      <c r="V52" s="106">
        <v>42</v>
      </c>
      <c r="W52" s="106">
        <v>22680</v>
      </c>
      <c r="X52" s="106">
        <v>58</v>
      </c>
      <c r="Y52" s="106">
        <v>31320</v>
      </c>
      <c r="Z52" s="106">
        <v>58</v>
      </c>
      <c r="AA52" s="106">
        <v>31320</v>
      </c>
      <c r="AB52" s="106">
        <v>13</v>
      </c>
      <c r="AC52" s="106">
        <v>7020</v>
      </c>
      <c r="AD52" s="106">
        <v>11</v>
      </c>
      <c r="AE52" s="106">
        <v>5940</v>
      </c>
      <c r="AF52" s="106">
        <v>14</v>
      </c>
      <c r="AG52" s="106">
        <v>7560</v>
      </c>
      <c r="AH52" s="106">
        <v>11</v>
      </c>
      <c r="AI52" s="106">
        <v>5940</v>
      </c>
      <c r="AJ52" s="106">
        <v>21</v>
      </c>
      <c r="AK52" s="106">
        <v>11340</v>
      </c>
      <c r="AL52" s="106">
        <v>13</v>
      </c>
      <c r="AM52" s="106">
        <v>7020</v>
      </c>
      <c r="AN52" s="106">
        <v>14</v>
      </c>
      <c r="AO52" s="106">
        <v>7560</v>
      </c>
      <c r="AP52" s="106">
        <v>12</v>
      </c>
      <c r="AQ52" s="106">
        <v>6480</v>
      </c>
      <c r="AR52" s="106">
        <v>3</v>
      </c>
      <c r="AS52" s="106">
        <v>1620</v>
      </c>
      <c r="AT52" s="106">
        <v>4</v>
      </c>
      <c r="AU52" s="106">
        <v>2160</v>
      </c>
      <c r="AV52" s="106">
        <v>3</v>
      </c>
      <c r="AW52" s="106">
        <v>1620</v>
      </c>
      <c r="AX52" s="106">
        <v>5</v>
      </c>
      <c r="AY52" s="106">
        <v>2700</v>
      </c>
      <c r="AZ52" s="106">
        <v>6</v>
      </c>
      <c r="BA52" s="106">
        <v>3240</v>
      </c>
      <c r="BB52" s="106">
        <v>6</v>
      </c>
      <c r="BC52" s="106">
        <v>3240</v>
      </c>
      <c r="BD52" s="106">
        <v>5</v>
      </c>
      <c r="BE52" s="106">
        <v>2700</v>
      </c>
      <c r="BF52" s="106">
        <v>6</v>
      </c>
      <c r="BG52" s="106">
        <v>3240</v>
      </c>
      <c r="BH52" s="106">
        <v>5</v>
      </c>
      <c r="BI52" s="106">
        <v>2700</v>
      </c>
      <c r="BJ52" s="106">
        <v>6</v>
      </c>
      <c r="BK52" s="106">
        <v>3240</v>
      </c>
      <c r="BL52" s="106">
        <v>7</v>
      </c>
      <c r="BM52" s="106">
        <v>3780</v>
      </c>
      <c r="BN52" s="106">
        <v>7</v>
      </c>
      <c r="BO52" s="106">
        <v>3780</v>
      </c>
      <c r="BP52" s="106">
        <v>17</v>
      </c>
      <c r="BQ52" s="106">
        <v>9180</v>
      </c>
      <c r="BR52" s="106">
        <v>15</v>
      </c>
      <c r="BS52" s="106">
        <v>8100</v>
      </c>
      <c r="BT52" s="106">
        <v>12</v>
      </c>
      <c r="BU52" s="106">
        <v>6480</v>
      </c>
      <c r="BV52" s="106">
        <v>9</v>
      </c>
      <c r="BW52" s="106">
        <v>4860</v>
      </c>
      <c r="BX52" s="106">
        <v>3</v>
      </c>
      <c r="BY52" s="106">
        <v>1620</v>
      </c>
      <c r="BZ52" s="106">
        <v>3</v>
      </c>
      <c r="CA52" s="106">
        <v>1620</v>
      </c>
      <c r="CB52" s="106">
        <v>4</v>
      </c>
      <c r="CC52" s="106">
        <v>2160</v>
      </c>
      <c r="CD52" s="106">
        <v>5</v>
      </c>
      <c r="CE52" s="106">
        <v>2700</v>
      </c>
      <c r="CF52" s="106">
        <v>76</v>
      </c>
      <c r="CG52" s="106">
        <v>41040</v>
      </c>
      <c r="CH52" s="106">
        <v>81</v>
      </c>
      <c r="CI52" s="106">
        <v>43740</v>
      </c>
      <c r="CJ52" s="106">
        <v>71</v>
      </c>
      <c r="CK52" s="106">
        <v>38340</v>
      </c>
      <c r="CL52" s="106">
        <v>64</v>
      </c>
      <c r="CM52" s="106">
        <v>34560</v>
      </c>
      <c r="CN52" s="106">
        <v>7</v>
      </c>
      <c r="CO52" s="106">
        <v>3780</v>
      </c>
      <c r="CP52" s="106">
        <v>10</v>
      </c>
      <c r="CQ52" s="106">
        <v>5400</v>
      </c>
      <c r="CR52" s="106">
        <v>11</v>
      </c>
      <c r="CS52" s="106">
        <v>5940</v>
      </c>
      <c r="CT52" s="106">
        <v>7</v>
      </c>
      <c r="CU52" s="106">
        <v>3780</v>
      </c>
    </row>
    <row r="53" spans="2:99" x14ac:dyDescent="0.2">
      <c r="C53" s="105" t="s">
        <v>218</v>
      </c>
      <c r="D53" s="106">
        <v>4</v>
      </c>
      <c r="E53" s="106">
        <v>1627.2</v>
      </c>
      <c r="F53" s="106">
        <v>6</v>
      </c>
      <c r="G53" s="106">
        <v>2440.8000000000002</v>
      </c>
      <c r="H53" s="106">
        <v>7</v>
      </c>
      <c r="I53" s="106">
        <v>2847.6</v>
      </c>
      <c r="J53" s="106">
        <v>4</v>
      </c>
      <c r="K53" s="106">
        <v>1627.2</v>
      </c>
      <c r="L53" s="106">
        <v>7</v>
      </c>
      <c r="M53" s="106">
        <v>2847.6</v>
      </c>
      <c r="N53" s="106">
        <v>6</v>
      </c>
      <c r="O53" s="106">
        <v>2440.8000000000002</v>
      </c>
      <c r="P53" s="106">
        <v>4</v>
      </c>
      <c r="Q53" s="106">
        <v>1627.2</v>
      </c>
      <c r="R53" s="106">
        <v>5</v>
      </c>
      <c r="S53" s="106">
        <v>2034</v>
      </c>
      <c r="T53" s="106">
        <v>63</v>
      </c>
      <c r="U53" s="106">
        <v>25628.400000000001</v>
      </c>
      <c r="V53" s="106">
        <v>43</v>
      </c>
      <c r="W53" s="106">
        <v>17492.400000000001</v>
      </c>
      <c r="X53" s="106">
        <v>50</v>
      </c>
      <c r="Y53" s="106">
        <v>20340</v>
      </c>
      <c r="Z53" s="106">
        <v>68</v>
      </c>
      <c r="AA53" s="106">
        <v>27662.400000000001</v>
      </c>
      <c r="AB53" s="106">
        <v>12</v>
      </c>
      <c r="AC53" s="106">
        <v>4881.6000000000004</v>
      </c>
      <c r="AD53" s="106">
        <v>11</v>
      </c>
      <c r="AE53" s="106">
        <v>4474.8</v>
      </c>
      <c r="AF53" s="106">
        <v>13</v>
      </c>
      <c r="AG53" s="106">
        <v>5288.4000000000005</v>
      </c>
      <c r="AH53" s="106">
        <v>11</v>
      </c>
      <c r="AI53" s="106">
        <v>4474.8</v>
      </c>
      <c r="AJ53" s="106">
        <v>19</v>
      </c>
      <c r="AK53" s="106">
        <v>7729.2</v>
      </c>
      <c r="AL53" s="106">
        <v>12</v>
      </c>
      <c r="AM53" s="106">
        <v>4881.6000000000004</v>
      </c>
      <c r="AN53" s="106">
        <v>13</v>
      </c>
      <c r="AO53" s="106">
        <v>5288.4000000000005</v>
      </c>
      <c r="AP53" s="106">
        <v>13</v>
      </c>
      <c r="AQ53" s="106">
        <v>5288.4000000000005</v>
      </c>
      <c r="AR53" s="106">
        <v>3</v>
      </c>
      <c r="AS53" s="106">
        <v>1220.4000000000001</v>
      </c>
      <c r="AT53" s="106">
        <v>5</v>
      </c>
      <c r="AU53" s="106">
        <v>2034</v>
      </c>
      <c r="AV53" s="106">
        <v>3</v>
      </c>
      <c r="AW53" s="106">
        <v>1220.4000000000001</v>
      </c>
      <c r="AX53" s="106">
        <v>4</v>
      </c>
      <c r="AY53" s="106">
        <v>1627.2</v>
      </c>
      <c r="AZ53" s="106">
        <v>7</v>
      </c>
      <c r="BA53" s="106">
        <v>2847.6</v>
      </c>
      <c r="BB53" s="106">
        <v>6</v>
      </c>
      <c r="BC53" s="106">
        <v>2440.8000000000002</v>
      </c>
      <c r="BD53" s="106">
        <v>6</v>
      </c>
      <c r="BE53" s="106">
        <v>2440.8000000000002</v>
      </c>
      <c r="BF53" s="106">
        <v>7</v>
      </c>
      <c r="BG53" s="106">
        <v>2847.6</v>
      </c>
      <c r="BH53" s="106">
        <v>5</v>
      </c>
      <c r="BI53" s="106">
        <v>2034</v>
      </c>
      <c r="BJ53" s="106">
        <v>6</v>
      </c>
      <c r="BK53" s="106">
        <v>2440.8000000000002</v>
      </c>
      <c r="BL53" s="106">
        <v>7</v>
      </c>
      <c r="BM53" s="106">
        <v>2847.6</v>
      </c>
      <c r="BN53" s="106">
        <v>8</v>
      </c>
      <c r="BO53" s="106">
        <v>3254.4</v>
      </c>
      <c r="BP53" s="106">
        <v>16</v>
      </c>
      <c r="BQ53" s="106">
        <v>6508.8</v>
      </c>
      <c r="BR53" s="106">
        <v>15</v>
      </c>
      <c r="BS53" s="106">
        <v>6102</v>
      </c>
      <c r="BT53" s="106">
        <v>14</v>
      </c>
      <c r="BU53" s="106">
        <v>5695.2</v>
      </c>
      <c r="BV53" s="106">
        <v>10</v>
      </c>
      <c r="BW53" s="106">
        <v>4068</v>
      </c>
      <c r="BX53" s="106">
        <v>4</v>
      </c>
      <c r="BY53" s="106">
        <v>1627.2</v>
      </c>
      <c r="BZ53" s="106">
        <v>4</v>
      </c>
      <c r="CA53" s="106">
        <v>1627.2</v>
      </c>
      <c r="CB53" s="106">
        <v>4</v>
      </c>
      <c r="CC53" s="106">
        <v>1627.2</v>
      </c>
      <c r="CD53" s="106">
        <v>5</v>
      </c>
      <c r="CE53" s="106">
        <v>2034</v>
      </c>
      <c r="CF53" s="106">
        <v>78</v>
      </c>
      <c r="CG53" s="106">
        <v>31730.400000000001</v>
      </c>
      <c r="CH53" s="106">
        <v>75</v>
      </c>
      <c r="CI53" s="106">
        <v>30510</v>
      </c>
      <c r="CJ53" s="106">
        <v>70</v>
      </c>
      <c r="CK53" s="106">
        <v>28476</v>
      </c>
      <c r="CL53" s="106">
        <v>65</v>
      </c>
      <c r="CM53" s="106">
        <v>26442</v>
      </c>
      <c r="CN53" s="106">
        <v>8</v>
      </c>
      <c r="CO53" s="106">
        <v>3254.4</v>
      </c>
      <c r="CP53" s="106">
        <v>9</v>
      </c>
      <c r="CQ53" s="106">
        <v>3661.2000000000003</v>
      </c>
      <c r="CR53" s="106">
        <v>11</v>
      </c>
      <c r="CS53" s="106">
        <v>4474.8</v>
      </c>
      <c r="CT53" s="106">
        <v>7</v>
      </c>
      <c r="CU53" s="106">
        <v>2847.6</v>
      </c>
    </row>
    <row r="54" spans="2:99" x14ac:dyDescent="0.2">
      <c r="C54" s="105" t="s">
        <v>219</v>
      </c>
      <c r="D54" s="106">
        <v>4</v>
      </c>
      <c r="E54" s="106">
        <v>1339.2</v>
      </c>
      <c r="F54" s="106">
        <v>6</v>
      </c>
      <c r="G54" s="106">
        <v>2008.8000000000002</v>
      </c>
      <c r="H54" s="106">
        <v>7</v>
      </c>
      <c r="I54" s="106">
        <v>2343.6</v>
      </c>
      <c r="J54" s="106">
        <v>5</v>
      </c>
      <c r="K54" s="106">
        <v>1674</v>
      </c>
      <c r="L54" s="106">
        <v>7</v>
      </c>
      <c r="M54" s="106">
        <v>2343.6</v>
      </c>
      <c r="N54" s="106">
        <v>6</v>
      </c>
      <c r="O54" s="106">
        <v>2008.8000000000002</v>
      </c>
      <c r="P54" s="106">
        <v>4</v>
      </c>
      <c r="Q54" s="106">
        <v>1339.2</v>
      </c>
      <c r="R54" s="106">
        <v>5</v>
      </c>
      <c r="S54" s="106">
        <v>1674</v>
      </c>
      <c r="T54" s="106">
        <v>63</v>
      </c>
      <c r="U54" s="106">
        <v>21092.400000000001</v>
      </c>
      <c r="V54" s="106">
        <v>45</v>
      </c>
      <c r="W54" s="106">
        <v>15066</v>
      </c>
      <c r="X54" s="106">
        <v>58</v>
      </c>
      <c r="Y54" s="106">
        <v>19418.400000000001</v>
      </c>
      <c r="Z54" s="106">
        <v>64</v>
      </c>
      <c r="AA54" s="106">
        <v>21427.200000000001</v>
      </c>
      <c r="AB54" s="106">
        <v>12</v>
      </c>
      <c r="AC54" s="106">
        <v>4017.6000000000004</v>
      </c>
      <c r="AD54" s="106">
        <v>11</v>
      </c>
      <c r="AE54" s="106">
        <v>3682.8</v>
      </c>
      <c r="AF54" s="106">
        <v>13</v>
      </c>
      <c r="AG54" s="106">
        <v>4352.4000000000005</v>
      </c>
      <c r="AH54" s="106">
        <v>11</v>
      </c>
      <c r="AI54" s="106">
        <v>3682.8</v>
      </c>
      <c r="AJ54" s="106">
        <v>19</v>
      </c>
      <c r="AK54" s="106">
        <v>6361.2</v>
      </c>
      <c r="AL54" s="106">
        <v>14</v>
      </c>
      <c r="AM54" s="106">
        <v>4687.2</v>
      </c>
      <c r="AN54" s="106">
        <v>15</v>
      </c>
      <c r="AO54" s="106">
        <v>5022</v>
      </c>
      <c r="AP54" s="106">
        <v>13</v>
      </c>
      <c r="AQ54" s="106">
        <v>4352.4000000000005</v>
      </c>
      <c r="AR54" s="106">
        <v>3</v>
      </c>
      <c r="AS54" s="106">
        <v>1004.4000000000001</v>
      </c>
      <c r="AT54" s="106">
        <v>5</v>
      </c>
      <c r="AU54" s="106">
        <v>1674</v>
      </c>
      <c r="AV54" s="106">
        <v>3</v>
      </c>
      <c r="AW54" s="106">
        <v>1004.4000000000001</v>
      </c>
      <c r="AX54" s="106">
        <v>5</v>
      </c>
      <c r="AY54" s="106">
        <v>1674</v>
      </c>
      <c r="AZ54" s="106">
        <v>6</v>
      </c>
      <c r="BA54" s="106">
        <v>2008.8000000000002</v>
      </c>
      <c r="BB54" s="106">
        <v>6</v>
      </c>
      <c r="BC54" s="106">
        <v>2008.8000000000002</v>
      </c>
      <c r="BD54" s="106">
        <v>6</v>
      </c>
      <c r="BE54" s="106">
        <v>2008.8000000000002</v>
      </c>
      <c r="BF54" s="106">
        <v>6</v>
      </c>
      <c r="BG54" s="106">
        <v>2008.8000000000002</v>
      </c>
      <c r="BH54" s="106">
        <v>5</v>
      </c>
      <c r="BI54" s="106">
        <v>1674</v>
      </c>
      <c r="BJ54" s="106">
        <v>6</v>
      </c>
      <c r="BK54" s="106">
        <v>2008.8000000000002</v>
      </c>
      <c r="BL54" s="106">
        <v>7</v>
      </c>
      <c r="BM54" s="106">
        <v>2343.6</v>
      </c>
      <c r="BN54" s="106">
        <v>8</v>
      </c>
      <c r="BO54" s="106">
        <v>2678.4</v>
      </c>
      <c r="BP54" s="106">
        <v>15</v>
      </c>
      <c r="BQ54" s="106">
        <v>5022</v>
      </c>
      <c r="BR54" s="106">
        <v>14</v>
      </c>
      <c r="BS54" s="106">
        <v>4687.2</v>
      </c>
      <c r="BT54" s="106">
        <v>13</v>
      </c>
      <c r="BU54" s="106">
        <v>4352.4000000000005</v>
      </c>
      <c r="BV54" s="106">
        <v>10</v>
      </c>
      <c r="BW54" s="106">
        <v>3348</v>
      </c>
      <c r="BX54" s="106">
        <v>4</v>
      </c>
      <c r="BY54" s="106">
        <v>1339.2</v>
      </c>
      <c r="BZ54" s="106">
        <v>3</v>
      </c>
      <c r="CA54" s="106">
        <v>1004.4000000000001</v>
      </c>
      <c r="CB54" s="106">
        <v>5</v>
      </c>
      <c r="CC54" s="106">
        <v>1674</v>
      </c>
      <c r="CD54" s="106">
        <v>5</v>
      </c>
      <c r="CE54" s="106">
        <v>1674</v>
      </c>
      <c r="CF54" s="106">
        <v>77</v>
      </c>
      <c r="CG54" s="106">
        <v>25779.600000000002</v>
      </c>
      <c r="CH54" s="106">
        <v>77</v>
      </c>
      <c r="CI54" s="106">
        <v>25779.600000000002</v>
      </c>
      <c r="CJ54" s="106">
        <v>76</v>
      </c>
      <c r="CK54" s="106">
        <v>25444.799999999999</v>
      </c>
      <c r="CL54" s="106">
        <v>57</v>
      </c>
      <c r="CM54" s="106">
        <v>19083.600000000002</v>
      </c>
      <c r="CN54" s="106">
        <v>7</v>
      </c>
      <c r="CO54" s="106">
        <v>2343.6</v>
      </c>
      <c r="CP54" s="106">
        <v>10</v>
      </c>
      <c r="CQ54" s="106">
        <v>3348</v>
      </c>
      <c r="CR54" s="106">
        <v>10</v>
      </c>
      <c r="CS54" s="106">
        <v>3348</v>
      </c>
      <c r="CT54" s="106">
        <v>7</v>
      </c>
      <c r="CU54" s="106">
        <v>2343.6</v>
      </c>
    </row>
    <row r="55" spans="2:99" x14ac:dyDescent="0.2">
      <c r="C55" s="105" t="s">
        <v>220</v>
      </c>
      <c r="D55" s="106">
        <v>4</v>
      </c>
      <c r="E55" s="106">
        <v>2654.4</v>
      </c>
      <c r="F55" s="106">
        <v>6</v>
      </c>
      <c r="G55" s="106">
        <v>3981.6000000000004</v>
      </c>
      <c r="H55" s="106">
        <v>7</v>
      </c>
      <c r="I55" s="106">
        <v>4645.2</v>
      </c>
      <c r="J55" s="106">
        <v>4</v>
      </c>
      <c r="K55" s="106">
        <v>2654.4</v>
      </c>
      <c r="L55" s="106">
        <v>6</v>
      </c>
      <c r="M55" s="106">
        <v>3981.6000000000004</v>
      </c>
      <c r="N55" s="106">
        <v>6</v>
      </c>
      <c r="O55" s="106">
        <v>3981.6000000000004</v>
      </c>
      <c r="P55" s="106">
        <v>4</v>
      </c>
      <c r="Q55" s="106">
        <v>2654.4</v>
      </c>
      <c r="R55" s="106">
        <v>5</v>
      </c>
      <c r="S55" s="106">
        <v>3318</v>
      </c>
      <c r="T55" s="106">
        <v>54</v>
      </c>
      <c r="U55" s="106">
        <v>35834.400000000001</v>
      </c>
      <c r="V55" s="106">
        <v>35</v>
      </c>
      <c r="W55" s="106">
        <v>23226</v>
      </c>
      <c r="X55" s="106">
        <v>47</v>
      </c>
      <c r="Y55" s="106">
        <v>31189.200000000001</v>
      </c>
      <c r="Z55" s="106">
        <v>56</v>
      </c>
      <c r="AA55" s="106">
        <v>37161.599999999999</v>
      </c>
      <c r="AB55" s="106">
        <v>11</v>
      </c>
      <c r="AC55" s="106">
        <v>7299.6</v>
      </c>
      <c r="AD55" s="106">
        <v>9</v>
      </c>
      <c r="AE55" s="106">
        <v>5972.4000000000005</v>
      </c>
      <c r="AF55" s="106">
        <v>15</v>
      </c>
      <c r="AG55" s="106">
        <v>9954</v>
      </c>
      <c r="AH55" s="106">
        <v>11</v>
      </c>
      <c r="AI55" s="106">
        <v>7299.6</v>
      </c>
      <c r="AJ55" s="106">
        <v>21</v>
      </c>
      <c r="AK55" s="106">
        <v>13935.6</v>
      </c>
      <c r="AL55" s="106">
        <v>13</v>
      </c>
      <c r="AM55" s="106">
        <v>8626.8000000000011</v>
      </c>
      <c r="AN55" s="106">
        <v>14</v>
      </c>
      <c r="AO55" s="106">
        <v>9290.4</v>
      </c>
      <c r="AP55" s="106">
        <v>13</v>
      </c>
      <c r="AQ55" s="106">
        <v>8626.8000000000011</v>
      </c>
      <c r="AR55" s="106">
        <v>3</v>
      </c>
      <c r="AS55" s="106">
        <v>1990.8000000000002</v>
      </c>
      <c r="AT55" s="106">
        <v>4</v>
      </c>
      <c r="AU55" s="106">
        <v>2654.4</v>
      </c>
      <c r="AV55" s="106">
        <v>3</v>
      </c>
      <c r="AW55" s="106">
        <v>1990.8000000000002</v>
      </c>
      <c r="AX55" s="106">
        <v>5</v>
      </c>
      <c r="AY55" s="106">
        <v>3318</v>
      </c>
      <c r="AZ55" s="106">
        <v>6</v>
      </c>
      <c r="BA55" s="106">
        <v>3981.6000000000004</v>
      </c>
      <c r="BB55" s="106">
        <v>6</v>
      </c>
      <c r="BC55" s="106">
        <v>3981.6000000000004</v>
      </c>
      <c r="BD55" s="106">
        <v>6</v>
      </c>
      <c r="BE55" s="106">
        <v>3981.6000000000004</v>
      </c>
      <c r="BF55" s="106">
        <v>7</v>
      </c>
      <c r="BG55" s="106">
        <v>4645.2</v>
      </c>
      <c r="BH55" s="106">
        <v>5</v>
      </c>
      <c r="BI55" s="106">
        <v>3318</v>
      </c>
      <c r="BJ55" s="106">
        <v>6</v>
      </c>
      <c r="BK55" s="106">
        <v>3981.6000000000004</v>
      </c>
      <c r="BL55" s="106">
        <v>8</v>
      </c>
      <c r="BM55" s="106">
        <v>5308.8</v>
      </c>
      <c r="BN55" s="106">
        <v>7</v>
      </c>
      <c r="BO55" s="106">
        <v>4645.2</v>
      </c>
      <c r="BP55" s="106">
        <v>16</v>
      </c>
      <c r="BQ55" s="106">
        <v>10617.6</v>
      </c>
      <c r="BR55" s="106">
        <v>14</v>
      </c>
      <c r="BS55" s="106">
        <v>9290.4</v>
      </c>
      <c r="BT55" s="106">
        <v>12</v>
      </c>
      <c r="BU55" s="106">
        <v>7963.2000000000007</v>
      </c>
      <c r="BV55" s="106">
        <v>8</v>
      </c>
      <c r="BW55" s="106">
        <v>5308.8</v>
      </c>
      <c r="BX55" s="106">
        <v>4</v>
      </c>
      <c r="BY55" s="106">
        <v>2654.4</v>
      </c>
      <c r="BZ55" s="106">
        <v>3</v>
      </c>
      <c r="CA55" s="106">
        <v>1990.8000000000002</v>
      </c>
      <c r="CB55" s="106">
        <v>4</v>
      </c>
      <c r="CC55" s="106">
        <v>2654.4</v>
      </c>
      <c r="CD55" s="106">
        <v>5</v>
      </c>
      <c r="CE55" s="106">
        <v>3318</v>
      </c>
      <c r="CF55" s="106">
        <v>75</v>
      </c>
      <c r="CG55" s="106">
        <v>49770</v>
      </c>
      <c r="CH55" s="106">
        <v>68</v>
      </c>
      <c r="CI55" s="106">
        <v>45124.800000000003</v>
      </c>
      <c r="CJ55" s="106">
        <v>62</v>
      </c>
      <c r="CK55" s="106">
        <v>41143.200000000004</v>
      </c>
      <c r="CL55" s="106">
        <v>54</v>
      </c>
      <c r="CM55" s="106">
        <v>35834.400000000001</v>
      </c>
      <c r="CN55" s="106">
        <v>7</v>
      </c>
      <c r="CO55" s="106">
        <v>4645.2</v>
      </c>
      <c r="CP55" s="106">
        <v>10</v>
      </c>
      <c r="CQ55" s="106">
        <v>6636</v>
      </c>
      <c r="CR55" s="106">
        <v>10</v>
      </c>
      <c r="CS55" s="106">
        <v>6636</v>
      </c>
      <c r="CT55" s="106">
        <v>7</v>
      </c>
      <c r="CU55" s="106">
        <v>4645.2</v>
      </c>
    </row>
    <row r="56" spans="2:99" x14ac:dyDescent="0.2">
      <c r="C56" s="105" t="s">
        <v>221</v>
      </c>
      <c r="D56" s="106">
        <v>4</v>
      </c>
      <c r="E56" s="106">
        <v>4603.2</v>
      </c>
      <c r="F56" s="106">
        <v>6</v>
      </c>
      <c r="G56" s="106">
        <v>6904.7999999999993</v>
      </c>
      <c r="H56" s="106">
        <v>7</v>
      </c>
      <c r="I56" s="106">
        <v>8055.5999999999995</v>
      </c>
      <c r="J56" s="106">
        <v>4</v>
      </c>
      <c r="K56" s="106">
        <v>4603.2</v>
      </c>
      <c r="L56" s="106">
        <v>6</v>
      </c>
      <c r="M56" s="106">
        <v>6904.7999999999993</v>
      </c>
      <c r="N56" s="106">
        <v>5</v>
      </c>
      <c r="O56" s="106">
        <v>5754</v>
      </c>
      <c r="P56" s="106">
        <v>4</v>
      </c>
      <c r="Q56" s="106">
        <v>4603.2</v>
      </c>
      <c r="R56" s="106">
        <v>5</v>
      </c>
      <c r="S56" s="106">
        <v>5754</v>
      </c>
      <c r="T56" s="106">
        <v>57</v>
      </c>
      <c r="U56" s="106">
        <v>65595.599999999991</v>
      </c>
      <c r="V56" s="106">
        <v>38</v>
      </c>
      <c r="W56" s="106">
        <v>43730.400000000001</v>
      </c>
      <c r="X56" s="106">
        <v>51</v>
      </c>
      <c r="Y56" s="106">
        <v>58690.799999999996</v>
      </c>
      <c r="Z56" s="106">
        <v>53</v>
      </c>
      <c r="AA56" s="106">
        <v>60992.399999999994</v>
      </c>
      <c r="AB56" s="106">
        <v>11</v>
      </c>
      <c r="AC56" s="106">
        <v>12658.8</v>
      </c>
      <c r="AD56" s="106">
        <v>10</v>
      </c>
      <c r="AE56" s="106">
        <v>11508</v>
      </c>
      <c r="AF56" s="106">
        <v>12</v>
      </c>
      <c r="AG56" s="106">
        <v>13809.599999999999</v>
      </c>
      <c r="AH56" s="106">
        <v>11</v>
      </c>
      <c r="AI56" s="106">
        <v>12658.8</v>
      </c>
      <c r="AJ56" s="106">
        <v>18</v>
      </c>
      <c r="AK56" s="106">
        <v>20714.399999999998</v>
      </c>
      <c r="AL56" s="106">
        <v>13</v>
      </c>
      <c r="AM56" s="106">
        <v>14960.4</v>
      </c>
      <c r="AN56" s="106">
        <v>14</v>
      </c>
      <c r="AO56" s="106">
        <v>16111.199999999999</v>
      </c>
      <c r="AP56" s="106">
        <v>11</v>
      </c>
      <c r="AQ56" s="106">
        <v>12658.8</v>
      </c>
      <c r="AR56" s="106">
        <v>3</v>
      </c>
      <c r="AS56" s="106">
        <v>3452.3999999999996</v>
      </c>
      <c r="AT56" s="106">
        <v>4</v>
      </c>
      <c r="AU56" s="106">
        <v>4603.2</v>
      </c>
      <c r="AV56" s="106">
        <v>3</v>
      </c>
      <c r="AW56" s="106">
        <v>3452.3999999999996</v>
      </c>
      <c r="AX56" s="106">
        <v>5</v>
      </c>
      <c r="AY56" s="106">
        <v>5754</v>
      </c>
      <c r="AZ56" s="106">
        <v>6</v>
      </c>
      <c r="BA56" s="106">
        <v>6904.7999999999993</v>
      </c>
      <c r="BB56" s="106">
        <v>6</v>
      </c>
      <c r="BC56" s="106">
        <v>6904.7999999999993</v>
      </c>
      <c r="BD56" s="106">
        <v>6</v>
      </c>
      <c r="BE56" s="106">
        <v>6904.7999999999993</v>
      </c>
      <c r="BF56" s="106">
        <v>6</v>
      </c>
      <c r="BG56" s="106">
        <v>6904.7999999999993</v>
      </c>
      <c r="BH56" s="106">
        <v>5</v>
      </c>
      <c r="BI56" s="106">
        <v>5754</v>
      </c>
      <c r="BJ56" s="106">
        <v>5</v>
      </c>
      <c r="BK56" s="106">
        <v>5754</v>
      </c>
      <c r="BL56" s="106">
        <v>7</v>
      </c>
      <c r="BM56" s="106">
        <v>8055.5999999999995</v>
      </c>
      <c r="BN56" s="106">
        <v>7</v>
      </c>
      <c r="BO56" s="106">
        <v>8055.5999999999995</v>
      </c>
      <c r="BP56" s="106">
        <v>14</v>
      </c>
      <c r="BQ56" s="106">
        <v>16111.199999999999</v>
      </c>
      <c r="BR56" s="106">
        <v>14</v>
      </c>
      <c r="BS56" s="106">
        <v>16111.199999999999</v>
      </c>
      <c r="BT56" s="106">
        <v>12</v>
      </c>
      <c r="BU56" s="106">
        <v>13809.599999999999</v>
      </c>
      <c r="BV56" s="106">
        <v>9</v>
      </c>
      <c r="BW56" s="106">
        <v>10357.199999999999</v>
      </c>
      <c r="BX56" s="106">
        <v>3</v>
      </c>
      <c r="BY56" s="106">
        <v>3452.3999999999996</v>
      </c>
      <c r="BZ56" s="106">
        <v>3</v>
      </c>
      <c r="CA56" s="106">
        <v>3452.3999999999996</v>
      </c>
      <c r="CB56" s="106">
        <v>4</v>
      </c>
      <c r="CC56" s="106">
        <v>4603.2</v>
      </c>
      <c r="CD56" s="106">
        <v>5</v>
      </c>
      <c r="CE56" s="106">
        <v>5754</v>
      </c>
      <c r="CF56" s="106">
        <v>72</v>
      </c>
      <c r="CG56" s="106">
        <v>82857.599999999991</v>
      </c>
      <c r="CH56" s="106">
        <v>75</v>
      </c>
      <c r="CI56" s="106">
        <v>86310</v>
      </c>
      <c r="CJ56" s="106">
        <v>56</v>
      </c>
      <c r="CK56" s="106">
        <v>64444.799999999996</v>
      </c>
      <c r="CL56" s="106">
        <v>54</v>
      </c>
      <c r="CM56" s="106">
        <v>62143.199999999997</v>
      </c>
      <c r="CN56" s="106">
        <v>7</v>
      </c>
      <c r="CO56" s="106">
        <v>8055.5999999999995</v>
      </c>
      <c r="CP56" s="106">
        <v>10</v>
      </c>
      <c r="CQ56" s="106">
        <v>11508</v>
      </c>
      <c r="CR56" s="106">
        <v>10</v>
      </c>
      <c r="CS56" s="106">
        <v>11508</v>
      </c>
      <c r="CT56" s="106">
        <v>6</v>
      </c>
      <c r="CU56" s="106">
        <v>6904.7999999999993</v>
      </c>
    </row>
    <row r="57" spans="2:99" x14ac:dyDescent="0.2">
      <c r="C57" s="105" t="s">
        <v>222</v>
      </c>
      <c r="D57" s="106">
        <v>4</v>
      </c>
      <c r="E57" s="106">
        <v>5644.8</v>
      </c>
      <c r="F57" s="106">
        <v>5</v>
      </c>
      <c r="G57" s="106">
        <v>7056</v>
      </c>
      <c r="H57" s="106">
        <v>6</v>
      </c>
      <c r="I57" s="106">
        <v>8467.2000000000007</v>
      </c>
      <c r="J57" s="106">
        <v>4</v>
      </c>
      <c r="K57" s="106">
        <v>5644.8</v>
      </c>
      <c r="L57" s="106">
        <v>6</v>
      </c>
      <c r="M57" s="106">
        <v>8467.2000000000007</v>
      </c>
      <c r="N57" s="106">
        <v>5</v>
      </c>
      <c r="O57" s="106">
        <v>7056</v>
      </c>
      <c r="P57" s="106">
        <v>4</v>
      </c>
      <c r="Q57" s="106">
        <v>5644.8</v>
      </c>
      <c r="R57" s="106">
        <v>5</v>
      </c>
      <c r="S57" s="106">
        <v>7056</v>
      </c>
      <c r="T57" s="106">
        <v>49</v>
      </c>
      <c r="U57" s="106">
        <v>69148.800000000003</v>
      </c>
      <c r="V57" s="106">
        <v>32</v>
      </c>
      <c r="W57" s="106">
        <v>45158.400000000001</v>
      </c>
      <c r="X57" s="106">
        <v>49</v>
      </c>
      <c r="Y57" s="106">
        <v>69148.800000000003</v>
      </c>
      <c r="Z57" s="106">
        <v>55</v>
      </c>
      <c r="AA57" s="106">
        <v>77616</v>
      </c>
      <c r="AB57" s="106">
        <v>10</v>
      </c>
      <c r="AC57" s="106">
        <v>14112</v>
      </c>
      <c r="AD57" s="106">
        <v>8</v>
      </c>
      <c r="AE57" s="106">
        <v>11289.6</v>
      </c>
      <c r="AF57" s="106">
        <v>14</v>
      </c>
      <c r="AG57" s="106">
        <v>19756.8</v>
      </c>
      <c r="AH57" s="106">
        <v>11</v>
      </c>
      <c r="AI57" s="106">
        <v>15523.2</v>
      </c>
      <c r="AJ57" s="106">
        <v>20</v>
      </c>
      <c r="AK57" s="106">
        <v>28224</v>
      </c>
      <c r="AL57" s="106">
        <v>12</v>
      </c>
      <c r="AM57" s="106">
        <v>16934.400000000001</v>
      </c>
      <c r="AN57" s="106">
        <v>14</v>
      </c>
      <c r="AO57" s="106">
        <v>19756.8</v>
      </c>
      <c r="AP57" s="106">
        <v>13</v>
      </c>
      <c r="AQ57" s="106">
        <v>18345.600000000002</v>
      </c>
      <c r="AR57" s="106">
        <v>3</v>
      </c>
      <c r="AS57" s="106">
        <v>4233.6000000000004</v>
      </c>
      <c r="AT57" s="106">
        <v>4</v>
      </c>
      <c r="AU57" s="106">
        <v>5644.8</v>
      </c>
      <c r="AV57" s="106">
        <v>3</v>
      </c>
      <c r="AW57" s="106">
        <v>4233.6000000000004</v>
      </c>
      <c r="AX57" s="106">
        <v>5</v>
      </c>
      <c r="AY57" s="106">
        <v>7056</v>
      </c>
      <c r="AZ57" s="106">
        <v>6</v>
      </c>
      <c r="BA57" s="106">
        <v>8467.2000000000007</v>
      </c>
      <c r="BB57" s="106">
        <v>6</v>
      </c>
      <c r="BC57" s="106">
        <v>8467.2000000000007</v>
      </c>
      <c r="BD57" s="106">
        <v>5</v>
      </c>
      <c r="BE57" s="106">
        <v>7056</v>
      </c>
      <c r="BF57" s="106">
        <v>6</v>
      </c>
      <c r="BG57" s="106">
        <v>8467.2000000000007</v>
      </c>
      <c r="BH57" s="106">
        <v>4</v>
      </c>
      <c r="BI57" s="106">
        <v>5644.8</v>
      </c>
      <c r="BJ57" s="106">
        <v>5</v>
      </c>
      <c r="BK57" s="106">
        <v>7056</v>
      </c>
      <c r="BL57" s="106">
        <v>7</v>
      </c>
      <c r="BM57" s="106">
        <v>9878.4</v>
      </c>
      <c r="BN57" s="106">
        <v>7</v>
      </c>
      <c r="BO57" s="106">
        <v>9878.4</v>
      </c>
      <c r="BP57" s="106">
        <v>15</v>
      </c>
      <c r="BQ57" s="106">
        <v>21168</v>
      </c>
      <c r="BR57" s="106">
        <v>14</v>
      </c>
      <c r="BS57" s="106">
        <v>19756.8</v>
      </c>
      <c r="BT57" s="106">
        <v>12</v>
      </c>
      <c r="BU57" s="106">
        <v>16934.400000000001</v>
      </c>
      <c r="BV57" s="106">
        <v>8</v>
      </c>
      <c r="BW57" s="106">
        <v>11289.6</v>
      </c>
      <c r="BX57" s="106">
        <v>4</v>
      </c>
      <c r="BY57" s="106">
        <v>5644.8</v>
      </c>
      <c r="BZ57" s="106">
        <v>3</v>
      </c>
      <c r="CA57" s="106">
        <v>4233.6000000000004</v>
      </c>
      <c r="CB57" s="106">
        <v>5</v>
      </c>
      <c r="CC57" s="106">
        <v>7056</v>
      </c>
      <c r="CD57" s="106">
        <v>4</v>
      </c>
      <c r="CE57" s="106">
        <v>5644.8</v>
      </c>
      <c r="CF57" s="106">
        <v>70</v>
      </c>
      <c r="CG57" s="106">
        <v>98784</v>
      </c>
      <c r="CH57" s="106">
        <v>62</v>
      </c>
      <c r="CI57" s="106">
        <v>87494.400000000009</v>
      </c>
      <c r="CJ57" s="106">
        <v>55</v>
      </c>
      <c r="CK57" s="106">
        <v>77616</v>
      </c>
      <c r="CL57" s="106">
        <v>48</v>
      </c>
      <c r="CM57" s="106">
        <v>67737.600000000006</v>
      </c>
      <c r="CN57" s="106">
        <v>6</v>
      </c>
      <c r="CO57" s="106">
        <v>8467.2000000000007</v>
      </c>
      <c r="CP57" s="106">
        <v>9</v>
      </c>
      <c r="CQ57" s="106">
        <v>12700.800000000001</v>
      </c>
      <c r="CR57" s="106">
        <v>10</v>
      </c>
      <c r="CS57" s="106">
        <v>14112</v>
      </c>
      <c r="CT57" s="106">
        <v>6</v>
      </c>
      <c r="CU57" s="106">
        <v>8467.2000000000007</v>
      </c>
    </row>
    <row r="58" spans="2:99" x14ac:dyDescent="0.2">
      <c r="C58" s="105" t="s">
        <v>223</v>
      </c>
      <c r="D58" s="106">
        <v>4</v>
      </c>
      <c r="E58" s="106">
        <v>4708.8</v>
      </c>
      <c r="F58" s="106">
        <v>6</v>
      </c>
      <c r="G58" s="106">
        <v>7063.2000000000007</v>
      </c>
      <c r="H58" s="106">
        <v>7</v>
      </c>
      <c r="I58" s="106">
        <v>8240.4</v>
      </c>
      <c r="J58" s="106">
        <v>4</v>
      </c>
      <c r="K58" s="106">
        <v>4708.8</v>
      </c>
      <c r="L58" s="106">
        <v>6</v>
      </c>
      <c r="M58" s="106">
        <v>7063.2000000000007</v>
      </c>
      <c r="N58" s="106">
        <v>5</v>
      </c>
      <c r="O58" s="106">
        <v>5886</v>
      </c>
      <c r="P58" s="106">
        <v>4</v>
      </c>
      <c r="Q58" s="106">
        <v>4708.8</v>
      </c>
      <c r="R58" s="106">
        <v>5</v>
      </c>
      <c r="S58" s="106">
        <v>5886</v>
      </c>
      <c r="T58" s="106">
        <v>54</v>
      </c>
      <c r="U58" s="106">
        <v>63568.800000000003</v>
      </c>
      <c r="V58" s="106">
        <v>34</v>
      </c>
      <c r="W58" s="106">
        <v>40024.800000000003</v>
      </c>
      <c r="X58" s="106">
        <v>49</v>
      </c>
      <c r="Y58" s="106">
        <v>57682.8</v>
      </c>
      <c r="Z58" s="106">
        <v>59</v>
      </c>
      <c r="AA58" s="106">
        <v>69454.8</v>
      </c>
      <c r="AB58" s="106">
        <v>11</v>
      </c>
      <c r="AC58" s="106">
        <v>12949.2</v>
      </c>
      <c r="AD58" s="106">
        <v>10</v>
      </c>
      <c r="AE58" s="106">
        <v>11772</v>
      </c>
      <c r="AF58" s="106">
        <v>13</v>
      </c>
      <c r="AG58" s="106">
        <v>15303.6</v>
      </c>
      <c r="AH58" s="106">
        <v>11</v>
      </c>
      <c r="AI58" s="106">
        <v>12949.2</v>
      </c>
      <c r="AJ58" s="106">
        <v>19</v>
      </c>
      <c r="AK58" s="106">
        <v>22366.799999999999</v>
      </c>
      <c r="AL58" s="106">
        <v>12</v>
      </c>
      <c r="AM58" s="106">
        <v>14126.400000000001</v>
      </c>
      <c r="AN58" s="106">
        <v>13</v>
      </c>
      <c r="AO58" s="106">
        <v>15303.6</v>
      </c>
      <c r="AP58" s="106">
        <v>14</v>
      </c>
      <c r="AQ58" s="106">
        <v>16480.8</v>
      </c>
      <c r="AR58" s="106">
        <v>3</v>
      </c>
      <c r="AS58" s="106">
        <v>3531.6000000000004</v>
      </c>
      <c r="AT58" s="106">
        <v>4</v>
      </c>
      <c r="AU58" s="106">
        <v>4708.8</v>
      </c>
      <c r="AV58" s="106">
        <v>3</v>
      </c>
      <c r="AW58" s="106">
        <v>3531.6000000000004</v>
      </c>
      <c r="AX58" s="106">
        <v>5</v>
      </c>
      <c r="AY58" s="106">
        <v>5886</v>
      </c>
      <c r="AZ58" s="106">
        <v>6</v>
      </c>
      <c r="BA58" s="106">
        <v>7063.2000000000007</v>
      </c>
      <c r="BB58" s="106">
        <v>5</v>
      </c>
      <c r="BC58" s="106">
        <v>5886</v>
      </c>
      <c r="BD58" s="106">
        <v>5</v>
      </c>
      <c r="BE58" s="106">
        <v>5886</v>
      </c>
      <c r="BF58" s="106">
        <v>7</v>
      </c>
      <c r="BG58" s="106">
        <v>8240.4</v>
      </c>
      <c r="BH58" s="106">
        <v>4</v>
      </c>
      <c r="BI58" s="106">
        <v>4708.8</v>
      </c>
      <c r="BJ58" s="106">
        <v>6</v>
      </c>
      <c r="BK58" s="106">
        <v>7063.2000000000007</v>
      </c>
      <c r="BL58" s="106">
        <v>7</v>
      </c>
      <c r="BM58" s="106">
        <v>8240.4</v>
      </c>
      <c r="BN58" s="106">
        <v>7</v>
      </c>
      <c r="BO58" s="106">
        <v>8240.4</v>
      </c>
      <c r="BP58" s="106">
        <v>16</v>
      </c>
      <c r="BQ58" s="106">
        <v>18835.2</v>
      </c>
      <c r="BR58" s="106">
        <v>14</v>
      </c>
      <c r="BS58" s="106">
        <v>16480.8</v>
      </c>
      <c r="BT58" s="106">
        <v>12</v>
      </c>
      <c r="BU58" s="106">
        <v>14126.400000000001</v>
      </c>
      <c r="BV58" s="106">
        <v>9</v>
      </c>
      <c r="BW58" s="106">
        <v>10594.800000000001</v>
      </c>
      <c r="BX58" s="106">
        <v>4</v>
      </c>
      <c r="BY58" s="106">
        <v>4708.8</v>
      </c>
      <c r="BZ58" s="106">
        <v>3</v>
      </c>
      <c r="CA58" s="106">
        <v>3531.6000000000004</v>
      </c>
      <c r="CB58" s="106">
        <v>4</v>
      </c>
      <c r="CC58" s="106">
        <v>4708.8</v>
      </c>
      <c r="CD58" s="106">
        <v>5</v>
      </c>
      <c r="CE58" s="106">
        <v>5886</v>
      </c>
      <c r="CF58" s="106">
        <v>68</v>
      </c>
      <c r="CG58" s="106">
        <v>80049.600000000006</v>
      </c>
      <c r="CH58" s="106">
        <v>64</v>
      </c>
      <c r="CI58" s="106">
        <v>75340.800000000003</v>
      </c>
      <c r="CJ58" s="106">
        <v>55</v>
      </c>
      <c r="CK58" s="106">
        <v>64746</v>
      </c>
      <c r="CL58" s="106">
        <v>50</v>
      </c>
      <c r="CM58" s="106">
        <v>58860</v>
      </c>
      <c r="CN58" s="106">
        <v>6</v>
      </c>
      <c r="CO58" s="106">
        <v>7063.2000000000007</v>
      </c>
      <c r="CP58" s="106">
        <v>10</v>
      </c>
      <c r="CQ58" s="106">
        <v>11772</v>
      </c>
      <c r="CR58" s="106">
        <v>9</v>
      </c>
      <c r="CS58" s="106">
        <v>10594.800000000001</v>
      </c>
      <c r="CT58" s="106">
        <v>7</v>
      </c>
      <c r="CU58" s="106">
        <v>8240.4</v>
      </c>
    </row>
    <row r="59" spans="2:99" x14ac:dyDescent="0.2">
      <c r="C59" s="105" t="s">
        <v>224</v>
      </c>
      <c r="D59" s="106">
        <v>4</v>
      </c>
      <c r="E59" s="106">
        <v>1214.3999999999999</v>
      </c>
      <c r="F59" s="106">
        <v>6</v>
      </c>
      <c r="G59" s="106">
        <v>1821.6</v>
      </c>
      <c r="H59" s="106">
        <v>7</v>
      </c>
      <c r="I59" s="106">
        <v>2125.1999999999998</v>
      </c>
      <c r="J59" s="106">
        <v>4</v>
      </c>
      <c r="K59" s="106">
        <v>1214.3999999999999</v>
      </c>
      <c r="L59" s="106">
        <v>6</v>
      </c>
      <c r="M59" s="106">
        <v>1821.6</v>
      </c>
      <c r="N59" s="106">
        <v>6</v>
      </c>
      <c r="O59" s="106">
        <v>1821.6</v>
      </c>
      <c r="P59" s="106">
        <v>5</v>
      </c>
      <c r="Q59" s="106">
        <v>1517.9999999999998</v>
      </c>
      <c r="R59" s="106">
        <v>6</v>
      </c>
      <c r="S59" s="106">
        <v>1821.6</v>
      </c>
      <c r="T59" s="106">
        <v>60</v>
      </c>
      <c r="U59" s="106">
        <v>18215.999999999996</v>
      </c>
      <c r="V59" s="106">
        <v>38</v>
      </c>
      <c r="W59" s="106">
        <v>11536.8</v>
      </c>
      <c r="X59" s="106">
        <v>57</v>
      </c>
      <c r="Y59" s="106">
        <v>17305.199999999997</v>
      </c>
      <c r="Z59" s="106">
        <v>62</v>
      </c>
      <c r="AA59" s="106">
        <v>18823.199999999997</v>
      </c>
      <c r="AB59" s="106">
        <v>14</v>
      </c>
      <c r="AC59" s="106">
        <v>4250.3999999999996</v>
      </c>
      <c r="AD59" s="106">
        <v>11</v>
      </c>
      <c r="AE59" s="106">
        <v>3339.5999999999995</v>
      </c>
      <c r="AF59" s="106">
        <v>13</v>
      </c>
      <c r="AG59" s="106">
        <v>3946.7999999999997</v>
      </c>
      <c r="AH59" s="106">
        <v>11</v>
      </c>
      <c r="AI59" s="106">
        <v>3339.5999999999995</v>
      </c>
      <c r="AJ59" s="106">
        <v>19</v>
      </c>
      <c r="AK59" s="106">
        <v>5768.4</v>
      </c>
      <c r="AL59" s="106">
        <v>14</v>
      </c>
      <c r="AM59" s="106">
        <v>4250.3999999999996</v>
      </c>
      <c r="AN59" s="106">
        <v>15</v>
      </c>
      <c r="AO59" s="106">
        <v>4553.9999999999991</v>
      </c>
      <c r="AP59" s="106">
        <v>15</v>
      </c>
      <c r="AQ59" s="106">
        <v>4553.9999999999991</v>
      </c>
      <c r="AR59" s="106">
        <v>3</v>
      </c>
      <c r="AS59" s="106">
        <v>910.8</v>
      </c>
      <c r="AT59" s="106">
        <v>4</v>
      </c>
      <c r="AU59" s="106">
        <v>1214.3999999999999</v>
      </c>
      <c r="AV59" s="106">
        <v>4</v>
      </c>
      <c r="AW59" s="106">
        <v>1214.3999999999999</v>
      </c>
      <c r="AX59" s="106">
        <v>5</v>
      </c>
      <c r="AY59" s="106">
        <v>1517.9999999999998</v>
      </c>
      <c r="AZ59" s="106">
        <v>6</v>
      </c>
      <c r="BA59" s="106">
        <v>1821.6</v>
      </c>
      <c r="BB59" s="106">
        <v>6</v>
      </c>
      <c r="BC59" s="106">
        <v>1821.6</v>
      </c>
      <c r="BD59" s="106">
        <v>5</v>
      </c>
      <c r="BE59" s="106">
        <v>1517.9999999999998</v>
      </c>
      <c r="BF59" s="106">
        <v>7</v>
      </c>
      <c r="BG59" s="106">
        <v>2125.1999999999998</v>
      </c>
      <c r="BH59" s="106">
        <v>5</v>
      </c>
      <c r="BI59" s="106">
        <v>1517.9999999999998</v>
      </c>
      <c r="BJ59" s="106">
        <v>6</v>
      </c>
      <c r="BK59" s="106">
        <v>1821.6</v>
      </c>
      <c r="BL59" s="106">
        <v>8</v>
      </c>
      <c r="BM59" s="106">
        <v>2428.7999999999997</v>
      </c>
      <c r="BN59" s="106">
        <v>7</v>
      </c>
      <c r="BO59" s="106">
        <v>2125.1999999999998</v>
      </c>
      <c r="BP59" s="106">
        <v>15</v>
      </c>
      <c r="BQ59" s="106">
        <v>4553.9999999999991</v>
      </c>
      <c r="BR59" s="106">
        <v>16</v>
      </c>
      <c r="BS59" s="106">
        <v>4857.5999999999995</v>
      </c>
      <c r="BT59" s="106">
        <v>14</v>
      </c>
      <c r="BU59" s="106">
        <v>4250.3999999999996</v>
      </c>
      <c r="BV59" s="106">
        <v>10</v>
      </c>
      <c r="BW59" s="106">
        <v>3035.9999999999995</v>
      </c>
      <c r="BX59" s="106">
        <v>4</v>
      </c>
      <c r="BY59" s="106">
        <v>1214.3999999999999</v>
      </c>
      <c r="BZ59" s="106">
        <v>3</v>
      </c>
      <c r="CA59" s="106">
        <v>910.8</v>
      </c>
      <c r="CB59" s="106">
        <v>4</v>
      </c>
      <c r="CC59" s="106">
        <v>1214.3999999999999</v>
      </c>
      <c r="CD59" s="106">
        <v>4</v>
      </c>
      <c r="CE59" s="106">
        <v>1214.3999999999999</v>
      </c>
      <c r="CF59" s="106">
        <v>81</v>
      </c>
      <c r="CG59" s="106">
        <v>24591.599999999999</v>
      </c>
      <c r="CH59" s="106">
        <v>78</v>
      </c>
      <c r="CI59" s="106">
        <v>23680.799999999996</v>
      </c>
      <c r="CJ59" s="106">
        <v>75</v>
      </c>
      <c r="CK59" s="106">
        <v>22769.999999999996</v>
      </c>
      <c r="CL59" s="106">
        <v>60</v>
      </c>
      <c r="CM59" s="106">
        <v>18215.999999999996</v>
      </c>
      <c r="CN59" s="106">
        <v>8</v>
      </c>
      <c r="CO59" s="106">
        <v>2428.7999999999997</v>
      </c>
      <c r="CP59" s="106">
        <v>10</v>
      </c>
      <c r="CQ59" s="106">
        <v>3035.9999999999995</v>
      </c>
      <c r="CR59" s="106">
        <v>10</v>
      </c>
      <c r="CS59" s="106">
        <v>3035.9999999999995</v>
      </c>
      <c r="CT59" s="106">
        <v>6</v>
      </c>
      <c r="CU59" s="106">
        <v>1821.6</v>
      </c>
    </row>
    <row r="60" spans="2:99" x14ac:dyDescent="0.2">
      <c r="C60" s="105" t="s">
        <v>225</v>
      </c>
      <c r="D60" s="106">
        <v>4</v>
      </c>
      <c r="E60" s="106">
        <v>2606.4</v>
      </c>
      <c r="F60" s="106">
        <v>6</v>
      </c>
      <c r="G60" s="106">
        <v>3909.6000000000004</v>
      </c>
      <c r="H60" s="106">
        <v>6</v>
      </c>
      <c r="I60" s="106">
        <v>3909.6000000000004</v>
      </c>
      <c r="J60" s="106">
        <v>4</v>
      </c>
      <c r="K60" s="106">
        <v>2606.4</v>
      </c>
      <c r="L60" s="106">
        <v>7</v>
      </c>
      <c r="M60" s="106">
        <v>4561.2</v>
      </c>
      <c r="N60" s="106">
        <v>5</v>
      </c>
      <c r="O60" s="106">
        <v>3258</v>
      </c>
      <c r="P60" s="106">
        <v>4</v>
      </c>
      <c r="Q60" s="106">
        <v>2606.4</v>
      </c>
      <c r="R60" s="106">
        <v>5</v>
      </c>
      <c r="S60" s="106">
        <v>3258</v>
      </c>
      <c r="T60" s="106">
        <v>54</v>
      </c>
      <c r="U60" s="106">
        <v>35186.400000000001</v>
      </c>
      <c r="V60" s="106">
        <v>42</v>
      </c>
      <c r="W60" s="106">
        <v>27367.200000000001</v>
      </c>
      <c r="X60" s="106">
        <v>48</v>
      </c>
      <c r="Y60" s="106">
        <v>31276.800000000003</v>
      </c>
      <c r="Z60" s="106">
        <v>59</v>
      </c>
      <c r="AA60" s="106">
        <v>38444.400000000001</v>
      </c>
      <c r="AB60" s="106">
        <v>12</v>
      </c>
      <c r="AC60" s="106">
        <v>7819.2000000000007</v>
      </c>
      <c r="AD60" s="106">
        <v>11</v>
      </c>
      <c r="AE60" s="106">
        <v>7167.6</v>
      </c>
      <c r="AF60" s="106">
        <v>15</v>
      </c>
      <c r="AG60" s="106">
        <v>9774</v>
      </c>
      <c r="AH60" s="106">
        <v>10</v>
      </c>
      <c r="AI60" s="106">
        <v>6516</v>
      </c>
      <c r="AJ60" s="106">
        <v>21</v>
      </c>
      <c r="AK60" s="106">
        <v>13683.6</v>
      </c>
      <c r="AL60" s="106">
        <v>14</v>
      </c>
      <c r="AM60" s="106">
        <v>9122.4</v>
      </c>
      <c r="AN60" s="106">
        <v>13</v>
      </c>
      <c r="AO60" s="106">
        <v>8470.8000000000011</v>
      </c>
      <c r="AP60" s="106">
        <v>14</v>
      </c>
      <c r="AQ60" s="106">
        <v>9122.4</v>
      </c>
      <c r="AR60" s="106">
        <v>3</v>
      </c>
      <c r="AS60" s="106">
        <v>1954.8000000000002</v>
      </c>
      <c r="AT60" s="106">
        <v>5</v>
      </c>
      <c r="AU60" s="106">
        <v>3258</v>
      </c>
      <c r="AV60" s="106">
        <v>3</v>
      </c>
      <c r="AW60" s="106">
        <v>1954.8000000000002</v>
      </c>
      <c r="AX60" s="106">
        <v>5</v>
      </c>
      <c r="AY60" s="106">
        <v>3258</v>
      </c>
      <c r="AZ60" s="106">
        <v>7</v>
      </c>
      <c r="BA60" s="106">
        <v>4561.2</v>
      </c>
      <c r="BB60" s="106">
        <v>6</v>
      </c>
      <c r="BC60" s="106">
        <v>3909.6000000000004</v>
      </c>
      <c r="BD60" s="106">
        <v>6</v>
      </c>
      <c r="BE60" s="106">
        <v>3909.6000000000004</v>
      </c>
      <c r="BF60" s="106">
        <v>7</v>
      </c>
      <c r="BG60" s="106">
        <v>4561.2</v>
      </c>
      <c r="BH60" s="106">
        <v>5</v>
      </c>
      <c r="BI60" s="106">
        <v>3258</v>
      </c>
      <c r="BJ60" s="106">
        <v>6</v>
      </c>
      <c r="BK60" s="106">
        <v>3909.6000000000004</v>
      </c>
      <c r="BL60" s="106">
        <v>8</v>
      </c>
      <c r="BM60" s="106">
        <v>5212.8</v>
      </c>
      <c r="BN60" s="106">
        <v>7</v>
      </c>
      <c r="BO60" s="106">
        <v>4561.2</v>
      </c>
      <c r="BP60" s="106">
        <v>14</v>
      </c>
      <c r="BQ60" s="106">
        <v>9122.4</v>
      </c>
      <c r="BR60" s="106">
        <v>14</v>
      </c>
      <c r="BS60" s="106">
        <v>9122.4</v>
      </c>
      <c r="BT60" s="106">
        <v>14</v>
      </c>
      <c r="BU60" s="106">
        <v>9122.4</v>
      </c>
      <c r="BV60" s="106">
        <v>10</v>
      </c>
      <c r="BW60" s="106">
        <v>6516</v>
      </c>
      <c r="BX60" s="106">
        <v>3</v>
      </c>
      <c r="BY60" s="106">
        <v>1954.8000000000002</v>
      </c>
      <c r="BZ60" s="106">
        <v>3</v>
      </c>
      <c r="CA60" s="106">
        <v>1954.8000000000002</v>
      </c>
      <c r="CB60" s="106">
        <v>5</v>
      </c>
      <c r="CC60" s="106">
        <v>3258</v>
      </c>
      <c r="CD60" s="106">
        <v>4</v>
      </c>
      <c r="CE60" s="106">
        <v>2606.4</v>
      </c>
      <c r="CF60" s="106">
        <v>75</v>
      </c>
      <c r="CG60" s="106">
        <v>48870</v>
      </c>
      <c r="CH60" s="106">
        <v>70</v>
      </c>
      <c r="CI60" s="106">
        <v>45612</v>
      </c>
      <c r="CJ60" s="106">
        <v>59</v>
      </c>
      <c r="CK60" s="106">
        <v>38444.400000000001</v>
      </c>
      <c r="CL60" s="106">
        <v>61</v>
      </c>
      <c r="CM60" s="106">
        <v>39747.599999999999</v>
      </c>
      <c r="CN60" s="106">
        <v>7</v>
      </c>
      <c r="CO60" s="106">
        <v>4561.2</v>
      </c>
      <c r="CP60" s="106">
        <v>10</v>
      </c>
      <c r="CQ60" s="106">
        <v>6516</v>
      </c>
      <c r="CR60" s="106">
        <v>11</v>
      </c>
      <c r="CS60" s="106">
        <v>7167.6</v>
      </c>
      <c r="CT60" s="106">
        <v>6</v>
      </c>
      <c r="CU60" s="106">
        <v>3909.6000000000004</v>
      </c>
    </row>
    <row r="61" spans="2:99" x14ac:dyDescent="0.2">
      <c r="C61" s="105" t="s">
        <v>226</v>
      </c>
      <c r="D61" s="106">
        <v>4</v>
      </c>
      <c r="E61" s="106">
        <v>3806.3999999999996</v>
      </c>
      <c r="F61" s="106">
        <v>5</v>
      </c>
      <c r="G61" s="106">
        <v>4758</v>
      </c>
      <c r="H61" s="106">
        <v>6</v>
      </c>
      <c r="I61" s="106">
        <v>5709.5999999999995</v>
      </c>
      <c r="J61" s="106">
        <v>4</v>
      </c>
      <c r="K61" s="106">
        <v>3806.3999999999996</v>
      </c>
      <c r="L61" s="106">
        <v>6</v>
      </c>
      <c r="M61" s="106">
        <v>5709.5999999999995</v>
      </c>
      <c r="N61" s="106">
        <v>5</v>
      </c>
      <c r="O61" s="106">
        <v>4758</v>
      </c>
      <c r="P61" s="106">
        <v>4</v>
      </c>
      <c r="Q61" s="106">
        <v>3806.3999999999996</v>
      </c>
      <c r="R61" s="106">
        <v>5</v>
      </c>
      <c r="S61" s="106">
        <v>4758</v>
      </c>
      <c r="T61" s="106">
        <v>55</v>
      </c>
      <c r="U61" s="106">
        <v>52337.999999999993</v>
      </c>
      <c r="V61" s="106">
        <v>41</v>
      </c>
      <c r="W61" s="106">
        <v>39015.599999999999</v>
      </c>
      <c r="X61" s="106">
        <v>46</v>
      </c>
      <c r="Y61" s="106">
        <v>43773.599999999999</v>
      </c>
      <c r="Z61" s="106">
        <v>61</v>
      </c>
      <c r="AA61" s="106">
        <v>58047.599999999991</v>
      </c>
      <c r="AB61" s="106">
        <v>11</v>
      </c>
      <c r="AC61" s="106">
        <v>10467.599999999999</v>
      </c>
      <c r="AD61" s="106">
        <v>9</v>
      </c>
      <c r="AE61" s="106">
        <v>8564.4</v>
      </c>
      <c r="AF61" s="106">
        <v>13</v>
      </c>
      <c r="AG61" s="106">
        <v>12370.8</v>
      </c>
      <c r="AH61" s="106">
        <v>11</v>
      </c>
      <c r="AI61" s="106">
        <v>10467.599999999999</v>
      </c>
      <c r="AJ61" s="106">
        <v>21</v>
      </c>
      <c r="AK61" s="106">
        <v>19983.599999999999</v>
      </c>
      <c r="AL61" s="106">
        <v>13</v>
      </c>
      <c r="AM61" s="106">
        <v>12370.8</v>
      </c>
      <c r="AN61" s="106">
        <v>13</v>
      </c>
      <c r="AO61" s="106">
        <v>12370.8</v>
      </c>
      <c r="AP61" s="106">
        <v>13</v>
      </c>
      <c r="AQ61" s="106">
        <v>12370.8</v>
      </c>
      <c r="AR61" s="106">
        <v>3</v>
      </c>
      <c r="AS61" s="106">
        <v>2854.7999999999997</v>
      </c>
      <c r="AT61" s="106">
        <v>4</v>
      </c>
      <c r="AU61" s="106">
        <v>3806.3999999999996</v>
      </c>
      <c r="AV61" s="106">
        <v>3</v>
      </c>
      <c r="AW61" s="106">
        <v>2854.7999999999997</v>
      </c>
      <c r="AX61" s="106">
        <v>5</v>
      </c>
      <c r="AY61" s="106">
        <v>4758</v>
      </c>
      <c r="AZ61" s="106">
        <v>6</v>
      </c>
      <c r="BA61" s="106">
        <v>5709.5999999999995</v>
      </c>
      <c r="BB61" s="106">
        <v>6</v>
      </c>
      <c r="BC61" s="106">
        <v>5709.5999999999995</v>
      </c>
      <c r="BD61" s="106">
        <v>6</v>
      </c>
      <c r="BE61" s="106">
        <v>5709.5999999999995</v>
      </c>
      <c r="BF61" s="106">
        <v>7</v>
      </c>
      <c r="BG61" s="106">
        <v>6661.1999999999989</v>
      </c>
      <c r="BH61" s="106">
        <v>5</v>
      </c>
      <c r="BI61" s="106">
        <v>4758</v>
      </c>
      <c r="BJ61" s="106">
        <v>5</v>
      </c>
      <c r="BK61" s="106">
        <v>4758</v>
      </c>
      <c r="BL61" s="106">
        <v>7</v>
      </c>
      <c r="BM61" s="106">
        <v>6661.1999999999989</v>
      </c>
      <c r="BN61" s="106">
        <v>7</v>
      </c>
      <c r="BO61" s="106">
        <v>6661.1999999999989</v>
      </c>
      <c r="BP61" s="106">
        <v>16</v>
      </c>
      <c r="BQ61" s="106">
        <v>15225.599999999999</v>
      </c>
      <c r="BR61" s="106">
        <v>15</v>
      </c>
      <c r="BS61" s="106">
        <v>14273.999999999998</v>
      </c>
      <c r="BT61" s="106">
        <v>13</v>
      </c>
      <c r="BU61" s="106">
        <v>12370.8</v>
      </c>
      <c r="BV61" s="106">
        <v>9</v>
      </c>
      <c r="BW61" s="106">
        <v>8564.4</v>
      </c>
      <c r="BX61" s="106">
        <v>3</v>
      </c>
      <c r="BY61" s="106">
        <v>2854.7999999999997</v>
      </c>
      <c r="BZ61" s="106">
        <v>3</v>
      </c>
      <c r="CA61" s="106">
        <v>2854.7999999999997</v>
      </c>
      <c r="CB61" s="106">
        <v>4</v>
      </c>
      <c r="CC61" s="106">
        <v>3806.3999999999996</v>
      </c>
      <c r="CD61" s="106">
        <v>5</v>
      </c>
      <c r="CE61" s="106">
        <v>4758</v>
      </c>
      <c r="CF61" s="106">
        <v>76</v>
      </c>
      <c r="CG61" s="106">
        <v>72321.599999999991</v>
      </c>
      <c r="CH61" s="106">
        <v>70</v>
      </c>
      <c r="CI61" s="106">
        <v>66612</v>
      </c>
      <c r="CJ61" s="106">
        <v>61</v>
      </c>
      <c r="CK61" s="106">
        <v>58047.599999999991</v>
      </c>
      <c r="CL61" s="106">
        <v>61</v>
      </c>
      <c r="CM61" s="106">
        <v>58047.599999999991</v>
      </c>
      <c r="CN61" s="106">
        <v>7</v>
      </c>
      <c r="CO61" s="106">
        <v>6661.1999999999989</v>
      </c>
      <c r="CP61" s="106">
        <v>9</v>
      </c>
      <c r="CQ61" s="106">
        <v>8564.4</v>
      </c>
      <c r="CR61" s="106">
        <v>10</v>
      </c>
      <c r="CS61" s="106">
        <v>9516</v>
      </c>
      <c r="CT61" s="106">
        <v>6</v>
      </c>
      <c r="CU61" s="106">
        <v>5709.5999999999995</v>
      </c>
    </row>
    <row r="62" spans="2:99" x14ac:dyDescent="0.2">
      <c r="C62" s="105" t="s">
        <v>227</v>
      </c>
      <c r="D62" s="106">
        <v>3</v>
      </c>
      <c r="E62" s="106">
        <v>5115.6000000000004</v>
      </c>
      <c r="F62" s="106">
        <v>6</v>
      </c>
      <c r="G62" s="106">
        <v>10231.200000000001</v>
      </c>
      <c r="H62" s="106">
        <v>6</v>
      </c>
      <c r="I62" s="106">
        <v>10231.200000000001</v>
      </c>
      <c r="J62" s="106">
        <v>4</v>
      </c>
      <c r="K62" s="106">
        <v>6820.8</v>
      </c>
      <c r="L62" s="106">
        <v>6</v>
      </c>
      <c r="M62" s="106">
        <v>10231.200000000001</v>
      </c>
      <c r="N62" s="106">
        <v>6</v>
      </c>
      <c r="O62" s="106">
        <v>10231.200000000001</v>
      </c>
      <c r="P62" s="106">
        <v>4</v>
      </c>
      <c r="Q62" s="106">
        <v>6820.8</v>
      </c>
      <c r="R62" s="106">
        <v>5</v>
      </c>
      <c r="S62" s="106">
        <v>8526</v>
      </c>
      <c r="T62" s="106">
        <v>48</v>
      </c>
      <c r="U62" s="106">
        <v>81849.600000000006</v>
      </c>
      <c r="V62" s="106">
        <v>31</v>
      </c>
      <c r="W62" s="106">
        <v>52861.200000000004</v>
      </c>
      <c r="X62" s="106">
        <v>47</v>
      </c>
      <c r="Y62" s="106">
        <v>80144.400000000009</v>
      </c>
      <c r="Z62" s="106">
        <v>54</v>
      </c>
      <c r="AA62" s="106">
        <v>92080.8</v>
      </c>
      <c r="AB62" s="106">
        <v>11</v>
      </c>
      <c r="AC62" s="106">
        <v>18757.2</v>
      </c>
      <c r="AD62" s="106">
        <v>10</v>
      </c>
      <c r="AE62" s="106">
        <v>17052</v>
      </c>
      <c r="AF62" s="106">
        <v>12</v>
      </c>
      <c r="AG62" s="106">
        <v>20462.400000000001</v>
      </c>
      <c r="AH62" s="106">
        <v>9</v>
      </c>
      <c r="AI62" s="106">
        <v>15346.800000000001</v>
      </c>
      <c r="AJ62" s="106">
        <v>17</v>
      </c>
      <c r="AK62" s="106">
        <v>28988.400000000001</v>
      </c>
      <c r="AL62" s="106">
        <v>11</v>
      </c>
      <c r="AM62" s="106">
        <v>18757.2</v>
      </c>
      <c r="AN62" s="106">
        <v>13</v>
      </c>
      <c r="AO62" s="106">
        <v>22167.600000000002</v>
      </c>
      <c r="AP62" s="106">
        <v>11</v>
      </c>
      <c r="AQ62" s="106">
        <v>18757.2</v>
      </c>
      <c r="AR62" s="106">
        <v>3</v>
      </c>
      <c r="AS62" s="106">
        <v>5115.6000000000004</v>
      </c>
      <c r="AT62" s="106">
        <v>5</v>
      </c>
      <c r="AU62" s="106">
        <v>8526</v>
      </c>
      <c r="AV62" s="106">
        <v>3</v>
      </c>
      <c r="AW62" s="106">
        <v>5115.6000000000004</v>
      </c>
      <c r="AX62" s="106">
        <v>5</v>
      </c>
      <c r="AY62" s="106">
        <v>8526</v>
      </c>
      <c r="AZ62" s="106">
        <v>6</v>
      </c>
      <c r="BA62" s="106">
        <v>10231.200000000001</v>
      </c>
      <c r="BB62" s="106">
        <v>6</v>
      </c>
      <c r="BC62" s="106">
        <v>10231.200000000001</v>
      </c>
      <c r="BD62" s="106">
        <v>5</v>
      </c>
      <c r="BE62" s="106">
        <v>8526</v>
      </c>
      <c r="BF62" s="106">
        <v>6</v>
      </c>
      <c r="BG62" s="106">
        <v>10231.200000000001</v>
      </c>
      <c r="BH62" s="106">
        <v>5</v>
      </c>
      <c r="BI62" s="106">
        <v>8526</v>
      </c>
      <c r="BJ62" s="106">
        <v>6</v>
      </c>
      <c r="BK62" s="106">
        <v>10231.200000000001</v>
      </c>
      <c r="BL62" s="106">
        <v>7</v>
      </c>
      <c r="BM62" s="106">
        <v>11936.4</v>
      </c>
      <c r="BN62" s="106">
        <v>6</v>
      </c>
      <c r="BO62" s="106">
        <v>10231.200000000001</v>
      </c>
      <c r="BP62" s="106">
        <v>13</v>
      </c>
      <c r="BQ62" s="106">
        <v>22167.600000000002</v>
      </c>
      <c r="BR62" s="106">
        <v>12</v>
      </c>
      <c r="BS62" s="106">
        <v>20462.400000000001</v>
      </c>
      <c r="BT62" s="106">
        <v>11</v>
      </c>
      <c r="BU62" s="106">
        <v>18757.2</v>
      </c>
      <c r="BV62" s="106">
        <v>8</v>
      </c>
      <c r="BW62" s="106">
        <v>13641.6</v>
      </c>
      <c r="BX62" s="106">
        <v>4</v>
      </c>
      <c r="BY62" s="106">
        <v>6820.8</v>
      </c>
      <c r="BZ62" s="106">
        <v>3</v>
      </c>
      <c r="CA62" s="106">
        <v>5115.6000000000004</v>
      </c>
      <c r="CB62" s="106">
        <v>4</v>
      </c>
      <c r="CC62" s="106">
        <v>6820.8</v>
      </c>
      <c r="CD62" s="106">
        <v>5</v>
      </c>
      <c r="CE62" s="106">
        <v>8526</v>
      </c>
      <c r="CF62" s="106">
        <v>64</v>
      </c>
      <c r="CG62" s="106">
        <v>109132.8</v>
      </c>
      <c r="CH62" s="106">
        <v>56</v>
      </c>
      <c r="CI62" s="106">
        <v>95491.199999999997</v>
      </c>
      <c r="CJ62" s="106">
        <v>59</v>
      </c>
      <c r="CK62" s="106">
        <v>100606.8</v>
      </c>
      <c r="CL62" s="106">
        <v>49</v>
      </c>
      <c r="CM62" s="106">
        <v>83554.8</v>
      </c>
      <c r="CN62" s="106">
        <v>6</v>
      </c>
      <c r="CO62" s="106">
        <v>10231.200000000001</v>
      </c>
      <c r="CP62" s="106">
        <v>10</v>
      </c>
      <c r="CQ62" s="106">
        <v>17052</v>
      </c>
      <c r="CR62" s="106">
        <v>9</v>
      </c>
      <c r="CS62" s="106">
        <v>15346.800000000001</v>
      </c>
      <c r="CT62" s="106">
        <v>6</v>
      </c>
      <c r="CU62" s="106">
        <v>10231.200000000001</v>
      </c>
    </row>
    <row r="63" spans="2:99" x14ac:dyDescent="0.2">
      <c r="C63" s="105" t="s">
        <v>228</v>
      </c>
      <c r="D63" s="106">
        <v>4</v>
      </c>
      <c r="E63" s="106">
        <v>3182.4</v>
      </c>
      <c r="F63" s="106">
        <v>6</v>
      </c>
      <c r="G63" s="106">
        <v>4773.6000000000004</v>
      </c>
      <c r="H63" s="106">
        <v>7</v>
      </c>
      <c r="I63" s="106">
        <v>5569.2</v>
      </c>
      <c r="J63" s="106">
        <v>4</v>
      </c>
      <c r="K63" s="106">
        <v>3182.4</v>
      </c>
      <c r="L63" s="106">
        <v>7</v>
      </c>
      <c r="M63" s="106">
        <v>5569.2</v>
      </c>
      <c r="N63" s="106">
        <v>6</v>
      </c>
      <c r="O63" s="106">
        <v>4773.6000000000004</v>
      </c>
      <c r="P63" s="106">
        <v>4</v>
      </c>
      <c r="Q63" s="106">
        <v>3182.4</v>
      </c>
      <c r="R63" s="106">
        <v>6</v>
      </c>
      <c r="S63" s="106">
        <v>4773.6000000000004</v>
      </c>
      <c r="T63" s="106">
        <v>55</v>
      </c>
      <c r="U63" s="106">
        <v>43758</v>
      </c>
      <c r="V63" s="106">
        <v>38</v>
      </c>
      <c r="W63" s="106">
        <v>30232.799999999999</v>
      </c>
      <c r="X63" s="106">
        <v>52</v>
      </c>
      <c r="Y63" s="106">
        <v>41371.200000000004</v>
      </c>
      <c r="Z63" s="106">
        <v>58</v>
      </c>
      <c r="AA63" s="106">
        <v>46144.800000000003</v>
      </c>
      <c r="AB63" s="106">
        <v>11</v>
      </c>
      <c r="AC63" s="106">
        <v>8751.6</v>
      </c>
      <c r="AD63" s="106">
        <v>9</v>
      </c>
      <c r="AE63" s="106">
        <v>7160.4000000000005</v>
      </c>
      <c r="AF63" s="106">
        <v>12</v>
      </c>
      <c r="AG63" s="106">
        <v>9547.2000000000007</v>
      </c>
      <c r="AH63" s="106">
        <v>10</v>
      </c>
      <c r="AI63" s="106">
        <v>7956</v>
      </c>
      <c r="AJ63" s="106">
        <v>18</v>
      </c>
      <c r="AK63" s="106">
        <v>14320.800000000001</v>
      </c>
      <c r="AL63" s="106">
        <v>12</v>
      </c>
      <c r="AM63" s="106">
        <v>9547.2000000000007</v>
      </c>
      <c r="AN63" s="106">
        <v>15</v>
      </c>
      <c r="AO63" s="106">
        <v>11934</v>
      </c>
      <c r="AP63" s="106">
        <v>13</v>
      </c>
      <c r="AQ63" s="106">
        <v>10342.800000000001</v>
      </c>
      <c r="AR63" s="106">
        <v>3</v>
      </c>
      <c r="AS63" s="106">
        <v>2386.8000000000002</v>
      </c>
      <c r="AT63" s="106">
        <v>4</v>
      </c>
      <c r="AU63" s="106">
        <v>3182.4</v>
      </c>
      <c r="AV63" s="106">
        <v>3</v>
      </c>
      <c r="AW63" s="106">
        <v>2386.8000000000002</v>
      </c>
      <c r="AX63" s="106">
        <v>5</v>
      </c>
      <c r="AY63" s="106">
        <v>3978</v>
      </c>
      <c r="AZ63" s="106">
        <v>7</v>
      </c>
      <c r="BA63" s="106">
        <v>5569.2</v>
      </c>
      <c r="BB63" s="106">
        <v>5</v>
      </c>
      <c r="BC63" s="106">
        <v>3978</v>
      </c>
      <c r="BD63" s="106">
        <v>6</v>
      </c>
      <c r="BE63" s="106">
        <v>4773.6000000000004</v>
      </c>
      <c r="BF63" s="106">
        <v>7</v>
      </c>
      <c r="BG63" s="106">
        <v>5569.2</v>
      </c>
      <c r="BH63" s="106">
        <v>4</v>
      </c>
      <c r="BI63" s="106">
        <v>3182.4</v>
      </c>
      <c r="BJ63" s="106">
        <v>6</v>
      </c>
      <c r="BK63" s="106">
        <v>4773.6000000000004</v>
      </c>
      <c r="BL63" s="106">
        <v>7</v>
      </c>
      <c r="BM63" s="106">
        <v>5569.2</v>
      </c>
      <c r="BN63" s="106">
        <v>7</v>
      </c>
      <c r="BO63" s="106">
        <v>5569.2</v>
      </c>
      <c r="BP63" s="106">
        <v>16</v>
      </c>
      <c r="BQ63" s="106">
        <v>12729.6</v>
      </c>
      <c r="BR63" s="106">
        <v>14</v>
      </c>
      <c r="BS63" s="106">
        <v>11138.4</v>
      </c>
      <c r="BT63" s="106">
        <v>12</v>
      </c>
      <c r="BU63" s="106">
        <v>9547.2000000000007</v>
      </c>
      <c r="BV63" s="106">
        <v>10</v>
      </c>
      <c r="BW63" s="106">
        <v>7956</v>
      </c>
      <c r="BX63" s="106">
        <v>3</v>
      </c>
      <c r="BY63" s="106">
        <v>2386.8000000000002</v>
      </c>
      <c r="BZ63" s="106">
        <v>3</v>
      </c>
      <c r="CA63" s="106">
        <v>2386.8000000000002</v>
      </c>
      <c r="CB63" s="106">
        <v>4</v>
      </c>
      <c r="CC63" s="106">
        <v>3182.4</v>
      </c>
      <c r="CD63" s="106">
        <v>4</v>
      </c>
      <c r="CE63" s="106">
        <v>3182.4</v>
      </c>
      <c r="CF63" s="106">
        <v>77</v>
      </c>
      <c r="CG63" s="106">
        <v>61261.200000000004</v>
      </c>
      <c r="CH63" s="106">
        <v>79</v>
      </c>
      <c r="CI63" s="106">
        <v>62852.4</v>
      </c>
      <c r="CJ63" s="106">
        <v>64</v>
      </c>
      <c r="CK63" s="106">
        <v>50918.400000000001</v>
      </c>
      <c r="CL63" s="106">
        <v>53</v>
      </c>
      <c r="CM63" s="106">
        <v>42166.8</v>
      </c>
      <c r="CN63" s="106">
        <v>7</v>
      </c>
      <c r="CO63" s="106">
        <v>5569.2</v>
      </c>
      <c r="CP63" s="106">
        <v>9</v>
      </c>
      <c r="CQ63" s="106">
        <v>7160.4000000000005</v>
      </c>
      <c r="CR63" s="106">
        <v>10</v>
      </c>
      <c r="CS63" s="106">
        <v>7956</v>
      </c>
      <c r="CT63" s="106">
        <v>7</v>
      </c>
      <c r="CU63" s="106">
        <v>5569.2</v>
      </c>
    </row>
    <row r="64" spans="2:99" x14ac:dyDescent="0.2">
      <c r="C64" s="105" t="s">
        <v>229</v>
      </c>
      <c r="D64" s="106">
        <v>4</v>
      </c>
      <c r="E64" s="106">
        <v>4036.7999999999993</v>
      </c>
      <c r="F64" s="106">
        <v>6</v>
      </c>
      <c r="G64" s="106">
        <v>6055.1999999999989</v>
      </c>
      <c r="H64" s="106">
        <v>7</v>
      </c>
      <c r="I64" s="106">
        <v>7064.3999999999987</v>
      </c>
      <c r="J64" s="106">
        <v>4</v>
      </c>
      <c r="K64" s="106">
        <v>4036.7999999999993</v>
      </c>
      <c r="L64" s="106">
        <v>6</v>
      </c>
      <c r="M64" s="106">
        <v>6055.1999999999989</v>
      </c>
      <c r="N64" s="106">
        <v>6</v>
      </c>
      <c r="O64" s="106">
        <v>6055.1999999999989</v>
      </c>
      <c r="P64" s="106">
        <v>4</v>
      </c>
      <c r="Q64" s="106">
        <v>4036.7999999999993</v>
      </c>
      <c r="R64" s="106">
        <v>6</v>
      </c>
      <c r="S64" s="106">
        <v>6055.1999999999989</v>
      </c>
      <c r="T64" s="106">
        <v>55</v>
      </c>
      <c r="U64" s="106">
        <v>55505.999999999993</v>
      </c>
      <c r="V64" s="106">
        <v>35</v>
      </c>
      <c r="W64" s="106">
        <v>35321.999999999993</v>
      </c>
      <c r="X64" s="106">
        <v>52</v>
      </c>
      <c r="Y64" s="106">
        <v>52478.399999999994</v>
      </c>
      <c r="Z64" s="106">
        <v>58</v>
      </c>
      <c r="AA64" s="106">
        <v>58533.599999999991</v>
      </c>
      <c r="AB64" s="106">
        <v>12</v>
      </c>
      <c r="AC64" s="106">
        <v>12110.399999999998</v>
      </c>
      <c r="AD64" s="106">
        <v>10</v>
      </c>
      <c r="AE64" s="106">
        <v>10091.999999999998</v>
      </c>
      <c r="AF64" s="106">
        <v>13</v>
      </c>
      <c r="AG64" s="106">
        <v>13119.599999999999</v>
      </c>
      <c r="AH64" s="106">
        <v>11</v>
      </c>
      <c r="AI64" s="106">
        <v>11101.199999999997</v>
      </c>
      <c r="AJ64" s="106">
        <v>20</v>
      </c>
      <c r="AK64" s="106">
        <v>20183.999999999996</v>
      </c>
      <c r="AL64" s="106">
        <v>12</v>
      </c>
      <c r="AM64" s="106">
        <v>12110.399999999998</v>
      </c>
      <c r="AN64" s="106">
        <v>14</v>
      </c>
      <c r="AO64" s="106">
        <v>14128.799999999997</v>
      </c>
      <c r="AP64" s="106">
        <v>13</v>
      </c>
      <c r="AQ64" s="106">
        <v>13119.599999999999</v>
      </c>
      <c r="AR64" s="106">
        <v>3</v>
      </c>
      <c r="AS64" s="106">
        <v>3027.5999999999995</v>
      </c>
      <c r="AT64" s="106">
        <v>4</v>
      </c>
      <c r="AU64" s="106">
        <v>4036.7999999999993</v>
      </c>
      <c r="AV64" s="106">
        <v>3</v>
      </c>
      <c r="AW64" s="106">
        <v>3027.5999999999995</v>
      </c>
      <c r="AX64" s="106">
        <v>4</v>
      </c>
      <c r="AY64" s="106">
        <v>4036.7999999999993</v>
      </c>
      <c r="AZ64" s="106">
        <v>6</v>
      </c>
      <c r="BA64" s="106">
        <v>6055.1999999999989</v>
      </c>
      <c r="BB64" s="106">
        <v>6</v>
      </c>
      <c r="BC64" s="106">
        <v>6055.1999999999989</v>
      </c>
      <c r="BD64" s="106">
        <v>6</v>
      </c>
      <c r="BE64" s="106">
        <v>6055.1999999999989</v>
      </c>
      <c r="BF64" s="106">
        <v>6</v>
      </c>
      <c r="BG64" s="106">
        <v>6055.1999999999989</v>
      </c>
      <c r="BH64" s="106">
        <v>5</v>
      </c>
      <c r="BI64" s="106">
        <v>5045.9999999999991</v>
      </c>
      <c r="BJ64" s="106">
        <v>6</v>
      </c>
      <c r="BK64" s="106">
        <v>6055.1999999999989</v>
      </c>
      <c r="BL64" s="106">
        <v>8</v>
      </c>
      <c r="BM64" s="106">
        <v>8073.5999999999985</v>
      </c>
      <c r="BN64" s="106">
        <v>7</v>
      </c>
      <c r="BO64" s="106">
        <v>7064.3999999999987</v>
      </c>
      <c r="BP64" s="106">
        <v>15</v>
      </c>
      <c r="BQ64" s="106">
        <v>15137.999999999996</v>
      </c>
      <c r="BR64" s="106">
        <v>14</v>
      </c>
      <c r="BS64" s="106">
        <v>14128.799999999997</v>
      </c>
      <c r="BT64" s="106">
        <v>12</v>
      </c>
      <c r="BU64" s="106">
        <v>12110.399999999998</v>
      </c>
      <c r="BV64" s="106">
        <v>9</v>
      </c>
      <c r="BW64" s="106">
        <v>9082.7999999999993</v>
      </c>
      <c r="BX64" s="106">
        <v>3</v>
      </c>
      <c r="BY64" s="106">
        <v>3027.5999999999995</v>
      </c>
      <c r="BZ64" s="106">
        <v>3</v>
      </c>
      <c r="CA64" s="106">
        <v>3027.5999999999995</v>
      </c>
      <c r="CB64" s="106">
        <v>5</v>
      </c>
      <c r="CC64" s="106">
        <v>5045.9999999999991</v>
      </c>
      <c r="CD64" s="106">
        <v>4</v>
      </c>
      <c r="CE64" s="106">
        <v>4036.7999999999993</v>
      </c>
      <c r="CF64" s="106">
        <v>66</v>
      </c>
      <c r="CG64" s="106">
        <v>66607.199999999983</v>
      </c>
      <c r="CH64" s="106">
        <v>76</v>
      </c>
      <c r="CI64" s="106">
        <v>76699.199999999983</v>
      </c>
      <c r="CJ64" s="106">
        <v>63</v>
      </c>
      <c r="CK64" s="106">
        <v>63579.599999999991</v>
      </c>
      <c r="CL64" s="106">
        <v>57</v>
      </c>
      <c r="CM64" s="106">
        <v>57524.399999999987</v>
      </c>
      <c r="CN64" s="106">
        <v>7</v>
      </c>
      <c r="CO64" s="106">
        <v>7064.3999999999987</v>
      </c>
      <c r="CP64" s="106">
        <v>9</v>
      </c>
      <c r="CQ64" s="106">
        <v>9082.7999999999993</v>
      </c>
      <c r="CR64" s="106">
        <v>11</v>
      </c>
      <c r="CS64" s="106">
        <v>11101.199999999997</v>
      </c>
      <c r="CT64" s="106">
        <v>6</v>
      </c>
      <c r="CU64" s="106">
        <v>6055.1999999999989</v>
      </c>
    </row>
    <row r="65" spans="2:99" x14ac:dyDescent="0.2">
      <c r="C65" s="105" t="s">
        <v>230</v>
      </c>
      <c r="D65" s="106">
        <v>4</v>
      </c>
      <c r="E65" s="106">
        <v>4104</v>
      </c>
      <c r="F65" s="106">
        <v>6</v>
      </c>
      <c r="G65" s="106">
        <v>6156</v>
      </c>
      <c r="H65" s="106">
        <v>7</v>
      </c>
      <c r="I65" s="106">
        <v>7182</v>
      </c>
      <c r="J65" s="106">
        <v>4</v>
      </c>
      <c r="K65" s="106">
        <v>4104</v>
      </c>
      <c r="L65" s="106">
        <v>6</v>
      </c>
      <c r="M65" s="106">
        <v>6156</v>
      </c>
      <c r="N65" s="106">
        <v>6</v>
      </c>
      <c r="O65" s="106">
        <v>6156</v>
      </c>
      <c r="P65" s="106">
        <v>4</v>
      </c>
      <c r="Q65" s="106">
        <v>4104</v>
      </c>
      <c r="R65" s="106">
        <v>5</v>
      </c>
      <c r="S65" s="106">
        <v>5130</v>
      </c>
      <c r="T65" s="106">
        <v>56</v>
      </c>
      <c r="U65" s="106">
        <v>57456</v>
      </c>
      <c r="V65" s="106">
        <v>34</v>
      </c>
      <c r="W65" s="106">
        <v>34884</v>
      </c>
      <c r="X65" s="106">
        <v>44</v>
      </c>
      <c r="Y65" s="106">
        <v>45144</v>
      </c>
      <c r="Z65" s="106">
        <v>53</v>
      </c>
      <c r="AA65" s="106">
        <v>54378</v>
      </c>
      <c r="AB65" s="106">
        <v>11</v>
      </c>
      <c r="AC65" s="106">
        <v>11286</v>
      </c>
      <c r="AD65" s="106">
        <v>9</v>
      </c>
      <c r="AE65" s="106">
        <v>9234</v>
      </c>
      <c r="AF65" s="106">
        <v>13</v>
      </c>
      <c r="AG65" s="106">
        <v>13338</v>
      </c>
      <c r="AH65" s="106">
        <v>11</v>
      </c>
      <c r="AI65" s="106">
        <v>11286</v>
      </c>
      <c r="AJ65" s="106">
        <v>20</v>
      </c>
      <c r="AK65" s="106">
        <v>20520</v>
      </c>
      <c r="AL65" s="106">
        <v>12</v>
      </c>
      <c r="AM65" s="106">
        <v>12312</v>
      </c>
      <c r="AN65" s="106">
        <v>12</v>
      </c>
      <c r="AO65" s="106">
        <v>12312</v>
      </c>
      <c r="AP65" s="106">
        <v>14</v>
      </c>
      <c r="AQ65" s="106">
        <v>14364</v>
      </c>
      <c r="AR65" s="106">
        <v>3</v>
      </c>
      <c r="AS65" s="106">
        <v>3078</v>
      </c>
      <c r="AT65" s="106">
        <v>4</v>
      </c>
      <c r="AU65" s="106">
        <v>4104</v>
      </c>
      <c r="AV65" s="106">
        <v>3</v>
      </c>
      <c r="AW65" s="106">
        <v>3078</v>
      </c>
      <c r="AX65" s="106">
        <v>4</v>
      </c>
      <c r="AY65" s="106">
        <v>4104</v>
      </c>
      <c r="AZ65" s="106">
        <v>6</v>
      </c>
      <c r="BA65" s="106">
        <v>6156</v>
      </c>
      <c r="BB65" s="106">
        <v>6</v>
      </c>
      <c r="BC65" s="106">
        <v>6156</v>
      </c>
      <c r="BD65" s="106">
        <v>5</v>
      </c>
      <c r="BE65" s="106">
        <v>5130</v>
      </c>
      <c r="BF65" s="106">
        <v>6</v>
      </c>
      <c r="BG65" s="106">
        <v>6156</v>
      </c>
      <c r="BH65" s="106">
        <v>5</v>
      </c>
      <c r="BI65" s="106">
        <v>5130</v>
      </c>
      <c r="BJ65" s="106">
        <v>5</v>
      </c>
      <c r="BK65" s="106">
        <v>5130</v>
      </c>
      <c r="BL65" s="106">
        <v>8</v>
      </c>
      <c r="BM65" s="106">
        <v>8208</v>
      </c>
      <c r="BN65" s="106">
        <v>7</v>
      </c>
      <c r="BO65" s="106">
        <v>7182</v>
      </c>
      <c r="BP65" s="106">
        <v>14</v>
      </c>
      <c r="BQ65" s="106">
        <v>14364</v>
      </c>
      <c r="BR65" s="106">
        <v>14</v>
      </c>
      <c r="BS65" s="106">
        <v>14364</v>
      </c>
      <c r="BT65" s="106">
        <v>11</v>
      </c>
      <c r="BU65" s="106">
        <v>11286</v>
      </c>
      <c r="BV65" s="106">
        <v>10</v>
      </c>
      <c r="BW65" s="106">
        <v>10260</v>
      </c>
      <c r="BX65" s="106">
        <v>3</v>
      </c>
      <c r="BY65" s="106">
        <v>3078</v>
      </c>
      <c r="BZ65" s="106">
        <v>3</v>
      </c>
      <c r="CA65" s="106">
        <v>3078</v>
      </c>
      <c r="CB65" s="106">
        <v>4</v>
      </c>
      <c r="CC65" s="106">
        <v>4104</v>
      </c>
      <c r="CD65" s="106">
        <v>5</v>
      </c>
      <c r="CE65" s="106">
        <v>5130</v>
      </c>
      <c r="CF65" s="106">
        <v>64</v>
      </c>
      <c r="CG65" s="106">
        <v>65664</v>
      </c>
      <c r="CH65" s="106">
        <v>63</v>
      </c>
      <c r="CI65" s="106">
        <v>64638</v>
      </c>
      <c r="CJ65" s="106">
        <v>63</v>
      </c>
      <c r="CK65" s="106">
        <v>64638</v>
      </c>
      <c r="CL65" s="106">
        <v>56</v>
      </c>
      <c r="CM65" s="106">
        <v>57456</v>
      </c>
      <c r="CN65" s="106">
        <v>7</v>
      </c>
      <c r="CO65" s="106">
        <v>7182</v>
      </c>
      <c r="CP65" s="106">
        <v>10</v>
      </c>
      <c r="CQ65" s="106">
        <v>10260</v>
      </c>
      <c r="CR65" s="106">
        <v>11</v>
      </c>
      <c r="CS65" s="106">
        <v>11286</v>
      </c>
      <c r="CT65" s="106">
        <v>6</v>
      </c>
      <c r="CU65" s="106">
        <v>6156</v>
      </c>
    </row>
    <row r="66" spans="2:99" x14ac:dyDescent="0.2">
      <c r="C66" s="105" t="s">
        <v>231</v>
      </c>
      <c r="D66" s="106">
        <v>4</v>
      </c>
      <c r="E66" s="106">
        <v>4761.5999999999995</v>
      </c>
      <c r="F66" s="106">
        <v>6</v>
      </c>
      <c r="G66" s="106">
        <v>7142.4</v>
      </c>
      <c r="H66" s="106">
        <v>7</v>
      </c>
      <c r="I66" s="106">
        <v>8332.7999999999993</v>
      </c>
      <c r="J66" s="106">
        <v>4</v>
      </c>
      <c r="K66" s="106">
        <v>4761.5999999999995</v>
      </c>
      <c r="L66" s="106">
        <v>5</v>
      </c>
      <c r="M66" s="106">
        <v>5951.9999999999991</v>
      </c>
      <c r="N66" s="106">
        <v>5</v>
      </c>
      <c r="O66" s="106">
        <v>5951.9999999999991</v>
      </c>
      <c r="P66" s="106">
        <v>4</v>
      </c>
      <c r="Q66" s="106">
        <v>4761.5999999999995</v>
      </c>
      <c r="R66" s="106">
        <v>5</v>
      </c>
      <c r="S66" s="106">
        <v>5951.9999999999991</v>
      </c>
      <c r="T66" s="106">
        <v>47</v>
      </c>
      <c r="U66" s="106">
        <v>55948.799999999996</v>
      </c>
      <c r="V66" s="106">
        <v>33</v>
      </c>
      <c r="W66" s="106">
        <v>39283.199999999997</v>
      </c>
      <c r="X66" s="106">
        <v>43</v>
      </c>
      <c r="Y66" s="106">
        <v>51187.199999999997</v>
      </c>
      <c r="Z66" s="106">
        <v>60</v>
      </c>
      <c r="AA66" s="106">
        <v>71423.999999999985</v>
      </c>
      <c r="AB66" s="106">
        <v>10</v>
      </c>
      <c r="AC66" s="106">
        <v>11903.999999999998</v>
      </c>
      <c r="AD66" s="106">
        <v>10</v>
      </c>
      <c r="AE66" s="106">
        <v>11903.999999999998</v>
      </c>
      <c r="AF66" s="106">
        <v>13</v>
      </c>
      <c r="AG66" s="106">
        <v>15475.199999999999</v>
      </c>
      <c r="AH66" s="106">
        <v>11</v>
      </c>
      <c r="AI66" s="106">
        <v>13094.399999999998</v>
      </c>
      <c r="AJ66" s="106">
        <v>20</v>
      </c>
      <c r="AK66" s="106">
        <v>23807.999999999996</v>
      </c>
      <c r="AL66" s="106">
        <v>12</v>
      </c>
      <c r="AM66" s="106">
        <v>14284.8</v>
      </c>
      <c r="AN66" s="106">
        <v>12</v>
      </c>
      <c r="AO66" s="106">
        <v>14284.8</v>
      </c>
      <c r="AP66" s="106">
        <v>14</v>
      </c>
      <c r="AQ66" s="106">
        <v>16665.599999999999</v>
      </c>
      <c r="AR66" s="106">
        <v>3</v>
      </c>
      <c r="AS66" s="106">
        <v>3571.2</v>
      </c>
      <c r="AT66" s="106">
        <v>5</v>
      </c>
      <c r="AU66" s="106">
        <v>5951.9999999999991</v>
      </c>
      <c r="AV66" s="106">
        <v>3</v>
      </c>
      <c r="AW66" s="106">
        <v>3571.2</v>
      </c>
      <c r="AX66" s="106">
        <v>5</v>
      </c>
      <c r="AY66" s="106">
        <v>5951.9999999999991</v>
      </c>
      <c r="AZ66" s="106">
        <v>6</v>
      </c>
      <c r="BA66" s="106">
        <v>7142.4</v>
      </c>
      <c r="BB66" s="106">
        <v>6</v>
      </c>
      <c r="BC66" s="106">
        <v>7142.4</v>
      </c>
      <c r="BD66" s="106">
        <v>5</v>
      </c>
      <c r="BE66" s="106">
        <v>5951.9999999999991</v>
      </c>
      <c r="BF66" s="106">
        <v>7</v>
      </c>
      <c r="BG66" s="106">
        <v>8332.7999999999993</v>
      </c>
      <c r="BH66" s="106">
        <v>5</v>
      </c>
      <c r="BI66" s="106">
        <v>5951.9999999999991</v>
      </c>
      <c r="BJ66" s="106">
        <v>6</v>
      </c>
      <c r="BK66" s="106">
        <v>7142.4</v>
      </c>
      <c r="BL66" s="106">
        <v>7</v>
      </c>
      <c r="BM66" s="106">
        <v>8332.7999999999993</v>
      </c>
      <c r="BN66" s="106">
        <v>7</v>
      </c>
      <c r="BO66" s="106">
        <v>8332.7999999999993</v>
      </c>
      <c r="BP66" s="106">
        <v>16</v>
      </c>
      <c r="BQ66" s="106">
        <v>19046.399999999998</v>
      </c>
      <c r="BR66" s="106">
        <v>14</v>
      </c>
      <c r="BS66" s="106">
        <v>16665.599999999999</v>
      </c>
      <c r="BT66" s="106">
        <v>11</v>
      </c>
      <c r="BU66" s="106">
        <v>13094.399999999998</v>
      </c>
      <c r="BV66" s="106">
        <v>8</v>
      </c>
      <c r="BW66" s="106">
        <v>9523.1999999999989</v>
      </c>
      <c r="BX66" s="106">
        <v>3</v>
      </c>
      <c r="BY66" s="106">
        <v>3571.2</v>
      </c>
      <c r="BZ66" s="106">
        <v>3</v>
      </c>
      <c r="CA66" s="106">
        <v>3571.2</v>
      </c>
      <c r="CB66" s="106">
        <v>4</v>
      </c>
      <c r="CC66" s="106">
        <v>4761.5999999999995</v>
      </c>
      <c r="CD66" s="106">
        <v>5</v>
      </c>
      <c r="CE66" s="106">
        <v>5951.9999999999991</v>
      </c>
      <c r="CF66" s="106">
        <v>66</v>
      </c>
      <c r="CG66" s="106">
        <v>78566.399999999994</v>
      </c>
      <c r="CH66" s="106">
        <v>63</v>
      </c>
      <c r="CI66" s="106">
        <v>74995.199999999997</v>
      </c>
      <c r="CJ66" s="106">
        <v>63</v>
      </c>
      <c r="CK66" s="106">
        <v>74995.199999999997</v>
      </c>
      <c r="CL66" s="106">
        <v>48</v>
      </c>
      <c r="CM66" s="106">
        <v>57139.199999999997</v>
      </c>
      <c r="CN66" s="106">
        <v>7</v>
      </c>
      <c r="CO66" s="106">
        <v>8332.7999999999993</v>
      </c>
      <c r="CP66" s="106">
        <v>9</v>
      </c>
      <c r="CQ66" s="106">
        <v>10713.599999999999</v>
      </c>
      <c r="CR66" s="106">
        <v>10</v>
      </c>
      <c r="CS66" s="106">
        <v>11903.999999999998</v>
      </c>
      <c r="CT66" s="106">
        <v>6</v>
      </c>
      <c r="CU66" s="106">
        <v>7142.4</v>
      </c>
    </row>
    <row r="67" spans="2:99" x14ac:dyDescent="0.2">
      <c r="C67" s="105" t="s">
        <v>232</v>
      </c>
      <c r="D67" s="106">
        <v>3</v>
      </c>
      <c r="E67" s="106">
        <v>3369.6000000000004</v>
      </c>
      <c r="F67" s="106">
        <v>6</v>
      </c>
      <c r="G67" s="106">
        <v>6739.2000000000007</v>
      </c>
      <c r="H67" s="106">
        <v>7</v>
      </c>
      <c r="I67" s="106">
        <v>7862.4000000000005</v>
      </c>
      <c r="J67" s="106">
        <v>4</v>
      </c>
      <c r="K67" s="106">
        <v>4492.8</v>
      </c>
      <c r="L67" s="106">
        <v>6</v>
      </c>
      <c r="M67" s="106">
        <v>6739.2000000000007</v>
      </c>
      <c r="N67" s="106">
        <v>6</v>
      </c>
      <c r="O67" s="106">
        <v>6739.2000000000007</v>
      </c>
      <c r="P67" s="106">
        <v>4</v>
      </c>
      <c r="Q67" s="106">
        <v>4492.8</v>
      </c>
      <c r="R67" s="106">
        <v>5</v>
      </c>
      <c r="S67" s="106">
        <v>5616</v>
      </c>
      <c r="T67" s="106">
        <v>49</v>
      </c>
      <c r="U67" s="106">
        <v>55036.800000000003</v>
      </c>
      <c r="V67" s="106">
        <v>33</v>
      </c>
      <c r="W67" s="106">
        <v>37065.599999999999</v>
      </c>
      <c r="X67" s="106">
        <v>45</v>
      </c>
      <c r="Y67" s="106">
        <v>50544</v>
      </c>
      <c r="Z67" s="106">
        <v>53</v>
      </c>
      <c r="AA67" s="106">
        <v>59529.600000000006</v>
      </c>
      <c r="AB67" s="106">
        <v>12</v>
      </c>
      <c r="AC67" s="106">
        <v>13478.400000000001</v>
      </c>
      <c r="AD67" s="106">
        <v>9</v>
      </c>
      <c r="AE67" s="106">
        <v>10108.800000000001</v>
      </c>
      <c r="AF67" s="106">
        <v>13</v>
      </c>
      <c r="AG67" s="106">
        <v>14601.6</v>
      </c>
      <c r="AH67" s="106">
        <v>11</v>
      </c>
      <c r="AI67" s="106">
        <v>12355.2</v>
      </c>
      <c r="AJ67" s="106">
        <v>20</v>
      </c>
      <c r="AK67" s="106">
        <v>22464</v>
      </c>
      <c r="AL67" s="106">
        <v>12</v>
      </c>
      <c r="AM67" s="106">
        <v>13478.400000000001</v>
      </c>
      <c r="AN67" s="106">
        <v>12</v>
      </c>
      <c r="AO67" s="106">
        <v>13478.400000000001</v>
      </c>
      <c r="AP67" s="106">
        <v>13</v>
      </c>
      <c r="AQ67" s="106">
        <v>14601.6</v>
      </c>
      <c r="AR67" s="106">
        <v>3</v>
      </c>
      <c r="AS67" s="106">
        <v>3369.6000000000004</v>
      </c>
      <c r="AT67" s="106">
        <v>5</v>
      </c>
      <c r="AU67" s="106">
        <v>5616</v>
      </c>
      <c r="AV67" s="106">
        <v>3</v>
      </c>
      <c r="AW67" s="106">
        <v>3369.6000000000004</v>
      </c>
      <c r="AX67" s="106">
        <v>5</v>
      </c>
      <c r="AY67" s="106">
        <v>5616</v>
      </c>
      <c r="AZ67" s="106">
        <v>7</v>
      </c>
      <c r="BA67" s="106">
        <v>7862.4000000000005</v>
      </c>
      <c r="BB67" s="106">
        <v>6</v>
      </c>
      <c r="BC67" s="106">
        <v>6739.2000000000007</v>
      </c>
      <c r="BD67" s="106">
        <v>5</v>
      </c>
      <c r="BE67" s="106">
        <v>5616</v>
      </c>
      <c r="BF67" s="106">
        <v>6</v>
      </c>
      <c r="BG67" s="106">
        <v>6739.2000000000007</v>
      </c>
      <c r="BH67" s="106">
        <v>5</v>
      </c>
      <c r="BI67" s="106">
        <v>5616</v>
      </c>
      <c r="BJ67" s="106">
        <v>5</v>
      </c>
      <c r="BK67" s="106">
        <v>5616</v>
      </c>
      <c r="BL67" s="106">
        <v>7</v>
      </c>
      <c r="BM67" s="106">
        <v>7862.4000000000005</v>
      </c>
      <c r="BN67" s="106">
        <v>7</v>
      </c>
      <c r="BO67" s="106">
        <v>7862.4000000000005</v>
      </c>
      <c r="BP67" s="106">
        <v>16</v>
      </c>
      <c r="BQ67" s="106">
        <v>17971.2</v>
      </c>
      <c r="BR67" s="106">
        <v>14</v>
      </c>
      <c r="BS67" s="106">
        <v>15724.800000000001</v>
      </c>
      <c r="BT67" s="106">
        <v>13</v>
      </c>
      <c r="BU67" s="106">
        <v>14601.6</v>
      </c>
      <c r="BV67" s="106">
        <v>9</v>
      </c>
      <c r="BW67" s="106">
        <v>10108.800000000001</v>
      </c>
      <c r="BX67" s="106">
        <v>4</v>
      </c>
      <c r="BY67" s="106">
        <v>4492.8</v>
      </c>
      <c r="BZ67" s="106">
        <v>3</v>
      </c>
      <c r="CA67" s="106">
        <v>3369.6000000000004</v>
      </c>
      <c r="CB67" s="106">
        <v>4</v>
      </c>
      <c r="CC67" s="106">
        <v>4492.8</v>
      </c>
      <c r="CD67" s="106">
        <v>5</v>
      </c>
      <c r="CE67" s="106">
        <v>5616</v>
      </c>
      <c r="CF67" s="106">
        <v>66</v>
      </c>
      <c r="CG67" s="106">
        <v>74131.199999999997</v>
      </c>
      <c r="CH67" s="106">
        <v>74</v>
      </c>
      <c r="CI67" s="106">
        <v>83116.800000000003</v>
      </c>
      <c r="CJ67" s="106">
        <v>64</v>
      </c>
      <c r="CK67" s="106">
        <v>71884.800000000003</v>
      </c>
      <c r="CL67" s="106">
        <v>58</v>
      </c>
      <c r="CM67" s="106">
        <v>65145.600000000006</v>
      </c>
      <c r="CN67" s="106">
        <v>6</v>
      </c>
      <c r="CO67" s="106">
        <v>6739.2000000000007</v>
      </c>
      <c r="CP67" s="106">
        <v>10</v>
      </c>
      <c r="CQ67" s="106">
        <v>11232</v>
      </c>
      <c r="CR67" s="106">
        <v>10</v>
      </c>
      <c r="CS67" s="106">
        <v>11232</v>
      </c>
      <c r="CT67" s="106">
        <v>7</v>
      </c>
      <c r="CU67" s="106">
        <v>7862.4000000000005</v>
      </c>
    </row>
    <row r="68" spans="2:99" x14ac:dyDescent="0.2">
      <c r="C68" s="105" t="s">
        <v>233</v>
      </c>
      <c r="D68" s="106">
        <v>3</v>
      </c>
      <c r="E68" s="106">
        <v>3099.6000000000004</v>
      </c>
      <c r="F68" s="106">
        <v>6</v>
      </c>
      <c r="G68" s="106">
        <v>6199.2000000000007</v>
      </c>
      <c r="H68" s="106">
        <v>6</v>
      </c>
      <c r="I68" s="106">
        <v>6199.2000000000007</v>
      </c>
      <c r="J68" s="106">
        <v>4</v>
      </c>
      <c r="K68" s="106">
        <v>4132.8</v>
      </c>
      <c r="L68" s="106">
        <v>7</v>
      </c>
      <c r="M68" s="106">
        <v>7232.4000000000005</v>
      </c>
      <c r="N68" s="106">
        <v>6</v>
      </c>
      <c r="O68" s="106">
        <v>6199.2000000000007</v>
      </c>
      <c r="P68" s="106">
        <v>4</v>
      </c>
      <c r="Q68" s="106">
        <v>4132.8</v>
      </c>
      <c r="R68" s="106">
        <v>5</v>
      </c>
      <c r="S68" s="106">
        <v>5166</v>
      </c>
      <c r="T68" s="106">
        <v>49</v>
      </c>
      <c r="U68" s="106">
        <v>50626.8</v>
      </c>
      <c r="V68" s="106">
        <v>37</v>
      </c>
      <c r="W68" s="106">
        <v>38228.400000000001</v>
      </c>
      <c r="X68" s="106">
        <v>43</v>
      </c>
      <c r="Y68" s="106">
        <v>44427.6</v>
      </c>
      <c r="Z68" s="106">
        <v>51</v>
      </c>
      <c r="AA68" s="106">
        <v>52693.200000000004</v>
      </c>
      <c r="AB68" s="106">
        <v>11</v>
      </c>
      <c r="AC68" s="106">
        <v>11365.2</v>
      </c>
      <c r="AD68" s="106">
        <v>9</v>
      </c>
      <c r="AE68" s="106">
        <v>9298.8000000000011</v>
      </c>
      <c r="AF68" s="106">
        <v>14</v>
      </c>
      <c r="AG68" s="106">
        <v>14464.800000000001</v>
      </c>
      <c r="AH68" s="106">
        <v>10</v>
      </c>
      <c r="AI68" s="106">
        <v>10332</v>
      </c>
      <c r="AJ68" s="106">
        <v>18</v>
      </c>
      <c r="AK68" s="106">
        <v>18597.600000000002</v>
      </c>
      <c r="AL68" s="106">
        <v>13</v>
      </c>
      <c r="AM68" s="106">
        <v>13431.6</v>
      </c>
      <c r="AN68" s="106">
        <v>12</v>
      </c>
      <c r="AO68" s="106">
        <v>12398.400000000001</v>
      </c>
      <c r="AP68" s="106">
        <v>14</v>
      </c>
      <c r="AQ68" s="106">
        <v>14464.800000000001</v>
      </c>
      <c r="AR68" s="106">
        <v>3</v>
      </c>
      <c r="AS68" s="106">
        <v>3099.6000000000004</v>
      </c>
      <c r="AT68" s="106">
        <v>4</v>
      </c>
      <c r="AU68" s="106">
        <v>4132.8</v>
      </c>
      <c r="AV68" s="106">
        <v>3</v>
      </c>
      <c r="AW68" s="106">
        <v>3099.6000000000004</v>
      </c>
      <c r="AX68" s="106">
        <v>5</v>
      </c>
      <c r="AY68" s="106">
        <v>5166</v>
      </c>
      <c r="AZ68" s="106">
        <v>6</v>
      </c>
      <c r="BA68" s="106">
        <v>6199.2000000000007</v>
      </c>
      <c r="BB68" s="106">
        <v>6</v>
      </c>
      <c r="BC68" s="106">
        <v>6199.2000000000007</v>
      </c>
      <c r="BD68" s="106">
        <v>6</v>
      </c>
      <c r="BE68" s="106">
        <v>6199.2000000000007</v>
      </c>
      <c r="BF68" s="106">
        <v>6</v>
      </c>
      <c r="BG68" s="106">
        <v>6199.2000000000007</v>
      </c>
      <c r="BH68" s="106">
        <v>4</v>
      </c>
      <c r="BI68" s="106">
        <v>4132.8</v>
      </c>
      <c r="BJ68" s="106">
        <v>5</v>
      </c>
      <c r="BK68" s="106">
        <v>5166</v>
      </c>
      <c r="BL68" s="106">
        <v>7</v>
      </c>
      <c r="BM68" s="106">
        <v>7232.4000000000005</v>
      </c>
      <c r="BN68" s="106">
        <v>7</v>
      </c>
      <c r="BO68" s="106">
        <v>7232.4000000000005</v>
      </c>
      <c r="BP68" s="106">
        <v>16</v>
      </c>
      <c r="BQ68" s="106">
        <v>16531.2</v>
      </c>
      <c r="BR68" s="106">
        <v>13</v>
      </c>
      <c r="BS68" s="106">
        <v>13431.6</v>
      </c>
      <c r="BT68" s="106">
        <v>13</v>
      </c>
      <c r="BU68" s="106">
        <v>13431.6</v>
      </c>
      <c r="BV68" s="106">
        <v>9</v>
      </c>
      <c r="BW68" s="106">
        <v>9298.8000000000011</v>
      </c>
      <c r="BX68" s="106">
        <v>3</v>
      </c>
      <c r="BY68" s="106">
        <v>3099.6000000000004</v>
      </c>
      <c r="BZ68" s="106">
        <v>3</v>
      </c>
      <c r="CA68" s="106">
        <v>3099.6000000000004</v>
      </c>
      <c r="CB68" s="106">
        <v>4</v>
      </c>
      <c r="CC68" s="106">
        <v>4132.8</v>
      </c>
      <c r="CD68" s="106">
        <v>5</v>
      </c>
      <c r="CE68" s="106">
        <v>5166</v>
      </c>
      <c r="CF68" s="106">
        <v>65</v>
      </c>
      <c r="CG68" s="106">
        <v>67158</v>
      </c>
      <c r="CH68" s="106">
        <v>66</v>
      </c>
      <c r="CI68" s="106">
        <v>68191.199999999997</v>
      </c>
      <c r="CJ68" s="106">
        <v>56</v>
      </c>
      <c r="CK68" s="106">
        <v>57859.200000000004</v>
      </c>
      <c r="CL68" s="106">
        <v>58</v>
      </c>
      <c r="CM68" s="106">
        <v>59925.600000000006</v>
      </c>
      <c r="CN68" s="106">
        <v>6</v>
      </c>
      <c r="CO68" s="106">
        <v>6199.2000000000007</v>
      </c>
      <c r="CP68" s="106">
        <v>9</v>
      </c>
      <c r="CQ68" s="106">
        <v>9298.8000000000011</v>
      </c>
      <c r="CR68" s="106">
        <v>10</v>
      </c>
      <c r="CS68" s="106">
        <v>10332</v>
      </c>
      <c r="CT68" s="106">
        <v>6</v>
      </c>
      <c r="CU68" s="106">
        <v>6199.2000000000007</v>
      </c>
    </row>
    <row r="69" spans="2:99" x14ac:dyDescent="0.2">
      <c r="C69" s="105" t="s">
        <v>234</v>
      </c>
      <c r="D69" s="106">
        <v>4</v>
      </c>
      <c r="E69" s="106">
        <v>3033.6</v>
      </c>
      <c r="F69" s="106">
        <v>6</v>
      </c>
      <c r="G69" s="106">
        <v>4550.3999999999996</v>
      </c>
      <c r="H69" s="106">
        <v>7</v>
      </c>
      <c r="I69" s="106">
        <v>5308.8</v>
      </c>
      <c r="J69" s="106">
        <v>5</v>
      </c>
      <c r="K69" s="106">
        <v>3792</v>
      </c>
      <c r="L69" s="106">
        <v>7</v>
      </c>
      <c r="M69" s="106">
        <v>5308.8</v>
      </c>
      <c r="N69" s="106">
        <v>6</v>
      </c>
      <c r="O69" s="106">
        <v>4550.3999999999996</v>
      </c>
      <c r="P69" s="106">
        <v>4</v>
      </c>
      <c r="Q69" s="106">
        <v>3033.6</v>
      </c>
      <c r="R69" s="106">
        <v>5</v>
      </c>
      <c r="S69" s="106">
        <v>3792</v>
      </c>
      <c r="T69" s="106">
        <v>51</v>
      </c>
      <c r="U69" s="106">
        <v>38678.400000000001</v>
      </c>
      <c r="V69" s="106">
        <v>39</v>
      </c>
      <c r="W69" s="106">
        <v>29577.599999999999</v>
      </c>
      <c r="X69" s="106">
        <v>49</v>
      </c>
      <c r="Y69" s="106">
        <v>37161.599999999999</v>
      </c>
      <c r="Z69" s="106">
        <v>57</v>
      </c>
      <c r="AA69" s="106">
        <v>43228.799999999996</v>
      </c>
      <c r="AB69" s="106">
        <v>12</v>
      </c>
      <c r="AC69" s="106">
        <v>9100.7999999999993</v>
      </c>
      <c r="AD69" s="106">
        <v>10</v>
      </c>
      <c r="AE69" s="106">
        <v>7584</v>
      </c>
      <c r="AF69" s="106">
        <v>14</v>
      </c>
      <c r="AG69" s="106">
        <v>10617.6</v>
      </c>
      <c r="AH69" s="106">
        <v>10</v>
      </c>
      <c r="AI69" s="106">
        <v>7584</v>
      </c>
      <c r="AJ69" s="106">
        <v>21</v>
      </c>
      <c r="AK69" s="106">
        <v>15926.4</v>
      </c>
      <c r="AL69" s="106">
        <v>13</v>
      </c>
      <c r="AM69" s="106">
        <v>9859.1999999999989</v>
      </c>
      <c r="AN69" s="106">
        <v>12</v>
      </c>
      <c r="AO69" s="106">
        <v>9100.7999999999993</v>
      </c>
      <c r="AP69" s="106">
        <v>14</v>
      </c>
      <c r="AQ69" s="106">
        <v>10617.6</v>
      </c>
      <c r="AR69" s="106">
        <v>3</v>
      </c>
      <c r="AS69" s="106">
        <v>2275.1999999999998</v>
      </c>
      <c r="AT69" s="106">
        <v>5</v>
      </c>
      <c r="AU69" s="106">
        <v>3792</v>
      </c>
      <c r="AV69" s="106">
        <v>3</v>
      </c>
      <c r="AW69" s="106">
        <v>2275.1999999999998</v>
      </c>
      <c r="AX69" s="106">
        <v>5</v>
      </c>
      <c r="AY69" s="106">
        <v>3792</v>
      </c>
      <c r="AZ69" s="106">
        <v>6</v>
      </c>
      <c r="BA69" s="106">
        <v>4550.3999999999996</v>
      </c>
      <c r="BB69" s="106">
        <v>6</v>
      </c>
      <c r="BC69" s="106">
        <v>4550.3999999999996</v>
      </c>
      <c r="BD69" s="106">
        <v>6</v>
      </c>
      <c r="BE69" s="106">
        <v>4550.3999999999996</v>
      </c>
      <c r="BF69" s="106">
        <v>6</v>
      </c>
      <c r="BG69" s="106">
        <v>4550.3999999999996</v>
      </c>
      <c r="BH69" s="106">
        <v>5</v>
      </c>
      <c r="BI69" s="106">
        <v>3792</v>
      </c>
      <c r="BJ69" s="106">
        <v>6</v>
      </c>
      <c r="BK69" s="106">
        <v>4550.3999999999996</v>
      </c>
      <c r="BL69" s="106">
        <v>7</v>
      </c>
      <c r="BM69" s="106">
        <v>5308.8</v>
      </c>
      <c r="BN69" s="106">
        <v>8</v>
      </c>
      <c r="BO69" s="106">
        <v>6067.2</v>
      </c>
      <c r="BP69" s="106">
        <v>15</v>
      </c>
      <c r="BQ69" s="106">
        <v>11376</v>
      </c>
      <c r="BR69" s="106">
        <v>16</v>
      </c>
      <c r="BS69" s="106">
        <v>12134.4</v>
      </c>
      <c r="BT69" s="106">
        <v>13</v>
      </c>
      <c r="BU69" s="106">
        <v>9859.1999999999989</v>
      </c>
      <c r="BV69" s="106">
        <v>9</v>
      </c>
      <c r="BW69" s="106">
        <v>6825.5999999999995</v>
      </c>
      <c r="BX69" s="106">
        <v>3</v>
      </c>
      <c r="BY69" s="106">
        <v>2275.1999999999998</v>
      </c>
      <c r="BZ69" s="106">
        <v>3</v>
      </c>
      <c r="CA69" s="106">
        <v>2275.1999999999998</v>
      </c>
      <c r="CB69" s="106">
        <v>4</v>
      </c>
      <c r="CC69" s="106">
        <v>3033.6</v>
      </c>
      <c r="CD69" s="106">
        <v>4</v>
      </c>
      <c r="CE69" s="106">
        <v>3033.6</v>
      </c>
      <c r="CF69" s="106">
        <v>67</v>
      </c>
      <c r="CG69" s="106">
        <v>50812.799999999996</v>
      </c>
      <c r="CH69" s="106">
        <v>80</v>
      </c>
      <c r="CI69" s="106">
        <v>60672</v>
      </c>
      <c r="CJ69" s="106">
        <v>63</v>
      </c>
      <c r="CK69" s="106">
        <v>47779.199999999997</v>
      </c>
      <c r="CL69" s="106">
        <v>60</v>
      </c>
      <c r="CM69" s="106">
        <v>45504</v>
      </c>
      <c r="CN69" s="106">
        <v>7</v>
      </c>
      <c r="CO69" s="106">
        <v>5308.8</v>
      </c>
      <c r="CP69" s="106">
        <v>9</v>
      </c>
      <c r="CQ69" s="106">
        <v>6825.5999999999995</v>
      </c>
      <c r="CR69" s="106">
        <v>10</v>
      </c>
      <c r="CS69" s="106">
        <v>7584</v>
      </c>
      <c r="CT69" s="106">
        <v>7</v>
      </c>
      <c r="CU69" s="106">
        <v>5308.8</v>
      </c>
    </row>
    <row r="70" spans="2:99" x14ac:dyDescent="0.2">
      <c r="C70" s="105" t="s">
        <v>235</v>
      </c>
      <c r="D70" s="106">
        <v>4</v>
      </c>
      <c r="E70" s="106">
        <v>2140.7999999999997</v>
      </c>
      <c r="F70" s="106">
        <v>6</v>
      </c>
      <c r="G70" s="106">
        <v>3211.2</v>
      </c>
      <c r="H70" s="106">
        <v>7</v>
      </c>
      <c r="I70" s="106">
        <v>3746.3999999999996</v>
      </c>
      <c r="J70" s="106">
        <v>4</v>
      </c>
      <c r="K70" s="106">
        <v>2140.7999999999997</v>
      </c>
      <c r="L70" s="106">
        <v>6</v>
      </c>
      <c r="M70" s="106">
        <v>3211.2</v>
      </c>
      <c r="N70" s="106">
        <v>5</v>
      </c>
      <c r="O70" s="106">
        <v>2675.9999999999995</v>
      </c>
      <c r="P70" s="106">
        <v>4</v>
      </c>
      <c r="Q70" s="106">
        <v>2140.7999999999997</v>
      </c>
      <c r="R70" s="106">
        <v>5</v>
      </c>
      <c r="S70" s="106">
        <v>2675.9999999999995</v>
      </c>
      <c r="T70" s="106">
        <v>59</v>
      </c>
      <c r="U70" s="106">
        <v>31576.799999999996</v>
      </c>
      <c r="V70" s="106">
        <v>43</v>
      </c>
      <c r="W70" s="106">
        <v>23013.599999999999</v>
      </c>
      <c r="X70" s="106">
        <v>57</v>
      </c>
      <c r="Y70" s="106">
        <v>30506.399999999998</v>
      </c>
      <c r="Z70" s="106">
        <v>63</v>
      </c>
      <c r="AA70" s="106">
        <v>33717.599999999999</v>
      </c>
      <c r="AB70" s="106">
        <v>13</v>
      </c>
      <c r="AC70" s="106">
        <v>6957.5999999999995</v>
      </c>
      <c r="AD70" s="106">
        <v>9</v>
      </c>
      <c r="AE70" s="106">
        <v>4816.7999999999993</v>
      </c>
      <c r="AF70" s="106">
        <v>13</v>
      </c>
      <c r="AG70" s="106">
        <v>6957.5999999999995</v>
      </c>
      <c r="AH70" s="106">
        <v>11</v>
      </c>
      <c r="AI70" s="106">
        <v>5887.1999999999989</v>
      </c>
      <c r="AJ70" s="106">
        <v>22</v>
      </c>
      <c r="AK70" s="106">
        <v>11774.399999999998</v>
      </c>
      <c r="AL70" s="106">
        <v>13</v>
      </c>
      <c r="AM70" s="106">
        <v>6957.5999999999995</v>
      </c>
      <c r="AN70" s="106">
        <v>15</v>
      </c>
      <c r="AO70" s="106">
        <v>8027.9999999999991</v>
      </c>
      <c r="AP70" s="106">
        <v>13</v>
      </c>
      <c r="AQ70" s="106">
        <v>6957.5999999999995</v>
      </c>
      <c r="AR70" s="106">
        <v>3</v>
      </c>
      <c r="AS70" s="106">
        <v>1605.6</v>
      </c>
      <c r="AT70" s="106">
        <v>5</v>
      </c>
      <c r="AU70" s="106">
        <v>2675.9999999999995</v>
      </c>
      <c r="AV70" s="106">
        <v>3</v>
      </c>
      <c r="AW70" s="106">
        <v>1605.6</v>
      </c>
      <c r="AX70" s="106">
        <v>5</v>
      </c>
      <c r="AY70" s="106">
        <v>2675.9999999999995</v>
      </c>
      <c r="AZ70" s="106">
        <v>6</v>
      </c>
      <c r="BA70" s="106">
        <v>3211.2</v>
      </c>
      <c r="BB70" s="106">
        <v>6</v>
      </c>
      <c r="BC70" s="106">
        <v>3211.2</v>
      </c>
      <c r="BD70" s="106">
        <v>6</v>
      </c>
      <c r="BE70" s="106">
        <v>3211.2</v>
      </c>
      <c r="BF70" s="106">
        <v>6</v>
      </c>
      <c r="BG70" s="106">
        <v>3211.2</v>
      </c>
      <c r="BH70" s="106">
        <v>5</v>
      </c>
      <c r="BI70" s="106">
        <v>2675.9999999999995</v>
      </c>
      <c r="BJ70" s="106">
        <v>5</v>
      </c>
      <c r="BK70" s="106">
        <v>2675.9999999999995</v>
      </c>
      <c r="BL70" s="106">
        <v>8</v>
      </c>
      <c r="BM70" s="106">
        <v>4281.5999999999995</v>
      </c>
      <c r="BN70" s="106">
        <v>7</v>
      </c>
      <c r="BO70" s="106">
        <v>3746.3999999999996</v>
      </c>
      <c r="BP70" s="106">
        <v>15</v>
      </c>
      <c r="BQ70" s="106">
        <v>8027.9999999999991</v>
      </c>
      <c r="BR70" s="106">
        <v>16</v>
      </c>
      <c r="BS70" s="106">
        <v>8563.1999999999989</v>
      </c>
      <c r="BT70" s="106">
        <v>14</v>
      </c>
      <c r="BU70" s="106">
        <v>7492.7999999999993</v>
      </c>
      <c r="BV70" s="106">
        <v>9</v>
      </c>
      <c r="BW70" s="106">
        <v>4816.7999999999993</v>
      </c>
      <c r="BX70" s="106">
        <v>3</v>
      </c>
      <c r="BY70" s="106">
        <v>1605.6</v>
      </c>
      <c r="BZ70" s="106">
        <v>3</v>
      </c>
      <c r="CA70" s="106">
        <v>1605.6</v>
      </c>
      <c r="CB70" s="106">
        <v>4</v>
      </c>
      <c r="CC70" s="106">
        <v>2140.7999999999997</v>
      </c>
      <c r="CD70" s="106">
        <v>4</v>
      </c>
      <c r="CE70" s="106">
        <v>2140.7999999999997</v>
      </c>
      <c r="CF70" s="106">
        <v>81</v>
      </c>
      <c r="CG70" s="106">
        <v>43351.199999999997</v>
      </c>
      <c r="CH70" s="106">
        <v>69</v>
      </c>
      <c r="CI70" s="106">
        <v>36928.799999999996</v>
      </c>
      <c r="CJ70" s="106">
        <v>64</v>
      </c>
      <c r="CK70" s="106">
        <v>34252.799999999996</v>
      </c>
      <c r="CL70" s="106">
        <v>56</v>
      </c>
      <c r="CM70" s="106">
        <v>29971.199999999997</v>
      </c>
      <c r="CN70" s="106">
        <v>7</v>
      </c>
      <c r="CO70" s="106">
        <v>3746.3999999999996</v>
      </c>
      <c r="CP70" s="106">
        <v>10</v>
      </c>
      <c r="CQ70" s="106">
        <v>5351.9999999999991</v>
      </c>
      <c r="CR70" s="106">
        <v>11</v>
      </c>
      <c r="CS70" s="106">
        <v>5887.1999999999989</v>
      </c>
      <c r="CT70" s="106">
        <v>7</v>
      </c>
      <c r="CU70" s="106">
        <v>3746.3999999999996</v>
      </c>
    </row>
    <row r="71" spans="2:99" x14ac:dyDescent="0.2">
      <c r="B71" s="105" t="s">
        <v>130</v>
      </c>
      <c r="C71" s="105" t="s">
        <v>236</v>
      </c>
      <c r="D71" s="106">
        <v>30</v>
      </c>
      <c r="E71" s="106">
        <v>16920</v>
      </c>
      <c r="F71" s="106">
        <v>31</v>
      </c>
      <c r="G71" s="106">
        <v>17484</v>
      </c>
      <c r="H71" s="106">
        <v>24</v>
      </c>
      <c r="I71" s="106">
        <v>13536</v>
      </c>
      <c r="J71" s="106">
        <v>34</v>
      </c>
      <c r="K71" s="106">
        <v>19176</v>
      </c>
      <c r="L71" s="106">
        <v>30</v>
      </c>
      <c r="M71" s="106">
        <v>16920</v>
      </c>
      <c r="N71" s="106">
        <v>27</v>
      </c>
      <c r="O71" s="106">
        <v>15228</v>
      </c>
      <c r="P71" s="106">
        <v>25</v>
      </c>
      <c r="Q71" s="106">
        <v>14100</v>
      </c>
      <c r="R71" s="106">
        <v>27</v>
      </c>
      <c r="S71" s="106">
        <v>15228</v>
      </c>
      <c r="T71" s="106">
        <v>20</v>
      </c>
      <c r="U71" s="106">
        <v>11280</v>
      </c>
      <c r="V71" s="106">
        <v>11</v>
      </c>
      <c r="W71" s="106">
        <v>6204</v>
      </c>
      <c r="X71" s="106">
        <v>14</v>
      </c>
      <c r="Y71" s="106">
        <v>7896</v>
      </c>
      <c r="Z71" s="106">
        <v>15</v>
      </c>
      <c r="AA71" s="106">
        <v>8460</v>
      </c>
      <c r="AB71" s="106">
        <v>12</v>
      </c>
      <c r="AC71" s="106">
        <v>6768</v>
      </c>
      <c r="AD71" s="106">
        <v>10</v>
      </c>
      <c r="AE71" s="106">
        <v>5640</v>
      </c>
      <c r="AF71" s="106">
        <v>11</v>
      </c>
      <c r="AG71" s="106">
        <v>6204</v>
      </c>
      <c r="AH71" s="106">
        <v>18</v>
      </c>
      <c r="AI71" s="106">
        <v>10152</v>
      </c>
      <c r="AJ71" s="106">
        <v>18</v>
      </c>
      <c r="AK71" s="106">
        <v>10152</v>
      </c>
      <c r="AL71" s="106">
        <v>18</v>
      </c>
      <c r="AM71" s="106">
        <v>10152</v>
      </c>
      <c r="AN71" s="106">
        <v>32</v>
      </c>
      <c r="AO71" s="106">
        <v>18048</v>
      </c>
      <c r="AP71" s="106">
        <v>20</v>
      </c>
      <c r="AQ71" s="106">
        <v>11280</v>
      </c>
      <c r="AR71" s="106">
        <v>30</v>
      </c>
      <c r="AS71" s="106">
        <v>16920</v>
      </c>
      <c r="AT71" s="106">
        <v>26</v>
      </c>
      <c r="AU71" s="106">
        <v>14664</v>
      </c>
      <c r="AV71" s="106">
        <v>34</v>
      </c>
      <c r="AW71" s="106">
        <v>19176</v>
      </c>
      <c r="AX71" s="106">
        <v>36</v>
      </c>
      <c r="AY71" s="106">
        <v>20304</v>
      </c>
      <c r="AZ71" s="106">
        <v>5</v>
      </c>
      <c r="BA71" s="106">
        <v>2820</v>
      </c>
      <c r="BB71" s="106">
        <v>3</v>
      </c>
      <c r="BC71" s="106">
        <v>1692</v>
      </c>
      <c r="BD71" s="106">
        <v>3</v>
      </c>
      <c r="BE71" s="106">
        <v>1692</v>
      </c>
      <c r="BF71" s="106">
        <v>6</v>
      </c>
      <c r="BG71" s="106">
        <v>3384</v>
      </c>
      <c r="BH71" s="106">
        <v>5</v>
      </c>
      <c r="BI71" s="106">
        <v>2820</v>
      </c>
      <c r="BJ71" s="106">
        <v>5</v>
      </c>
      <c r="BK71" s="106">
        <v>2820</v>
      </c>
      <c r="BL71" s="106">
        <v>3</v>
      </c>
      <c r="BM71" s="106">
        <v>1692</v>
      </c>
      <c r="BN71" s="106">
        <v>5</v>
      </c>
      <c r="BO71" s="106">
        <v>2820</v>
      </c>
      <c r="BP71" s="106">
        <v>4</v>
      </c>
      <c r="BQ71" s="106">
        <v>2256</v>
      </c>
      <c r="BR71" s="106">
        <v>4</v>
      </c>
      <c r="BS71" s="106">
        <v>2256</v>
      </c>
      <c r="BT71" s="106">
        <v>6</v>
      </c>
      <c r="BU71" s="106">
        <v>3384</v>
      </c>
      <c r="BV71" s="106">
        <v>6</v>
      </c>
      <c r="BW71" s="106">
        <v>3384</v>
      </c>
      <c r="BX71" s="106">
        <v>19</v>
      </c>
      <c r="BY71" s="106">
        <v>10716</v>
      </c>
      <c r="BZ71" s="106">
        <v>20</v>
      </c>
      <c r="CA71" s="106">
        <v>11280</v>
      </c>
      <c r="CB71" s="106">
        <v>25</v>
      </c>
      <c r="CC71" s="106">
        <v>14100</v>
      </c>
      <c r="CD71" s="106">
        <v>26</v>
      </c>
      <c r="CE71" s="106">
        <v>14664</v>
      </c>
      <c r="CF71" s="106">
        <v>4</v>
      </c>
      <c r="CG71" s="106">
        <v>2256</v>
      </c>
      <c r="CH71" s="106">
        <v>4</v>
      </c>
      <c r="CI71" s="106">
        <v>2256</v>
      </c>
      <c r="CJ71" s="106">
        <v>3</v>
      </c>
      <c r="CK71" s="106">
        <v>1692</v>
      </c>
      <c r="CL71" s="106">
        <v>4</v>
      </c>
      <c r="CM71" s="106">
        <v>2256</v>
      </c>
      <c r="CN71" s="106">
        <v>6</v>
      </c>
      <c r="CO71" s="106">
        <v>3384</v>
      </c>
      <c r="CP71" s="106">
        <v>8</v>
      </c>
      <c r="CQ71" s="106">
        <v>4512</v>
      </c>
      <c r="CR71" s="106">
        <v>4</v>
      </c>
      <c r="CS71" s="106">
        <v>2256</v>
      </c>
      <c r="CT71" s="106">
        <v>6</v>
      </c>
      <c r="CU71" s="106">
        <v>3384</v>
      </c>
    </row>
    <row r="72" spans="2:99" x14ac:dyDescent="0.2">
      <c r="C72" s="105" t="s">
        <v>237</v>
      </c>
      <c r="D72" s="106">
        <v>29</v>
      </c>
      <c r="E72" s="106">
        <v>2157.6</v>
      </c>
      <c r="F72" s="106">
        <v>37</v>
      </c>
      <c r="G72" s="106">
        <v>2752.7999999999997</v>
      </c>
      <c r="H72" s="106">
        <v>25</v>
      </c>
      <c r="I72" s="106">
        <v>1859.9999999999998</v>
      </c>
      <c r="J72" s="106">
        <v>32</v>
      </c>
      <c r="K72" s="106">
        <v>2380.7999999999997</v>
      </c>
      <c r="L72" s="106">
        <v>34</v>
      </c>
      <c r="M72" s="106">
        <v>2529.6</v>
      </c>
      <c r="N72" s="106">
        <v>28</v>
      </c>
      <c r="O72" s="106">
        <v>2083.1999999999998</v>
      </c>
      <c r="P72" s="106">
        <v>30</v>
      </c>
      <c r="Q72" s="106">
        <v>2231.9999999999995</v>
      </c>
      <c r="R72" s="106">
        <v>35</v>
      </c>
      <c r="S72" s="106">
        <v>2603.9999999999995</v>
      </c>
      <c r="T72" s="106">
        <v>22</v>
      </c>
      <c r="U72" s="106">
        <v>1636.7999999999997</v>
      </c>
      <c r="V72" s="106">
        <v>13</v>
      </c>
      <c r="W72" s="106">
        <v>967.19999999999993</v>
      </c>
      <c r="X72" s="106">
        <v>15</v>
      </c>
      <c r="Y72" s="106">
        <v>1115.9999999999998</v>
      </c>
      <c r="Z72" s="106">
        <v>17</v>
      </c>
      <c r="AA72" s="106">
        <v>1264.8</v>
      </c>
      <c r="AB72" s="106">
        <v>13</v>
      </c>
      <c r="AC72" s="106">
        <v>967.19999999999993</v>
      </c>
      <c r="AD72" s="106">
        <v>12</v>
      </c>
      <c r="AE72" s="106">
        <v>892.8</v>
      </c>
      <c r="AF72" s="106">
        <v>13</v>
      </c>
      <c r="AG72" s="106">
        <v>967.19999999999993</v>
      </c>
      <c r="AH72" s="106">
        <v>17</v>
      </c>
      <c r="AI72" s="106">
        <v>1264.8</v>
      </c>
      <c r="AJ72" s="106">
        <v>20</v>
      </c>
      <c r="AK72" s="106">
        <v>1487.9999999999998</v>
      </c>
      <c r="AL72" s="106">
        <v>21</v>
      </c>
      <c r="AM72" s="106">
        <v>1562.3999999999999</v>
      </c>
      <c r="AN72" s="106">
        <v>30</v>
      </c>
      <c r="AO72" s="106">
        <v>2231.9999999999995</v>
      </c>
      <c r="AP72" s="106">
        <v>21</v>
      </c>
      <c r="AQ72" s="106">
        <v>1562.3999999999999</v>
      </c>
      <c r="AR72" s="106">
        <v>33</v>
      </c>
      <c r="AS72" s="106">
        <v>2455.1999999999998</v>
      </c>
      <c r="AT72" s="106">
        <v>34</v>
      </c>
      <c r="AU72" s="106">
        <v>2529.6</v>
      </c>
      <c r="AV72" s="106">
        <v>33</v>
      </c>
      <c r="AW72" s="106">
        <v>2455.1999999999998</v>
      </c>
      <c r="AX72" s="106">
        <v>42</v>
      </c>
      <c r="AY72" s="106">
        <v>3124.7999999999997</v>
      </c>
      <c r="AZ72" s="106">
        <v>5</v>
      </c>
      <c r="BA72" s="106">
        <v>371.99999999999994</v>
      </c>
      <c r="BB72" s="106">
        <v>4</v>
      </c>
      <c r="BC72" s="106">
        <v>297.59999999999997</v>
      </c>
      <c r="BD72" s="106">
        <v>3</v>
      </c>
      <c r="BE72" s="106">
        <v>223.2</v>
      </c>
      <c r="BF72" s="106">
        <v>6</v>
      </c>
      <c r="BG72" s="106">
        <v>446.4</v>
      </c>
      <c r="BH72" s="106">
        <v>5</v>
      </c>
      <c r="BI72" s="106">
        <v>371.99999999999994</v>
      </c>
      <c r="BJ72" s="106">
        <v>5</v>
      </c>
      <c r="BK72" s="106">
        <v>371.99999999999994</v>
      </c>
      <c r="BL72" s="106">
        <v>4</v>
      </c>
      <c r="BM72" s="106">
        <v>297.59999999999997</v>
      </c>
      <c r="BN72" s="106">
        <v>5</v>
      </c>
      <c r="BO72" s="106">
        <v>371.99999999999994</v>
      </c>
      <c r="BP72" s="106">
        <v>4</v>
      </c>
      <c r="BQ72" s="106">
        <v>297.59999999999997</v>
      </c>
      <c r="BR72" s="106">
        <v>4</v>
      </c>
      <c r="BS72" s="106">
        <v>297.59999999999997</v>
      </c>
      <c r="BT72" s="106">
        <v>5</v>
      </c>
      <c r="BU72" s="106">
        <v>371.99999999999994</v>
      </c>
      <c r="BV72" s="106">
        <v>6</v>
      </c>
      <c r="BW72" s="106">
        <v>446.4</v>
      </c>
      <c r="BX72" s="106">
        <v>20</v>
      </c>
      <c r="BY72" s="106">
        <v>1487.9999999999998</v>
      </c>
      <c r="BZ72" s="106">
        <v>22</v>
      </c>
      <c r="CA72" s="106">
        <v>1636.7999999999997</v>
      </c>
      <c r="CB72" s="106">
        <v>30</v>
      </c>
      <c r="CC72" s="106">
        <v>2231.9999999999995</v>
      </c>
      <c r="CD72" s="106">
        <v>32</v>
      </c>
      <c r="CE72" s="106">
        <v>2380.7999999999997</v>
      </c>
      <c r="CF72" s="106">
        <v>4</v>
      </c>
      <c r="CG72" s="106">
        <v>297.59999999999997</v>
      </c>
      <c r="CH72" s="106">
        <v>4</v>
      </c>
      <c r="CI72" s="106">
        <v>297.59999999999997</v>
      </c>
      <c r="CJ72" s="106">
        <v>3</v>
      </c>
      <c r="CK72" s="106">
        <v>223.2</v>
      </c>
      <c r="CL72" s="106">
        <v>3</v>
      </c>
      <c r="CM72" s="106">
        <v>223.2</v>
      </c>
      <c r="CN72" s="106">
        <v>6</v>
      </c>
      <c r="CO72" s="106">
        <v>446.4</v>
      </c>
      <c r="CP72" s="106">
        <v>9</v>
      </c>
      <c r="CQ72" s="106">
        <v>669.59999999999991</v>
      </c>
      <c r="CR72" s="106">
        <v>4</v>
      </c>
      <c r="CS72" s="106">
        <v>297.59999999999997</v>
      </c>
      <c r="CT72" s="106">
        <v>6</v>
      </c>
      <c r="CU72" s="106">
        <v>446.4</v>
      </c>
    </row>
    <row r="73" spans="2:99" x14ac:dyDescent="0.2">
      <c r="C73" s="105" t="s">
        <v>238</v>
      </c>
      <c r="D73" s="106">
        <v>29</v>
      </c>
      <c r="E73" s="106">
        <v>16216.799999999997</v>
      </c>
      <c r="F73" s="106">
        <v>29</v>
      </c>
      <c r="G73" s="106">
        <v>16216.799999999997</v>
      </c>
      <c r="H73" s="106">
        <v>25</v>
      </c>
      <c r="I73" s="106">
        <v>13979.999999999998</v>
      </c>
      <c r="J73" s="106">
        <v>34</v>
      </c>
      <c r="K73" s="106">
        <v>19012.8</v>
      </c>
      <c r="L73" s="106">
        <v>33</v>
      </c>
      <c r="M73" s="106">
        <v>18453.599999999999</v>
      </c>
      <c r="N73" s="106">
        <v>25</v>
      </c>
      <c r="O73" s="106">
        <v>13979.999999999998</v>
      </c>
      <c r="P73" s="106">
        <v>27</v>
      </c>
      <c r="Q73" s="106">
        <v>15098.399999999998</v>
      </c>
      <c r="R73" s="106">
        <v>27</v>
      </c>
      <c r="S73" s="106">
        <v>15098.399999999998</v>
      </c>
      <c r="T73" s="106">
        <v>23</v>
      </c>
      <c r="U73" s="106">
        <v>12861.599999999999</v>
      </c>
      <c r="V73" s="106">
        <v>12</v>
      </c>
      <c r="W73" s="106">
        <v>6710.4</v>
      </c>
      <c r="X73" s="106">
        <v>12</v>
      </c>
      <c r="Y73" s="106">
        <v>6710.4</v>
      </c>
      <c r="Z73" s="106">
        <v>15</v>
      </c>
      <c r="AA73" s="106">
        <v>8387.9999999999982</v>
      </c>
      <c r="AB73" s="106">
        <v>12</v>
      </c>
      <c r="AC73" s="106">
        <v>6710.4</v>
      </c>
      <c r="AD73" s="106">
        <v>10</v>
      </c>
      <c r="AE73" s="106">
        <v>5591.9999999999991</v>
      </c>
      <c r="AF73" s="106">
        <v>11</v>
      </c>
      <c r="AG73" s="106">
        <v>6151.1999999999989</v>
      </c>
      <c r="AH73" s="106">
        <v>18</v>
      </c>
      <c r="AI73" s="106">
        <v>10065.599999999999</v>
      </c>
      <c r="AJ73" s="106">
        <v>19</v>
      </c>
      <c r="AK73" s="106">
        <v>10624.8</v>
      </c>
      <c r="AL73" s="106">
        <v>20</v>
      </c>
      <c r="AM73" s="106">
        <v>11183.999999999998</v>
      </c>
      <c r="AN73" s="106">
        <v>32</v>
      </c>
      <c r="AO73" s="106">
        <v>17894.399999999998</v>
      </c>
      <c r="AP73" s="106">
        <v>18</v>
      </c>
      <c r="AQ73" s="106">
        <v>10065.599999999999</v>
      </c>
      <c r="AR73" s="106">
        <v>30</v>
      </c>
      <c r="AS73" s="106">
        <v>16775.999999999996</v>
      </c>
      <c r="AT73" s="106">
        <v>27</v>
      </c>
      <c r="AU73" s="106">
        <v>15098.399999999998</v>
      </c>
      <c r="AV73" s="106">
        <v>32</v>
      </c>
      <c r="AW73" s="106">
        <v>17894.399999999998</v>
      </c>
      <c r="AX73" s="106">
        <v>37</v>
      </c>
      <c r="AY73" s="106">
        <v>20690.399999999998</v>
      </c>
      <c r="AZ73" s="106">
        <v>4</v>
      </c>
      <c r="BA73" s="106">
        <v>2236.7999999999997</v>
      </c>
      <c r="BB73" s="106">
        <v>3</v>
      </c>
      <c r="BC73" s="106">
        <v>1677.6</v>
      </c>
      <c r="BD73" s="106">
        <v>3</v>
      </c>
      <c r="BE73" s="106">
        <v>1677.6</v>
      </c>
      <c r="BF73" s="106">
        <v>6</v>
      </c>
      <c r="BG73" s="106">
        <v>3355.2</v>
      </c>
      <c r="BH73" s="106">
        <v>5</v>
      </c>
      <c r="BI73" s="106">
        <v>2795.9999999999995</v>
      </c>
      <c r="BJ73" s="106">
        <v>5</v>
      </c>
      <c r="BK73" s="106">
        <v>2795.9999999999995</v>
      </c>
      <c r="BL73" s="106">
        <v>3</v>
      </c>
      <c r="BM73" s="106">
        <v>1677.6</v>
      </c>
      <c r="BN73" s="106">
        <v>5</v>
      </c>
      <c r="BO73" s="106">
        <v>2795.9999999999995</v>
      </c>
      <c r="BP73" s="106">
        <v>4</v>
      </c>
      <c r="BQ73" s="106">
        <v>2236.7999999999997</v>
      </c>
      <c r="BR73" s="106">
        <v>4</v>
      </c>
      <c r="BS73" s="106">
        <v>2236.7999999999997</v>
      </c>
      <c r="BT73" s="106">
        <v>6</v>
      </c>
      <c r="BU73" s="106">
        <v>3355.2</v>
      </c>
      <c r="BV73" s="106">
        <v>5</v>
      </c>
      <c r="BW73" s="106">
        <v>2795.9999999999995</v>
      </c>
      <c r="BX73" s="106">
        <v>21</v>
      </c>
      <c r="BY73" s="106">
        <v>11743.199999999999</v>
      </c>
      <c r="BZ73" s="106">
        <v>19</v>
      </c>
      <c r="CA73" s="106">
        <v>10624.8</v>
      </c>
      <c r="CB73" s="106">
        <v>25</v>
      </c>
      <c r="CC73" s="106">
        <v>13979.999999999998</v>
      </c>
      <c r="CD73" s="106">
        <v>27</v>
      </c>
      <c r="CE73" s="106">
        <v>15098.399999999998</v>
      </c>
      <c r="CF73" s="106">
        <v>3</v>
      </c>
      <c r="CG73" s="106">
        <v>1677.6</v>
      </c>
      <c r="CH73" s="106">
        <v>4</v>
      </c>
      <c r="CI73" s="106">
        <v>2236.7999999999997</v>
      </c>
      <c r="CJ73" s="106">
        <v>3</v>
      </c>
      <c r="CK73" s="106">
        <v>1677.6</v>
      </c>
      <c r="CL73" s="106">
        <v>4</v>
      </c>
      <c r="CM73" s="106">
        <v>2236.7999999999997</v>
      </c>
      <c r="CN73" s="106">
        <v>6</v>
      </c>
      <c r="CO73" s="106">
        <v>3355.2</v>
      </c>
      <c r="CP73" s="106">
        <v>7</v>
      </c>
      <c r="CQ73" s="106">
        <v>3914.3999999999996</v>
      </c>
      <c r="CR73" s="106">
        <v>4</v>
      </c>
      <c r="CS73" s="106">
        <v>2236.7999999999997</v>
      </c>
      <c r="CT73" s="106">
        <v>6</v>
      </c>
      <c r="CU73" s="106">
        <v>3355.2</v>
      </c>
    </row>
    <row r="74" spans="2:99" x14ac:dyDescent="0.2">
      <c r="C74" s="105" t="s">
        <v>239</v>
      </c>
      <c r="D74" s="106">
        <v>28</v>
      </c>
      <c r="E74" s="106">
        <v>11289.6</v>
      </c>
      <c r="F74" s="106">
        <v>35</v>
      </c>
      <c r="G74" s="106">
        <v>14112</v>
      </c>
      <c r="H74" s="106">
        <v>27</v>
      </c>
      <c r="I74" s="106">
        <v>10886.4</v>
      </c>
      <c r="J74" s="106">
        <v>35</v>
      </c>
      <c r="K74" s="106">
        <v>14112</v>
      </c>
      <c r="L74" s="106">
        <v>34</v>
      </c>
      <c r="M74" s="106">
        <v>13708.8</v>
      </c>
      <c r="N74" s="106">
        <v>27</v>
      </c>
      <c r="O74" s="106">
        <v>10886.4</v>
      </c>
      <c r="P74" s="106">
        <v>27</v>
      </c>
      <c r="Q74" s="106">
        <v>10886.4</v>
      </c>
      <c r="R74" s="106">
        <v>31</v>
      </c>
      <c r="S74" s="106">
        <v>12499.199999999999</v>
      </c>
      <c r="T74" s="106">
        <v>21</v>
      </c>
      <c r="U74" s="106">
        <v>8467.1999999999989</v>
      </c>
      <c r="V74" s="106">
        <v>11</v>
      </c>
      <c r="W74" s="106">
        <v>4435.2</v>
      </c>
      <c r="X74" s="106">
        <v>14</v>
      </c>
      <c r="Y74" s="106">
        <v>5644.8</v>
      </c>
      <c r="Z74" s="106">
        <v>14</v>
      </c>
      <c r="AA74" s="106">
        <v>5644.8</v>
      </c>
      <c r="AB74" s="106">
        <v>12</v>
      </c>
      <c r="AC74" s="106">
        <v>4838.3999999999996</v>
      </c>
      <c r="AD74" s="106">
        <v>12</v>
      </c>
      <c r="AE74" s="106">
        <v>4838.3999999999996</v>
      </c>
      <c r="AF74" s="106">
        <v>13</v>
      </c>
      <c r="AG74" s="106">
        <v>5241.5999999999995</v>
      </c>
      <c r="AH74" s="106">
        <v>18</v>
      </c>
      <c r="AI74" s="106">
        <v>7257.5999999999995</v>
      </c>
      <c r="AJ74" s="106">
        <v>19</v>
      </c>
      <c r="AK74" s="106">
        <v>7660.8</v>
      </c>
      <c r="AL74" s="106">
        <v>21</v>
      </c>
      <c r="AM74" s="106">
        <v>8467.1999999999989</v>
      </c>
      <c r="AN74" s="106">
        <v>32</v>
      </c>
      <c r="AO74" s="106">
        <v>12902.4</v>
      </c>
      <c r="AP74" s="106">
        <v>18</v>
      </c>
      <c r="AQ74" s="106">
        <v>7257.5999999999995</v>
      </c>
      <c r="AR74" s="106">
        <v>30</v>
      </c>
      <c r="AS74" s="106">
        <v>12096</v>
      </c>
      <c r="AT74" s="106">
        <v>30</v>
      </c>
      <c r="AU74" s="106">
        <v>12096</v>
      </c>
      <c r="AV74" s="106">
        <v>35</v>
      </c>
      <c r="AW74" s="106">
        <v>14112</v>
      </c>
      <c r="AX74" s="106">
        <v>44</v>
      </c>
      <c r="AY74" s="106">
        <v>17740.8</v>
      </c>
      <c r="AZ74" s="106">
        <v>5</v>
      </c>
      <c r="BA74" s="106">
        <v>2016</v>
      </c>
      <c r="BB74" s="106">
        <v>3</v>
      </c>
      <c r="BC74" s="106">
        <v>1209.5999999999999</v>
      </c>
      <c r="BD74" s="106">
        <v>3</v>
      </c>
      <c r="BE74" s="106">
        <v>1209.5999999999999</v>
      </c>
      <c r="BF74" s="106">
        <v>5</v>
      </c>
      <c r="BG74" s="106">
        <v>2016</v>
      </c>
      <c r="BH74" s="106">
        <v>4</v>
      </c>
      <c r="BI74" s="106">
        <v>1612.8</v>
      </c>
      <c r="BJ74" s="106">
        <v>5</v>
      </c>
      <c r="BK74" s="106">
        <v>2016</v>
      </c>
      <c r="BL74" s="106">
        <v>4</v>
      </c>
      <c r="BM74" s="106">
        <v>1612.8</v>
      </c>
      <c r="BN74" s="106">
        <v>5</v>
      </c>
      <c r="BO74" s="106">
        <v>2016</v>
      </c>
      <c r="BP74" s="106">
        <v>4</v>
      </c>
      <c r="BQ74" s="106">
        <v>1612.8</v>
      </c>
      <c r="BR74" s="106">
        <v>4</v>
      </c>
      <c r="BS74" s="106">
        <v>1612.8</v>
      </c>
      <c r="BT74" s="106">
        <v>6</v>
      </c>
      <c r="BU74" s="106">
        <v>2419.1999999999998</v>
      </c>
      <c r="BV74" s="106">
        <v>6</v>
      </c>
      <c r="BW74" s="106">
        <v>2419.1999999999998</v>
      </c>
      <c r="BX74" s="106">
        <v>23</v>
      </c>
      <c r="BY74" s="106">
        <v>9273.6</v>
      </c>
      <c r="BZ74" s="106">
        <v>20</v>
      </c>
      <c r="CA74" s="106">
        <v>8064</v>
      </c>
      <c r="CB74" s="106">
        <v>26</v>
      </c>
      <c r="CC74" s="106">
        <v>10483.199999999999</v>
      </c>
      <c r="CD74" s="106">
        <v>28</v>
      </c>
      <c r="CE74" s="106">
        <v>11289.6</v>
      </c>
      <c r="CF74" s="106">
        <v>4</v>
      </c>
      <c r="CG74" s="106">
        <v>1612.8</v>
      </c>
      <c r="CH74" s="106">
        <v>4</v>
      </c>
      <c r="CI74" s="106">
        <v>1612.8</v>
      </c>
      <c r="CJ74" s="106">
        <v>3</v>
      </c>
      <c r="CK74" s="106">
        <v>1209.5999999999999</v>
      </c>
      <c r="CL74" s="106">
        <v>3</v>
      </c>
      <c r="CM74" s="106">
        <v>1209.5999999999999</v>
      </c>
      <c r="CN74" s="106">
        <v>7</v>
      </c>
      <c r="CO74" s="106">
        <v>2822.4</v>
      </c>
      <c r="CP74" s="106">
        <v>8</v>
      </c>
      <c r="CQ74" s="106">
        <v>3225.6</v>
      </c>
      <c r="CR74" s="106">
        <v>5</v>
      </c>
      <c r="CS74" s="106">
        <v>2016</v>
      </c>
      <c r="CT74" s="106">
        <v>6</v>
      </c>
      <c r="CU74" s="106">
        <v>2419.1999999999998</v>
      </c>
    </row>
    <row r="75" spans="2:99" x14ac:dyDescent="0.2">
      <c r="C75" s="105" t="s">
        <v>240</v>
      </c>
      <c r="D75" s="106">
        <v>26</v>
      </c>
      <c r="E75" s="106">
        <v>16723.199999999997</v>
      </c>
      <c r="F75" s="106">
        <v>31</v>
      </c>
      <c r="G75" s="106">
        <v>19939.199999999997</v>
      </c>
      <c r="H75" s="106">
        <v>24</v>
      </c>
      <c r="I75" s="106">
        <v>15436.8</v>
      </c>
      <c r="J75" s="106">
        <v>31</v>
      </c>
      <c r="K75" s="106">
        <v>19939.199999999997</v>
      </c>
      <c r="L75" s="106">
        <v>28</v>
      </c>
      <c r="M75" s="106">
        <v>18009.599999999999</v>
      </c>
      <c r="N75" s="106">
        <v>27</v>
      </c>
      <c r="O75" s="106">
        <v>17366.399999999998</v>
      </c>
      <c r="P75" s="106">
        <v>27</v>
      </c>
      <c r="Q75" s="106">
        <v>17366.399999999998</v>
      </c>
      <c r="R75" s="106">
        <v>30</v>
      </c>
      <c r="S75" s="106">
        <v>19295.999999999996</v>
      </c>
      <c r="T75" s="106">
        <v>20</v>
      </c>
      <c r="U75" s="106">
        <v>12863.999999999998</v>
      </c>
      <c r="V75" s="106">
        <v>12</v>
      </c>
      <c r="W75" s="106">
        <v>7718.4</v>
      </c>
      <c r="X75" s="106">
        <v>14</v>
      </c>
      <c r="Y75" s="106">
        <v>9004.7999999999993</v>
      </c>
      <c r="Z75" s="106">
        <v>13</v>
      </c>
      <c r="AA75" s="106">
        <v>8361.5999999999985</v>
      </c>
      <c r="AB75" s="106">
        <v>13</v>
      </c>
      <c r="AC75" s="106">
        <v>8361.5999999999985</v>
      </c>
      <c r="AD75" s="106">
        <v>12</v>
      </c>
      <c r="AE75" s="106">
        <v>7718.4</v>
      </c>
      <c r="AF75" s="106">
        <v>11</v>
      </c>
      <c r="AG75" s="106">
        <v>7075.1999999999989</v>
      </c>
      <c r="AH75" s="106">
        <v>19</v>
      </c>
      <c r="AI75" s="106">
        <v>12220.8</v>
      </c>
      <c r="AJ75" s="106">
        <v>18</v>
      </c>
      <c r="AK75" s="106">
        <v>11577.599999999999</v>
      </c>
      <c r="AL75" s="106">
        <v>19</v>
      </c>
      <c r="AM75" s="106">
        <v>12220.8</v>
      </c>
      <c r="AN75" s="106">
        <v>31</v>
      </c>
      <c r="AO75" s="106">
        <v>19939.199999999997</v>
      </c>
      <c r="AP75" s="106">
        <v>18</v>
      </c>
      <c r="AQ75" s="106">
        <v>11577.599999999999</v>
      </c>
      <c r="AR75" s="106">
        <v>29</v>
      </c>
      <c r="AS75" s="106">
        <v>18652.8</v>
      </c>
      <c r="AT75" s="106">
        <v>28</v>
      </c>
      <c r="AU75" s="106">
        <v>18009.599999999999</v>
      </c>
      <c r="AV75" s="106">
        <v>34</v>
      </c>
      <c r="AW75" s="106">
        <v>21868.799999999999</v>
      </c>
      <c r="AX75" s="106">
        <v>42</v>
      </c>
      <c r="AY75" s="106">
        <v>27014.399999999998</v>
      </c>
      <c r="AZ75" s="106">
        <v>4</v>
      </c>
      <c r="BA75" s="106">
        <v>2572.7999999999997</v>
      </c>
      <c r="BB75" s="106">
        <v>3</v>
      </c>
      <c r="BC75" s="106">
        <v>1929.6</v>
      </c>
      <c r="BD75" s="106">
        <v>3</v>
      </c>
      <c r="BE75" s="106">
        <v>1929.6</v>
      </c>
      <c r="BF75" s="106">
        <v>5</v>
      </c>
      <c r="BG75" s="106">
        <v>3215.9999999999995</v>
      </c>
      <c r="BH75" s="106">
        <v>5</v>
      </c>
      <c r="BI75" s="106">
        <v>3215.9999999999995</v>
      </c>
      <c r="BJ75" s="106">
        <v>4</v>
      </c>
      <c r="BK75" s="106">
        <v>2572.7999999999997</v>
      </c>
      <c r="BL75" s="106">
        <v>4</v>
      </c>
      <c r="BM75" s="106">
        <v>2572.7999999999997</v>
      </c>
      <c r="BN75" s="106">
        <v>4</v>
      </c>
      <c r="BO75" s="106">
        <v>2572.7999999999997</v>
      </c>
      <c r="BP75" s="106">
        <v>4</v>
      </c>
      <c r="BQ75" s="106">
        <v>2572.7999999999997</v>
      </c>
      <c r="BR75" s="106">
        <v>4</v>
      </c>
      <c r="BS75" s="106">
        <v>2572.7999999999997</v>
      </c>
      <c r="BT75" s="106">
        <v>5</v>
      </c>
      <c r="BU75" s="106">
        <v>3215.9999999999995</v>
      </c>
      <c r="BV75" s="106">
        <v>6</v>
      </c>
      <c r="BW75" s="106">
        <v>3859.2</v>
      </c>
      <c r="BX75" s="106">
        <v>19</v>
      </c>
      <c r="BY75" s="106">
        <v>12220.8</v>
      </c>
      <c r="BZ75" s="106">
        <v>20</v>
      </c>
      <c r="CA75" s="106">
        <v>12863.999999999998</v>
      </c>
      <c r="CB75" s="106">
        <v>28</v>
      </c>
      <c r="CC75" s="106">
        <v>18009.599999999999</v>
      </c>
      <c r="CD75" s="106">
        <v>26</v>
      </c>
      <c r="CE75" s="106">
        <v>16723.199999999997</v>
      </c>
      <c r="CF75" s="106">
        <v>4</v>
      </c>
      <c r="CG75" s="106">
        <v>2572.7999999999997</v>
      </c>
      <c r="CH75" s="106">
        <v>4</v>
      </c>
      <c r="CI75" s="106">
        <v>2572.7999999999997</v>
      </c>
      <c r="CJ75" s="106">
        <v>3</v>
      </c>
      <c r="CK75" s="106">
        <v>1929.6</v>
      </c>
      <c r="CL75" s="106">
        <v>3</v>
      </c>
      <c r="CM75" s="106">
        <v>1929.6</v>
      </c>
      <c r="CN75" s="106">
        <v>6</v>
      </c>
      <c r="CO75" s="106">
        <v>3859.2</v>
      </c>
      <c r="CP75" s="106">
        <v>7</v>
      </c>
      <c r="CQ75" s="106">
        <v>4502.3999999999996</v>
      </c>
      <c r="CR75" s="106">
        <v>4</v>
      </c>
      <c r="CS75" s="106">
        <v>2572.7999999999997</v>
      </c>
      <c r="CT75" s="106">
        <v>5</v>
      </c>
      <c r="CU75" s="106">
        <v>3215.9999999999995</v>
      </c>
    </row>
    <row r="76" spans="2:99" x14ac:dyDescent="0.2">
      <c r="C76" s="105" t="s">
        <v>241</v>
      </c>
      <c r="D76" s="106">
        <v>29</v>
      </c>
      <c r="E76" s="106">
        <v>22585.199999999997</v>
      </c>
      <c r="F76" s="106">
        <v>29</v>
      </c>
      <c r="G76" s="106">
        <v>22585.199999999997</v>
      </c>
      <c r="H76" s="106">
        <v>26</v>
      </c>
      <c r="I76" s="106">
        <v>20248.8</v>
      </c>
      <c r="J76" s="106">
        <v>30</v>
      </c>
      <c r="K76" s="106">
        <v>23364</v>
      </c>
      <c r="L76" s="106">
        <v>30</v>
      </c>
      <c r="M76" s="106">
        <v>23364</v>
      </c>
      <c r="N76" s="106">
        <v>24</v>
      </c>
      <c r="O76" s="106">
        <v>18691.199999999997</v>
      </c>
      <c r="P76" s="106">
        <v>23</v>
      </c>
      <c r="Q76" s="106">
        <v>17912.399999999998</v>
      </c>
      <c r="R76" s="106">
        <v>26</v>
      </c>
      <c r="S76" s="106">
        <v>20248.8</v>
      </c>
      <c r="T76" s="106">
        <v>22</v>
      </c>
      <c r="U76" s="106">
        <v>17133.599999999999</v>
      </c>
      <c r="V76" s="106">
        <v>11</v>
      </c>
      <c r="W76" s="106">
        <v>8566.7999999999993</v>
      </c>
      <c r="X76" s="106">
        <v>12</v>
      </c>
      <c r="Y76" s="106">
        <v>9345.5999999999985</v>
      </c>
      <c r="Z76" s="106">
        <v>14</v>
      </c>
      <c r="AA76" s="106">
        <v>10903.199999999999</v>
      </c>
      <c r="AB76" s="106">
        <v>12</v>
      </c>
      <c r="AC76" s="106">
        <v>9345.5999999999985</v>
      </c>
      <c r="AD76" s="106">
        <v>11</v>
      </c>
      <c r="AE76" s="106">
        <v>8566.7999999999993</v>
      </c>
      <c r="AF76" s="106">
        <v>11</v>
      </c>
      <c r="AG76" s="106">
        <v>8566.7999999999993</v>
      </c>
      <c r="AH76" s="106">
        <v>17</v>
      </c>
      <c r="AI76" s="106">
        <v>13239.599999999999</v>
      </c>
      <c r="AJ76" s="106">
        <v>20</v>
      </c>
      <c r="AK76" s="106">
        <v>15576</v>
      </c>
      <c r="AL76" s="106">
        <v>17</v>
      </c>
      <c r="AM76" s="106">
        <v>13239.599999999999</v>
      </c>
      <c r="AN76" s="106">
        <v>27</v>
      </c>
      <c r="AO76" s="106">
        <v>21027.599999999999</v>
      </c>
      <c r="AP76" s="106">
        <v>20</v>
      </c>
      <c r="AQ76" s="106">
        <v>15576</v>
      </c>
      <c r="AR76" s="106">
        <v>27</v>
      </c>
      <c r="AS76" s="106">
        <v>21027.599999999999</v>
      </c>
      <c r="AT76" s="106">
        <v>26</v>
      </c>
      <c r="AU76" s="106">
        <v>20248.8</v>
      </c>
      <c r="AV76" s="106">
        <v>31</v>
      </c>
      <c r="AW76" s="106">
        <v>24142.799999999999</v>
      </c>
      <c r="AX76" s="106">
        <v>41</v>
      </c>
      <c r="AY76" s="106">
        <v>31930.799999999999</v>
      </c>
      <c r="AZ76" s="106">
        <v>4</v>
      </c>
      <c r="BA76" s="106">
        <v>3115.2</v>
      </c>
      <c r="BB76" s="106">
        <v>3</v>
      </c>
      <c r="BC76" s="106">
        <v>2336.3999999999996</v>
      </c>
      <c r="BD76" s="106">
        <v>3</v>
      </c>
      <c r="BE76" s="106">
        <v>2336.3999999999996</v>
      </c>
      <c r="BF76" s="106">
        <v>6</v>
      </c>
      <c r="BG76" s="106">
        <v>4672.7999999999993</v>
      </c>
      <c r="BH76" s="106">
        <v>5</v>
      </c>
      <c r="BI76" s="106">
        <v>3894</v>
      </c>
      <c r="BJ76" s="106">
        <v>5</v>
      </c>
      <c r="BK76" s="106">
        <v>3894</v>
      </c>
      <c r="BL76" s="106">
        <v>4</v>
      </c>
      <c r="BM76" s="106">
        <v>3115.2</v>
      </c>
      <c r="BN76" s="106">
        <v>5</v>
      </c>
      <c r="BO76" s="106">
        <v>3894</v>
      </c>
      <c r="BP76" s="106">
        <v>3</v>
      </c>
      <c r="BQ76" s="106">
        <v>2336.3999999999996</v>
      </c>
      <c r="BR76" s="106">
        <v>4</v>
      </c>
      <c r="BS76" s="106">
        <v>3115.2</v>
      </c>
      <c r="BT76" s="106">
        <v>6</v>
      </c>
      <c r="BU76" s="106">
        <v>4672.7999999999993</v>
      </c>
      <c r="BV76" s="106">
        <v>6</v>
      </c>
      <c r="BW76" s="106">
        <v>4672.7999999999993</v>
      </c>
      <c r="BX76" s="106">
        <v>18</v>
      </c>
      <c r="BY76" s="106">
        <v>14018.4</v>
      </c>
      <c r="BZ76" s="106">
        <v>19</v>
      </c>
      <c r="CA76" s="106">
        <v>14797.199999999999</v>
      </c>
      <c r="CB76" s="106">
        <v>26</v>
      </c>
      <c r="CC76" s="106">
        <v>20248.8</v>
      </c>
      <c r="CD76" s="106">
        <v>28</v>
      </c>
      <c r="CE76" s="106">
        <v>21806.399999999998</v>
      </c>
      <c r="CF76" s="106">
        <v>4</v>
      </c>
      <c r="CG76" s="106">
        <v>3115.2</v>
      </c>
      <c r="CH76" s="106">
        <v>4</v>
      </c>
      <c r="CI76" s="106">
        <v>3115.2</v>
      </c>
      <c r="CJ76" s="106">
        <v>3</v>
      </c>
      <c r="CK76" s="106">
        <v>2336.3999999999996</v>
      </c>
      <c r="CL76" s="106">
        <v>3</v>
      </c>
      <c r="CM76" s="106">
        <v>2336.3999999999996</v>
      </c>
      <c r="CN76" s="106">
        <v>7</v>
      </c>
      <c r="CO76" s="106">
        <v>5451.5999999999995</v>
      </c>
      <c r="CP76" s="106">
        <v>8</v>
      </c>
      <c r="CQ76" s="106">
        <v>6230.4</v>
      </c>
      <c r="CR76" s="106">
        <v>4</v>
      </c>
      <c r="CS76" s="106">
        <v>3115.2</v>
      </c>
      <c r="CT76" s="106">
        <v>5</v>
      </c>
      <c r="CU76" s="106">
        <v>3894</v>
      </c>
    </row>
    <row r="77" spans="2:99" x14ac:dyDescent="0.2">
      <c r="C77" s="105" t="s">
        <v>242</v>
      </c>
      <c r="D77" s="106">
        <v>30</v>
      </c>
      <c r="E77" s="106">
        <v>8352</v>
      </c>
      <c r="F77" s="106">
        <v>30</v>
      </c>
      <c r="G77" s="106">
        <v>8352</v>
      </c>
      <c r="H77" s="106">
        <v>26</v>
      </c>
      <c r="I77" s="106">
        <v>7238.4</v>
      </c>
      <c r="J77" s="106">
        <v>35</v>
      </c>
      <c r="K77" s="106">
        <v>9744</v>
      </c>
      <c r="L77" s="106">
        <v>32</v>
      </c>
      <c r="M77" s="106">
        <v>8908.7999999999993</v>
      </c>
      <c r="N77" s="106">
        <v>25</v>
      </c>
      <c r="O77" s="106">
        <v>6959.9999999999991</v>
      </c>
      <c r="P77" s="106">
        <v>29</v>
      </c>
      <c r="Q77" s="106">
        <v>8073.5999999999995</v>
      </c>
      <c r="R77" s="106">
        <v>32</v>
      </c>
      <c r="S77" s="106">
        <v>8908.7999999999993</v>
      </c>
      <c r="T77" s="106">
        <v>20</v>
      </c>
      <c r="U77" s="106">
        <v>5568</v>
      </c>
      <c r="V77" s="106">
        <v>13</v>
      </c>
      <c r="W77" s="106">
        <v>3619.2</v>
      </c>
      <c r="X77" s="106">
        <v>13</v>
      </c>
      <c r="Y77" s="106">
        <v>3619.2</v>
      </c>
      <c r="Z77" s="106">
        <v>14</v>
      </c>
      <c r="AA77" s="106">
        <v>3897.5999999999995</v>
      </c>
      <c r="AB77" s="106">
        <v>12</v>
      </c>
      <c r="AC77" s="106">
        <v>3340.7999999999997</v>
      </c>
      <c r="AD77" s="106">
        <v>11</v>
      </c>
      <c r="AE77" s="106">
        <v>3062.3999999999996</v>
      </c>
      <c r="AF77" s="106">
        <v>13</v>
      </c>
      <c r="AG77" s="106">
        <v>3619.2</v>
      </c>
      <c r="AH77" s="106">
        <v>18</v>
      </c>
      <c r="AI77" s="106">
        <v>5011.2</v>
      </c>
      <c r="AJ77" s="106">
        <v>21</v>
      </c>
      <c r="AK77" s="106">
        <v>5846.4</v>
      </c>
      <c r="AL77" s="106">
        <v>20</v>
      </c>
      <c r="AM77" s="106">
        <v>5568</v>
      </c>
      <c r="AN77" s="106">
        <v>32</v>
      </c>
      <c r="AO77" s="106">
        <v>8908.7999999999993</v>
      </c>
      <c r="AP77" s="106">
        <v>22</v>
      </c>
      <c r="AQ77" s="106">
        <v>6124.7999999999993</v>
      </c>
      <c r="AR77" s="106">
        <v>33</v>
      </c>
      <c r="AS77" s="106">
        <v>9187.1999999999989</v>
      </c>
      <c r="AT77" s="106">
        <v>32</v>
      </c>
      <c r="AU77" s="106">
        <v>8908.7999999999993</v>
      </c>
      <c r="AV77" s="106">
        <v>34</v>
      </c>
      <c r="AW77" s="106">
        <v>9465.5999999999985</v>
      </c>
      <c r="AX77" s="106">
        <v>43</v>
      </c>
      <c r="AY77" s="106">
        <v>11971.199999999999</v>
      </c>
      <c r="AZ77" s="106">
        <v>5</v>
      </c>
      <c r="BA77" s="106">
        <v>1392</v>
      </c>
      <c r="BB77" s="106">
        <v>3</v>
      </c>
      <c r="BC77" s="106">
        <v>835.19999999999993</v>
      </c>
      <c r="BD77" s="106">
        <v>3</v>
      </c>
      <c r="BE77" s="106">
        <v>835.19999999999993</v>
      </c>
      <c r="BF77" s="106">
        <v>5</v>
      </c>
      <c r="BG77" s="106">
        <v>1392</v>
      </c>
      <c r="BH77" s="106">
        <v>5</v>
      </c>
      <c r="BI77" s="106">
        <v>1392</v>
      </c>
      <c r="BJ77" s="106">
        <v>5</v>
      </c>
      <c r="BK77" s="106">
        <v>1392</v>
      </c>
      <c r="BL77" s="106">
        <v>3</v>
      </c>
      <c r="BM77" s="106">
        <v>835.19999999999993</v>
      </c>
      <c r="BN77" s="106">
        <v>5</v>
      </c>
      <c r="BO77" s="106">
        <v>1392</v>
      </c>
      <c r="BP77" s="106">
        <v>4</v>
      </c>
      <c r="BQ77" s="106">
        <v>1113.5999999999999</v>
      </c>
      <c r="BR77" s="106">
        <v>4</v>
      </c>
      <c r="BS77" s="106">
        <v>1113.5999999999999</v>
      </c>
      <c r="BT77" s="106">
        <v>6</v>
      </c>
      <c r="BU77" s="106">
        <v>1670.3999999999999</v>
      </c>
      <c r="BV77" s="106">
        <v>7</v>
      </c>
      <c r="BW77" s="106">
        <v>1948.7999999999997</v>
      </c>
      <c r="BX77" s="106">
        <v>23</v>
      </c>
      <c r="BY77" s="106">
        <v>6403.2</v>
      </c>
      <c r="BZ77" s="106">
        <v>20</v>
      </c>
      <c r="CA77" s="106">
        <v>5568</v>
      </c>
      <c r="CB77" s="106">
        <v>28</v>
      </c>
      <c r="CC77" s="106">
        <v>7795.1999999999989</v>
      </c>
      <c r="CD77" s="106">
        <v>26</v>
      </c>
      <c r="CE77" s="106">
        <v>7238.4</v>
      </c>
      <c r="CF77" s="106">
        <v>3</v>
      </c>
      <c r="CG77" s="106">
        <v>835.19999999999993</v>
      </c>
      <c r="CH77" s="106">
        <v>4</v>
      </c>
      <c r="CI77" s="106">
        <v>1113.5999999999999</v>
      </c>
      <c r="CJ77" s="106">
        <v>3</v>
      </c>
      <c r="CK77" s="106">
        <v>835.19999999999993</v>
      </c>
      <c r="CL77" s="106">
        <v>4</v>
      </c>
      <c r="CM77" s="106">
        <v>1113.5999999999999</v>
      </c>
      <c r="CN77" s="106">
        <v>7</v>
      </c>
      <c r="CO77" s="106">
        <v>1948.7999999999997</v>
      </c>
      <c r="CP77" s="106">
        <v>8</v>
      </c>
      <c r="CQ77" s="106">
        <v>2227.1999999999998</v>
      </c>
      <c r="CR77" s="106">
        <v>4</v>
      </c>
      <c r="CS77" s="106">
        <v>1113.5999999999999</v>
      </c>
      <c r="CT77" s="106">
        <v>5</v>
      </c>
      <c r="CU77" s="106">
        <v>1392</v>
      </c>
    </row>
    <row r="78" spans="2:99" x14ac:dyDescent="0.2">
      <c r="C78" s="105" t="s">
        <v>243</v>
      </c>
      <c r="D78" s="106">
        <v>29</v>
      </c>
      <c r="E78" s="106">
        <v>16008</v>
      </c>
      <c r="F78" s="106">
        <v>31</v>
      </c>
      <c r="G78" s="106">
        <v>17112</v>
      </c>
      <c r="H78" s="106">
        <v>24</v>
      </c>
      <c r="I78" s="106">
        <v>13248</v>
      </c>
      <c r="J78" s="106">
        <v>34</v>
      </c>
      <c r="K78" s="106">
        <v>18768</v>
      </c>
      <c r="L78" s="106">
        <v>29</v>
      </c>
      <c r="M78" s="106">
        <v>16008</v>
      </c>
      <c r="N78" s="106">
        <v>27</v>
      </c>
      <c r="O78" s="106">
        <v>14904</v>
      </c>
      <c r="P78" s="106">
        <v>25</v>
      </c>
      <c r="Q78" s="106">
        <v>13800</v>
      </c>
      <c r="R78" s="106">
        <v>31</v>
      </c>
      <c r="S78" s="106">
        <v>17112</v>
      </c>
      <c r="T78" s="106">
        <v>19</v>
      </c>
      <c r="U78" s="106">
        <v>10488</v>
      </c>
      <c r="V78" s="106">
        <v>11</v>
      </c>
      <c r="W78" s="106">
        <v>6072</v>
      </c>
      <c r="X78" s="106">
        <v>14</v>
      </c>
      <c r="Y78" s="106">
        <v>7728</v>
      </c>
      <c r="Z78" s="106">
        <v>16</v>
      </c>
      <c r="AA78" s="106">
        <v>8832</v>
      </c>
      <c r="AB78" s="106">
        <v>11</v>
      </c>
      <c r="AC78" s="106">
        <v>6072</v>
      </c>
      <c r="AD78" s="106">
        <v>11</v>
      </c>
      <c r="AE78" s="106">
        <v>6072</v>
      </c>
      <c r="AF78" s="106">
        <v>12</v>
      </c>
      <c r="AG78" s="106">
        <v>6624</v>
      </c>
      <c r="AH78" s="106">
        <v>17</v>
      </c>
      <c r="AI78" s="106">
        <v>9384</v>
      </c>
      <c r="AJ78" s="106">
        <v>19</v>
      </c>
      <c r="AK78" s="106">
        <v>10488</v>
      </c>
      <c r="AL78" s="106">
        <v>20</v>
      </c>
      <c r="AM78" s="106">
        <v>11040</v>
      </c>
      <c r="AN78" s="106">
        <v>30</v>
      </c>
      <c r="AO78" s="106">
        <v>16560</v>
      </c>
      <c r="AP78" s="106">
        <v>18</v>
      </c>
      <c r="AQ78" s="106">
        <v>9936</v>
      </c>
      <c r="AR78" s="106">
        <v>30</v>
      </c>
      <c r="AS78" s="106">
        <v>16560</v>
      </c>
      <c r="AT78" s="106">
        <v>32</v>
      </c>
      <c r="AU78" s="106">
        <v>17664</v>
      </c>
      <c r="AV78" s="106">
        <v>31</v>
      </c>
      <c r="AW78" s="106">
        <v>17112</v>
      </c>
      <c r="AX78" s="106">
        <v>36</v>
      </c>
      <c r="AY78" s="106">
        <v>19872</v>
      </c>
      <c r="AZ78" s="106">
        <v>5</v>
      </c>
      <c r="BA78" s="106">
        <v>2760</v>
      </c>
      <c r="BB78" s="106">
        <v>3</v>
      </c>
      <c r="BC78" s="106">
        <v>1656</v>
      </c>
      <c r="BD78" s="106">
        <v>3</v>
      </c>
      <c r="BE78" s="106">
        <v>1656</v>
      </c>
      <c r="BF78" s="106">
        <v>5</v>
      </c>
      <c r="BG78" s="106">
        <v>2760</v>
      </c>
      <c r="BH78" s="106">
        <v>5</v>
      </c>
      <c r="BI78" s="106">
        <v>2760</v>
      </c>
      <c r="BJ78" s="106">
        <v>5</v>
      </c>
      <c r="BK78" s="106">
        <v>2760</v>
      </c>
      <c r="BL78" s="106">
        <v>4</v>
      </c>
      <c r="BM78" s="106">
        <v>2208</v>
      </c>
      <c r="BN78" s="106">
        <v>5</v>
      </c>
      <c r="BO78" s="106">
        <v>2760</v>
      </c>
      <c r="BP78" s="106">
        <v>4</v>
      </c>
      <c r="BQ78" s="106">
        <v>2208</v>
      </c>
      <c r="BR78" s="106">
        <v>4</v>
      </c>
      <c r="BS78" s="106">
        <v>2208</v>
      </c>
      <c r="BT78" s="106">
        <v>6</v>
      </c>
      <c r="BU78" s="106">
        <v>3312</v>
      </c>
      <c r="BV78" s="106">
        <v>6</v>
      </c>
      <c r="BW78" s="106">
        <v>3312</v>
      </c>
      <c r="BX78" s="106">
        <v>21</v>
      </c>
      <c r="BY78" s="106">
        <v>11592</v>
      </c>
      <c r="BZ78" s="106">
        <v>20</v>
      </c>
      <c r="CA78" s="106">
        <v>11040</v>
      </c>
      <c r="CB78" s="106">
        <v>26</v>
      </c>
      <c r="CC78" s="106">
        <v>14352</v>
      </c>
      <c r="CD78" s="106">
        <v>28</v>
      </c>
      <c r="CE78" s="106">
        <v>15456</v>
      </c>
      <c r="CF78" s="106">
        <v>4</v>
      </c>
      <c r="CG78" s="106">
        <v>2208</v>
      </c>
      <c r="CH78" s="106">
        <v>4</v>
      </c>
      <c r="CI78" s="106">
        <v>2208</v>
      </c>
      <c r="CJ78" s="106">
        <v>3</v>
      </c>
      <c r="CK78" s="106">
        <v>1656</v>
      </c>
      <c r="CL78" s="106">
        <v>3</v>
      </c>
      <c r="CM78" s="106">
        <v>1656</v>
      </c>
      <c r="CN78" s="106">
        <v>6</v>
      </c>
      <c r="CO78" s="106">
        <v>3312</v>
      </c>
      <c r="CP78" s="106">
        <v>8</v>
      </c>
      <c r="CQ78" s="106">
        <v>4416</v>
      </c>
      <c r="CR78" s="106">
        <v>4</v>
      </c>
      <c r="CS78" s="106">
        <v>2208</v>
      </c>
      <c r="CT78" s="106">
        <v>5</v>
      </c>
      <c r="CU78" s="106">
        <v>2760</v>
      </c>
    </row>
    <row r="79" spans="2:99" x14ac:dyDescent="0.2">
      <c r="C79" s="105" t="s">
        <v>244</v>
      </c>
      <c r="D79" s="106">
        <v>26</v>
      </c>
      <c r="E79" s="106">
        <v>19687.199999999997</v>
      </c>
      <c r="F79" s="106">
        <v>28</v>
      </c>
      <c r="G79" s="106">
        <v>21201.599999999999</v>
      </c>
      <c r="H79" s="106">
        <v>25</v>
      </c>
      <c r="I79" s="106">
        <v>18930</v>
      </c>
      <c r="J79" s="106">
        <v>30</v>
      </c>
      <c r="K79" s="106">
        <v>22715.999999999996</v>
      </c>
      <c r="L79" s="106">
        <v>30</v>
      </c>
      <c r="M79" s="106">
        <v>22715.999999999996</v>
      </c>
      <c r="N79" s="106">
        <v>27</v>
      </c>
      <c r="O79" s="106">
        <v>20444.399999999998</v>
      </c>
      <c r="P79" s="106">
        <v>23</v>
      </c>
      <c r="Q79" s="106">
        <v>17415.599999999999</v>
      </c>
      <c r="R79" s="106">
        <v>30</v>
      </c>
      <c r="S79" s="106">
        <v>22715.999999999996</v>
      </c>
      <c r="T79" s="106">
        <v>22</v>
      </c>
      <c r="U79" s="106">
        <v>16658.399999999998</v>
      </c>
      <c r="V79" s="106">
        <v>12</v>
      </c>
      <c r="W79" s="106">
        <v>9086.4</v>
      </c>
      <c r="X79" s="106">
        <v>12</v>
      </c>
      <c r="Y79" s="106">
        <v>9086.4</v>
      </c>
      <c r="Z79" s="106">
        <v>14</v>
      </c>
      <c r="AA79" s="106">
        <v>10600.8</v>
      </c>
      <c r="AB79" s="106">
        <v>11</v>
      </c>
      <c r="AC79" s="106">
        <v>8329.1999999999989</v>
      </c>
      <c r="AD79" s="106">
        <v>10</v>
      </c>
      <c r="AE79" s="106">
        <v>7571.9999999999991</v>
      </c>
      <c r="AF79" s="106">
        <v>12</v>
      </c>
      <c r="AG79" s="106">
        <v>9086.4</v>
      </c>
      <c r="AH79" s="106">
        <v>17</v>
      </c>
      <c r="AI79" s="106">
        <v>12872.4</v>
      </c>
      <c r="AJ79" s="106">
        <v>20</v>
      </c>
      <c r="AK79" s="106">
        <v>15143.999999999998</v>
      </c>
      <c r="AL79" s="106">
        <v>20</v>
      </c>
      <c r="AM79" s="106">
        <v>15143.999999999998</v>
      </c>
      <c r="AN79" s="106">
        <v>26</v>
      </c>
      <c r="AO79" s="106">
        <v>19687.199999999997</v>
      </c>
      <c r="AP79" s="106">
        <v>18</v>
      </c>
      <c r="AQ79" s="106">
        <v>13629.599999999999</v>
      </c>
      <c r="AR79" s="106">
        <v>28</v>
      </c>
      <c r="AS79" s="106">
        <v>21201.599999999999</v>
      </c>
      <c r="AT79" s="106">
        <v>25</v>
      </c>
      <c r="AU79" s="106">
        <v>18930</v>
      </c>
      <c r="AV79" s="106">
        <v>31</v>
      </c>
      <c r="AW79" s="106">
        <v>23473.199999999997</v>
      </c>
      <c r="AX79" s="106">
        <v>39</v>
      </c>
      <c r="AY79" s="106">
        <v>29530.799999999996</v>
      </c>
      <c r="AZ79" s="106">
        <v>5</v>
      </c>
      <c r="BA79" s="106">
        <v>3785.9999999999995</v>
      </c>
      <c r="BB79" s="106">
        <v>3</v>
      </c>
      <c r="BC79" s="106">
        <v>2271.6</v>
      </c>
      <c r="BD79" s="106">
        <v>3</v>
      </c>
      <c r="BE79" s="106">
        <v>2271.6</v>
      </c>
      <c r="BF79" s="106">
        <v>5</v>
      </c>
      <c r="BG79" s="106">
        <v>3785.9999999999995</v>
      </c>
      <c r="BH79" s="106">
        <v>4</v>
      </c>
      <c r="BI79" s="106">
        <v>3028.7999999999997</v>
      </c>
      <c r="BJ79" s="106">
        <v>5</v>
      </c>
      <c r="BK79" s="106">
        <v>3785.9999999999995</v>
      </c>
      <c r="BL79" s="106">
        <v>4</v>
      </c>
      <c r="BM79" s="106">
        <v>3028.7999999999997</v>
      </c>
      <c r="BN79" s="106">
        <v>4</v>
      </c>
      <c r="BO79" s="106">
        <v>3028.7999999999997</v>
      </c>
      <c r="BP79" s="106">
        <v>4</v>
      </c>
      <c r="BQ79" s="106">
        <v>3028.7999999999997</v>
      </c>
      <c r="BR79" s="106">
        <v>4</v>
      </c>
      <c r="BS79" s="106">
        <v>3028.7999999999997</v>
      </c>
      <c r="BT79" s="106">
        <v>6</v>
      </c>
      <c r="BU79" s="106">
        <v>4543.2</v>
      </c>
      <c r="BV79" s="106">
        <v>6</v>
      </c>
      <c r="BW79" s="106">
        <v>4543.2</v>
      </c>
      <c r="BX79" s="106">
        <v>19</v>
      </c>
      <c r="BY79" s="106">
        <v>14386.8</v>
      </c>
      <c r="BZ79" s="106">
        <v>17</v>
      </c>
      <c r="CA79" s="106">
        <v>12872.4</v>
      </c>
      <c r="CB79" s="106">
        <v>25</v>
      </c>
      <c r="CC79" s="106">
        <v>18930</v>
      </c>
      <c r="CD79" s="106">
        <v>28</v>
      </c>
      <c r="CE79" s="106">
        <v>21201.599999999999</v>
      </c>
      <c r="CF79" s="106">
        <v>4</v>
      </c>
      <c r="CG79" s="106">
        <v>3028.7999999999997</v>
      </c>
      <c r="CH79" s="106">
        <v>4</v>
      </c>
      <c r="CI79" s="106">
        <v>3028.7999999999997</v>
      </c>
      <c r="CJ79" s="106">
        <v>3</v>
      </c>
      <c r="CK79" s="106">
        <v>2271.6</v>
      </c>
      <c r="CL79" s="106">
        <v>4</v>
      </c>
      <c r="CM79" s="106">
        <v>3028.7999999999997</v>
      </c>
      <c r="CN79" s="106">
        <v>6</v>
      </c>
      <c r="CO79" s="106">
        <v>4543.2</v>
      </c>
      <c r="CP79" s="106">
        <v>8</v>
      </c>
      <c r="CQ79" s="106">
        <v>6057.5999999999995</v>
      </c>
      <c r="CR79" s="106">
        <v>4</v>
      </c>
      <c r="CS79" s="106">
        <v>3028.7999999999997</v>
      </c>
      <c r="CT79" s="106">
        <v>5</v>
      </c>
      <c r="CU79" s="106">
        <v>3785.9999999999995</v>
      </c>
    </row>
    <row r="80" spans="2:99" x14ac:dyDescent="0.2">
      <c r="C80" s="105" t="s">
        <v>245</v>
      </c>
      <c r="D80" s="106">
        <v>25</v>
      </c>
      <c r="E80" s="106">
        <v>20130</v>
      </c>
      <c r="F80" s="106">
        <v>33</v>
      </c>
      <c r="G80" s="106">
        <v>26571.599999999999</v>
      </c>
      <c r="H80" s="106">
        <v>21</v>
      </c>
      <c r="I80" s="106">
        <v>16909.199999999997</v>
      </c>
      <c r="J80" s="106">
        <v>29</v>
      </c>
      <c r="K80" s="106">
        <v>23350.799999999999</v>
      </c>
      <c r="L80" s="106">
        <v>31</v>
      </c>
      <c r="M80" s="106">
        <v>24961.199999999997</v>
      </c>
      <c r="N80" s="106">
        <v>26</v>
      </c>
      <c r="O80" s="106">
        <v>20935.199999999997</v>
      </c>
      <c r="P80" s="106">
        <v>24</v>
      </c>
      <c r="Q80" s="106">
        <v>19324.8</v>
      </c>
      <c r="R80" s="106">
        <v>28</v>
      </c>
      <c r="S80" s="106">
        <v>22545.599999999999</v>
      </c>
      <c r="T80" s="106">
        <v>22</v>
      </c>
      <c r="U80" s="106">
        <v>17714.399999999998</v>
      </c>
      <c r="V80" s="106">
        <v>12</v>
      </c>
      <c r="W80" s="106">
        <v>9662.4</v>
      </c>
      <c r="X80" s="106">
        <v>13</v>
      </c>
      <c r="Y80" s="106">
        <v>10467.599999999999</v>
      </c>
      <c r="Z80" s="106">
        <v>15</v>
      </c>
      <c r="AA80" s="106">
        <v>12077.999999999998</v>
      </c>
      <c r="AB80" s="106">
        <v>11</v>
      </c>
      <c r="AC80" s="106">
        <v>8857.1999999999989</v>
      </c>
      <c r="AD80" s="106">
        <v>10</v>
      </c>
      <c r="AE80" s="106">
        <v>8051.9999999999991</v>
      </c>
      <c r="AF80" s="106">
        <v>11</v>
      </c>
      <c r="AG80" s="106">
        <v>8857.1999999999989</v>
      </c>
      <c r="AH80" s="106">
        <v>18</v>
      </c>
      <c r="AI80" s="106">
        <v>14493.599999999999</v>
      </c>
      <c r="AJ80" s="106">
        <v>17</v>
      </c>
      <c r="AK80" s="106">
        <v>13688.4</v>
      </c>
      <c r="AL80" s="106">
        <v>19</v>
      </c>
      <c r="AM80" s="106">
        <v>15298.8</v>
      </c>
      <c r="AN80" s="106">
        <v>29</v>
      </c>
      <c r="AO80" s="106">
        <v>23350.799999999999</v>
      </c>
      <c r="AP80" s="106">
        <v>17</v>
      </c>
      <c r="AQ80" s="106">
        <v>13688.4</v>
      </c>
      <c r="AR80" s="106">
        <v>29</v>
      </c>
      <c r="AS80" s="106">
        <v>23350.799999999999</v>
      </c>
      <c r="AT80" s="106">
        <v>25</v>
      </c>
      <c r="AU80" s="106">
        <v>20130</v>
      </c>
      <c r="AV80" s="106">
        <v>34</v>
      </c>
      <c r="AW80" s="106">
        <v>27376.799999999999</v>
      </c>
      <c r="AX80" s="106">
        <v>37</v>
      </c>
      <c r="AY80" s="106">
        <v>29792.399999999998</v>
      </c>
      <c r="AZ80" s="106">
        <v>5</v>
      </c>
      <c r="BA80" s="106">
        <v>4025.9999999999995</v>
      </c>
      <c r="BB80" s="106">
        <v>3</v>
      </c>
      <c r="BC80" s="106">
        <v>2415.6</v>
      </c>
      <c r="BD80" s="106">
        <v>3</v>
      </c>
      <c r="BE80" s="106">
        <v>2415.6</v>
      </c>
      <c r="BF80" s="106">
        <v>6</v>
      </c>
      <c r="BG80" s="106">
        <v>4831.2</v>
      </c>
      <c r="BH80" s="106">
        <v>5</v>
      </c>
      <c r="BI80" s="106">
        <v>4025.9999999999995</v>
      </c>
      <c r="BJ80" s="106">
        <v>4</v>
      </c>
      <c r="BK80" s="106">
        <v>3220.7999999999997</v>
      </c>
      <c r="BL80" s="106">
        <v>4</v>
      </c>
      <c r="BM80" s="106">
        <v>3220.7999999999997</v>
      </c>
      <c r="BN80" s="106">
        <v>4</v>
      </c>
      <c r="BO80" s="106">
        <v>3220.7999999999997</v>
      </c>
      <c r="BP80" s="106">
        <v>4</v>
      </c>
      <c r="BQ80" s="106">
        <v>3220.7999999999997</v>
      </c>
      <c r="BR80" s="106">
        <v>4</v>
      </c>
      <c r="BS80" s="106">
        <v>3220.7999999999997</v>
      </c>
      <c r="BT80" s="106">
        <v>5</v>
      </c>
      <c r="BU80" s="106">
        <v>4025.9999999999995</v>
      </c>
      <c r="BV80" s="106">
        <v>6</v>
      </c>
      <c r="BW80" s="106">
        <v>4831.2</v>
      </c>
      <c r="BX80" s="106">
        <v>20</v>
      </c>
      <c r="BY80" s="106">
        <v>16103.999999999998</v>
      </c>
      <c r="BZ80" s="106">
        <v>18</v>
      </c>
      <c r="CA80" s="106">
        <v>14493.599999999999</v>
      </c>
      <c r="CB80" s="106">
        <v>27</v>
      </c>
      <c r="CC80" s="106">
        <v>21740.399999999998</v>
      </c>
      <c r="CD80" s="106">
        <v>24</v>
      </c>
      <c r="CE80" s="106">
        <v>19324.8</v>
      </c>
      <c r="CF80" s="106">
        <v>4</v>
      </c>
      <c r="CG80" s="106">
        <v>3220.7999999999997</v>
      </c>
      <c r="CH80" s="106">
        <v>4</v>
      </c>
      <c r="CI80" s="106">
        <v>3220.7999999999997</v>
      </c>
      <c r="CJ80" s="106">
        <v>3</v>
      </c>
      <c r="CK80" s="106">
        <v>2415.6</v>
      </c>
      <c r="CL80" s="106">
        <v>4</v>
      </c>
      <c r="CM80" s="106">
        <v>3220.7999999999997</v>
      </c>
      <c r="CN80" s="106">
        <v>6</v>
      </c>
      <c r="CO80" s="106">
        <v>4831.2</v>
      </c>
      <c r="CP80" s="106">
        <v>8</v>
      </c>
      <c r="CQ80" s="106">
        <v>6441.5999999999995</v>
      </c>
      <c r="CR80" s="106">
        <v>4</v>
      </c>
      <c r="CS80" s="106">
        <v>3220.7999999999997</v>
      </c>
      <c r="CT80" s="106">
        <v>6</v>
      </c>
      <c r="CU80" s="106">
        <v>4831.2</v>
      </c>
    </row>
    <row r="81" spans="2:99" x14ac:dyDescent="0.2">
      <c r="C81" s="105" t="s">
        <v>246</v>
      </c>
      <c r="D81" s="106">
        <v>27</v>
      </c>
      <c r="E81" s="106">
        <v>20347.2</v>
      </c>
      <c r="F81" s="106">
        <v>28</v>
      </c>
      <c r="G81" s="106">
        <v>21100.799999999999</v>
      </c>
      <c r="H81" s="106">
        <v>25</v>
      </c>
      <c r="I81" s="106">
        <v>18840</v>
      </c>
      <c r="J81" s="106">
        <v>30</v>
      </c>
      <c r="K81" s="106">
        <v>22608</v>
      </c>
      <c r="L81" s="106">
        <v>30</v>
      </c>
      <c r="M81" s="106">
        <v>22608</v>
      </c>
      <c r="N81" s="106">
        <v>25</v>
      </c>
      <c r="O81" s="106">
        <v>18840</v>
      </c>
      <c r="P81" s="106">
        <v>28</v>
      </c>
      <c r="Q81" s="106">
        <v>21100.799999999999</v>
      </c>
      <c r="R81" s="106">
        <v>26</v>
      </c>
      <c r="S81" s="106">
        <v>19593.600000000002</v>
      </c>
      <c r="T81" s="106">
        <v>22</v>
      </c>
      <c r="U81" s="106">
        <v>16579.2</v>
      </c>
      <c r="V81" s="106">
        <v>12</v>
      </c>
      <c r="W81" s="106">
        <v>9043.2000000000007</v>
      </c>
      <c r="X81" s="106">
        <v>13</v>
      </c>
      <c r="Y81" s="106">
        <v>9796.8000000000011</v>
      </c>
      <c r="Z81" s="106">
        <v>16</v>
      </c>
      <c r="AA81" s="106">
        <v>12057.6</v>
      </c>
      <c r="AB81" s="106">
        <v>13</v>
      </c>
      <c r="AC81" s="106">
        <v>9796.8000000000011</v>
      </c>
      <c r="AD81" s="106">
        <v>10</v>
      </c>
      <c r="AE81" s="106">
        <v>7536</v>
      </c>
      <c r="AF81" s="106">
        <v>11</v>
      </c>
      <c r="AG81" s="106">
        <v>8289.6</v>
      </c>
      <c r="AH81" s="106">
        <v>18</v>
      </c>
      <c r="AI81" s="106">
        <v>13564.800000000001</v>
      </c>
      <c r="AJ81" s="106">
        <v>19</v>
      </c>
      <c r="AK81" s="106">
        <v>14318.4</v>
      </c>
      <c r="AL81" s="106">
        <v>18</v>
      </c>
      <c r="AM81" s="106">
        <v>13564.800000000001</v>
      </c>
      <c r="AN81" s="106">
        <v>31</v>
      </c>
      <c r="AO81" s="106">
        <v>23361.600000000002</v>
      </c>
      <c r="AP81" s="106">
        <v>19</v>
      </c>
      <c r="AQ81" s="106">
        <v>14318.4</v>
      </c>
      <c r="AR81" s="106">
        <v>26</v>
      </c>
      <c r="AS81" s="106">
        <v>19593.600000000002</v>
      </c>
      <c r="AT81" s="106">
        <v>29</v>
      </c>
      <c r="AU81" s="106">
        <v>21854.400000000001</v>
      </c>
      <c r="AV81" s="106">
        <v>31</v>
      </c>
      <c r="AW81" s="106">
        <v>23361.600000000002</v>
      </c>
      <c r="AX81" s="106">
        <v>41</v>
      </c>
      <c r="AY81" s="106">
        <v>30897.600000000002</v>
      </c>
      <c r="AZ81" s="106">
        <v>4</v>
      </c>
      <c r="BA81" s="106">
        <v>3014.4</v>
      </c>
      <c r="BB81" s="106">
        <v>3</v>
      </c>
      <c r="BC81" s="106">
        <v>2260.8000000000002</v>
      </c>
      <c r="BD81" s="106">
        <v>3</v>
      </c>
      <c r="BE81" s="106">
        <v>2260.8000000000002</v>
      </c>
      <c r="BF81" s="106">
        <v>5</v>
      </c>
      <c r="BG81" s="106">
        <v>3768</v>
      </c>
      <c r="BH81" s="106">
        <v>5</v>
      </c>
      <c r="BI81" s="106">
        <v>3768</v>
      </c>
      <c r="BJ81" s="106">
        <v>5</v>
      </c>
      <c r="BK81" s="106">
        <v>3768</v>
      </c>
      <c r="BL81" s="106">
        <v>3</v>
      </c>
      <c r="BM81" s="106">
        <v>2260.8000000000002</v>
      </c>
      <c r="BN81" s="106">
        <v>5</v>
      </c>
      <c r="BO81" s="106">
        <v>3768</v>
      </c>
      <c r="BP81" s="106">
        <v>4</v>
      </c>
      <c r="BQ81" s="106">
        <v>3014.4</v>
      </c>
      <c r="BR81" s="106">
        <v>4</v>
      </c>
      <c r="BS81" s="106">
        <v>3014.4</v>
      </c>
      <c r="BT81" s="106">
        <v>6</v>
      </c>
      <c r="BU81" s="106">
        <v>4521.6000000000004</v>
      </c>
      <c r="BV81" s="106">
        <v>6</v>
      </c>
      <c r="BW81" s="106">
        <v>4521.6000000000004</v>
      </c>
      <c r="BX81" s="106">
        <v>21</v>
      </c>
      <c r="BY81" s="106">
        <v>15825.6</v>
      </c>
      <c r="BZ81" s="106">
        <v>19</v>
      </c>
      <c r="CA81" s="106">
        <v>14318.4</v>
      </c>
      <c r="CB81" s="106">
        <v>23</v>
      </c>
      <c r="CC81" s="106">
        <v>17332.8</v>
      </c>
      <c r="CD81" s="106">
        <v>28</v>
      </c>
      <c r="CE81" s="106">
        <v>21100.799999999999</v>
      </c>
      <c r="CF81" s="106">
        <v>4</v>
      </c>
      <c r="CG81" s="106">
        <v>3014.4</v>
      </c>
      <c r="CH81" s="106">
        <v>4</v>
      </c>
      <c r="CI81" s="106">
        <v>3014.4</v>
      </c>
      <c r="CJ81" s="106">
        <v>3</v>
      </c>
      <c r="CK81" s="106">
        <v>2260.8000000000002</v>
      </c>
      <c r="CL81" s="106">
        <v>3</v>
      </c>
      <c r="CM81" s="106">
        <v>2260.8000000000002</v>
      </c>
      <c r="CN81" s="106">
        <v>6</v>
      </c>
      <c r="CO81" s="106">
        <v>4521.6000000000004</v>
      </c>
      <c r="CP81" s="106">
        <v>7</v>
      </c>
      <c r="CQ81" s="106">
        <v>5275.2</v>
      </c>
      <c r="CR81" s="106">
        <v>4</v>
      </c>
      <c r="CS81" s="106">
        <v>3014.4</v>
      </c>
      <c r="CT81" s="106">
        <v>6</v>
      </c>
      <c r="CU81" s="106">
        <v>4521.6000000000004</v>
      </c>
    </row>
    <row r="82" spans="2:99" x14ac:dyDescent="0.2">
      <c r="C82" s="105" t="s">
        <v>247</v>
      </c>
      <c r="D82" s="106">
        <v>29</v>
      </c>
      <c r="E82" s="106">
        <v>14755.199999999997</v>
      </c>
      <c r="F82" s="106">
        <v>28</v>
      </c>
      <c r="G82" s="106">
        <v>14246.399999999998</v>
      </c>
      <c r="H82" s="106">
        <v>26</v>
      </c>
      <c r="I82" s="106">
        <v>13228.799999999997</v>
      </c>
      <c r="J82" s="106">
        <v>31</v>
      </c>
      <c r="K82" s="106">
        <v>15772.799999999997</v>
      </c>
      <c r="L82" s="106">
        <v>31</v>
      </c>
      <c r="M82" s="106">
        <v>15772.799999999997</v>
      </c>
      <c r="N82" s="106">
        <v>25</v>
      </c>
      <c r="O82" s="106">
        <v>12719.999999999998</v>
      </c>
      <c r="P82" s="106">
        <v>26</v>
      </c>
      <c r="Q82" s="106">
        <v>13228.799999999997</v>
      </c>
      <c r="R82" s="106">
        <v>29</v>
      </c>
      <c r="S82" s="106">
        <v>14755.199999999997</v>
      </c>
      <c r="T82" s="106">
        <v>23</v>
      </c>
      <c r="U82" s="106">
        <v>11702.399999999998</v>
      </c>
      <c r="V82" s="106">
        <v>11</v>
      </c>
      <c r="W82" s="106">
        <v>5596.7999999999993</v>
      </c>
      <c r="X82" s="106">
        <v>15</v>
      </c>
      <c r="Y82" s="106">
        <v>7631.9999999999982</v>
      </c>
      <c r="Z82" s="106">
        <v>14</v>
      </c>
      <c r="AA82" s="106">
        <v>7123.1999999999989</v>
      </c>
      <c r="AB82" s="106">
        <v>11</v>
      </c>
      <c r="AC82" s="106">
        <v>5596.7999999999993</v>
      </c>
      <c r="AD82" s="106">
        <v>10</v>
      </c>
      <c r="AE82" s="106">
        <v>5087.9999999999991</v>
      </c>
      <c r="AF82" s="106">
        <v>12</v>
      </c>
      <c r="AG82" s="106">
        <v>6105.5999999999985</v>
      </c>
      <c r="AH82" s="106">
        <v>18</v>
      </c>
      <c r="AI82" s="106">
        <v>9158.3999999999978</v>
      </c>
      <c r="AJ82" s="106">
        <v>19</v>
      </c>
      <c r="AK82" s="106">
        <v>9667.1999999999989</v>
      </c>
      <c r="AL82" s="106">
        <v>20</v>
      </c>
      <c r="AM82" s="106">
        <v>10175.999999999998</v>
      </c>
      <c r="AN82" s="106">
        <v>30</v>
      </c>
      <c r="AO82" s="106">
        <v>15263.999999999996</v>
      </c>
      <c r="AP82" s="106">
        <v>19</v>
      </c>
      <c r="AQ82" s="106">
        <v>9667.1999999999989</v>
      </c>
      <c r="AR82" s="106">
        <v>29</v>
      </c>
      <c r="AS82" s="106">
        <v>14755.199999999997</v>
      </c>
      <c r="AT82" s="106">
        <v>30</v>
      </c>
      <c r="AU82" s="106">
        <v>15263.999999999996</v>
      </c>
      <c r="AV82" s="106">
        <v>30</v>
      </c>
      <c r="AW82" s="106">
        <v>15263.999999999996</v>
      </c>
      <c r="AX82" s="106">
        <v>38</v>
      </c>
      <c r="AY82" s="106">
        <v>19334.399999999998</v>
      </c>
      <c r="AZ82" s="106">
        <v>5</v>
      </c>
      <c r="BA82" s="106">
        <v>2543.9999999999995</v>
      </c>
      <c r="BB82" s="106">
        <v>3</v>
      </c>
      <c r="BC82" s="106">
        <v>1526.3999999999996</v>
      </c>
      <c r="BD82" s="106">
        <v>3</v>
      </c>
      <c r="BE82" s="106">
        <v>1526.3999999999996</v>
      </c>
      <c r="BF82" s="106">
        <v>5</v>
      </c>
      <c r="BG82" s="106">
        <v>2543.9999999999995</v>
      </c>
      <c r="BH82" s="106">
        <v>4</v>
      </c>
      <c r="BI82" s="106">
        <v>2035.1999999999996</v>
      </c>
      <c r="BJ82" s="106">
        <v>5</v>
      </c>
      <c r="BK82" s="106">
        <v>2543.9999999999995</v>
      </c>
      <c r="BL82" s="106">
        <v>4</v>
      </c>
      <c r="BM82" s="106">
        <v>2035.1999999999996</v>
      </c>
      <c r="BN82" s="106">
        <v>5</v>
      </c>
      <c r="BO82" s="106">
        <v>2543.9999999999995</v>
      </c>
      <c r="BP82" s="106">
        <v>4</v>
      </c>
      <c r="BQ82" s="106">
        <v>2035.1999999999996</v>
      </c>
      <c r="BR82" s="106">
        <v>4</v>
      </c>
      <c r="BS82" s="106">
        <v>2035.1999999999996</v>
      </c>
      <c r="BT82" s="106">
        <v>6</v>
      </c>
      <c r="BU82" s="106">
        <v>3052.7999999999993</v>
      </c>
      <c r="BV82" s="106">
        <v>6</v>
      </c>
      <c r="BW82" s="106">
        <v>3052.7999999999993</v>
      </c>
      <c r="BX82" s="106">
        <v>20</v>
      </c>
      <c r="BY82" s="106">
        <v>10175.999999999998</v>
      </c>
      <c r="BZ82" s="106">
        <v>19</v>
      </c>
      <c r="CA82" s="106">
        <v>9667.1999999999989</v>
      </c>
      <c r="CB82" s="106">
        <v>27</v>
      </c>
      <c r="CC82" s="106">
        <v>13737.599999999997</v>
      </c>
      <c r="CD82" s="106">
        <v>25</v>
      </c>
      <c r="CE82" s="106">
        <v>12719.999999999998</v>
      </c>
      <c r="CF82" s="106">
        <v>4</v>
      </c>
      <c r="CG82" s="106">
        <v>2035.1999999999996</v>
      </c>
      <c r="CH82" s="106">
        <v>4</v>
      </c>
      <c r="CI82" s="106">
        <v>2035.1999999999996</v>
      </c>
      <c r="CJ82" s="106">
        <v>3</v>
      </c>
      <c r="CK82" s="106">
        <v>1526.3999999999996</v>
      </c>
      <c r="CL82" s="106">
        <v>3</v>
      </c>
      <c r="CM82" s="106">
        <v>1526.3999999999996</v>
      </c>
      <c r="CN82" s="106">
        <v>6</v>
      </c>
      <c r="CO82" s="106">
        <v>3052.7999999999993</v>
      </c>
      <c r="CP82" s="106">
        <v>7</v>
      </c>
      <c r="CQ82" s="106">
        <v>3561.5999999999995</v>
      </c>
      <c r="CR82" s="106">
        <v>4</v>
      </c>
      <c r="CS82" s="106">
        <v>2035.1999999999996</v>
      </c>
      <c r="CT82" s="106">
        <v>6</v>
      </c>
      <c r="CU82" s="106">
        <v>3052.7999999999993</v>
      </c>
    </row>
    <row r="83" spans="2:99" x14ac:dyDescent="0.2">
      <c r="C83" s="105" t="s">
        <v>248</v>
      </c>
      <c r="D83" s="106">
        <v>29</v>
      </c>
      <c r="E83" s="106">
        <v>24951.599999999999</v>
      </c>
      <c r="F83" s="106">
        <v>29</v>
      </c>
      <c r="G83" s="106">
        <v>24951.599999999999</v>
      </c>
      <c r="H83" s="106">
        <v>23</v>
      </c>
      <c r="I83" s="106">
        <v>19789.2</v>
      </c>
      <c r="J83" s="106">
        <v>28</v>
      </c>
      <c r="K83" s="106">
        <v>24091.200000000001</v>
      </c>
      <c r="L83" s="106">
        <v>32</v>
      </c>
      <c r="M83" s="106">
        <v>27532.799999999999</v>
      </c>
      <c r="N83" s="106">
        <v>25</v>
      </c>
      <c r="O83" s="106">
        <v>21510</v>
      </c>
      <c r="P83" s="106">
        <v>26</v>
      </c>
      <c r="Q83" s="106">
        <v>22370.399999999998</v>
      </c>
      <c r="R83" s="106">
        <v>28</v>
      </c>
      <c r="S83" s="106">
        <v>24091.200000000001</v>
      </c>
      <c r="T83" s="106">
        <v>19</v>
      </c>
      <c r="U83" s="106">
        <v>16347.6</v>
      </c>
      <c r="V83" s="106">
        <v>11</v>
      </c>
      <c r="W83" s="106">
        <v>9464.4</v>
      </c>
      <c r="X83" s="106">
        <v>12</v>
      </c>
      <c r="Y83" s="106">
        <v>10324.799999999999</v>
      </c>
      <c r="Z83" s="106">
        <v>14</v>
      </c>
      <c r="AA83" s="106">
        <v>12045.6</v>
      </c>
      <c r="AB83" s="106">
        <v>11</v>
      </c>
      <c r="AC83" s="106">
        <v>9464.4</v>
      </c>
      <c r="AD83" s="106">
        <v>10</v>
      </c>
      <c r="AE83" s="106">
        <v>8604</v>
      </c>
      <c r="AF83" s="106">
        <v>10</v>
      </c>
      <c r="AG83" s="106">
        <v>8604</v>
      </c>
      <c r="AH83" s="106">
        <v>18</v>
      </c>
      <c r="AI83" s="106">
        <v>15487.199999999999</v>
      </c>
      <c r="AJ83" s="106">
        <v>19</v>
      </c>
      <c r="AK83" s="106">
        <v>16347.6</v>
      </c>
      <c r="AL83" s="106">
        <v>17</v>
      </c>
      <c r="AM83" s="106">
        <v>14626.8</v>
      </c>
      <c r="AN83" s="106">
        <v>31</v>
      </c>
      <c r="AO83" s="106">
        <v>26672.399999999998</v>
      </c>
      <c r="AP83" s="106">
        <v>18</v>
      </c>
      <c r="AQ83" s="106">
        <v>15487.199999999999</v>
      </c>
      <c r="AR83" s="106">
        <v>27</v>
      </c>
      <c r="AS83" s="106">
        <v>23230.799999999999</v>
      </c>
      <c r="AT83" s="106">
        <v>26</v>
      </c>
      <c r="AU83" s="106">
        <v>22370.399999999998</v>
      </c>
      <c r="AV83" s="106">
        <v>34</v>
      </c>
      <c r="AW83" s="106">
        <v>29253.599999999999</v>
      </c>
      <c r="AX83" s="106">
        <v>39</v>
      </c>
      <c r="AY83" s="106">
        <v>33555.599999999999</v>
      </c>
      <c r="AZ83" s="106">
        <v>4</v>
      </c>
      <c r="BA83" s="106">
        <v>3441.6</v>
      </c>
      <c r="BB83" s="106">
        <v>3</v>
      </c>
      <c r="BC83" s="106">
        <v>2581.1999999999998</v>
      </c>
      <c r="BD83" s="106">
        <v>3</v>
      </c>
      <c r="BE83" s="106">
        <v>2581.1999999999998</v>
      </c>
      <c r="BF83" s="106">
        <v>5</v>
      </c>
      <c r="BG83" s="106">
        <v>4302</v>
      </c>
      <c r="BH83" s="106">
        <v>4</v>
      </c>
      <c r="BI83" s="106">
        <v>3441.6</v>
      </c>
      <c r="BJ83" s="106">
        <v>4</v>
      </c>
      <c r="BK83" s="106">
        <v>3441.6</v>
      </c>
      <c r="BL83" s="106">
        <v>3</v>
      </c>
      <c r="BM83" s="106">
        <v>2581.1999999999998</v>
      </c>
      <c r="BN83" s="106">
        <v>4</v>
      </c>
      <c r="BO83" s="106">
        <v>3441.6</v>
      </c>
      <c r="BP83" s="106">
        <v>4</v>
      </c>
      <c r="BQ83" s="106">
        <v>3441.6</v>
      </c>
      <c r="BR83" s="106">
        <v>4</v>
      </c>
      <c r="BS83" s="106">
        <v>3441.6</v>
      </c>
      <c r="BT83" s="106">
        <v>6</v>
      </c>
      <c r="BU83" s="106">
        <v>5162.3999999999996</v>
      </c>
      <c r="BV83" s="106">
        <v>5</v>
      </c>
      <c r="BW83" s="106">
        <v>4302</v>
      </c>
      <c r="BX83" s="106">
        <v>18</v>
      </c>
      <c r="BY83" s="106">
        <v>15487.199999999999</v>
      </c>
      <c r="BZ83" s="106">
        <v>20</v>
      </c>
      <c r="CA83" s="106">
        <v>17208</v>
      </c>
      <c r="CB83" s="106">
        <v>23</v>
      </c>
      <c r="CC83" s="106">
        <v>19789.2</v>
      </c>
      <c r="CD83" s="106">
        <v>27</v>
      </c>
      <c r="CE83" s="106">
        <v>23230.799999999999</v>
      </c>
      <c r="CF83" s="106">
        <v>4</v>
      </c>
      <c r="CG83" s="106">
        <v>3441.6</v>
      </c>
      <c r="CH83" s="106">
        <v>4</v>
      </c>
      <c r="CI83" s="106">
        <v>3441.6</v>
      </c>
      <c r="CJ83" s="106">
        <v>3</v>
      </c>
      <c r="CK83" s="106">
        <v>2581.1999999999998</v>
      </c>
      <c r="CL83" s="106">
        <v>3</v>
      </c>
      <c r="CM83" s="106">
        <v>2581.1999999999998</v>
      </c>
      <c r="CN83" s="106">
        <v>6</v>
      </c>
      <c r="CO83" s="106">
        <v>5162.3999999999996</v>
      </c>
      <c r="CP83" s="106">
        <v>7</v>
      </c>
      <c r="CQ83" s="106">
        <v>6022.8</v>
      </c>
      <c r="CR83" s="106">
        <v>4</v>
      </c>
      <c r="CS83" s="106">
        <v>3441.6</v>
      </c>
      <c r="CT83" s="106">
        <v>5</v>
      </c>
      <c r="CU83" s="106">
        <v>4302</v>
      </c>
    </row>
    <row r="84" spans="2:99" x14ac:dyDescent="0.2">
      <c r="C84" s="105" t="s">
        <v>249</v>
      </c>
      <c r="D84" s="106">
        <v>29</v>
      </c>
      <c r="E84" s="106">
        <v>22654.799999999999</v>
      </c>
      <c r="F84" s="106">
        <v>30</v>
      </c>
      <c r="G84" s="106">
        <v>23435.999999999996</v>
      </c>
      <c r="H84" s="106">
        <v>22</v>
      </c>
      <c r="I84" s="106">
        <v>17186.399999999998</v>
      </c>
      <c r="J84" s="106">
        <v>31</v>
      </c>
      <c r="K84" s="106">
        <v>24217.199999999997</v>
      </c>
      <c r="L84" s="106">
        <v>33</v>
      </c>
      <c r="M84" s="106">
        <v>25779.599999999999</v>
      </c>
      <c r="N84" s="106">
        <v>28</v>
      </c>
      <c r="O84" s="106">
        <v>21873.599999999999</v>
      </c>
      <c r="P84" s="106">
        <v>25</v>
      </c>
      <c r="Q84" s="106">
        <v>19530</v>
      </c>
      <c r="R84" s="106">
        <v>26</v>
      </c>
      <c r="S84" s="106">
        <v>20311.199999999997</v>
      </c>
      <c r="T84" s="106">
        <v>21</v>
      </c>
      <c r="U84" s="106">
        <v>16405.199999999997</v>
      </c>
      <c r="V84" s="106">
        <v>12</v>
      </c>
      <c r="W84" s="106">
        <v>9374.4</v>
      </c>
      <c r="X84" s="106">
        <v>12</v>
      </c>
      <c r="Y84" s="106">
        <v>9374.4</v>
      </c>
      <c r="Z84" s="106">
        <v>15</v>
      </c>
      <c r="AA84" s="106">
        <v>11717.999999999998</v>
      </c>
      <c r="AB84" s="106">
        <v>12</v>
      </c>
      <c r="AC84" s="106">
        <v>9374.4</v>
      </c>
      <c r="AD84" s="106">
        <v>10</v>
      </c>
      <c r="AE84" s="106">
        <v>7811.9999999999991</v>
      </c>
      <c r="AF84" s="106">
        <v>10</v>
      </c>
      <c r="AG84" s="106">
        <v>7811.9999999999991</v>
      </c>
      <c r="AH84" s="106">
        <v>16</v>
      </c>
      <c r="AI84" s="106">
        <v>12499.199999999999</v>
      </c>
      <c r="AJ84" s="106">
        <v>20</v>
      </c>
      <c r="AK84" s="106">
        <v>15623.999999999998</v>
      </c>
      <c r="AL84" s="106">
        <v>19</v>
      </c>
      <c r="AM84" s="106">
        <v>14842.8</v>
      </c>
      <c r="AN84" s="106">
        <v>31</v>
      </c>
      <c r="AO84" s="106">
        <v>24217.199999999997</v>
      </c>
      <c r="AP84" s="106">
        <v>17</v>
      </c>
      <c r="AQ84" s="106">
        <v>13280.4</v>
      </c>
      <c r="AR84" s="106">
        <v>26</v>
      </c>
      <c r="AS84" s="106">
        <v>20311.199999999997</v>
      </c>
      <c r="AT84" s="106">
        <v>28</v>
      </c>
      <c r="AU84" s="106">
        <v>21873.599999999999</v>
      </c>
      <c r="AV84" s="106">
        <v>31</v>
      </c>
      <c r="AW84" s="106">
        <v>24217.199999999997</v>
      </c>
      <c r="AX84" s="106">
        <v>41</v>
      </c>
      <c r="AY84" s="106">
        <v>32029.199999999997</v>
      </c>
      <c r="AZ84" s="106">
        <v>4</v>
      </c>
      <c r="BA84" s="106">
        <v>3124.7999999999997</v>
      </c>
      <c r="BB84" s="106">
        <v>3</v>
      </c>
      <c r="BC84" s="106">
        <v>2343.6</v>
      </c>
      <c r="BD84" s="106">
        <v>3</v>
      </c>
      <c r="BE84" s="106">
        <v>2343.6</v>
      </c>
      <c r="BF84" s="106">
        <v>5</v>
      </c>
      <c r="BG84" s="106">
        <v>3905.9999999999995</v>
      </c>
      <c r="BH84" s="106">
        <v>5</v>
      </c>
      <c r="BI84" s="106">
        <v>3905.9999999999995</v>
      </c>
      <c r="BJ84" s="106">
        <v>4</v>
      </c>
      <c r="BK84" s="106">
        <v>3124.7999999999997</v>
      </c>
      <c r="BL84" s="106">
        <v>3</v>
      </c>
      <c r="BM84" s="106">
        <v>2343.6</v>
      </c>
      <c r="BN84" s="106">
        <v>5</v>
      </c>
      <c r="BO84" s="106">
        <v>3905.9999999999995</v>
      </c>
      <c r="BP84" s="106">
        <v>3</v>
      </c>
      <c r="BQ84" s="106">
        <v>2343.6</v>
      </c>
      <c r="BR84" s="106">
        <v>4</v>
      </c>
      <c r="BS84" s="106">
        <v>3124.7999999999997</v>
      </c>
      <c r="BT84" s="106">
        <v>6</v>
      </c>
      <c r="BU84" s="106">
        <v>4687.2</v>
      </c>
      <c r="BV84" s="106">
        <v>5</v>
      </c>
      <c r="BW84" s="106">
        <v>3905.9999999999995</v>
      </c>
      <c r="BX84" s="106">
        <v>20</v>
      </c>
      <c r="BY84" s="106">
        <v>15623.999999999998</v>
      </c>
      <c r="BZ84" s="106">
        <v>18</v>
      </c>
      <c r="CA84" s="106">
        <v>14061.599999999999</v>
      </c>
      <c r="CB84" s="106">
        <v>26</v>
      </c>
      <c r="CC84" s="106">
        <v>20311.199999999997</v>
      </c>
      <c r="CD84" s="106">
        <v>25</v>
      </c>
      <c r="CE84" s="106">
        <v>19530</v>
      </c>
      <c r="CF84" s="106">
        <v>3</v>
      </c>
      <c r="CG84" s="106">
        <v>2343.6</v>
      </c>
      <c r="CH84" s="106">
        <v>4</v>
      </c>
      <c r="CI84" s="106">
        <v>3124.7999999999997</v>
      </c>
      <c r="CJ84" s="106">
        <v>3</v>
      </c>
      <c r="CK84" s="106">
        <v>2343.6</v>
      </c>
      <c r="CL84" s="106">
        <v>3</v>
      </c>
      <c r="CM84" s="106">
        <v>2343.6</v>
      </c>
      <c r="CN84" s="106">
        <v>6</v>
      </c>
      <c r="CO84" s="106">
        <v>4687.2</v>
      </c>
      <c r="CP84" s="106">
        <v>8</v>
      </c>
      <c r="CQ84" s="106">
        <v>6249.5999999999995</v>
      </c>
      <c r="CR84" s="106">
        <v>4</v>
      </c>
      <c r="CS84" s="106">
        <v>3124.7999999999997</v>
      </c>
      <c r="CT84" s="106">
        <v>5</v>
      </c>
      <c r="CU84" s="106">
        <v>3905.9999999999995</v>
      </c>
    </row>
    <row r="85" spans="2:99" x14ac:dyDescent="0.2">
      <c r="C85" s="105" t="s">
        <v>250</v>
      </c>
      <c r="D85" s="106">
        <v>27</v>
      </c>
      <c r="E85" s="106">
        <v>4050</v>
      </c>
      <c r="F85" s="106">
        <v>36</v>
      </c>
      <c r="G85" s="106">
        <v>5400</v>
      </c>
      <c r="H85" s="106">
        <v>25</v>
      </c>
      <c r="I85" s="106">
        <v>3750</v>
      </c>
      <c r="J85" s="106">
        <v>31</v>
      </c>
      <c r="K85" s="106">
        <v>4650</v>
      </c>
      <c r="L85" s="106">
        <v>34</v>
      </c>
      <c r="M85" s="106">
        <v>5100</v>
      </c>
      <c r="N85" s="106">
        <v>30</v>
      </c>
      <c r="O85" s="106">
        <v>4500</v>
      </c>
      <c r="P85" s="106">
        <v>27</v>
      </c>
      <c r="Q85" s="106">
        <v>4050</v>
      </c>
      <c r="R85" s="106">
        <v>31</v>
      </c>
      <c r="S85" s="106">
        <v>4650</v>
      </c>
      <c r="T85" s="106">
        <v>23</v>
      </c>
      <c r="U85" s="106">
        <v>3450</v>
      </c>
      <c r="V85" s="106">
        <v>12</v>
      </c>
      <c r="W85" s="106">
        <v>1800</v>
      </c>
      <c r="X85" s="106">
        <v>14</v>
      </c>
      <c r="Y85" s="106">
        <v>2100</v>
      </c>
      <c r="Z85" s="106">
        <v>16</v>
      </c>
      <c r="AA85" s="106">
        <v>2400</v>
      </c>
      <c r="AB85" s="106">
        <v>12</v>
      </c>
      <c r="AC85" s="106">
        <v>1800</v>
      </c>
      <c r="AD85" s="106">
        <v>12</v>
      </c>
      <c r="AE85" s="106">
        <v>1800</v>
      </c>
      <c r="AF85" s="106">
        <v>13</v>
      </c>
      <c r="AG85" s="106">
        <v>1950</v>
      </c>
      <c r="AH85" s="106">
        <v>20</v>
      </c>
      <c r="AI85" s="106">
        <v>3000</v>
      </c>
      <c r="AJ85" s="106">
        <v>23</v>
      </c>
      <c r="AK85" s="106">
        <v>3450</v>
      </c>
      <c r="AL85" s="106">
        <v>20</v>
      </c>
      <c r="AM85" s="106">
        <v>3000</v>
      </c>
      <c r="AN85" s="106">
        <v>33</v>
      </c>
      <c r="AO85" s="106">
        <v>4950</v>
      </c>
      <c r="AP85" s="106">
        <v>20</v>
      </c>
      <c r="AQ85" s="106">
        <v>3000</v>
      </c>
      <c r="AR85" s="106">
        <v>30</v>
      </c>
      <c r="AS85" s="106">
        <v>4500</v>
      </c>
      <c r="AT85" s="106">
        <v>29</v>
      </c>
      <c r="AU85" s="106">
        <v>4350</v>
      </c>
      <c r="AV85" s="106">
        <v>37</v>
      </c>
      <c r="AW85" s="106">
        <v>5550</v>
      </c>
      <c r="AX85" s="106">
        <v>41</v>
      </c>
      <c r="AY85" s="106">
        <v>6150</v>
      </c>
      <c r="AZ85" s="106">
        <v>5</v>
      </c>
      <c r="BA85" s="106">
        <v>750</v>
      </c>
      <c r="BB85" s="106">
        <v>3</v>
      </c>
      <c r="BC85" s="106">
        <v>450</v>
      </c>
      <c r="BD85" s="106">
        <v>3</v>
      </c>
      <c r="BE85" s="106">
        <v>450</v>
      </c>
      <c r="BF85" s="106">
        <v>5</v>
      </c>
      <c r="BG85" s="106">
        <v>750</v>
      </c>
      <c r="BH85" s="106">
        <v>5</v>
      </c>
      <c r="BI85" s="106">
        <v>750</v>
      </c>
      <c r="BJ85" s="106">
        <v>5</v>
      </c>
      <c r="BK85" s="106">
        <v>750</v>
      </c>
      <c r="BL85" s="106">
        <v>3</v>
      </c>
      <c r="BM85" s="106">
        <v>450</v>
      </c>
      <c r="BN85" s="106">
        <v>4</v>
      </c>
      <c r="BO85" s="106">
        <v>600</v>
      </c>
      <c r="BP85" s="106">
        <v>4</v>
      </c>
      <c r="BQ85" s="106">
        <v>600</v>
      </c>
      <c r="BR85" s="106">
        <v>4</v>
      </c>
      <c r="BS85" s="106">
        <v>600</v>
      </c>
      <c r="BT85" s="106">
        <v>6</v>
      </c>
      <c r="BU85" s="106">
        <v>900</v>
      </c>
      <c r="BV85" s="106">
        <v>7</v>
      </c>
      <c r="BW85" s="106">
        <v>1050</v>
      </c>
      <c r="BX85" s="106">
        <v>22</v>
      </c>
      <c r="BY85" s="106">
        <v>3300</v>
      </c>
      <c r="BZ85" s="106">
        <v>20</v>
      </c>
      <c r="CA85" s="106">
        <v>3000</v>
      </c>
      <c r="CB85" s="106">
        <v>26</v>
      </c>
      <c r="CC85" s="106">
        <v>3900</v>
      </c>
      <c r="CD85" s="106">
        <v>27</v>
      </c>
      <c r="CE85" s="106">
        <v>4050</v>
      </c>
      <c r="CF85" s="106">
        <v>4</v>
      </c>
      <c r="CG85" s="106">
        <v>600</v>
      </c>
      <c r="CH85" s="106">
        <v>4</v>
      </c>
      <c r="CI85" s="106">
        <v>600</v>
      </c>
      <c r="CJ85" s="106">
        <v>3</v>
      </c>
      <c r="CK85" s="106">
        <v>450</v>
      </c>
      <c r="CL85" s="106">
        <v>3</v>
      </c>
      <c r="CM85" s="106">
        <v>450</v>
      </c>
      <c r="CN85" s="106">
        <v>7</v>
      </c>
      <c r="CO85" s="106">
        <v>1050</v>
      </c>
      <c r="CP85" s="106">
        <v>8</v>
      </c>
      <c r="CQ85" s="106">
        <v>1200</v>
      </c>
      <c r="CR85" s="106">
        <v>4</v>
      </c>
      <c r="CS85" s="106">
        <v>600</v>
      </c>
      <c r="CT85" s="106">
        <v>5</v>
      </c>
      <c r="CU85" s="106">
        <v>750</v>
      </c>
    </row>
    <row r="86" spans="2:99" x14ac:dyDescent="0.2">
      <c r="C86" s="105" t="s">
        <v>251</v>
      </c>
      <c r="D86" s="106">
        <v>28</v>
      </c>
      <c r="E86" s="106">
        <v>15120</v>
      </c>
      <c r="F86" s="106">
        <v>32</v>
      </c>
      <c r="G86" s="106">
        <v>17280</v>
      </c>
      <c r="H86" s="106">
        <v>24</v>
      </c>
      <c r="I86" s="106">
        <v>12960</v>
      </c>
      <c r="J86" s="106">
        <v>30</v>
      </c>
      <c r="K86" s="106">
        <v>16200</v>
      </c>
      <c r="L86" s="106">
        <v>31</v>
      </c>
      <c r="M86" s="106">
        <v>16740</v>
      </c>
      <c r="N86" s="106">
        <v>26</v>
      </c>
      <c r="O86" s="106">
        <v>14040</v>
      </c>
      <c r="P86" s="106">
        <v>25</v>
      </c>
      <c r="Q86" s="106">
        <v>13500</v>
      </c>
      <c r="R86" s="106">
        <v>27</v>
      </c>
      <c r="S86" s="106">
        <v>14580</v>
      </c>
      <c r="T86" s="106">
        <v>23</v>
      </c>
      <c r="U86" s="106">
        <v>12420</v>
      </c>
      <c r="V86" s="106">
        <v>11</v>
      </c>
      <c r="W86" s="106">
        <v>5940</v>
      </c>
      <c r="X86" s="106">
        <v>13</v>
      </c>
      <c r="Y86" s="106">
        <v>7020</v>
      </c>
      <c r="Z86" s="106">
        <v>15</v>
      </c>
      <c r="AA86" s="106">
        <v>8100</v>
      </c>
      <c r="AB86" s="106">
        <v>12</v>
      </c>
      <c r="AC86" s="106">
        <v>6480</v>
      </c>
      <c r="AD86" s="106">
        <v>11</v>
      </c>
      <c r="AE86" s="106">
        <v>5940</v>
      </c>
      <c r="AF86" s="106">
        <v>11</v>
      </c>
      <c r="AG86" s="106">
        <v>5940</v>
      </c>
      <c r="AH86" s="106">
        <v>19</v>
      </c>
      <c r="AI86" s="106">
        <v>10260</v>
      </c>
      <c r="AJ86" s="106">
        <v>20</v>
      </c>
      <c r="AK86" s="106">
        <v>10800</v>
      </c>
      <c r="AL86" s="106">
        <v>19</v>
      </c>
      <c r="AM86" s="106">
        <v>10260</v>
      </c>
      <c r="AN86" s="106">
        <v>30</v>
      </c>
      <c r="AO86" s="106">
        <v>16200</v>
      </c>
      <c r="AP86" s="106">
        <v>20</v>
      </c>
      <c r="AQ86" s="106">
        <v>10800</v>
      </c>
      <c r="AR86" s="106">
        <v>27</v>
      </c>
      <c r="AS86" s="106">
        <v>14580</v>
      </c>
      <c r="AT86" s="106">
        <v>32</v>
      </c>
      <c r="AU86" s="106">
        <v>17280</v>
      </c>
      <c r="AV86" s="106">
        <v>32</v>
      </c>
      <c r="AW86" s="106">
        <v>17280</v>
      </c>
      <c r="AX86" s="106">
        <v>36</v>
      </c>
      <c r="AY86" s="106">
        <v>19440</v>
      </c>
      <c r="AZ86" s="106">
        <v>4</v>
      </c>
      <c r="BA86" s="106">
        <v>2160</v>
      </c>
      <c r="BB86" s="106">
        <v>4</v>
      </c>
      <c r="BC86" s="106">
        <v>2160</v>
      </c>
      <c r="BD86" s="106">
        <v>3</v>
      </c>
      <c r="BE86" s="106">
        <v>1620</v>
      </c>
      <c r="BF86" s="106">
        <v>6</v>
      </c>
      <c r="BG86" s="106">
        <v>3240</v>
      </c>
      <c r="BH86" s="106">
        <v>5</v>
      </c>
      <c r="BI86" s="106">
        <v>2700</v>
      </c>
      <c r="BJ86" s="106">
        <v>5</v>
      </c>
      <c r="BK86" s="106">
        <v>2700</v>
      </c>
      <c r="BL86" s="106">
        <v>4</v>
      </c>
      <c r="BM86" s="106">
        <v>2160</v>
      </c>
      <c r="BN86" s="106">
        <v>4</v>
      </c>
      <c r="BO86" s="106">
        <v>2160</v>
      </c>
      <c r="BP86" s="106">
        <v>4</v>
      </c>
      <c r="BQ86" s="106">
        <v>2160</v>
      </c>
      <c r="BR86" s="106">
        <v>4</v>
      </c>
      <c r="BS86" s="106">
        <v>2160</v>
      </c>
      <c r="BT86" s="106">
        <v>5</v>
      </c>
      <c r="BU86" s="106">
        <v>2700</v>
      </c>
      <c r="BV86" s="106">
        <v>6</v>
      </c>
      <c r="BW86" s="106">
        <v>3240</v>
      </c>
      <c r="BX86" s="106">
        <v>19</v>
      </c>
      <c r="BY86" s="106">
        <v>10260</v>
      </c>
      <c r="BZ86" s="106">
        <v>21</v>
      </c>
      <c r="CA86" s="106">
        <v>11340</v>
      </c>
      <c r="CB86" s="106">
        <v>24</v>
      </c>
      <c r="CC86" s="106">
        <v>12960</v>
      </c>
      <c r="CD86" s="106">
        <v>26</v>
      </c>
      <c r="CE86" s="106">
        <v>14040</v>
      </c>
      <c r="CF86" s="106">
        <v>3</v>
      </c>
      <c r="CG86" s="106">
        <v>1620</v>
      </c>
      <c r="CH86" s="106">
        <v>4</v>
      </c>
      <c r="CI86" s="106">
        <v>2160</v>
      </c>
      <c r="CJ86" s="106">
        <v>3</v>
      </c>
      <c r="CK86" s="106">
        <v>1620</v>
      </c>
      <c r="CL86" s="106">
        <v>3</v>
      </c>
      <c r="CM86" s="106">
        <v>1620</v>
      </c>
      <c r="CN86" s="106">
        <v>6</v>
      </c>
      <c r="CO86" s="106">
        <v>3240</v>
      </c>
      <c r="CP86" s="106">
        <v>8</v>
      </c>
      <c r="CQ86" s="106">
        <v>4320</v>
      </c>
      <c r="CR86" s="106">
        <v>4</v>
      </c>
      <c r="CS86" s="106">
        <v>2160</v>
      </c>
      <c r="CT86" s="106">
        <v>6</v>
      </c>
      <c r="CU86" s="106">
        <v>3240</v>
      </c>
    </row>
    <row r="87" spans="2:99" x14ac:dyDescent="0.2">
      <c r="B87" s="105" t="s">
        <v>131</v>
      </c>
      <c r="C87" s="105" t="s">
        <v>252</v>
      </c>
      <c r="D87" s="106">
        <v>6</v>
      </c>
      <c r="E87" s="106">
        <v>11728.8</v>
      </c>
      <c r="F87" s="106">
        <v>5</v>
      </c>
      <c r="G87" s="106">
        <v>9774</v>
      </c>
      <c r="H87" s="106">
        <v>5</v>
      </c>
      <c r="I87" s="106">
        <v>9774</v>
      </c>
      <c r="J87" s="106">
        <v>5</v>
      </c>
      <c r="K87" s="106">
        <v>9774</v>
      </c>
      <c r="L87" s="106">
        <v>8</v>
      </c>
      <c r="M87" s="106">
        <v>15638.4</v>
      </c>
      <c r="N87" s="106">
        <v>8</v>
      </c>
      <c r="O87" s="106">
        <v>15638.4</v>
      </c>
      <c r="P87" s="106">
        <v>6</v>
      </c>
      <c r="Q87" s="106">
        <v>11728.8</v>
      </c>
      <c r="R87" s="106">
        <v>6</v>
      </c>
      <c r="S87" s="106">
        <v>11728.8</v>
      </c>
      <c r="T87" s="106">
        <v>7</v>
      </c>
      <c r="U87" s="106">
        <v>13683.6</v>
      </c>
      <c r="V87" s="106">
        <v>10</v>
      </c>
      <c r="W87" s="106">
        <v>19548</v>
      </c>
      <c r="X87" s="106">
        <v>7</v>
      </c>
      <c r="Y87" s="106">
        <v>13683.6</v>
      </c>
      <c r="Z87" s="106">
        <v>7</v>
      </c>
      <c r="AA87" s="106">
        <v>13683.6</v>
      </c>
      <c r="AB87" s="106">
        <v>11</v>
      </c>
      <c r="AC87" s="106">
        <v>21502.799999999999</v>
      </c>
      <c r="AD87" s="106">
        <v>18</v>
      </c>
      <c r="AE87" s="106">
        <v>35186.400000000001</v>
      </c>
      <c r="AF87" s="106">
        <v>14</v>
      </c>
      <c r="AG87" s="106">
        <v>27367.200000000001</v>
      </c>
      <c r="AH87" s="106">
        <v>15</v>
      </c>
      <c r="AI87" s="106">
        <v>29322</v>
      </c>
      <c r="AJ87" s="106">
        <v>11</v>
      </c>
      <c r="AK87" s="106">
        <v>21502.799999999999</v>
      </c>
      <c r="AL87" s="106">
        <v>11</v>
      </c>
      <c r="AM87" s="106">
        <v>21502.799999999999</v>
      </c>
      <c r="AN87" s="106">
        <v>8</v>
      </c>
      <c r="AO87" s="106">
        <v>15638.4</v>
      </c>
      <c r="AP87" s="106">
        <v>14</v>
      </c>
      <c r="AQ87" s="106">
        <v>27367.200000000001</v>
      </c>
      <c r="AR87" s="106">
        <v>31</v>
      </c>
      <c r="AS87" s="106">
        <v>60598.799999999996</v>
      </c>
      <c r="AT87" s="106">
        <v>18</v>
      </c>
      <c r="AU87" s="106">
        <v>35186.400000000001</v>
      </c>
      <c r="AV87" s="106">
        <v>19</v>
      </c>
      <c r="AW87" s="106">
        <v>37141.199999999997</v>
      </c>
      <c r="AX87" s="106">
        <v>25</v>
      </c>
      <c r="AY87" s="106">
        <v>48870</v>
      </c>
      <c r="AZ87" s="106">
        <v>5</v>
      </c>
      <c r="BA87" s="106">
        <v>9774</v>
      </c>
      <c r="BB87" s="106">
        <v>5</v>
      </c>
      <c r="BC87" s="106">
        <v>9774</v>
      </c>
      <c r="BD87" s="106">
        <v>6</v>
      </c>
      <c r="BE87" s="106">
        <v>11728.8</v>
      </c>
      <c r="BF87" s="106">
        <v>6</v>
      </c>
      <c r="BG87" s="106">
        <v>11728.8</v>
      </c>
      <c r="BH87" s="106">
        <v>12</v>
      </c>
      <c r="BI87" s="106">
        <v>23457.599999999999</v>
      </c>
      <c r="BJ87" s="106">
        <v>13</v>
      </c>
      <c r="BK87" s="106">
        <v>25412.399999999998</v>
      </c>
      <c r="BL87" s="106">
        <v>8</v>
      </c>
      <c r="BM87" s="106">
        <v>15638.4</v>
      </c>
      <c r="BN87" s="106">
        <v>12</v>
      </c>
      <c r="BO87" s="106">
        <v>23457.599999999999</v>
      </c>
      <c r="BP87" s="106">
        <v>17</v>
      </c>
      <c r="BQ87" s="106">
        <v>33231.599999999999</v>
      </c>
      <c r="BR87" s="106">
        <v>21</v>
      </c>
      <c r="BS87" s="106">
        <v>41050.799999999996</v>
      </c>
      <c r="BT87" s="106">
        <v>15</v>
      </c>
      <c r="BU87" s="106">
        <v>29322</v>
      </c>
      <c r="BV87" s="106">
        <v>24</v>
      </c>
      <c r="BW87" s="106">
        <v>46915.199999999997</v>
      </c>
      <c r="BX87" s="106">
        <v>9</v>
      </c>
      <c r="BY87" s="106">
        <v>17593.2</v>
      </c>
      <c r="BZ87" s="106">
        <v>11</v>
      </c>
      <c r="CA87" s="106">
        <v>21502.799999999999</v>
      </c>
      <c r="CB87" s="106">
        <v>11</v>
      </c>
      <c r="CC87" s="106">
        <v>21502.799999999999</v>
      </c>
      <c r="CD87" s="106">
        <v>13</v>
      </c>
      <c r="CE87" s="106">
        <v>25412.399999999998</v>
      </c>
      <c r="CF87" s="106">
        <v>4</v>
      </c>
      <c r="CG87" s="106">
        <v>7819.2</v>
      </c>
      <c r="CH87" s="106">
        <v>4</v>
      </c>
      <c r="CI87" s="106">
        <v>7819.2</v>
      </c>
      <c r="CJ87" s="106">
        <v>4</v>
      </c>
      <c r="CK87" s="106">
        <v>7819.2</v>
      </c>
      <c r="CL87" s="106">
        <v>6</v>
      </c>
      <c r="CM87" s="106">
        <v>11728.8</v>
      </c>
      <c r="CN87" s="106">
        <v>5</v>
      </c>
      <c r="CO87" s="106">
        <v>9774</v>
      </c>
      <c r="CP87" s="106">
        <v>3</v>
      </c>
      <c r="CQ87" s="106">
        <v>5864.4</v>
      </c>
      <c r="CR87" s="106">
        <v>3</v>
      </c>
      <c r="CS87" s="106">
        <v>5864.4</v>
      </c>
      <c r="CT87" s="106">
        <v>4</v>
      </c>
      <c r="CU87" s="106">
        <v>7819.2</v>
      </c>
    </row>
    <row r="88" spans="2:99" x14ac:dyDescent="0.2">
      <c r="C88" s="105" t="s">
        <v>253</v>
      </c>
      <c r="D88" s="106">
        <v>6</v>
      </c>
      <c r="E88" s="106">
        <v>11354.4</v>
      </c>
      <c r="F88" s="106">
        <v>5</v>
      </c>
      <c r="G88" s="106">
        <v>9462</v>
      </c>
      <c r="H88" s="106">
        <v>6</v>
      </c>
      <c r="I88" s="106">
        <v>11354.4</v>
      </c>
      <c r="J88" s="106">
        <v>5</v>
      </c>
      <c r="K88" s="106">
        <v>9462</v>
      </c>
      <c r="L88" s="106">
        <v>8</v>
      </c>
      <c r="M88" s="106">
        <v>15139.199999999999</v>
      </c>
      <c r="N88" s="106">
        <v>9</v>
      </c>
      <c r="O88" s="106">
        <v>17031.599999999999</v>
      </c>
      <c r="P88" s="106">
        <v>7</v>
      </c>
      <c r="Q88" s="106">
        <v>13246.8</v>
      </c>
      <c r="R88" s="106">
        <v>7</v>
      </c>
      <c r="S88" s="106">
        <v>13246.8</v>
      </c>
      <c r="T88" s="106">
        <v>9</v>
      </c>
      <c r="U88" s="106">
        <v>17031.599999999999</v>
      </c>
      <c r="V88" s="106">
        <v>10</v>
      </c>
      <c r="W88" s="106">
        <v>18924</v>
      </c>
      <c r="X88" s="106">
        <v>7</v>
      </c>
      <c r="Y88" s="106">
        <v>13246.8</v>
      </c>
      <c r="Z88" s="106">
        <v>6</v>
      </c>
      <c r="AA88" s="106">
        <v>11354.4</v>
      </c>
      <c r="AB88" s="106">
        <v>11</v>
      </c>
      <c r="AC88" s="106">
        <v>20816.399999999998</v>
      </c>
      <c r="AD88" s="106">
        <v>18</v>
      </c>
      <c r="AE88" s="106">
        <v>34063.199999999997</v>
      </c>
      <c r="AF88" s="106">
        <v>13</v>
      </c>
      <c r="AG88" s="106">
        <v>24601.199999999997</v>
      </c>
      <c r="AH88" s="106">
        <v>13</v>
      </c>
      <c r="AI88" s="106">
        <v>24601.199999999997</v>
      </c>
      <c r="AJ88" s="106">
        <v>10</v>
      </c>
      <c r="AK88" s="106">
        <v>18924</v>
      </c>
      <c r="AL88" s="106">
        <v>11</v>
      </c>
      <c r="AM88" s="106">
        <v>20816.399999999998</v>
      </c>
      <c r="AN88" s="106">
        <v>9</v>
      </c>
      <c r="AO88" s="106">
        <v>17031.599999999999</v>
      </c>
      <c r="AP88" s="106">
        <v>14</v>
      </c>
      <c r="AQ88" s="106">
        <v>26493.599999999999</v>
      </c>
      <c r="AR88" s="106">
        <v>28</v>
      </c>
      <c r="AS88" s="106">
        <v>52987.199999999997</v>
      </c>
      <c r="AT88" s="106">
        <v>22</v>
      </c>
      <c r="AU88" s="106">
        <v>41632.799999999996</v>
      </c>
      <c r="AV88" s="106">
        <v>20</v>
      </c>
      <c r="AW88" s="106">
        <v>37848</v>
      </c>
      <c r="AX88" s="106">
        <v>26</v>
      </c>
      <c r="AY88" s="106">
        <v>49202.399999999994</v>
      </c>
      <c r="AZ88" s="106">
        <v>4</v>
      </c>
      <c r="BA88" s="106">
        <v>7569.5999999999995</v>
      </c>
      <c r="BB88" s="106">
        <v>5</v>
      </c>
      <c r="BC88" s="106">
        <v>9462</v>
      </c>
      <c r="BD88" s="106">
        <v>5</v>
      </c>
      <c r="BE88" s="106">
        <v>9462</v>
      </c>
      <c r="BF88" s="106">
        <v>6</v>
      </c>
      <c r="BG88" s="106">
        <v>11354.4</v>
      </c>
      <c r="BH88" s="106">
        <v>13</v>
      </c>
      <c r="BI88" s="106">
        <v>24601.199999999997</v>
      </c>
      <c r="BJ88" s="106">
        <v>13</v>
      </c>
      <c r="BK88" s="106">
        <v>24601.199999999997</v>
      </c>
      <c r="BL88" s="106">
        <v>9</v>
      </c>
      <c r="BM88" s="106">
        <v>17031.599999999999</v>
      </c>
      <c r="BN88" s="106">
        <v>13</v>
      </c>
      <c r="BO88" s="106">
        <v>24601.199999999997</v>
      </c>
      <c r="BP88" s="106">
        <v>16</v>
      </c>
      <c r="BQ88" s="106">
        <v>30278.399999999998</v>
      </c>
      <c r="BR88" s="106">
        <v>20</v>
      </c>
      <c r="BS88" s="106">
        <v>37848</v>
      </c>
      <c r="BT88" s="106">
        <v>14</v>
      </c>
      <c r="BU88" s="106">
        <v>26493.599999999999</v>
      </c>
      <c r="BV88" s="106">
        <v>22</v>
      </c>
      <c r="BW88" s="106">
        <v>41632.799999999996</v>
      </c>
      <c r="BX88" s="106">
        <v>8</v>
      </c>
      <c r="BY88" s="106">
        <v>15139.199999999999</v>
      </c>
      <c r="BZ88" s="106">
        <v>11</v>
      </c>
      <c r="CA88" s="106">
        <v>20816.399999999998</v>
      </c>
      <c r="CB88" s="106">
        <v>11</v>
      </c>
      <c r="CC88" s="106">
        <v>20816.399999999998</v>
      </c>
      <c r="CD88" s="106">
        <v>14</v>
      </c>
      <c r="CE88" s="106">
        <v>26493.599999999999</v>
      </c>
      <c r="CF88" s="106">
        <v>5</v>
      </c>
      <c r="CG88" s="106">
        <v>9462</v>
      </c>
      <c r="CH88" s="106">
        <v>5</v>
      </c>
      <c r="CI88" s="106">
        <v>9462</v>
      </c>
      <c r="CJ88" s="106">
        <v>4</v>
      </c>
      <c r="CK88" s="106">
        <v>7569.5999999999995</v>
      </c>
      <c r="CL88" s="106">
        <v>6</v>
      </c>
      <c r="CM88" s="106">
        <v>11354.4</v>
      </c>
      <c r="CN88" s="106">
        <v>5</v>
      </c>
      <c r="CO88" s="106">
        <v>9462</v>
      </c>
      <c r="CP88" s="106">
        <v>3</v>
      </c>
      <c r="CQ88" s="106">
        <v>5677.2</v>
      </c>
      <c r="CR88" s="106">
        <v>3</v>
      </c>
      <c r="CS88" s="106">
        <v>5677.2</v>
      </c>
      <c r="CT88" s="106">
        <v>3</v>
      </c>
      <c r="CU88" s="106">
        <v>5677.2</v>
      </c>
    </row>
    <row r="89" spans="2:99" x14ac:dyDescent="0.2">
      <c r="C89" s="105" t="s">
        <v>254</v>
      </c>
      <c r="D89" s="106">
        <v>6</v>
      </c>
      <c r="E89" s="106">
        <v>14385.599999999999</v>
      </c>
      <c r="F89" s="106">
        <v>5</v>
      </c>
      <c r="G89" s="106">
        <v>11988</v>
      </c>
      <c r="H89" s="106">
        <v>6</v>
      </c>
      <c r="I89" s="106">
        <v>14385.599999999999</v>
      </c>
      <c r="J89" s="106">
        <v>6</v>
      </c>
      <c r="K89" s="106">
        <v>14385.599999999999</v>
      </c>
      <c r="L89" s="106">
        <v>8</v>
      </c>
      <c r="M89" s="106">
        <v>19180.8</v>
      </c>
      <c r="N89" s="106">
        <v>7</v>
      </c>
      <c r="O89" s="106">
        <v>16783.2</v>
      </c>
      <c r="P89" s="106">
        <v>7</v>
      </c>
      <c r="Q89" s="106">
        <v>16783.2</v>
      </c>
      <c r="R89" s="106">
        <v>6</v>
      </c>
      <c r="S89" s="106">
        <v>14385.599999999999</v>
      </c>
      <c r="T89" s="106">
        <v>7</v>
      </c>
      <c r="U89" s="106">
        <v>16783.2</v>
      </c>
      <c r="V89" s="106">
        <v>10</v>
      </c>
      <c r="W89" s="106">
        <v>23976</v>
      </c>
      <c r="X89" s="106">
        <v>8</v>
      </c>
      <c r="Y89" s="106">
        <v>19180.8</v>
      </c>
      <c r="Z89" s="106">
        <v>6</v>
      </c>
      <c r="AA89" s="106">
        <v>14385.599999999999</v>
      </c>
      <c r="AB89" s="106">
        <v>11</v>
      </c>
      <c r="AC89" s="106">
        <v>26373.599999999999</v>
      </c>
      <c r="AD89" s="106">
        <v>17</v>
      </c>
      <c r="AE89" s="106">
        <v>40759.199999999997</v>
      </c>
      <c r="AF89" s="106">
        <v>12</v>
      </c>
      <c r="AG89" s="106">
        <v>28771.199999999997</v>
      </c>
      <c r="AH89" s="106">
        <v>13</v>
      </c>
      <c r="AI89" s="106">
        <v>31168.799999999999</v>
      </c>
      <c r="AJ89" s="106">
        <v>10</v>
      </c>
      <c r="AK89" s="106">
        <v>23976</v>
      </c>
      <c r="AL89" s="106">
        <v>10</v>
      </c>
      <c r="AM89" s="106">
        <v>23976</v>
      </c>
      <c r="AN89" s="106">
        <v>8</v>
      </c>
      <c r="AO89" s="106">
        <v>19180.8</v>
      </c>
      <c r="AP89" s="106">
        <v>15</v>
      </c>
      <c r="AQ89" s="106">
        <v>35964</v>
      </c>
      <c r="AR89" s="106">
        <v>28</v>
      </c>
      <c r="AS89" s="106">
        <v>67132.800000000003</v>
      </c>
      <c r="AT89" s="106">
        <v>20</v>
      </c>
      <c r="AU89" s="106">
        <v>47952</v>
      </c>
      <c r="AV89" s="106">
        <v>18</v>
      </c>
      <c r="AW89" s="106">
        <v>43156.799999999996</v>
      </c>
      <c r="AX89" s="106">
        <v>22</v>
      </c>
      <c r="AY89" s="106">
        <v>52747.199999999997</v>
      </c>
      <c r="AZ89" s="106">
        <v>4</v>
      </c>
      <c r="BA89" s="106">
        <v>9590.4</v>
      </c>
      <c r="BB89" s="106">
        <v>4</v>
      </c>
      <c r="BC89" s="106">
        <v>9590.4</v>
      </c>
      <c r="BD89" s="106">
        <v>6</v>
      </c>
      <c r="BE89" s="106">
        <v>14385.599999999999</v>
      </c>
      <c r="BF89" s="106">
        <v>5</v>
      </c>
      <c r="BG89" s="106">
        <v>11988</v>
      </c>
      <c r="BH89" s="106">
        <v>12</v>
      </c>
      <c r="BI89" s="106">
        <v>28771.199999999997</v>
      </c>
      <c r="BJ89" s="106">
        <v>11</v>
      </c>
      <c r="BK89" s="106">
        <v>26373.599999999999</v>
      </c>
      <c r="BL89" s="106">
        <v>7</v>
      </c>
      <c r="BM89" s="106">
        <v>16783.2</v>
      </c>
      <c r="BN89" s="106">
        <v>13</v>
      </c>
      <c r="BO89" s="106">
        <v>31168.799999999999</v>
      </c>
      <c r="BP89" s="106">
        <v>16</v>
      </c>
      <c r="BQ89" s="106">
        <v>38361.599999999999</v>
      </c>
      <c r="BR89" s="106">
        <v>19</v>
      </c>
      <c r="BS89" s="106">
        <v>45554.400000000001</v>
      </c>
      <c r="BT89" s="106">
        <v>14</v>
      </c>
      <c r="BU89" s="106">
        <v>33566.400000000001</v>
      </c>
      <c r="BV89" s="106">
        <v>20</v>
      </c>
      <c r="BW89" s="106">
        <v>47952</v>
      </c>
      <c r="BX89" s="106">
        <v>8</v>
      </c>
      <c r="BY89" s="106">
        <v>19180.8</v>
      </c>
      <c r="BZ89" s="106">
        <v>10</v>
      </c>
      <c r="CA89" s="106">
        <v>23976</v>
      </c>
      <c r="CB89" s="106">
        <v>12</v>
      </c>
      <c r="CC89" s="106">
        <v>28771.199999999997</v>
      </c>
      <c r="CD89" s="106">
        <v>12</v>
      </c>
      <c r="CE89" s="106">
        <v>28771.199999999997</v>
      </c>
      <c r="CF89" s="106">
        <v>5</v>
      </c>
      <c r="CG89" s="106">
        <v>11988</v>
      </c>
      <c r="CH89" s="106">
        <v>4</v>
      </c>
      <c r="CI89" s="106">
        <v>9590.4</v>
      </c>
      <c r="CJ89" s="106">
        <v>4</v>
      </c>
      <c r="CK89" s="106">
        <v>9590.4</v>
      </c>
      <c r="CL89" s="106">
        <v>6</v>
      </c>
      <c r="CM89" s="106">
        <v>14385.599999999999</v>
      </c>
      <c r="CN89" s="106">
        <v>5</v>
      </c>
      <c r="CO89" s="106">
        <v>11988</v>
      </c>
      <c r="CP89" s="106">
        <v>3</v>
      </c>
      <c r="CQ89" s="106">
        <v>7192.7999999999993</v>
      </c>
      <c r="CR89" s="106">
        <v>3</v>
      </c>
      <c r="CS89" s="106">
        <v>7192.7999999999993</v>
      </c>
      <c r="CT89" s="106">
        <v>3</v>
      </c>
      <c r="CU89" s="106">
        <v>7192.7999999999993</v>
      </c>
    </row>
    <row r="90" spans="2:99" x14ac:dyDescent="0.2">
      <c r="C90" s="105" t="s">
        <v>255</v>
      </c>
      <c r="D90" s="106">
        <v>6</v>
      </c>
      <c r="E90" s="106">
        <v>13183.199999999999</v>
      </c>
      <c r="F90" s="106">
        <v>5</v>
      </c>
      <c r="G90" s="106">
        <v>10986</v>
      </c>
      <c r="H90" s="106">
        <v>6</v>
      </c>
      <c r="I90" s="106">
        <v>13183.199999999999</v>
      </c>
      <c r="J90" s="106">
        <v>5</v>
      </c>
      <c r="K90" s="106">
        <v>10986</v>
      </c>
      <c r="L90" s="106">
        <v>8</v>
      </c>
      <c r="M90" s="106">
        <v>17577.599999999999</v>
      </c>
      <c r="N90" s="106">
        <v>8</v>
      </c>
      <c r="O90" s="106">
        <v>17577.599999999999</v>
      </c>
      <c r="P90" s="106">
        <v>6</v>
      </c>
      <c r="Q90" s="106">
        <v>13183.199999999999</v>
      </c>
      <c r="R90" s="106">
        <v>6</v>
      </c>
      <c r="S90" s="106">
        <v>13183.199999999999</v>
      </c>
      <c r="T90" s="106">
        <v>8</v>
      </c>
      <c r="U90" s="106">
        <v>17577.599999999999</v>
      </c>
      <c r="V90" s="106">
        <v>10</v>
      </c>
      <c r="W90" s="106">
        <v>21972</v>
      </c>
      <c r="X90" s="106">
        <v>8</v>
      </c>
      <c r="Y90" s="106">
        <v>17577.599999999999</v>
      </c>
      <c r="Z90" s="106">
        <v>7</v>
      </c>
      <c r="AA90" s="106">
        <v>15380.399999999998</v>
      </c>
      <c r="AB90" s="106">
        <v>10</v>
      </c>
      <c r="AC90" s="106">
        <v>21972</v>
      </c>
      <c r="AD90" s="106">
        <v>18</v>
      </c>
      <c r="AE90" s="106">
        <v>39549.599999999999</v>
      </c>
      <c r="AF90" s="106">
        <v>12</v>
      </c>
      <c r="AG90" s="106">
        <v>26366.399999999998</v>
      </c>
      <c r="AH90" s="106">
        <v>13</v>
      </c>
      <c r="AI90" s="106">
        <v>28563.599999999999</v>
      </c>
      <c r="AJ90" s="106">
        <v>11</v>
      </c>
      <c r="AK90" s="106">
        <v>24169.199999999997</v>
      </c>
      <c r="AL90" s="106">
        <v>12</v>
      </c>
      <c r="AM90" s="106">
        <v>26366.399999999998</v>
      </c>
      <c r="AN90" s="106">
        <v>8</v>
      </c>
      <c r="AO90" s="106">
        <v>17577.599999999999</v>
      </c>
      <c r="AP90" s="106">
        <v>16</v>
      </c>
      <c r="AQ90" s="106">
        <v>35155.199999999997</v>
      </c>
      <c r="AR90" s="106">
        <v>25</v>
      </c>
      <c r="AS90" s="106">
        <v>54929.999999999993</v>
      </c>
      <c r="AT90" s="106">
        <v>20</v>
      </c>
      <c r="AU90" s="106">
        <v>43944</v>
      </c>
      <c r="AV90" s="106">
        <v>19</v>
      </c>
      <c r="AW90" s="106">
        <v>41746.799999999996</v>
      </c>
      <c r="AX90" s="106">
        <v>27</v>
      </c>
      <c r="AY90" s="106">
        <v>59324.399999999994</v>
      </c>
      <c r="AZ90" s="106">
        <v>4</v>
      </c>
      <c r="BA90" s="106">
        <v>8788.7999999999993</v>
      </c>
      <c r="BB90" s="106">
        <v>5</v>
      </c>
      <c r="BC90" s="106">
        <v>10986</v>
      </c>
      <c r="BD90" s="106">
        <v>6</v>
      </c>
      <c r="BE90" s="106">
        <v>13183.199999999999</v>
      </c>
      <c r="BF90" s="106">
        <v>7</v>
      </c>
      <c r="BG90" s="106">
        <v>15380.399999999998</v>
      </c>
      <c r="BH90" s="106">
        <v>13</v>
      </c>
      <c r="BI90" s="106">
        <v>28563.599999999999</v>
      </c>
      <c r="BJ90" s="106">
        <v>11</v>
      </c>
      <c r="BK90" s="106">
        <v>24169.199999999997</v>
      </c>
      <c r="BL90" s="106">
        <v>7</v>
      </c>
      <c r="BM90" s="106">
        <v>15380.399999999998</v>
      </c>
      <c r="BN90" s="106">
        <v>12</v>
      </c>
      <c r="BO90" s="106">
        <v>26366.399999999998</v>
      </c>
      <c r="BP90" s="106">
        <v>17</v>
      </c>
      <c r="BQ90" s="106">
        <v>37352.399999999994</v>
      </c>
      <c r="BR90" s="106">
        <v>19</v>
      </c>
      <c r="BS90" s="106">
        <v>41746.799999999996</v>
      </c>
      <c r="BT90" s="106">
        <v>15</v>
      </c>
      <c r="BU90" s="106">
        <v>32958</v>
      </c>
      <c r="BV90" s="106">
        <v>24</v>
      </c>
      <c r="BW90" s="106">
        <v>52732.799999999996</v>
      </c>
      <c r="BX90" s="106">
        <v>8</v>
      </c>
      <c r="BY90" s="106">
        <v>17577.599999999999</v>
      </c>
      <c r="BZ90" s="106">
        <v>11</v>
      </c>
      <c r="CA90" s="106">
        <v>24169.199999999997</v>
      </c>
      <c r="CB90" s="106">
        <v>11</v>
      </c>
      <c r="CC90" s="106">
        <v>24169.199999999997</v>
      </c>
      <c r="CD90" s="106">
        <v>12</v>
      </c>
      <c r="CE90" s="106">
        <v>26366.399999999998</v>
      </c>
      <c r="CF90" s="106">
        <v>4</v>
      </c>
      <c r="CG90" s="106">
        <v>8788.7999999999993</v>
      </c>
      <c r="CH90" s="106">
        <v>5</v>
      </c>
      <c r="CI90" s="106">
        <v>10986</v>
      </c>
      <c r="CJ90" s="106">
        <v>4</v>
      </c>
      <c r="CK90" s="106">
        <v>8788.7999999999993</v>
      </c>
      <c r="CL90" s="106">
        <v>6</v>
      </c>
      <c r="CM90" s="106">
        <v>13183.199999999999</v>
      </c>
      <c r="CN90" s="106">
        <v>5</v>
      </c>
      <c r="CO90" s="106">
        <v>10986</v>
      </c>
      <c r="CP90" s="106">
        <v>3</v>
      </c>
      <c r="CQ90" s="106">
        <v>6591.5999999999995</v>
      </c>
      <c r="CR90" s="106">
        <v>3</v>
      </c>
      <c r="CS90" s="106">
        <v>6591.5999999999995</v>
      </c>
      <c r="CT90" s="106">
        <v>3</v>
      </c>
      <c r="CU90" s="106">
        <v>6591.5999999999995</v>
      </c>
    </row>
    <row r="91" spans="2:99" x14ac:dyDescent="0.2">
      <c r="C91" s="105" t="s">
        <v>256</v>
      </c>
      <c r="D91" s="106">
        <v>6</v>
      </c>
      <c r="E91" s="106">
        <v>13780.8</v>
      </c>
      <c r="F91" s="106">
        <v>5</v>
      </c>
      <c r="G91" s="106">
        <v>11483.999999999998</v>
      </c>
      <c r="H91" s="106">
        <v>5</v>
      </c>
      <c r="I91" s="106">
        <v>11483.999999999998</v>
      </c>
      <c r="J91" s="106">
        <v>5</v>
      </c>
      <c r="K91" s="106">
        <v>11483.999999999998</v>
      </c>
      <c r="L91" s="106">
        <v>8</v>
      </c>
      <c r="M91" s="106">
        <v>18374.399999999998</v>
      </c>
      <c r="N91" s="106">
        <v>9</v>
      </c>
      <c r="O91" s="106">
        <v>20671.199999999997</v>
      </c>
      <c r="P91" s="106">
        <v>7</v>
      </c>
      <c r="Q91" s="106">
        <v>16077.599999999999</v>
      </c>
      <c r="R91" s="106">
        <v>6</v>
      </c>
      <c r="S91" s="106">
        <v>13780.8</v>
      </c>
      <c r="T91" s="106">
        <v>8</v>
      </c>
      <c r="U91" s="106">
        <v>18374.399999999998</v>
      </c>
      <c r="V91" s="106">
        <v>10</v>
      </c>
      <c r="W91" s="106">
        <v>22967.999999999996</v>
      </c>
      <c r="X91" s="106">
        <v>7</v>
      </c>
      <c r="Y91" s="106">
        <v>16077.599999999999</v>
      </c>
      <c r="Z91" s="106">
        <v>7</v>
      </c>
      <c r="AA91" s="106">
        <v>16077.599999999999</v>
      </c>
      <c r="AB91" s="106">
        <v>11</v>
      </c>
      <c r="AC91" s="106">
        <v>25264.799999999996</v>
      </c>
      <c r="AD91" s="106">
        <v>19</v>
      </c>
      <c r="AE91" s="106">
        <v>43639.199999999997</v>
      </c>
      <c r="AF91" s="106">
        <v>13</v>
      </c>
      <c r="AG91" s="106">
        <v>29858.399999999998</v>
      </c>
      <c r="AH91" s="106">
        <v>13</v>
      </c>
      <c r="AI91" s="106">
        <v>29858.399999999998</v>
      </c>
      <c r="AJ91" s="106">
        <v>10</v>
      </c>
      <c r="AK91" s="106">
        <v>22967.999999999996</v>
      </c>
      <c r="AL91" s="106">
        <v>10</v>
      </c>
      <c r="AM91" s="106">
        <v>22967.999999999996</v>
      </c>
      <c r="AN91" s="106">
        <v>9</v>
      </c>
      <c r="AO91" s="106">
        <v>20671.199999999997</v>
      </c>
      <c r="AP91" s="106">
        <v>15</v>
      </c>
      <c r="AQ91" s="106">
        <v>34451.999999999993</v>
      </c>
      <c r="AR91" s="106">
        <v>29</v>
      </c>
      <c r="AS91" s="106">
        <v>66607.199999999997</v>
      </c>
      <c r="AT91" s="106">
        <v>20</v>
      </c>
      <c r="AU91" s="106">
        <v>45935.999999999993</v>
      </c>
      <c r="AV91" s="106">
        <v>18</v>
      </c>
      <c r="AW91" s="106">
        <v>41342.399999999994</v>
      </c>
      <c r="AX91" s="106">
        <v>23</v>
      </c>
      <c r="AY91" s="106">
        <v>52826.399999999994</v>
      </c>
      <c r="AZ91" s="106">
        <v>5</v>
      </c>
      <c r="BA91" s="106">
        <v>11483.999999999998</v>
      </c>
      <c r="BB91" s="106">
        <v>5</v>
      </c>
      <c r="BC91" s="106">
        <v>11483.999999999998</v>
      </c>
      <c r="BD91" s="106">
        <v>6</v>
      </c>
      <c r="BE91" s="106">
        <v>13780.8</v>
      </c>
      <c r="BF91" s="106">
        <v>7</v>
      </c>
      <c r="BG91" s="106">
        <v>16077.599999999999</v>
      </c>
      <c r="BH91" s="106">
        <v>12</v>
      </c>
      <c r="BI91" s="106">
        <v>27561.599999999999</v>
      </c>
      <c r="BJ91" s="106">
        <v>12</v>
      </c>
      <c r="BK91" s="106">
        <v>27561.599999999999</v>
      </c>
      <c r="BL91" s="106">
        <v>8</v>
      </c>
      <c r="BM91" s="106">
        <v>18374.399999999998</v>
      </c>
      <c r="BN91" s="106">
        <v>13</v>
      </c>
      <c r="BO91" s="106">
        <v>29858.399999999998</v>
      </c>
      <c r="BP91" s="106">
        <v>15</v>
      </c>
      <c r="BQ91" s="106">
        <v>34451.999999999993</v>
      </c>
      <c r="BR91" s="106">
        <v>20</v>
      </c>
      <c r="BS91" s="106">
        <v>45935.999999999993</v>
      </c>
      <c r="BT91" s="106">
        <v>16</v>
      </c>
      <c r="BU91" s="106">
        <v>36748.799999999996</v>
      </c>
      <c r="BV91" s="106">
        <v>23</v>
      </c>
      <c r="BW91" s="106">
        <v>52826.399999999994</v>
      </c>
      <c r="BX91" s="106">
        <v>9</v>
      </c>
      <c r="BY91" s="106">
        <v>20671.199999999997</v>
      </c>
      <c r="BZ91" s="106">
        <v>11</v>
      </c>
      <c r="CA91" s="106">
        <v>25264.799999999996</v>
      </c>
      <c r="CB91" s="106">
        <v>11</v>
      </c>
      <c r="CC91" s="106">
        <v>25264.799999999996</v>
      </c>
      <c r="CD91" s="106">
        <v>13</v>
      </c>
      <c r="CE91" s="106">
        <v>29858.399999999998</v>
      </c>
      <c r="CF91" s="106">
        <v>4</v>
      </c>
      <c r="CG91" s="106">
        <v>9187.1999999999989</v>
      </c>
      <c r="CH91" s="106">
        <v>4</v>
      </c>
      <c r="CI91" s="106">
        <v>9187.1999999999989</v>
      </c>
      <c r="CJ91" s="106">
        <v>4</v>
      </c>
      <c r="CK91" s="106">
        <v>9187.1999999999989</v>
      </c>
      <c r="CL91" s="106">
        <v>6</v>
      </c>
      <c r="CM91" s="106">
        <v>13780.8</v>
      </c>
      <c r="CN91" s="106">
        <v>5</v>
      </c>
      <c r="CO91" s="106">
        <v>11483.999999999998</v>
      </c>
      <c r="CP91" s="106">
        <v>3</v>
      </c>
      <c r="CQ91" s="106">
        <v>6890.4</v>
      </c>
      <c r="CR91" s="106">
        <v>4</v>
      </c>
      <c r="CS91" s="106">
        <v>9187.1999999999989</v>
      </c>
      <c r="CT91" s="106">
        <v>3</v>
      </c>
      <c r="CU91" s="106">
        <v>6890.4</v>
      </c>
    </row>
    <row r="92" spans="2:99" x14ac:dyDescent="0.2">
      <c r="C92" s="105" t="s">
        <v>257</v>
      </c>
      <c r="D92" s="106">
        <v>6</v>
      </c>
      <c r="E92" s="106">
        <v>8524.7999999999993</v>
      </c>
      <c r="F92" s="106">
        <v>5</v>
      </c>
      <c r="G92" s="106">
        <v>7104</v>
      </c>
      <c r="H92" s="106">
        <v>7</v>
      </c>
      <c r="I92" s="106">
        <v>9945.6</v>
      </c>
      <c r="J92" s="106">
        <v>6</v>
      </c>
      <c r="K92" s="106">
        <v>8524.7999999999993</v>
      </c>
      <c r="L92" s="106">
        <v>9</v>
      </c>
      <c r="M92" s="106">
        <v>12787.199999999999</v>
      </c>
      <c r="N92" s="106">
        <v>8</v>
      </c>
      <c r="O92" s="106">
        <v>11366.4</v>
      </c>
      <c r="P92" s="106">
        <v>7</v>
      </c>
      <c r="Q92" s="106">
        <v>9945.6</v>
      </c>
      <c r="R92" s="106">
        <v>7</v>
      </c>
      <c r="S92" s="106">
        <v>9945.6</v>
      </c>
      <c r="T92" s="106">
        <v>8</v>
      </c>
      <c r="U92" s="106">
        <v>11366.4</v>
      </c>
      <c r="V92" s="106">
        <v>12</v>
      </c>
      <c r="W92" s="106">
        <v>17049.599999999999</v>
      </c>
      <c r="X92" s="106">
        <v>8</v>
      </c>
      <c r="Y92" s="106">
        <v>11366.4</v>
      </c>
      <c r="Z92" s="106">
        <v>7</v>
      </c>
      <c r="AA92" s="106">
        <v>9945.6</v>
      </c>
      <c r="AB92" s="106">
        <v>11</v>
      </c>
      <c r="AC92" s="106">
        <v>15628.8</v>
      </c>
      <c r="AD92" s="106">
        <v>17</v>
      </c>
      <c r="AE92" s="106">
        <v>24153.599999999999</v>
      </c>
      <c r="AF92" s="106">
        <v>15</v>
      </c>
      <c r="AG92" s="106">
        <v>21312</v>
      </c>
      <c r="AH92" s="106">
        <v>14</v>
      </c>
      <c r="AI92" s="106">
        <v>19891.2</v>
      </c>
      <c r="AJ92" s="106">
        <v>11</v>
      </c>
      <c r="AK92" s="106">
        <v>15628.8</v>
      </c>
      <c r="AL92" s="106">
        <v>11</v>
      </c>
      <c r="AM92" s="106">
        <v>15628.8</v>
      </c>
      <c r="AN92" s="106">
        <v>9</v>
      </c>
      <c r="AO92" s="106">
        <v>12787.199999999999</v>
      </c>
      <c r="AP92" s="106">
        <v>17</v>
      </c>
      <c r="AQ92" s="106">
        <v>24153.599999999999</v>
      </c>
      <c r="AR92" s="106">
        <v>32</v>
      </c>
      <c r="AS92" s="106">
        <v>45465.599999999999</v>
      </c>
      <c r="AT92" s="106">
        <v>23</v>
      </c>
      <c r="AU92" s="106">
        <v>32678.399999999998</v>
      </c>
      <c r="AV92" s="106">
        <v>20</v>
      </c>
      <c r="AW92" s="106">
        <v>28416</v>
      </c>
      <c r="AX92" s="106">
        <v>30</v>
      </c>
      <c r="AY92" s="106">
        <v>42624</v>
      </c>
      <c r="AZ92" s="106">
        <v>4</v>
      </c>
      <c r="BA92" s="106">
        <v>5683.2</v>
      </c>
      <c r="BB92" s="106">
        <v>5</v>
      </c>
      <c r="BC92" s="106">
        <v>7104</v>
      </c>
      <c r="BD92" s="106">
        <v>6</v>
      </c>
      <c r="BE92" s="106">
        <v>8524.7999999999993</v>
      </c>
      <c r="BF92" s="106">
        <v>6</v>
      </c>
      <c r="BG92" s="106">
        <v>8524.7999999999993</v>
      </c>
      <c r="BH92" s="106">
        <v>12</v>
      </c>
      <c r="BI92" s="106">
        <v>17049.599999999999</v>
      </c>
      <c r="BJ92" s="106">
        <v>12</v>
      </c>
      <c r="BK92" s="106">
        <v>17049.599999999999</v>
      </c>
      <c r="BL92" s="106">
        <v>8</v>
      </c>
      <c r="BM92" s="106">
        <v>11366.4</v>
      </c>
      <c r="BN92" s="106">
        <v>13</v>
      </c>
      <c r="BO92" s="106">
        <v>18470.399999999998</v>
      </c>
      <c r="BP92" s="106">
        <v>18</v>
      </c>
      <c r="BQ92" s="106">
        <v>25574.399999999998</v>
      </c>
      <c r="BR92" s="106">
        <v>23</v>
      </c>
      <c r="BS92" s="106">
        <v>32678.399999999998</v>
      </c>
      <c r="BT92" s="106">
        <v>17</v>
      </c>
      <c r="BU92" s="106">
        <v>24153.599999999999</v>
      </c>
      <c r="BV92" s="106">
        <v>23</v>
      </c>
      <c r="BW92" s="106">
        <v>32678.399999999998</v>
      </c>
      <c r="BX92" s="106">
        <v>10</v>
      </c>
      <c r="BY92" s="106">
        <v>14208</v>
      </c>
      <c r="BZ92" s="106">
        <v>12</v>
      </c>
      <c r="CA92" s="106">
        <v>17049.599999999999</v>
      </c>
      <c r="CB92" s="106">
        <v>13</v>
      </c>
      <c r="CC92" s="106">
        <v>18470.399999999998</v>
      </c>
      <c r="CD92" s="106">
        <v>14</v>
      </c>
      <c r="CE92" s="106">
        <v>19891.2</v>
      </c>
      <c r="CF92" s="106">
        <v>4</v>
      </c>
      <c r="CG92" s="106">
        <v>5683.2</v>
      </c>
      <c r="CH92" s="106">
        <v>5</v>
      </c>
      <c r="CI92" s="106">
        <v>7104</v>
      </c>
      <c r="CJ92" s="106">
        <v>4</v>
      </c>
      <c r="CK92" s="106">
        <v>5683.2</v>
      </c>
      <c r="CL92" s="106">
        <v>7</v>
      </c>
      <c r="CM92" s="106">
        <v>9945.6</v>
      </c>
      <c r="CN92" s="106">
        <v>5</v>
      </c>
      <c r="CO92" s="106">
        <v>7104</v>
      </c>
      <c r="CP92" s="106">
        <v>3</v>
      </c>
      <c r="CQ92" s="106">
        <v>4262.3999999999996</v>
      </c>
      <c r="CR92" s="106">
        <v>4</v>
      </c>
      <c r="CS92" s="106">
        <v>5683.2</v>
      </c>
      <c r="CT92" s="106">
        <v>3</v>
      </c>
      <c r="CU92" s="106">
        <v>4262.3999999999996</v>
      </c>
    </row>
    <row r="93" spans="2:99" x14ac:dyDescent="0.2">
      <c r="C93" s="105" t="s">
        <v>258</v>
      </c>
      <c r="D93" s="106">
        <v>6</v>
      </c>
      <c r="E93" s="106">
        <v>10634.4</v>
      </c>
      <c r="F93" s="106">
        <v>5</v>
      </c>
      <c r="G93" s="106">
        <v>8862</v>
      </c>
      <c r="H93" s="106">
        <v>6</v>
      </c>
      <c r="I93" s="106">
        <v>10634.4</v>
      </c>
      <c r="J93" s="106">
        <v>5</v>
      </c>
      <c r="K93" s="106">
        <v>8862</v>
      </c>
      <c r="L93" s="106">
        <v>9</v>
      </c>
      <c r="M93" s="106">
        <v>15951.599999999999</v>
      </c>
      <c r="N93" s="106">
        <v>8</v>
      </c>
      <c r="O93" s="106">
        <v>14179.199999999999</v>
      </c>
      <c r="P93" s="106">
        <v>7</v>
      </c>
      <c r="Q93" s="106">
        <v>12406.8</v>
      </c>
      <c r="R93" s="106">
        <v>6</v>
      </c>
      <c r="S93" s="106">
        <v>10634.4</v>
      </c>
      <c r="T93" s="106">
        <v>8</v>
      </c>
      <c r="U93" s="106">
        <v>14179.199999999999</v>
      </c>
      <c r="V93" s="106">
        <v>10</v>
      </c>
      <c r="W93" s="106">
        <v>17724</v>
      </c>
      <c r="X93" s="106">
        <v>8</v>
      </c>
      <c r="Y93" s="106">
        <v>14179.199999999999</v>
      </c>
      <c r="Z93" s="106">
        <v>7</v>
      </c>
      <c r="AA93" s="106">
        <v>12406.8</v>
      </c>
      <c r="AB93" s="106">
        <v>12</v>
      </c>
      <c r="AC93" s="106">
        <v>21268.799999999999</v>
      </c>
      <c r="AD93" s="106">
        <v>18</v>
      </c>
      <c r="AE93" s="106">
        <v>31903.199999999997</v>
      </c>
      <c r="AF93" s="106">
        <v>14</v>
      </c>
      <c r="AG93" s="106">
        <v>24813.599999999999</v>
      </c>
      <c r="AH93" s="106">
        <v>14</v>
      </c>
      <c r="AI93" s="106">
        <v>24813.599999999999</v>
      </c>
      <c r="AJ93" s="106">
        <v>9</v>
      </c>
      <c r="AK93" s="106">
        <v>15951.599999999999</v>
      </c>
      <c r="AL93" s="106">
        <v>12</v>
      </c>
      <c r="AM93" s="106">
        <v>21268.799999999999</v>
      </c>
      <c r="AN93" s="106">
        <v>10</v>
      </c>
      <c r="AO93" s="106">
        <v>17724</v>
      </c>
      <c r="AP93" s="106">
        <v>16</v>
      </c>
      <c r="AQ93" s="106">
        <v>28358.399999999998</v>
      </c>
      <c r="AR93" s="106">
        <v>26</v>
      </c>
      <c r="AS93" s="106">
        <v>46082.399999999994</v>
      </c>
      <c r="AT93" s="106">
        <v>19</v>
      </c>
      <c r="AU93" s="106">
        <v>33675.599999999999</v>
      </c>
      <c r="AV93" s="106">
        <v>19</v>
      </c>
      <c r="AW93" s="106">
        <v>33675.599999999999</v>
      </c>
      <c r="AX93" s="106">
        <v>28</v>
      </c>
      <c r="AY93" s="106">
        <v>49627.199999999997</v>
      </c>
      <c r="AZ93" s="106">
        <v>4</v>
      </c>
      <c r="BA93" s="106">
        <v>7089.5999999999995</v>
      </c>
      <c r="BB93" s="106">
        <v>5</v>
      </c>
      <c r="BC93" s="106">
        <v>8862</v>
      </c>
      <c r="BD93" s="106">
        <v>6</v>
      </c>
      <c r="BE93" s="106">
        <v>10634.4</v>
      </c>
      <c r="BF93" s="106">
        <v>7</v>
      </c>
      <c r="BG93" s="106">
        <v>12406.8</v>
      </c>
      <c r="BH93" s="106">
        <v>11</v>
      </c>
      <c r="BI93" s="106">
        <v>19496.399999999998</v>
      </c>
      <c r="BJ93" s="106">
        <v>14</v>
      </c>
      <c r="BK93" s="106">
        <v>24813.599999999999</v>
      </c>
      <c r="BL93" s="106">
        <v>8</v>
      </c>
      <c r="BM93" s="106">
        <v>14179.199999999999</v>
      </c>
      <c r="BN93" s="106">
        <v>13</v>
      </c>
      <c r="BO93" s="106">
        <v>23041.199999999997</v>
      </c>
      <c r="BP93" s="106">
        <v>17</v>
      </c>
      <c r="BQ93" s="106">
        <v>30130.799999999999</v>
      </c>
      <c r="BR93" s="106">
        <v>19</v>
      </c>
      <c r="BS93" s="106">
        <v>33675.599999999999</v>
      </c>
      <c r="BT93" s="106">
        <v>15</v>
      </c>
      <c r="BU93" s="106">
        <v>26585.999999999996</v>
      </c>
      <c r="BV93" s="106">
        <v>25</v>
      </c>
      <c r="BW93" s="106">
        <v>44310</v>
      </c>
      <c r="BX93" s="106">
        <v>9</v>
      </c>
      <c r="BY93" s="106">
        <v>15951.599999999999</v>
      </c>
      <c r="BZ93" s="106">
        <v>12</v>
      </c>
      <c r="CA93" s="106">
        <v>21268.799999999999</v>
      </c>
      <c r="CB93" s="106">
        <v>11</v>
      </c>
      <c r="CC93" s="106">
        <v>19496.399999999998</v>
      </c>
      <c r="CD93" s="106">
        <v>13</v>
      </c>
      <c r="CE93" s="106">
        <v>23041.199999999997</v>
      </c>
      <c r="CF93" s="106">
        <v>4</v>
      </c>
      <c r="CG93" s="106">
        <v>7089.5999999999995</v>
      </c>
      <c r="CH93" s="106">
        <v>5</v>
      </c>
      <c r="CI93" s="106">
        <v>8862</v>
      </c>
      <c r="CJ93" s="106">
        <v>4</v>
      </c>
      <c r="CK93" s="106">
        <v>7089.5999999999995</v>
      </c>
      <c r="CL93" s="106">
        <v>7</v>
      </c>
      <c r="CM93" s="106">
        <v>12406.8</v>
      </c>
      <c r="CN93" s="106">
        <v>5</v>
      </c>
      <c r="CO93" s="106">
        <v>8862</v>
      </c>
      <c r="CP93" s="106">
        <v>3</v>
      </c>
      <c r="CQ93" s="106">
        <v>5317.2</v>
      </c>
      <c r="CR93" s="106">
        <v>4</v>
      </c>
      <c r="CS93" s="106">
        <v>7089.5999999999995</v>
      </c>
      <c r="CT93" s="106">
        <v>3</v>
      </c>
      <c r="CU93" s="106">
        <v>5317.2</v>
      </c>
    </row>
    <row r="94" spans="2:99" x14ac:dyDescent="0.2">
      <c r="C94" s="105" t="s">
        <v>259</v>
      </c>
      <c r="D94" s="106">
        <v>6</v>
      </c>
      <c r="E94" s="106">
        <v>14371.199999999999</v>
      </c>
      <c r="F94" s="106">
        <v>4</v>
      </c>
      <c r="G94" s="106">
        <v>9580.7999999999993</v>
      </c>
      <c r="H94" s="106">
        <v>6</v>
      </c>
      <c r="I94" s="106">
        <v>14371.199999999999</v>
      </c>
      <c r="J94" s="106">
        <v>6</v>
      </c>
      <c r="K94" s="106">
        <v>14371.199999999999</v>
      </c>
      <c r="L94" s="106">
        <v>9</v>
      </c>
      <c r="M94" s="106">
        <v>21556.799999999999</v>
      </c>
      <c r="N94" s="106">
        <v>8</v>
      </c>
      <c r="O94" s="106">
        <v>19161.599999999999</v>
      </c>
      <c r="P94" s="106">
        <v>6</v>
      </c>
      <c r="Q94" s="106">
        <v>14371.199999999999</v>
      </c>
      <c r="R94" s="106">
        <v>6</v>
      </c>
      <c r="S94" s="106">
        <v>14371.199999999999</v>
      </c>
      <c r="T94" s="106">
        <v>8</v>
      </c>
      <c r="U94" s="106">
        <v>19161.599999999999</v>
      </c>
      <c r="V94" s="106">
        <v>11</v>
      </c>
      <c r="W94" s="106">
        <v>26347.199999999997</v>
      </c>
      <c r="X94" s="106">
        <v>8</v>
      </c>
      <c r="Y94" s="106">
        <v>19161.599999999999</v>
      </c>
      <c r="Z94" s="106">
        <v>6</v>
      </c>
      <c r="AA94" s="106">
        <v>14371.199999999999</v>
      </c>
      <c r="AB94" s="106">
        <v>11</v>
      </c>
      <c r="AC94" s="106">
        <v>26347.199999999997</v>
      </c>
      <c r="AD94" s="106">
        <v>15</v>
      </c>
      <c r="AE94" s="106">
        <v>35928</v>
      </c>
      <c r="AF94" s="106">
        <v>13</v>
      </c>
      <c r="AG94" s="106">
        <v>31137.599999999999</v>
      </c>
      <c r="AH94" s="106">
        <v>13</v>
      </c>
      <c r="AI94" s="106">
        <v>31137.599999999999</v>
      </c>
      <c r="AJ94" s="106">
        <v>9</v>
      </c>
      <c r="AK94" s="106">
        <v>21556.799999999999</v>
      </c>
      <c r="AL94" s="106">
        <v>11</v>
      </c>
      <c r="AM94" s="106">
        <v>26347.199999999997</v>
      </c>
      <c r="AN94" s="106">
        <v>8</v>
      </c>
      <c r="AO94" s="106">
        <v>19161.599999999999</v>
      </c>
      <c r="AP94" s="106">
        <v>15</v>
      </c>
      <c r="AQ94" s="106">
        <v>35928</v>
      </c>
      <c r="AR94" s="106">
        <v>27</v>
      </c>
      <c r="AS94" s="106">
        <v>64670.399999999994</v>
      </c>
      <c r="AT94" s="106">
        <v>17</v>
      </c>
      <c r="AU94" s="106">
        <v>40718.399999999994</v>
      </c>
      <c r="AV94" s="106">
        <v>18</v>
      </c>
      <c r="AW94" s="106">
        <v>43113.599999999999</v>
      </c>
      <c r="AX94" s="106">
        <v>26</v>
      </c>
      <c r="AY94" s="106">
        <v>62275.199999999997</v>
      </c>
      <c r="AZ94" s="106">
        <v>4</v>
      </c>
      <c r="BA94" s="106">
        <v>9580.7999999999993</v>
      </c>
      <c r="BB94" s="106">
        <v>5</v>
      </c>
      <c r="BC94" s="106">
        <v>11976</v>
      </c>
      <c r="BD94" s="106">
        <v>5</v>
      </c>
      <c r="BE94" s="106">
        <v>11976</v>
      </c>
      <c r="BF94" s="106">
        <v>6</v>
      </c>
      <c r="BG94" s="106">
        <v>14371.199999999999</v>
      </c>
      <c r="BH94" s="106">
        <v>11</v>
      </c>
      <c r="BI94" s="106">
        <v>26347.199999999997</v>
      </c>
      <c r="BJ94" s="106">
        <v>12</v>
      </c>
      <c r="BK94" s="106">
        <v>28742.399999999998</v>
      </c>
      <c r="BL94" s="106">
        <v>7</v>
      </c>
      <c r="BM94" s="106">
        <v>16766.399999999998</v>
      </c>
      <c r="BN94" s="106">
        <v>12</v>
      </c>
      <c r="BO94" s="106">
        <v>28742.399999999998</v>
      </c>
      <c r="BP94" s="106">
        <v>16</v>
      </c>
      <c r="BQ94" s="106">
        <v>38323.199999999997</v>
      </c>
      <c r="BR94" s="106">
        <v>17</v>
      </c>
      <c r="BS94" s="106">
        <v>40718.399999999994</v>
      </c>
      <c r="BT94" s="106">
        <v>15</v>
      </c>
      <c r="BU94" s="106">
        <v>35928</v>
      </c>
      <c r="BV94" s="106">
        <v>20</v>
      </c>
      <c r="BW94" s="106">
        <v>47904</v>
      </c>
      <c r="BX94" s="106">
        <v>8</v>
      </c>
      <c r="BY94" s="106">
        <v>19161.599999999999</v>
      </c>
      <c r="BZ94" s="106">
        <v>10</v>
      </c>
      <c r="CA94" s="106">
        <v>23952</v>
      </c>
      <c r="CB94" s="106">
        <v>11</v>
      </c>
      <c r="CC94" s="106">
        <v>26347.199999999997</v>
      </c>
      <c r="CD94" s="106">
        <v>13</v>
      </c>
      <c r="CE94" s="106">
        <v>31137.599999999999</v>
      </c>
      <c r="CF94" s="106">
        <v>4</v>
      </c>
      <c r="CG94" s="106">
        <v>9580.7999999999993</v>
      </c>
      <c r="CH94" s="106">
        <v>4</v>
      </c>
      <c r="CI94" s="106">
        <v>9580.7999999999993</v>
      </c>
      <c r="CJ94" s="106">
        <v>4</v>
      </c>
      <c r="CK94" s="106">
        <v>9580.7999999999993</v>
      </c>
      <c r="CL94" s="106">
        <v>6</v>
      </c>
      <c r="CM94" s="106">
        <v>14371.199999999999</v>
      </c>
      <c r="CN94" s="106">
        <v>5</v>
      </c>
      <c r="CO94" s="106">
        <v>11976</v>
      </c>
      <c r="CP94" s="106">
        <v>3</v>
      </c>
      <c r="CQ94" s="106">
        <v>7185.5999999999995</v>
      </c>
      <c r="CR94" s="106">
        <v>4</v>
      </c>
      <c r="CS94" s="106">
        <v>9580.7999999999993</v>
      </c>
      <c r="CT94" s="106">
        <v>3</v>
      </c>
      <c r="CU94" s="106">
        <v>7185.5999999999995</v>
      </c>
    </row>
    <row r="95" spans="2:99" x14ac:dyDescent="0.2">
      <c r="B95" s="105" t="s">
        <v>132</v>
      </c>
      <c r="C95" s="105" t="s">
        <v>260</v>
      </c>
      <c r="D95" s="106">
        <v>10</v>
      </c>
      <c r="E95" s="106">
        <v>17328</v>
      </c>
      <c r="F95" s="106">
        <v>16</v>
      </c>
      <c r="G95" s="106">
        <v>27724.799999999999</v>
      </c>
      <c r="H95" s="106">
        <v>21</v>
      </c>
      <c r="I95" s="106">
        <v>36388.799999999996</v>
      </c>
      <c r="J95" s="106">
        <v>21</v>
      </c>
      <c r="K95" s="106">
        <v>36388.799999999996</v>
      </c>
      <c r="L95" s="106">
        <v>35</v>
      </c>
      <c r="M95" s="106">
        <v>60648</v>
      </c>
      <c r="N95" s="106">
        <v>38</v>
      </c>
      <c r="O95" s="106">
        <v>65846.399999999994</v>
      </c>
      <c r="P95" s="106">
        <v>21</v>
      </c>
      <c r="Q95" s="106">
        <v>36388.799999999996</v>
      </c>
      <c r="R95" s="106">
        <v>34</v>
      </c>
      <c r="S95" s="106">
        <v>58915.199999999997</v>
      </c>
      <c r="T95" s="106">
        <v>19</v>
      </c>
      <c r="U95" s="106">
        <v>32923.199999999997</v>
      </c>
      <c r="V95" s="106">
        <v>13</v>
      </c>
      <c r="W95" s="106">
        <v>22526.399999999998</v>
      </c>
      <c r="X95" s="106">
        <v>17</v>
      </c>
      <c r="Y95" s="106">
        <v>29457.599999999999</v>
      </c>
      <c r="Z95" s="106">
        <v>11</v>
      </c>
      <c r="AA95" s="106">
        <v>19060.8</v>
      </c>
      <c r="AB95" s="106">
        <v>9</v>
      </c>
      <c r="AC95" s="106">
        <v>15595.199999999999</v>
      </c>
      <c r="AD95" s="106">
        <v>8</v>
      </c>
      <c r="AE95" s="106">
        <v>13862.4</v>
      </c>
      <c r="AF95" s="106">
        <v>7</v>
      </c>
      <c r="AG95" s="106">
        <v>12129.6</v>
      </c>
      <c r="AH95" s="106">
        <v>7</v>
      </c>
      <c r="AI95" s="106">
        <v>12129.6</v>
      </c>
      <c r="AJ95" s="106">
        <v>11</v>
      </c>
      <c r="AK95" s="106">
        <v>19060.8</v>
      </c>
      <c r="AL95" s="106">
        <v>11</v>
      </c>
      <c r="AM95" s="106">
        <v>19060.8</v>
      </c>
      <c r="AN95" s="106">
        <v>7</v>
      </c>
      <c r="AO95" s="106">
        <v>12129.6</v>
      </c>
      <c r="AP95" s="106">
        <v>9</v>
      </c>
      <c r="AQ95" s="106">
        <v>15595.199999999999</v>
      </c>
      <c r="AR95" s="106">
        <v>3</v>
      </c>
      <c r="AS95" s="106">
        <v>5198.3999999999996</v>
      </c>
      <c r="AT95" s="106">
        <v>6</v>
      </c>
      <c r="AU95" s="106">
        <v>10396.799999999999</v>
      </c>
      <c r="AV95" s="106">
        <v>4</v>
      </c>
      <c r="AW95" s="106">
        <v>6931.2</v>
      </c>
      <c r="AX95" s="106">
        <v>3</v>
      </c>
      <c r="AY95" s="106">
        <v>5198.3999999999996</v>
      </c>
      <c r="AZ95" s="106">
        <v>9</v>
      </c>
      <c r="BA95" s="106">
        <v>15595.199999999999</v>
      </c>
      <c r="BB95" s="106">
        <v>9</v>
      </c>
      <c r="BC95" s="106">
        <v>15595.199999999999</v>
      </c>
      <c r="BD95" s="106">
        <v>9</v>
      </c>
      <c r="BE95" s="106">
        <v>15595.199999999999</v>
      </c>
      <c r="BF95" s="106">
        <v>12</v>
      </c>
      <c r="BG95" s="106">
        <v>20793.599999999999</v>
      </c>
      <c r="BH95" s="106">
        <v>13</v>
      </c>
      <c r="BI95" s="106">
        <v>22526.399999999998</v>
      </c>
      <c r="BJ95" s="106">
        <v>12</v>
      </c>
      <c r="BK95" s="106">
        <v>20793.599999999999</v>
      </c>
      <c r="BL95" s="106">
        <v>11</v>
      </c>
      <c r="BM95" s="106">
        <v>19060.8</v>
      </c>
      <c r="BN95" s="106">
        <v>12</v>
      </c>
      <c r="BO95" s="106">
        <v>20793.599999999999</v>
      </c>
      <c r="BP95" s="106">
        <v>5</v>
      </c>
      <c r="BQ95" s="106">
        <v>8664</v>
      </c>
      <c r="BR95" s="106">
        <v>4</v>
      </c>
      <c r="BS95" s="106">
        <v>6931.2</v>
      </c>
      <c r="BT95" s="106">
        <v>4</v>
      </c>
      <c r="BU95" s="106">
        <v>6931.2</v>
      </c>
      <c r="BV95" s="106">
        <v>4</v>
      </c>
      <c r="BW95" s="106">
        <v>6931.2</v>
      </c>
      <c r="BX95" s="106">
        <v>10</v>
      </c>
      <c r="BY95" s="106">
        <v>17328</v>
      </c>
      <c r="BZ95" s="106">
        <v>15</v>
      </c>
      <c r="CA95" s="106">
        <v>25992</v>
      </c>
      <c r="CB95" s="106">
        <v>14</v>
      </c>
      <c r="CC95" s="106">
        <v>24259.200000000001</v>
      </c>
      <c r="CD95" s="106">
        <v>9</v>
      </c>
      <c r="CE95" s="106">
        <v>15595.199999999999</v>
      </c>
      <c r="CF95" s="106">
        <v>7</v>
      </c>
      <c r="CG95" s="106">
        <v>12129.6</v>
      </c>
      <c r="CH95" s="106">
        <v>6</v>
      </c>
      <c r="CI95" s="106">
        <v>10396.799999999999</v>
      </c>
      <c r="CJ95" s="106">
        <v>7</v>
      </c>
      <c r="CK95" s="106">
        <v>12129.6</v>
      </c>
      <c r="CL95" s="106">
        <v>6</v>
      </c>
      <c r="CM95" s="106">
        <v>10396.799999999999</v>
      </c>
      <c r="CN95" s="106">
        <v>10</v>
      </c>
      <c r="CO95" s="106">
        <v>17328</v>
      </c>
      <c r="CP95" s="106">
        <v>8</v>
      </c>
      <c r="CQ95" s="106">
        <v>13862.4</v>
      </c>
      <c r="CR95" s="106">
        <v>8</v>
      </c>
      <c r="CS95" s="106">
        <v>13862.4</v>
      </c>
      <c r="CT95" s="106">
        <v>13</v>
      </c>
      <c r="CU95" s="106">
        <v>22526.399999999998</v>
      </c>
    </row>
    <row r="96" spans="2:99" x14ac:dyDescent="0.2">
      <c r="C96" s="105" t="s">
        <v>261</v>
      </c>
      <c r="D96" s="106">
        <v>13</v>
      </c>
      <c r="E96" s="106">
        <v>10701.599999999999</v>
      </c>
      <c r="F96" s="106">
        <v>19</v>
      </c>
      <c r="G96" s="106">
        <v>15640.8</v>
      </c>
      <c r="H96" s="106">
        <v>21</v>
      </c>
      <c r="I96" s="106">
        <v>17287.199999999997</v>
      </c>
      <c r="J96" s="106">
        <v>20</v>
      </c>
      <c r="K96" s="106">
        <v>16464</v>
      </c>
      <c r="L96" s="106">
        <v>44</v>
      </c>
      <c r="M96" s="106">
        <v>36220.799999999996</v>
      </c>
      <c r="N96" s="106">
        <v>44</v>
      </c>
      <c r="O96" s="106">
        <v>36220.799999999996</v>
      </c>
      <c r="P96" s="106">
        <v>25</v>
      </c>
      <c r="Q96" s="106">
        <v>20580</v>
      </c>
      <c r="R96" s="106">
        <v>35</v>
      </c>
      <c r="S96" s="106">
        <v>28811.999999999996</v>
      </c>
      <c r="T96" s="106">
        <v>21</v>
      </c>
      <c r="U96" s="106">
        <v>17287.199999999997</v>
      </c>
      <c r="V96" s="106">
        <v>17</v>
      </c>
      <c r="W96" s="106">
        <v>13994.4</v>
      </c>
      <c r="X96" s="106">
        <v>17</v>
      </c>
      <c r="Y96" s="106">
        <v>13994.4</v>
      </c>
      <c r="Z96" s="106">
        <v>14</v>
      </c>
      <c r="AA96" s="106">
        <v>11524.8</v>
      </c>
      <c r="AB96" s="106">
        <v>10</v>
      </c>
      <c r="AC96" s="106">
        <v>8232</v>
      </c>
      <c r="AD96" s="106">
        <v>9</v>
      </c>
      <c r="AE96" s="106">
        <v>7408.7999999999993</v>
      </c>
      <c r="AF96" s="106">
        <v>9</v>
      </c>
      <c r="AG96" s="106">
        <v>7408.7999999999993</v>
      </c>
      <c r="AH96" s="106">
        <v>9</v>
      </c>
      <c r="AI96" s="106">
        <v>7408.7999999999993</v>
      </c>
      <c r="AJ96" s="106">
        <v>12</v>
      </c>
      <c r="AK96" s="106">
        <v>9878.4</v>
      </c>
      <c r="AL96" s="106">
        <v>11</v>
      </c>
      <c r="AM96" s="106">
        <v>9055.1999999999989</v>
      </c>
      <c r="AN96" s="106">
        <v>7</v>
      </c>
      <c r="AO96" s="106">
        <v>5762.4</v>
      </c>
      <c r="AP96" s="106">
        <v>10</v>
      </c>
      <c r="AQ96" s="106">
        <v>8232</v>
      </c>
      <c r="AR96" s="106">
        <v>3</v>
      </c>
      <c r="AS96" s="106">
        <v>2469.6</v>
      </c>
      <c r="AT96" s="106">
        <v>6</v>
      </c>
      <c r="AU96" s="106">
        <v>4939.2</v>
      </c>
      <c r="AV96" s="106">
        <v>5</v>
      </c>
      <c r="AW96" s="106">
        <v>4116</v>
      </c>
      <c r="AX96" s="106">
        <v>3</v>
      </c>
      <c r="AY96" s="106">
        <v>2469.6</v>
      </c>
      <c r="AZ96" s="106">
        <v>9</v>
      </c>
      <c r="BA96" s="106">
        <v>7408.7999999999993</v>
      </c>
      <c r="BB96" s="106">
        <v>11</v>
      </c>
      <c r="BC96" s="106">
        <v>9055.1999999999989</v>
      </c>
      <c r="BD96" s="106">
        <v>10</v>
      </c>
      <c r="BE96" s="106">
        <v>8232</v>
      </c>
      <c r="BF96" s="106">
        <v>13</v>
      </c>
      <c r="BG96" s="106">
        <v>10701.599999999999</v>
      </c>
      <c r="BH96" s="106">
        <v>15</v>
      </c>
      <c r="BI96" s="106">
        <v>12347.999999999998</v>
      </c>
      <c r="BJ96" s="106">
        <v>14</v>
      </c>
      <c r="BK96" s="106">
        <v>11524.8</v>
      </c>
      <c r="BL96" s="106">
        <v>11</v>
      </c>
      <c r="BM96" s="106">
        <v>9055.1999999999989</v>
      </c>
      <c r="BN96" s="106">
        <v>12</v>
      </c>
      <c r="BO96" s="106">
        <v>9878.4</v>
      </c>
      <c r="BP96" s="106">
        <v>6</v>
      </c>
      <c r="BQ96" s="106">
        <v>4939.2</v>
      </c>
      <c r="BR96" s="106">
        <v>5</v>
      </c>
      <c r="BS96" s="106">
        <v>4116</v>
      </c>
      <c r="BT96" s="106">
        <v>4</v>
      </c>
      <c r="BU96" s="106">
        <v>3292.7999999999997</v>
      </c>
      <c r="BV96" s="106">
        <v>5</v>
      </c>
      <c r="BW96" s="106">
        <v>4116</v>
      </c>
      <c r="BX96" s="106">
        <v>11</v>
      </c>
      <c r="BY96" s="106">
        <v>9055.1999999999989</v>
      </c>
      <c r="BZ96" s="106">
        <v>17</v>
      </c>
      <c r="CA96" s="106">
        <v>13994.4</v>
      </c>
      <c r="CB96" s="106">
        <v>13</v>
      </c>
      <c r="CC96" s="106">
        <v>10701.599999999999</v>
      </c>
      <c r="CD96" s="106">
        <v>10</v>
      </c>
      <c r="CE96" s="106">
        <v>8232</v>
      </c>
      <c r="CF96" s="106">
        <v>7</v>
      </c>
      <c r="CG96" s="106">
        <v>5762.4</v>
      </c>
      <c r="CH96" s="106">
        <v>7</v>
      </c>
      <c r="CI96" s="106">
        <v>5762.4</v>
      </c>
      <c r="CJ96" s="106">
        <v>7</v>
      </c>
      <c r="CK96" s="106">
        <v>5762.4</v>
      </c>
      <c r="CL96" s="106">
        <v>5</v>
      </c>
      <c r="CM96" s="106">
        <v>4116</v>
      </c>
      <c r="CN96" s="106">
        <v>10</v>
      </c>
      <c r="CO96" s="106">
        <v>8232</v>
      </c>
      <c r="CP96" s="106">
        <v>8</v>
      </c>
      <c r="CQ96" s="106">
        <v>6585.5999999999995</v>
      </c>
      <c r="CR96" s="106">
        <v>10</v>
      </c>
      <c r="CS96" s="106">
        <v>8232</v>
      </c>
      <c r="CT96" s="106">
        <v>14</v>
      </c>
      <c r="CU96" s="106">
        <v>11524.8</v>
      </c>
    </row>
    <row r="97" spans="2:99" x14ac:dyDescent="0.2">
      <c r="C97" s="105" t="s">
        <v>262</v>
      </c>
      <c r="D97" s="106">
        <v>10</v>
      </c>
      <c r="E97" s="106">
        <v>18288</v>
      </c>
      <c r="F97" s="106">
        <v>17</v>
      </c>
      <c r="G97" s="106">
        <v>31089.599999999999</v>
      </c>
      <c r="H97" s="106">
        <v>18</v>
      </c>
      <c r="I97" s="106">
        <v>32918.400000000001</v>
      </c>
      <c r="J97" s="106">
        <v>18</v>
      </c>
      <c r="K97" s="106">
        <v>32918.400000000001</v>
      </c>
      <c r="L97" s="106">
        <v>35</v>
      </c>
      <c r="M97" s="106">
        <v>64008</v>
      </c>
      <c r="N97" s="106">
        <v>40</v>
      </c>
      <c r="O97" s="106">
        <v>73152</v>
      </c>
      <c r="P97" s="106">
        <v>22</v>
      </c>
      <c r="Q97" s="106">
        <v>40233.599999999999</v>
      </c>
      <c r="R97" s="106">
        <v>29</v>
      </c>
      <c r="S97" s="106">
        <v>53035.199999999997</v>
      </c>
      <c r="T97" s="106">
        <v>17</v>
      </c>
      <c r="U97" s="106">
        <v>31089.599999999999</v>
      </c>
      <c r="V97" s="106">
        <v>13</v>
      </c>
      <c r="W97" s="106">
        <v>23774.399999999998</v>
      </c>
      <c r="X97" s="106">
        <v>16</v>
      </c>
      <c r="Y97" s="106">
        <v>29260.799999999999</v>
      </c>
      <c r="Z97" s="106">
        <v>10</v>
      </c>
      <c r="AA97" s="106">
        <v>18288</v>
      </c>
      <c r="AB97" s="106">
        <v>8</v>
      </c>
      <c r="AC97" s="106">
        <v>14630.4</v>
      </c>
      <c r="AD97" s="106">
        <v>8</v>
      </c>
      <c r="AE97" s="106">
        <v>14630.4</v>
      </c>
      <c r="AF97" s="106">
        <v>8</v>
      </c>
      <c r="AG97" s="106">
        <v>14630.4</v>
      </c>
      <c r="AH97" s="106">
        <v>8</v>
      </c>
      <c r="AI97" s="106">
        <v>14630.4</v>
      </c>
      <c r="AJ97" s="106">
        <v>10</v>
      </c>
      <c r="AK97" s="106">
        <v>18288</v>
      </c>
      <c r="AL97" s="106">
        <v>11</v>
      </c>
      <c r="AM97" s="106">
        <v>20116.8</v>
      </c>
      <c r="AN97" s="106">
        <v>6</v>
      </c>
      <c r="AO97" s="106">
        <v>10972.8</v>
      </c>
      <c r="AP97" s="106">
        <v>8</v>
      </c>
      <c r="AQ97" s="106">
        <v>14630.4</v>
      </c>
      <c r="AR97" s="106">
        <v>3</v>
      </c>
      <c r="AS97" s="106">
        <v>5486.4</v>
      </c>
      <c r="AT97" s="106">
        <v>6</v>
      </c>
      <c r="AU97" s="106">
        <v>10972.8</v>
      </c>
      <c r="AV97" s="106">
        <v>5</v>
      </c>
      <c r="AW97" s="106">
        <v>9144</v>
      </c>
      <c r="AX97" s="106">
        <v>4</v>
      </c>
      <c r="AY97" s="106">
        <v>7315.2</v>
      </c>
      <c r="AZ97" s="106">
        <v>8</v>
      </c>
      <c r="BA97" s="106">
        <v>14630.4</v>
      </c>
      <c r="BB97" s="106">
        <v>9</v>
      </c>
      <c r="BC97" s="106">
        <v>16459.2</v>
      </c>
      <c r="BD97" s="106">
        <v>10</v>
      </c>
      <c r="BE97" s="106">
        <v>18288</v>
      </c>
      <c r="BF97" s="106">
        <v>12</v>
      </c>
      <c r="BG97" s="106">
        <v>21945.599999999999</v>
      </c>
      <c r="BH97" s="106">
        <v>13</v>
      </c>
      <c r="BI97" s="106">
        <v>23774.399999999998</v>
      </c>
      <c r="BJ97" s="106">
        <v>12</v>
      </c>
      <c r="BK97" s="106">
        <v>21945.599999999999</v>
      </c>
      <c r="BL97" s="106">
        <v>11</v>
      </c>
      <c r="BM97" s="106">
        <v>20116.8</v>
      </c>
      <c r="BN97" s="106">
        <v>10</v>
      </c>
      <c r="BO97" s="106">
        <v>18288</v>
      </c>
      <c r="BP97" s="106">
        <v>6</v>
      </c>
      <c r="BQ97" s="106">
        <v>10972.8</v>
      </c>
      <c r="BR97" s="106">
        <v>4</v>
      </c>
      <c r="BS97" s="106">
        <v>7315.2</v>
      </c>
      <c r="BT97" s="106">
        <v>4</v>
      </c>
      <c r="BU97" s="106">
        <v>7315.2</v>
      </c>
      <c r="BV97" s="106">
        <v>4</v>
      </c>
      <c r="BW97" s="106">
        <v>7315.2</v>
      </c>
      <c r="BX97" s="106">
        <v>8</v>
      </c>
      <c r="BY97" s="106">
        <v>14630.4</v>
      </c>
      <c r="BZ97" s="106">
        <v>15</v>
      </c>
      <c r="CA97" s="106">
        <v>27432</v>
      </c>
      <c r="CB97" s="106">
        <v>14</v>
      </c>
      <c r="CC97" s="106">
        <v>25603.200000000001</v>
      </c>
      <c r="CD97" s="106">
        <v>9</v>
      </c>
      <c r="CE97" s="106">
        <v>16459.2</v>
      </c>
      <c r="CF97" s="106">
        <v>8</v>
      </c>
      <c r="CG97" s="106">
        <v>14630.4</v>
      </c>
      <c r="CH97" s="106">
        <v>7</v>
      </c>
      <c r="CI97" s="106">
        <v>12801.6</v>
      </c>
      <c r="CJ97" s="106">
        <v>6</v>
      </c>
      <c r="CK97" s="106">
        <v>10972.8</v>
      </c>
      <c r="CL97" s="106">
        <v>5</v>
      </c>
      <c r="CM97" s="106">
        <v>9144</v>
      </c>
      <c r="CN97" s="106">
        <v>10</v>
      </c>
      <c r="CO97" s="106">
        <v>18288</v>
      </c>
      <c r="CP97" s="106">
        <v>7</v>
      </c>
      <c r="CQ97" s="106">
        <v>12801.6</v>
      </c>
      <c r="CR97" s="106">
        <v>8</v>
      </c>
      <c r="CS97" s="106">
        <v>14630.4</v>
      </c>
      <c r="CT97" s="106">
        <v>14</v>
      </c>
      <c r="CU97" s="106">
        <v>25603.200000000001</v>
      </c>
    </row>
    <row r="98" spans="2:99" x14ac:dyDescent="0.2">
      <c r="C98" s="105" t="s">
        <v>263</v>
      </c>
      <c r="D98" s="106">
        <v>11</v>
      </c>
      <c r="E98" s="106">
        <v>13899.599999999999</v>
      </c>
      <c r="F98" s="106">
        <v>19</v>
      </c>
      <c r="G98" s="106">
        <v>24008.399999999998</v>
      </c>
      <c r="H98" s="106">
        <v>22</v>
      </c>
      <c r="I98" s="106">
        <v>27799.199999999997</v>
      </c>
      <c r="J98" s="106">
        <v>18</v>
      </c>
      <c r="K98" s="106">
        <v>22744.799999999999</v>
      </c>
      <c r="L98" s="106">
        <v>40</v>
      </c>
      <c r="M98" s="106">
        <v>50544</v>
      </c>
      <c r="N98" s="106">
        <v>41</v>
      </c>
      <c r="O98" s="106">
        <v>51807.6</v>
      </c>
      <c r="P98" s="106">
        <v>25</v>
      </c>
      <c r="Q98" s="106">
        <v>31589.999999999996</v>
      </c>
      <c r="R98" s="106">
        <v>34</v>
      </c>
      <c r="S98" s="106">
        <v>42962.399999999994</v>
      </c>
      <c r="T98" s="106">
        <v>19</v>
      </c>
      <c r="U98" s="106">
        <v>24008.399999999998</v>
      </c>
      <c r="V98" s="106">
        <v>14</v>
      </c>
      <c r="W98" s="106">
        <v>17690.399999999998</v>
      </c>
      <c r="X98" s="106">
        <v>16</v>
      </c>
      <c r="Y98" s="106">
        <v>20217.599999999999</v>
      </c>
      <c r="Z98" s="106">
        <v>13</v>
      </c>
      <c r="AA98" s="106">
        <v>16426.8</v>
      </c>
      <c r="AB98" s="106">
        <v>10</v>
      </c>
      <c r="AC98" s="106">
        <v>12636</v>
      </c>
      <c r="AD98" s="106">
        <v>9</v>
      </c>
      <c r="AE98" s="106">
        <v>11372.4</v>
      </c>
      <c r="AF98" s="106">
        <v>7</v>
      </c>
      <c r="AG98" s="106">
        <v>8845.1999999999989</v>
      </c>
      <c r="AH98" s="106">
        <v>8</v>
      </c>
      <c r="AI98" s="106">
        <v>10108.799999999999</v>
      </c>
      <c r="AJ98" s="106">
        <v>11</v>
      </c>
      <c r="AK98" s="106">
        <v>13899.599999999999</v>
      </c>
      <c r="AL98" s="106">
        <v>13</v>
      </c>
      <c r="AM98" s="106">
        <v>16426.8</v>
      </c>
      <c r="AN98" s="106">
        <v>6</v>
      </c>
      <c r="AO98" s="106">
        <v>7581.5999999999995</v>
      </c>
      <c r="AP98" s="106">
        <v>10</v>
      </c>
      <c r="AQ98" s="106">
        <v>12636</v>
      </c>
      <c r="AR98" s="106">
        <v>3</v>
      </c>
      <c r="AS98" s="106">
        <v>3790.7999999999997</v>
      </c>
      <c r="AT98" s="106">
        <v>6</v>
      </c>
      <c r="AU98" s="106">
        <v>7581.5999999999995</v>
      </c>
      <c r="AV98" s="106">
        <v>5</v>
      </c>
      <c r="AW98" s="106">
        <v>6318</v>
      </c>
      <c r="AX98" s="106">
        <v>4</v>
      </c>
      <c r="AY98" s="106">
        <v>5054.3999999999996</v>
      </c>
      <c r="AZ98" s="106">
        <v>9</v>
      </c>
      <c r="BA98" s="106">
        <v>11372.4</v>
      </c>
      <c r="BB98" s="106">
        <v>11</v>
      </c>
      <c r="BC98" s="106">
        <v>13899.599999999999</v>
      </c>
      <c r="BD98" s="106">
        <v>10</v>
      </c>
      <c r="BE98" s="106">
        <v>12636</v>
      </c>
      <c r="BF98" s="106">
        <v>11</v>
      </c>
      <c r="BG98" s="106">
        <v>13899.599999999999</v>
      </c>
      <c r="BH98" s="106">
        <v>13</v>
      </c>
      <c r="BI98" s="106">
        <v>16426.8</v>
      </c>
      <c r="BJ98" s="106">
        <v>12</v>
      </c>
      <c r="BK98" s="106">
        <v>15163.199999999999</v>
      </c>
      <c r="BL98" s="106">
        <v>11</v>
      </c>
      <c r="BM98" s="106">
        <v>13899.599999999999</v>
      </c>
      <c r="BN98" s="106">
        <v>12</v>
      </c>
      <c r="BO98" s="106">
        <v>15163.199999999999</v>
      </c>
      <c r="BP98" s="106">
        <v>6</v>
      </c>
      <c r="BQ98" s="106">
        <v>7581.5999999999995</v>
      </c>
      <c r="BR98" s="106">
        <v>5</v>
      </c>
      <c r="BS98" s="106">
        <v>6318</v>
      </c>
      <c r="BT98" s="106">
        <v>5</v>
      </c>
      <c r="BU98" s="106">
        <v>6318</v>
      </c>
      <c r="BV98" s="106">
        <v>4</v>
      </c>
      <c r="BW98" s="106">
        <v>5054.3999999999996</v>
      </c>
      <c r="BX98" s="106">
        <v>10</v>
      </c>
      <c r="BY98" s="106">
        <v>12636</v>
      </c>
      <c r="BZ98" s="106">
        <v>14</v>
      </c>
      <c r="CA98" s="106">
        <v>17690.399999999998</v>
      </c>
      <c r="CB98" s="106">
        <v>12</v>
      </c>
      <c r="CC98" s="106">
        <v>15163.199999999999</v>
      </c>
      <c r="CD98" s="106">
        <v>11</v>
      </c>
      <c r="CE98" s="106">
        <v>13899.599999999999</v>
      </c>
      <c r="CF98" s="106">
        <v>7</v>
      </c>
      <c r="CG98" s="106">
        <v>8845.1999999999989</v>
      </c>
      <c r="CH98" s="106">
        <v>8</v>
      </c>
      <c r="CI98" s="106">
        <v>10108.799999999999</v>
      </c>
      <c r="CJ98" s="106">
        <v>6</v>
      </c>
      <c r="CK98" s="106">
        <v>7581.5999999999995</v>
      </c>
      <c r="CL98" s="106">
        <v>6</v>
      </c>
      <c r="CM98" s="106">
        <v>7581.5999999999995</v>
      </c>
      <c r="CN98" s="106">
        <v>11</v>
      </c>
      <c r="CO98" s="106">
        <v>13899.599999999999</v>
      </c>
      <c r="CP98" s="106">
        <v>8</v>
      </c>
      <c r="CQ98" s="106">
        <v>10108.799999999999</v>
      </c>
      <c r="CR98" s="106">
        <v>9</v>
      </c>
      <c r="CS98" s="106">
        <v>11372.4</v>
      </c>
      <c r="CT98" s="106">
        <v>15</v>
      </c>
      <c r="CU98" s="106">
        <v>18954</v>
      </c>
    </row>
    <row r="99" spans="2:99" x14ac:dyDescent="0.2">
      <c r="C99" s="105" t="s">
        <v>264</v>
      </c>
      <c r="D99" s="106">
        <v>7</v>
      </c>
      <c r="E99" s="106">
        <v>38371.199999999997</v>
      </c>
      <c r="F99" s="106">
        <v>12</v>
      </c>
      <c r="G99" s="106">
        <v>65779.199999999997</v>
      </c>
      <c r="H99" s="106">
        <v>14</v>
      </c>
      <c r="I99" s="106">
        <v>76742.399999999994</v>
      </c>
      <c r="J99" s="106">
        <v>12</v>
      </c>
      <c r="K99" s="106">
        <v>65779.199999999997</v>
      </c>
      <c r="L99" s="106">
        <v>24</v>
      </c>
      <c r="M99" s="106">
        <v>131558.39999999999</v>
      </c>
      <c r="N99" s="106">
        <v>24</v>
      </c>
      <c r="O99" s="106">
        <v>131558.39999999999</v>
      </c>
      <c r="P99" s="106">
        <v>13</v>
      </c>
      <c r="Q99" s="106">
        <v>71260.799999999988</v>
      </c>
      <c r="R99" s="106">
        <v>18</v>
      </c>
      <c r="S99" s="106">
        <v>98668.799999999988</v>
      </c>
      <c r="T99" s="106">
        <v>12</v>
      </c>
      <c r="U99" s="106">
        <v>65779.199999999997</v>
      </c>
      <c r="V99" s="106">
        <v>10</v>
      </c>
      <c r="W99" s="106">
        <v>54815.999999999993</v>
      </c>
      <c r="X99" s="106">
        <v>10</v>
      </c>
      <c r="Y99" s="106">
        <v>54815.999999999993</v>
      </c>
      <c r="Z99" s="106">
        <v>7</v>
      </c>
      <c r="AA99" s="106">
        <v>38371.199999999997</v>
      </c>
      <c r="AB99" s="106">
        <v>7</v>
      </c>
      <c r="AC99" s="106">
        <v>38371.199999999997</v>
      </c>
      <c r="AD99" s="106">
        <v>6</v>
      </c>
      <c r="AE99" s="106">
        <v>32889.599999999999</v>
      </c>
      <c r="AF99" s="106">
        <v>6</v>
      </c>
      <c r="AG99" s="106">
        <v>32889.599999999999</v>
      </c>
      <c r="AH99" s="106">
        <v>6</v>
      </c>
      <c r="AI99" s="106">
        <v>32889.599999999999</v>
      </c>
      <c r="AJ99" s="106">
        <v>8</v>
      </c>
      <c r="AK99" s="106">
        <v>43852.799999999996</v>
      </c>
      <c r="AL99" s="106">
        <v>8</v>
      </c>
      <c r="AM99" s="106">
        <v>43852.799999999996</v>
      </c>
      <c r="AN99" s="106">
        <v>5</v>
      </c>
      <c r="AO99" s="106">
        <v>27407.999999999996</v>
      </c>
      <c r="AP99" s="106">
        <v>6</v>
      </c>
      <c r="AQ99" s="106">
        <v>32889.599999999999</v>
      </c>
      <c r="AR99" s="106">
        <v>2</v>
      </c>
      <c r="AS99" s="106">
        <v>10963.199999999999</v>
      </c>
      <c r="AT99" s="106">
        <v>5</v>
      </c>
      <c r="AU99" s="106">
        <v>27407.999999999996</v>
      </c>
      <c r="AV99" s="106">
        <v>3</v>
      </c>
      <c r="AW99" s="106">
        <v>16444.8</v>
      </c>
      <c r="AX99" s="106">
        <v>3</v>
      </c>
      <c r="AY99" s="106">
        <v>16444.8</v>
      </c>
      <c r="AZ99" s="106">
        <v>7</v>
      </c>
      <c r="BA99" s="106">
        <v>38371.199999999997</v>
      </c>
      <c r="BB99" s="106">
        <v>7</v>
      </c>
      <c r="BC99" s="106">
        <v>38371.199999999997</v>
      </c>
      <c r="BD99" s="106">
        <v>7</v>
      </c>
      <c r="BE99" s="106">
        <v>38371.199999999997</v>
      </c>
      <c r="BF99" s="106">
        <v>9</v>
      </c>
      <c r="BG99" s="106">
        <v>49334.399999999994</v>
      </c>
      <c r="BH99" s="106">
        <v>10</v>
      </c>
      <c r="BI99" s="106">
        <v>54815.999999999993</v>
      </c>
      <c r="BJ99" s="106">
        <v>8</v>
      </c>
      <c r="BK99" s="106">
        <v>43852.799999999996</v>
      </c>
      <c r="BL99" s="106">
        <v>9</v>
      </c>
      <c r="BM99" s="106">
        <v>49334.399999999994</v>
      </c>
      <c r="BN99" s="106">
        <v>7</v>
      </c>
      <c r="BO99" s="106">
        <v>38371.199999999997</v>
      </c>
      <c r="BP99" s="106">
        <v>4</v>
      </c>
      <c r="BQ99" s="106">
        <v>21926.399999999998</v>
      </c>
      <c r="BR99" s="106">
        <v>4</v>
      </c>
      <c r="BS99" s="106">
        <v>21926.399999999998</v>
      </c>
      <c r="BT99" s="106">
        <v>3</v>
      </c>
      <c r="BU99" s="106">
        <v>16444.8</v>
      </c>
      <c r="BV99" s="106">
        <v>3</v>
      </c>
      <c r="BW99" s="106">
        <v>16444.8</v>
      </c>
      <c r="BX99" s="106">
        <v>7</v>
      </c>
      <c r="BY99" s="106">
        <v>38371.199999999997</v>
      </c>
      <c r="BZ99" s="106">
        <v>10</v>
      </c>
      <c r="CA99" s="106">
        <v>54815.999999999993</v>
      </c>
      <c r="CB99" s="106">
        <v>9</v>
      </c>
      <c r="CC99" s="106">
        <v>49334.399999999994</v>
      </c>
      <c r="CD99" s="106">
        <v>7</v>
      </c>
      <c r="CE99" s="106">
        <v>38371.199999999997</v>
      </c>
      <c r="CF99" s="106">
        <v>5</v>
      </c>
      <c r="CG99" s="106">
        <v>27407.999999999996</v>
      </c>
      <c r="CH99" s="106">
        <v>5</v>
      </c>
      <c r="CI99" s="106">
        <v>27407.999999999996</v>
      </c>
      <c r="CJ99" s="106">
        <v>6</v>
      </c>
      <c r="CK99" s="106">
        <v>32889.599999999999</v>
      </c>
      <c r="CL99" s="106">
        <v>4</v>
      </c>
      <c r="CM99" s="106">
        <v>21926.399999999998</v>
      </c>
      <c r="CN99" s="106">
        <v>7</v>
      </c>
      <c r="CO99" s="106">
        <v>38371.199999999997</v>
      </c>
      <c r="CP99" s="106">
        <v>5</v>
      </c>
      <c r="CQ99" s="106">
        <v>27407.999999999996</v>
      </c>
      <c r="CR99" s="106">
        <v>7</v>
      </c>
      <c r="CS99" s="106">
        <v>38371.199999999997</v>
      </c>
      <c r="CT99" s="106">
        <v>10</v>
      </c>
      <c r="CU99" s="106">
        <v>54815.999999999993</v>
      </c>
    </row>
    <row r="100" spans="2:99" x14ac:dyDescent="0.2">
      <c r="C100" s="105" t="s">
        <v>265</v>
      </c>
      <c r="D100" s="106">
        <v>11</v>
      </c>
      <c r="E100" s="106">
        <v>17846.399999999998</v>
      </c>
      <c r="F100" s="106">
        <v>17</v>
      </c>
      <c r="G100" s="106">
        <v>27580.799999999999</v>
      </c>
      <c r="H100" s="106">
        <v>20</v>
      </c>
      <c r="I100" s="106">
        <v>32447.999999999996</v>
      </c>
      <c r="J100" s="106">
        <v>19</v>
      </c>
      <c r="K100" s="106">
        <v>30825.599999999999</v>
      </c>
      <c r="L100" s="106">
        <v>40</v>
      </c>
      <c r="M100" s="106">
        <v>64895.999999999993</v>
      </c>
      <c r="N100" s="106">
        <v>39</v>
      </c>
      <c r="O100" s="106">
        <v>63273.599999999991</v>
      </c>
      <c r="P100" s="106">
        <v>25</v>
      </c>
      <c r="Q100" s="106">
        <v>40560</v>
      </c>
      <c r="R100" s="106">
        <v>32</v>
      </c>
      <c r="S100" s="106">
        <v>51916.799999999996</v>
      </c>
      <c r="T100" s="106">
        <v>18</v>
      </c>
      <c r="U100" s="106">
        <v>29203.199999999997</v>
      </c>
      <c r="V100" s="106">
        <v>14</v>
      </c>
      <c r="W100" s="106">
        <v>22713.599999999999</v>
      </c>
      <c r="X100" s="106">
        <v>15</v>
      </c>
      <c r="Y100" s="106">
        <v>24335.999999999996</v>
      </c>
      <c r="Z100" s="106">
        <v>12</v>
      </c>
      <c r="AA100" s="106">
        <v>19468.8</v>
      </c>
      <c r="AB100" s="106">
        <v>8</v>
      </c>
      <c r="AC100" s="106">
        <v>12979.199999999999</v>
      </c>
      <c r="AD100" s="106">
        <v>9</v>
      </c>
      <c r="AE100" s="106">
        <v>14601.599999999999</v>
      </c>
      <c r="AF100" s="106">
        <v>7</v>
      </c>
      <c r="AG100" s="106">
        <v>11356.8</v>
      </c>
      <c r="AH100" s="106">
        <v>8</v>
      </c>
      <c r="AI100" s="106">
        <v>12979.199999999999</v>
      </c>
      <c r="AJ100" s="106">
        <v>12</v>
      </c>
      <c r="AK100" s="106">
        <v>19468.8</v>
      </c>
      <c r="AL100" s="106">
        <v>12</v>
      </c>
      <c r="AM100" s="106">
        <v>19468.8</v>
      </c>
      <c r="AN100" s="106">
        <v>6</v>
      </c>
      <c r="AO100" s="106">
        <v>9734.4</v>
      </c>
      <c r="AP100" s="106">
        <v>9</v>
      </c>
      <c r="AQ100" s="106">
        <v>14601.599999999999</v>
      </c>
      <c r="AR100" s="106">
        <v>3</v>
      </c>
      <c r="AS100" s="106">
        <v>4867.2</v>
      </c>
      <c r="AT100" s="106">
        <v>5</v>
      </c>
      <c r="AU100" s="106">
        <v>8111.9999999999991</v>
      </c>
      <c r="AV100" s="106">
        <v>5</v>
      </c>
      <c r="AW100" s="106">
        <v>8111.9999999999991</v>
      </c>
      <c r="AX100" s="106">
        <v>3</v>
      </c>
      <c r="AY100" s="106">
        <v>4867.2</v>
      </c>
      <c r="AZ100" s="106">
        <v>9</v>
      </c>
      <c r="BA100" s="106">
        <v>14601.599999999999</v>
      </c>
      <c r="BB100" s="106">
        <v>10</v>
      </c>
      <c r="BC100" s="106">
        <v>16223.999999999998</v>
      </c>
      <c r="BD100" s="106">
        <v>10</v>
      </c>
      <c r="BE100" s="106">
        <v>16223.999999999998</v>
      </c>
      <c r="BF100" s="106">
        <v>12</v>
      </c>
      <c r="BG100" s="106">
        <v>19468.8</v>
      </c>
      <c r="BH100" s="106">
        <v>13</v>
      </c>
      <c r="BI100" s="106">
        <v>21091.199999999997</v>
      </c>
      <c r="BJ100" s="106">
        <v>13</v>
      </c>
      <c r="BK100" s="106">
        <v>21091.199999999997</v>
      </c>
      <c r="BL100" s="106">
        <v>12</v>
      </c>
      <c r="BM100" s="106">
        <v>19468.8</v>
      </c>
      <c r="BN100" s="106">
        <v>11</v>
      </c>
      <c r="BO100" s="106">
        <v>17846.399999999998</v>
      </c>
      <c r="BP100" s="106">
        <v>6</v>
      </c>
      <c r="BQ100" s="106">
        <v>9734.4</v>
      </c>
      <c r="BR100" s="106">
        <v>5</v>
      </c>
      <c r="BS100" s="106">
        <v>8111.9999999999991</v>
      </c>
      <c r="BT100" s="106">
        <v>5</v>
      </c>
      <c r="BU100" s="106">
        <v>8111.9999999999991</v>
      </c>
      <c r="BV100" s="106">
        <v>4</v>
      </c>
      <c r="BW100" s="106">
        <v>6489.5999999999995</v>
      </c>
      <c r="BX100" s="106">
        <v>8</v>
      </c>
      <c r="BY100" s="106">
        <v>12979.199999999999</v>
      </c>
      <c r="BZ100" s="106">
        <v>14</v>
      </c>
      <c r="CA100" s="106">
        <v>22713.599999999999</v>
      </c>
      <c r="CB100" s="106">
        <v>13</v>
      </c>
      <c r="CC100" s="106">
        <v>21091.199999999997</v>
      </c>
      <c r="CD100" s="106">
        <v>10</v>
      </c>
      <c r="CE100" s="106">
        <v>16223.999999999998</v>
      </c>
      <c r="CF100" s="106">
        <v>7</v>
      </c>
      <c r="CG100" s="106">
        <v>11356.8</v>
      </c>
      <c r="CH100" s="106">
        <v>7</v>
      </c>
      <c r="CI100" s="106">
        <v>11356.8</v>
      </c>
      <c r="CJ100" s="106">
        <v>7</v>
      </c>
      <c r="CK100" s="106">
        <v>11356.8</v>
      </c>
      <c r="CL100" s="106">
        <v>5</v>
      </c>
      <c r="CM100" s="106">
        <v>8111.9999999999991</v>
      </c>
      <c r="CN100" s="106">
        <v>10</v>
      </c>
      <c r="CO100" s="106">
        <v>16223.999999999998</v>
      </c>
      <c r="CP100" s="106">
        <v>7</v>
      </c>
      <c r="CQ100" s="106">
        <v>11356.8</v>
      </c>
      <c r="CR100" s="106">
        <v>8</v>
      </c>
      <c r="CS100" s="106">
        <v>12979.199999999999</v>
      </c>
      <c r="CT100" s="106">
        <v>14</v>
      </c>
      <c r="CU100" s="106">
        <v>22713.599999999999</v>
      </c>
    </row>
    <row r="101" spans="2:99" x14ac:dyDescent="0.2">
      <c r="C101" s="105" t="s">
        <v>266</v>
      </c>
      <c r="D101" s="106">
        <v>11</v>
      </c>
      <c r="E101" s="106">
        <v>13094.399999999998</v>
      </c>
      <c r="F101" s="106">
        <v>18</v>
      </c>
      <c r="G101" s="106">
        <v>21427.199999999997</v>
      </c>
      <c r="H101" s="106">
        <v>20</v>
      </c>
      <c r="I101" s="106">
        <v>23807.999999999996</v>
      </c>
      <c r="J101" s="106">
        <v>19</v>
      </c>
      <c r="K101" s="106">
        <v>22617.599999999999</v>
      </c>
      <c r="L101" s="106">
        <v>43</v>
      </c>
      <c r="M101" s="106">
        <v>51187.199999999997</v>
      </c>
      <c r="N101" s="106">
        <v>39</v>
      </c>
      <c r="O101" s="106">
        <v>46425.599999999991</v>
      </c>
      <c r="P101" s="106">
        <v>27</v>
      </c>
      <c r="Q101" s="106">
        <v>32140.799999999996</v>
      </c>
      <c r="R101" s="106">
        <v>34</v>
      </c>
      <c r="S101" s="106">
        <v>40473.599999999999</v>
      </c>
      <c r="T101" s="106">
        <v>17</v>
      </c>
      <c r="U101" s="106">
        <v>20236.8</v>
      </c>
      <c r="V101" s="106">
        <v>16</v>
      </c>
      <c r="W101" s="106">
        <v>19046.399999999998</v>
      </c>
      <c r="X101" s="106">
        <v>18</v>
      </c>
      <c r="Y101" s="106">
        <v>21427.199999999997</v>
      </c>
      <c r="Z101" s="106">
        <v>12</v>
      </c>
      <c r="AA101" s="106">
        <v>14284.8</v>
      </c>
      <c r="AB101" s="106">
        <v>9</v>
      </c>
      <c r="AC101" s="106">
        <v>10713.599999999999</v>
      </c>
      <c r="AD101" s="106">
        <v>8</v>
      </c>
      <c r="AE101" s="106">
        <v>9523.1999999999989</v>
      </c>
      <c r="AF101" s="106">
        <v>8</v>
      </c>
      <c r="AG101" s="106">
        <v>9523.1999999999989</v>
      </c>
      <c r="AH101" s="106">
        <v>8</v>
      </c>
      <c r="AI101" s="106">
        <v>9523.1999999999989</v>
      </c>
      <c r="AJ101" s="106">
        <v>12</v>
      </c>
      <c r="AK101" s="106">
        <v>14284.8</v>
      </c>
      <c r="AL101" s="106">
        <v>13</v>
      </c>
      <c r="AM101" s="106">
        <v>15475.199999999999</v>
      </c>
      <c r="AN101" s="106">
        <v>7</v>
      </c>
      <c r="AO101" s="106">
        <v>8332.7999999999993</v>
      </c>
      <c r="AP101" s="106">
        <v>10</v>
      </c>
      <c r="AQ101" s="106">
        <v>11903.999999999998</v>
      </c>
      <c r="AR101" s="106">
        <v>3</v>
      </c>
      <c r="AS101" s="106">
        <v>3571.2</v>
      </c>
      <c r="AT101" s="106">
        <v>7</v>
      </c>
      <c r="AU101" s="106">
        <v>8332.7999999999993</v>
      </c>
      <c r="AV101" s="106">
        <v>4</v>
      </c>
      <c r="AW101" s="106">
        <v>4761.5999999999995</v>
      </c>
      <c r="AX101" s="106">
        <v>3</v>
      </c>
      <c r="AY101" s="106">
        <v>3571.2</v>
      </c>
      <c r="AZ101" s="106">
        <v>9</v>
      </c>
      <c r="BA101" s="106">
        <v>10713.599999999999</v>
      </c>
      <c r="BB101" s="106">
        <v>9</v>
      </c>
      <c r="BC101" s="106">
        <v>10713.599999999999</v>
      </c>
      <c r="BD101" s="106">
        <v>10</v>
      </c>
      <c r="BE101" s="106">
        <v>11903.999999999998</v>
      </c>
      <c r="BF101" s="106">
        <v>11</v>
      </c>
      <c r="BG101" s="106">
        <v>13094.399999999998</v>
      </c>
      <c r="BH101" s="106">
        <v>14</v>
      </c>
      <c r="BI101" s="106">
        <v>16665.599999999999</v>
      </c>
      <c r="BJ101" s="106">
        <v>13</v>
      </c>
      <c r="BK101" s="106">
        <v>15475.199999999999</v>
      </c>
      <c r="BL101" s="106">
        <v>11</v>
      </c>
      <c r="BM101" s="106">
        <v>13094.399999999998</v>
      </c>
      <c r="BN101" s="106">
        <v>11</v>
      </c>
      <c r="BO101" s="106">
        <v>13094.399999999998</v>
      </c>
      <c r="BP101" s="106">
        <v>5</v>
      </c>
      <c r="BQ101" s="106">
        <v>5951.9999999999991</v>
      </c>
      <c r="BR101" s="106">
        <v>5</v>
      </c>
      <c r="BS101" s="106">
        <v>5951.9999999999991</v>
      </c>
      <c r="BT101" s="106">
        <v>4</v>
      </c>
      <c r="BU101" s="106">
        <v>4761.5999999999995</v>
      </c>
      <c r="BV101" s="106">
        <v>4</v>
      </c>
      <c r="BW101" s="106">
        <v>4761.5999999999995</v>
      </c>
      <c r="BX101" s="106">
        <v>9</v>
      </c>
      <c r="BY101" s="106">
        <v>10713.599999999999</v>
      </c>
      <c r="BZ101" s="106">
        <v>16</v>
      </c>
      <c r="CA101" s="106">
        <v>19046.399999999998</v>
      </c>
      <c r="CB101" s="106">
        <v>13</v>
      </c>
      <c r="CC101" s="106">
        <v>15475.199999999999</v>
      </c>
      <c r="CD101" s="106">
        <v>11</v>
      </c>
      <c r="CE101" s="106">
        <v>13094.399999999998</v>
      </c>
      <c r="CF101" s="106">
        <v>8</v>
      </c>
      <c r="CG101" s="106">
        <v>9523.1999999999989</v>
      </c>
      <c r="CH101" s="106">
        <v>7</v>
      </c>
      <c r="CI101" s="106">
        <v>8332.7999999999993</v>
      </c>
      <c r="CJ101" s="106">
        <v>6</v>
      </c>
      <c r="CK101" s="106">
        <v>7142.4</v>
      </c>
      <c r="CL101" s="106">
        <v>6</v>
      </c>
      <c r="CM101" s="106">
        <v>7142.4</v>
      </c>
      <c r="CN101" s="106">
        <v>11</v>
      </c>
      <c r="CO101" s="106">
        <v>13094.399999999998</v>
      </c>
      <c r="CP101" s="106">
        <v>8</v>
      </c>
      <c r="CQ101" s="106">
        <v>9523.1999999999989</v>
      </c>
      <c r="CR101" s="106">
        <v>8</v>
      </c>
      <c r="CS101" s="106">
        <v>9523.1999999999989</v>
      </c>
      <c r="CT101" s="106">
        <v>13</v>
      </c>
      <c r="CU101" s="106">
        <v>15475.199999999999</v>
      </c>
    </row>
    <row r="102" spans="2:99" x14ac:dyDescent="0.2">
      <c r="C102" s="105" t="s">
        <v>267</v>
      </c>
      <c r="D102" s="106">
        <v>10</v>
      </c>
      <c r="E102" s="106">
        <v>19392</v>
      </c>
      <c r="F102" s="106">
        <v>16</v>
      </c>
      <c r="G102" s="106">
        <v>31027.199999999997</v>
      </c>
      <c r="H102" s="106">
        <v>17</v>
      </c>
      <c r="I102" s="106">
        <v>32966.399999999994</v>
      </c>
      <c r="J102" s="106">
        <v>21</v>
      </c>
      <c r="K102" s="106">
        <v>40723.199999999997</v>
      </c>
      <c r="L102" s="106">
        <v>36</v>
      </c>
      <c r="M102" s="106">
        <v>69811.199999999997</v>
      </c>
      <c r="N102" s="106">
        <v>36</v>
      </c>
      <c r="O102" s="106">
        <v>69811.199999999997</v>
      </c>
      <c r="P102" s="106">
        <v>22</v>
      </c>
      <c r="Q102" s="106">
        <v>42662.399999999994</v>
      </c>
      <c r="R102" s="106">
        <v>29</v>
      </c>
      <c r="S102" s="106">
        <v>56236.799999999996</v>
      </c>
      <c r="T102" s="106">
        <v>16</v>
      </c>
      <c r="U102" s="106">
        <v>31027.199999999997</v>
      </c>
      <c r="V102" s="106">
        <v>13</v>
      </c>
      <c r="W102" s="106">
        <v>25209.599999999999</v>
      </c>
      <c r="X102" s="106">
        <v>17</v>
      </c>
      <c r="Y102" s="106">
        <v>32966.399999999994</v>
      </c>
      <c r="Z102" s="106">
        <v>12</v>
      </c>
      <c r="AA102" s="106">
        <v>23270.399999999998</v>
      </c>
      <c r="AB102" s="106">
        <v>9</v>
      </c>
      <c r="AC102" s="106">
        <v>17452.8</v>
      </c>
      <c r="AD102" s="106">
        <v>9</v>
      </c>
      <c r="AE102" s="106">
        <v>17452.8</v>
      </c>
      <c r="AF102" s="106">
        <v>7</v>
      </c>
      <c r="AG102" s="106">
        <v>13574.399999999998</v>
      </c>
      <c r="AH102" s="106">
        <v>8</v>
      </c>
      <c r="AI102" s="106">
        <v>15513.599999999999</v>
      </c>
      <c r="AJ102" s="106">
        <v>12</v>
      </c>
      <c r="AK102" s="106">
        <v>23270.399999999998</v>
      </c>
      <c r="AL102" s="106">
        <v>11</v>
      </c>
      <c r="AM102" s="106">
        <v>21331.199999999997</v>
      </c>
      <c r="AN102" s="106">
        <v>7</v>
      </c>
      <c r="AO102" s="106">
        <v>13574.399999999998</v>
      </c>
      <c r="AP102" s="106">
        <v>9</v>
      </c>
      <c r="AQ102" s="106">
        <v>17452.8</v>
      </c>
      <c r="AR102" s="106">
        <v>3</v>
      </c>
      <c r="AS102" s="106">
        <v>5817.5999999999995</v>
      </c>
      <c r="AT102" s="106">
        <v>6</v>
      </c>
      <c r="AU102" s="106">
        <v>11635.199999999999</v>
      </c>
      <c r="AV102" s="106">
        <v>5</v>
      </c>
      <c r="AW102" s="106">
        <v>9696</v>
      </c>
      <c r="AX102" s="106">
        <v>3</v>
      </c>
      <c r="AY102" s="106">
        <v>5817.5999999999995</v>
      </c>
      <c r="AZ102" s="106">
        <v>9</v>
      </c>
      <c r="BA102" s="106">
        <v>17452.8</v>
      </c>
      <c r="BB102" s="106">
        <v>9</v>
      </c>
      <c r="BC102" s="106">
        <v>17452.8</v>
      </c>
      <c r="BD102" s="106">
        <v>10</v>
      </c>
      <c r="BE102" s="106">
        <v>19392</v>
      </c>
      <c r="BF102" s="106">
        <v>12</v>
      </c>
      <c r="BG102" s="106">
        <v>23270.399999999998</v>
      </c>
      <c r="BH102" s="106">
        <v>13</v>
      </c>
      <c r="BI102" s="106">
        <v>25209.599999999999</v>
      </c>
      <c r="BJ102" s="106">
        <v>12</v>
      </c>
      <c r="BK102" s="106">
        <v>23270.399999999998</v>
      </c>
      <c r="BL102" s="106">
        <v>11</v>
      </c>
      <c r="BM102" s="106">
        <v>21331.199999999997</v>
      </c>
      <c r="BN102" s="106">
        <v>10</v>
      </c>
      <c r="BO102" s="106">
        <v>19392</v>
      </c>
      <c r="BP102" s="106">
        <v>5</v>
      </c>
      <c r="BQ102" s="106">
        <v>9696</v>
      </c>
      <c r="BR102" s="106">
        <v>4</v>
      </c>
      <c r="BS102" s="106">
        <v>7756.7999999999993</v>
      </c>
      <c r="BT102" s="106">
        <v>4</v>
      </c>
      <c r="BU102" s="106">
        <v>7756.7999999999993</v>
      </c>
      <c r="BV102" s="106">
        <v>4</v>
      </c>
      <c r="BW102" s="106">
        <v>7756.7999999999993</v>
      </c>
      <c r="BX102" s="106">
        <v>10</v>
      </c>
      <c r="BY102" s="106">
        <v>19392</v>
      </c>
      <c r="BZ102" s="106">
        <v>15</v>
      </c>
      <c r="CA102" s="106">
        <v>29087.999999999996</v>
      </c>
      <c r="CB102" s="106">
        <v>13</v>
      </c>
      <c r="CC102" s="106">
        <v>25209.599999999999</v>
      </c>
      <c r="CD102" s="106">
        <v>10</v>
      </c>
      <c r="CE102" s="106">
        <v>19392</v>
      </c>
      <c r="CF102" s="106">
        <v>8</v>
      </c>
      <c r="CG102" s="106">
        <v>15513.599999999999</v>
      </c>
      <c r="CH102" s="106">
        <v>6</v>
      </c>
      <c r="CI102" s="106">
        <v>11635.199999999999</v>
      </c>
      <c r="CJ102" s="106">
        <v>6</v>
      </c>
      <c r="CK102" s="106">
        <v>11635.199999999999</v>
      </c>
      <c r="CL102" s="106">
        <v>5</v>
      </c>
      <c r="CM102" s="106">
        <v>9696</v>
      </c>
      <c r="CN102" s="106">
        <v>10</v>
      </c>
      <c r="CO102" s="106">
        <v>19392</v>
      </c>
      <c r="CP102" s="106">
        <v>7</v>
      </c>
      <c r="CQ102" s="106">
        <v>13574.399999999998</v>
      </c>
      <c r="CR102" s="106">
        <v>7</v>
      </c>
      <c r="CS102" s="106">
        <v>13574.399999999998</v>
      </c>
      <c r="CT102" s="106">
        <v>13</v>
      </c>
      <c r="CU102" s="106">
        <v>25209.599999999999</v>
      </c>
    </row>
    <row r="103" spans="2:99" x14ac:dyDescent="0.2">
      <c r="C103" s="105" t="s">
        <v>268</v>
      </c>
      <c r="D103" s="106">
        <v>10</v>
      </c>
      <c r="E103" s="106">
        <v>20280</v>
      </c>
      <c r="F103" s="106">
        <v>17</v>
      </c>
      <c r="G103" s="106">
        <v>34476</v>
      </c>
      <c r="H103" s="106">
        <v>18</v>
      </c>
      <c r="I103" s="106">
        <v>36504</v>
      </c>
      <c r="J103" s="106">
        <v>20</v>
      </c>
      <c r="K103" s="106">
        <v>40560</v>
      </c>
      <c r="L103" s="106">
        <v>40</v>
      </c>
      <c r="M103" s="106">
        <v>81120</v>
      </c>
      <c r="N103" s="106">
        <v>34</v>
      </c>
      <c r="O103" s="106">
        <v>68952</v>
      </c>
      <c r="P103" s="106">
        <v>21</v>
      </c>
      <c r="Q103" s="106">
        <v>42588</v>
      </c>
      <c r="R103" s="106">
        <v>28</v>
      </c>
      <c r="S103" s="106">
        <v>56784</v>
      </c>
      <c r="T103" s="106">
        <v>17</v>
      </c>
      <c r="U103" s="106">
        <v>34476</v>
      </c>
      <c r="V103" s="106">
        <v>13</v>
      </c>
      <c r="W103" s="106">
        <v>26364</v>
      </c>
      <c r="X103" s="106">
        <v>15</v>
      </c>
      <c r="Y103" s="106">
        <v>30420</v>
      </c>
      <c r="Z103" s="106">
        <v>10</v>
      </c>
      <c r="AA103" s="106">
        <v>20280</v>
      </c>
      <c r="AB103" s="106">
        <v>8</v>
      </c>
      <c r="AC103" s="106">
        <v>16224</v>
      </c>
      <c r="AD103" s="106">
        <v>9</v>
      </c>
      <c r="AE103" s="106">
        <v>18252</v>
      </c>
      <c r="AF103" s="106">
        <v>7</v>
      </c>
      <c r="AG103" s="106">
        <v>14196</v>
      </c>
      <c r="AH103" s="106">
        <v>7</v>
      </c>
      <c r="AI103" s="106">
        <v>14196</v>
      </c>
      <c r="AJ103" s="106">
        <v>12</v>
      </c>
      <c r="AK103" s="106">
        <v>24336</v>
      </c>
      <c r="AL103" s="106">
        <v>12</v>
      </c>
      <c r="AM103" s="106">
        <v>24336</v>
      </c>
      <c r="AN103" s="106">
        <v>6</v>
      </c>
      <c r="AO103" s="106">
        <v>12168</v>
      </c>
      <c r="AP103" s="106">
        <v>8</v>
      </c>
      <c r="AQ103" s="106">
        <v>16224</v>
      </c>
      <c r="AR103" s="106">
        <v>3</v>
      </c>
      <c r="AS103" s="106">
        <v>6084</v>
      </c>
      <c r="AT103" s="106">
        <v>5</v>
      </c>
      <c r="AU103" s="106">
        <v>10140</v>
      </c>
      <c r="AV103" s="106">
        <v>5</v>
      </c>
      <c r="AW103" s="106">
        <v>10140</v>
      </c>
      <c r="AX103" s="106">
        <v>3</v>
      </c>
      <c r="AY103" s="106">
        <v>6084</v>
      </c>
      <c r="AZ103" s="106">
        <v>8</v>
      </c>
      <c r="BA103" s="106">
        <v>16224</v>
      </c>
      <c r="BB103" s="106">
        <v>9</v>
      </c>
      <c r="BC103" s="106">
        <v>18252</v>
      </c>
      <c r="BD103" s="106">
        <v>10</v>
      </c>
      <c r="BE103" s="106">
        <v>20280</v>
      </c>
      <c r="BF103" s="106">
        <v>12</v>
      </c>
      <c r="BG103" s="106">
        <v>24336</v>
      </c>
      <c r="BH103" s="106">
        <v>11</v>
      </c>
      <c r="BI103" s="106">
        <v>22308</v>
      </c>
      <c r="BJ103" s="106">
        <v>11</v>
      </c>
      <c r="BK103" s="106">
        <v>22308</v>
      </c>
      <c r="BL103" s="106">
        <v>10</v>
      </c>
      <c r="BM103" s="106">
        <v>20280</v>
      </c>
      <c r="BN103" s="106">
        <v>10</v>
      </c>
      <c r="BO103" s="106">
        <v>20280</v>
      </c>
      <c r="BP103" s="106">
        <v>5</v>
      </c>
      <c r="BQ103" s="106">
        <v>10140</v>
      </c>
      <c r="BR103" s="106">
        <v>5</v>
      </c>
      <c r="BS103" s="106">
        <v>10140</v>
      </c>
      <c r="BT103" s="106">
        <v>4</v>
      </c>
      <c r="BU103" s="106">
        <v>8112</v>
      </c>
      <c r="BV103" s="106">
        <v>4</v>
      </c>
      <c r="BW103" s="106">
        <v>8112</v>
      </c>
      <c r="BX103" s="106">
        <v>9</v>
      </c>
      <c r="BY103" s="106">
        <v>18252</v>
      </c>
      <c r="BZ103" s="106">
        <v>15</v>
      </c>
      <c r="CA103" s="106">
        <v>30420</v>
      </c>
      <c r="CB103" s="106">
        <v>13</v>
      </c>
      <c r="CC103" s="106">
        <v>26364</v>
      </c>
      <c r="CD103" s="106">
        <v>10</v>
      </c>
      <c r="CE103" s="106">
        <v>20280</v>
      </c>
      <c r="CF103" s="106">
        <v>7</v>
      </c>
      <c r="CG103" s="106">
        <v>14196</v>
      </c>
      <c r="CH103" s="106">
        <v>6</v>
      </c>
      <c r="CI103" s="106">
        <v>12168</v>
      </c>
      <c r="CJ103" s="106">
        <v>6</v>
      </c>
      <c r="CK103" s="106">
        <v>12168</v>
      </c>
      <c r="CL103" s="106">
        <v>5</v>
      </c>
      <c r="CM103" s="106">
        <v>10140</v>
      </c>
      <c r="CN103" s="106">
        <v>10</v>
      </c>
      <c r="CO103" s="106">
        <v>20280</v>
      </c>
      <c r="CP103" s="106">
        <v>6</v>
      </c>
      <c r="CQ103" s="106">
        <v>12168</v>
      </c>
      <c r="CR103" s="106">
        <v>9</v>
      </c>
      <c r="CS103" s="106">
        <v>18252</v>
      </c>
      <c r="CT103" s="106">
        <v>13</v>
      </c>
      <c r="CU103" s="106">
        <v>26364</v>
      </c>
    </row>
    <row r="104" spans="2:99" x14ac:dyDescent="0.2">
      <c r="C104" s="105" t="s">
        <v>269</v>
      </c>
      <c r="D104" s="106">
        <v>11</v>
      </c>
      <c r="E104" s="106">
        <v>22796.400000000001</v>
      </c>
      <c r="F104" s="106">
        <v>17</v>
      </c>
      <c r="G104" s="106">
        <v>35230.800000000003</v>
      </c>
      <c r="H104" s="106">
        <v>17</v>
      </c>
      <c r="I104" s="106">
        <v>35230.800000000003</v>
      </c>
      <c r="J104" s="106">
        <v>19</v>
      </c>
      <c r="K104" s="106">
        <v>39375.599999999999</v>
      </c>
      <c r="L104" s="106">
        <v>39</v>
      </c>
      <c r="M104" s="106">
        <v>80823.600000000006</v>
      </c>
      <c r="N104" s="106">
        <v>40</v>
      </c>
      <c r="O104" s="106">
        <v>82896</v>
      </c>
      <c r="P104" s="106">
        <v>20</v>
      </c>
      <c r="Q104" s="106">
        <v>41448</v>
      </c>
      <c r="R104" s="106">
        <v>31</v>
      </c>
      <c r="S104" s="106">
        <v>64244.4</v>
      </c>
      <c r="T104" s="106">
        <v>17</v>
      </c>
      <c r="U104" s="106">
        <v>35230.800000000003</v>
      </c>
      <c r="V104" s="106">
        <v>14</v>
      </c>
      <c r="W104" s="106">
        <v>29013.600000000002</v>
      </c>
      <c r="X104" s="106">
        <v>15</v>
      </c>
      <c r="Y104" s="106">
        <v>31086</v>
      </c>
      <c r="Z104" s="106">
        <v>11</v>
      </c>
      <c r="AA104" s="106">
        <v>22796.400000000001</v>
      </c>
      <c r="AB104" s="106">
        <v>9</v>
      </c>
      <c r="AC104" s="106">
        <v>18651.600000000002</v>
      </c>
      <c r="AD104" s="106">
        <v>8</v>
      </c>
      <c r="AE104" s="106">
        <v>16579.2</v>
      </c>
      <c r="AF104" s="106">
        <v>7</v>
      </c>
      <c r="AG104" s="106">
        <v>14506.800000000001</v>
      </c>
      <c r="AH104" s="106">
        <v>8</v>
      </c>
      <c r="AI104" s="106">
        <v>16579.2</v>
      </c>
      <c r="AJ104" s="106">
        <v>11</v>
      </c>
      <c r="AK104" s="106">
        <v>22796.400000000001</v>
      </c>
      <c r="AL104" s="106">
        <v>11</v>
      </c>
      <c r="AM104" s="106">
        <v>22796.400000000001</v>
      </c>
      <c r="AN104" s="106">
        <v>7</v>
      </c>
      <c r="AO104" s="106">
        <v>14506.800000000001</v>
      </c>
      <c r="AP104" s="106">
        <v>9</v>
      </c>
      <c r="AQ104" s="106">
        <v>18651.600000000002</v>
      </c>
      <c r="AR104" s="106">
        <v>3</v>
      </c>
      <c r="AS104" s="106">
        <v>6217.2000000000007</v>
      </c>
      <c r="AT104" s="106">
        <v>6</v>
      </c>
      <c r="AU104" s="106">
        <v>12434.400000000001</v>
      </c>
      <c r="AV104" s="106">
        <v>5</v>
      </c>
      <c r="AW104" s="106">
        <v>10362</v>
      </c>
      <c r="AX104" s="106">
        <v>3</v>
      </c>
      <c r="AY104" s="106">
        <v>6217.2000000000007</v>
      </c>
      <c r="AZ104" s="106">
        <v>8</v>
      </c>
      <c r="BA104" s="106">
        <v>16579.2</v>
      </c>
      <c r="BB104" s="106">
        <v>10</v>
      </c>
      <c r="BC104" s="106">
        <v>20724</v>
      </c>
      <c r="BD104" s="106">
        <v>10</v>
      </c>
      <c r="BE104" s="106">
        <v>20724</v>
      </c>
      <c r="BF104" s="106">
        <v>11</v>
      </c>
      <c r="BG104" s="106">
        <v>22796.400000000001</v>
      </c>
      <c r="BH104" s="106">
        <v>12</v>
      </c>
      <c r="BI104" s="106">
        <v>24868.800000000003</v>
      </c>
      <c r="BJ104" s="106">
        <v>11</v>
      </c>
      <c r="BK104" s="106">
        <v>22796.400000000001</v>
      </c>
      <c r="BL104" s="106">
        <v>11</v>
      </c>
      <c r="BM104" s="106">
        <v>22796.400000000001</v>
      </c>
      <c r="BN104" s="106">
        <v>10</v>
      </c>
      <c r="BO104" s="106">
        <v>20724</v>
      </c>
      <c r="BP104" s="106">
        <v>5</v>
      </c>
      <c r="BQ104" s="106">
        <v>10362</v>
      </c>
      <c r="BR104" s="106">
        <v>4</v>
      </c>
      <c r="BS104" s="106">
        <v>8289.6</v>
      </c>
      <c r="BT104" s="106">
        <v>5</v>
      </c>
      <c r="BU104" s="106">
        <v>10362</v>
      </c>
      <c r="BV104" s="106">
        <v>4</v>
      </c>
      <c r="BW104" s="106">
        <v>8289.6</v>
      </c>
      <c r="BX104" s="106">
        <v>9</v>
      </c>
      <c r="BY104" s="106">
        <v>18651.600000000002</v>
      </c>
      <c r="BZ104" s="106">
        <v>15</v>
      </c>
      <c r="CA104" s="106">
        <v>31086</v>
      </c>
      <c r="CB104" s="106">
        <v>14</v>
      </c>
      <c r="CC104" s="106">
        <v>29013.600000000002</v>
      </c>
      <c r="CD104" s="106">
        <v>9</v>
      </c>
      <c r="CE104" s="106">
        <v>18651.600000000002</v>
      </c>
      <c r="CF104" s="106">
        <v>7</v>
      </c>
      <c r="CG104" s="106">
        <v>14506.800000000001</v>
      </c>
      <c r="CH104" s="106">
        <v>6</v>
      </c>
      <c r="CI104" s="106">
        <v>12434.400000000001</v>
      </c>
      <c r="CJ104" s="106">
        <v>6</v>
      </c>
      <c r="CK104" s="106">
        <v>12434.400000000001</v>
      </c>
      <c r="CL104" s="106">
        <v>5</v>
      </c>
      <c r="CM104" s="106">
        <v>10362</v>
      </c>
      <c r="CN104" s="106">
        <v>10</v>
      </c>
      <c r="CO104" s="106">
        <v>20724</v>
      </c>
      <c r="CP104" s="106">
        <v>7</v>
      </c>
      <c r="CQ104" s="106">
        <v>14506.800000000001</v>
      </c>
      <c r="CR104" s="106">
        <v>7</v>
      </c>
      <c r="CS104" s="106">
        <v>14506.800000000001</v>
      </c>
      <c r="CT104" s="106">
        <v>13</v>
      </c>
      <c r="CU104" s="106">
        <v>26941.200000000001</v>
      </c>
    </row>
    <row r="105" spans="2:99" x14ac:dyDescent="0.2">
      <c r="C105" s="105" t="s">
        <v>270</v>
      </c>
      <c r="D105" s="106">
        <v>11</v>
      </c>
      <c r="E105" s="106">
        <v>21978</v>
      </c>
      <c r="F105" s="106">
        <v>17</v>
      </c>
      <c r="G105" s="106">
        <v>33966</v>
      </c>
      <c r="H105" s="106">
        <v>19</v>
      </c>
      <c r="I105" s="106">
        <v>37962</v>
      </c>
      <c r="J105" s="106">
        <v>20</v>
      </c>
      <c r="K105" s="106">
        <v>39960</v>
      </c>
      <c r="L105" s="106">
        <v>38</v>
      </c>
      <c r="M105" s="106">
        <v>75924</v>
      </c>
      <c r="N105" s="106">
        <v>36</v>
      </c>
      <c r="O105" s="106">
        <v>71928</v>
      </c>
      <c r="P105" s="106">
        <v>21</v>
      </c>
      <c r="Q105" s="106">
        <v>41958</v>
      </c>
      <c r="R105" s="106">
        <v>29</v>
      </c>
      <c r="S105" s="106">
        <v>57942</v>
      </c>
      <c r="T105" s="106">
        <v>17</v>
      </c>
      <c r="U105" s="106">
        <v>33966</v>
      </c>
      <c r="V105" s="106">
        <v>14</v>
      </c>
      <c r="W105" s="106">
        <v>27972</v>
      </c>
      <c r="X105" s="106">
        <v>17</v>
      </c>
      <c r="Y105" s="106">
        <v>33966</v>
      </c>
      <c r="Z105" s="106">
        <v>11</v>
      </c>
      <c r="AA105" s="106">
        <v>21978</v>
      </c>
      <c r="AB105" s="106">
        <v>8</v>
      </c>
      <c r="AC105" s="106">
        <v>15984</v>
      </c>
      <c r="AD105" s="106">
        <v>9</v>
      </c>
      <c r="AE105" s="106">
        <v>17982</v>
      </c>
      <c r="AF105" s="106">
        <v>7</v>
      </c>
      <c r="AG105" s="106">
        <v>13986</v>
      </c>
      <c r="AH105" s="106">
        <v>7</v>
      </c>
      <c r="AI105" s="106">
        <v>13986</v>
      </c>
      <c r="AJ105" s="106">
        <v>12</v>
      </c>
      <c r="AK105" s="106">
        <v>23976</v>
      </c>
      <c r="AL105" s="106">
        <v>10</v>
      </c>
      <c r="AM105" s="106">
        <v>19980</v>
      </c>
      <c r="AN105" s="106">
        <v>7</v>
      </c>
      <c r="AO105" s="106">
        <v>13986</v>
      </c>
      <c r="AP105" s="106">
        <v>8</v>
      </c>
      <c r="AQ105" s="106">
        <v>15984</v>
      </c>
      <c r="AR105" s="106">
        <v>3</v>
      </c>
      <c r="AS105" s="106">
        <v>5994</v>
      </c>
      <c r="AT105" s="106">
        <v>6</v>
      </c>
      <c r="AU105" s="106">
        <v>11988</v>
      </c>
      <c r="AV105" s="106">
        <v>4</v>
      </c>
      <c r="AW105" s="106">
        <v>7992</v>
      </c>
      <c r="AX105" s="106">
        <v>3</v>
      </c>
      <c r="AY105" s="106">
        <v>5994</v>
      </c>
      <c r="AZ105" s="106">
        <v>8</v>
      </c>
      <c r="BA105" s="106">
        <v>15984</v>
      </c>
      <c r="BB105" s="106">
        <v>9</v>
      </c>
      <c r="BC105" s="106">
        <v>17982</v>
      </c>
      <c r="BD105" s="106">
        <v>9</v>
      </c>
      <c r="BE105" s="106">
        <v>17982</v>
      </c>
      <c r="BF105" s="106">
        <v>11</v>
      </c>
      <c r="BG105" s="106">
        <v>21978</v>
      </c>
      <c r="BH105" s="106">
        <v>12</v>
      </c>
      <c r="BI105" s="106">
        <v>23976</v>
      </c>
      <c r="BJ105" s="106">
        <v>13</v>
      </c>
      <c r="BK105" s="106">
        <v>25974</v>
      </c>
      <c r="BL105" s="106">
        <v>11</v>
      </c>
      <c r="BM105" s="106">
        <v>21978</v>
      </c>
      <c r="BN105" s="106">
        <v>10</v>
      </c>
      <c r="BO105" s="106">
        <v>19980</v>
      </c>
      <c r="BP105" s="106">
        <v>5</v>
      </c>
      <c r="BQ105" s="106">
        <v>9990</v>
      </c>
      <c r="BR105" s="106">
        <v>5</v>
      </c>
      <c r="BS105" s="106">
        <v>9990</v>
      </c>
      <c r="BT105" s="106">
        <v>4</v>
      </c>
      <c r="BU105" s="106">
        <v>7992</v>
      </c>
      <c r="BV105" s="106">
        <v>4</v>
      </c>
      <c r="BW105" s="106">
        <v>7992</v>
      </c>
      <c r="BX105" s="106">
        <v>9</v>
      </c>
      <c r="BY105" s="106">
        <v>17982</v>
      </c>
      <c r="BZ105" s="106">
        <v>14</v>
      </c>
      <c r="CA105" s="106">
        <v>27972</v>
      </c>
      <c r="CB105" s="106">
        <v>14</v>
      </c>
      <c r="CC105" s="106">
        <v>27972</v>
      </c>
      <c r="CD105" s="106">
        <v>9</v>
      </c>
      <c r="CE105" s="106">
        <v>17982</v>
      </c>
      <c r="CF105" s="106">
        <v>7</v>
      </c>
      <c r="CG105" s="106">
        <v>13986</v>
      </c>
      <c r="CH105" s="106">
        <v>6</v>
      </c>
      <c r="CI105" s="106">
        <v>11988</v>
      </c>
      <c r="CJ105" s="106">
        <v>6</v>
      </c>
      <c r="CK105" s="106">
        <v>11988</v>
      </c>
      <c r="CL105" s="106">
        <v>5</v>
      </c>
      <c r="CM105" s="106">
        <v>9990</v>
      </c>
      <c r="CN105" s="106">
        <v>9</v>
      </c>
      <c r="CO105" s="106">
        <v>17982</v>
      </c>
      <c r="CP105" s="106">
        <v>7</v>
      </c>
      <c r="CQ105" s="106">
        <v>13986</v>
      </c>
      <c r="CR105" s="106">
        <v>9</v>
      </c>
      <c r="CS105" s="106">
        <v>17982</v>
      </c>
      <c r="CT105" s="106">
        <v>13</v>
      </c>
      <c r="CU105" s="106">
        <v>25974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210</v>
      </c>
      <c r="E109" s="106">
        <f>SUM(L$6:L$19)+SUM(N$6:N$19)+SUM(P$6:P$19)+SUM(R$6:R$19)</f>
        <v>252</v>
      </c>
      <c r="F109" s="106">
        <f>SUM(T$6:T$19)+SUM(V$6:V$19)+SUM(X$6:X$19)+SUM(Z$6:Z$19)</f>
        <v>798</v>
      </c>
      <c r="G109" s="106">
        <f>SUM(AB$6:AB$19)+SUM(AD$6:AD$19)+SUM(AF$6:AF$19)+SUM(AH$6:AH$19)</f>
        <v>1623</v>
      </c>
      <c r="H109" s="106">
        <f>SUM(AJ$6:AJ$19)+SUM(AL$6:AL$19)+SUM(AN$6:AN$19)+SUM(AP$6:AP$19)</f>
        <v>625</v>
      </c>
      <c r="I109" s="106">
        <f>SUM(AR$6:AR$19)+SUM(AT$6:AT$19)+SUM(AV$6:AV$19)+SUM(AX$6:AX$19)</f>
        <v>755</v>
      </c>
      <c r="J109" s="106">
        <f>SUM(AZ$6:AZ$19)+SUM(BB$6:BB$19)+SUM(BD$6:BD$19)+SUM(BF$6:BF$19)</f>
        <v>665</v>
      </c>
      <c r="K109" s="106">
        <f>SUM(BH$6:BH$19)+SUM(BJ$6:BJ$19)+SUM(BL$6:BL$19)+SUM(BN$6:BN$19)</f>
        <v>1594</v>
      </c>
      <c r="L109" s="106">
        <f>SUM(BP$6:BP$19)+SUM(BR$6:BR$19)+SUM(BT$6:BT$19)+SUM(BV$6:BV$19)</f>
        <v>1430</v>
      </c>
      <c r="M109" s="106">
        <f>SUM(BX$6:BX$19)+SUM(BZ$6:BZ$19)+SUM(CB$6:CB$19)+SUM(CD$6:CD$19)</f>
        <v>770</v>
      </c>
      <c r="N109" s="106">
        <f>SUM(CF$6:CF$19)+SUM(CH$6:CH$19)+SUM(CJ$6:CJ$19)+SUM(CL$6:CL$19)</f>
        <v>351</v>
      </c>
      <c r="O109" s="106">
        <f>SUM(CN$6:CN$19)+SUM(CP$6:CP$19)+SUM(CR$6:CR$19)+SUM(CT$6:CT$19)</f>
        <v>445</v>
      </c>
    </row>
    <row r="110" spans="2:99" x14ac:dyDescent="0.2">
      <c r="C110" s="105" t="s">
        <v>127</v>
      </c>
      <c r="D110" s="106">
        <f>SUM(D$20:D$36)+SUM(F$20:F$36)+SUM(H$20:H$36)+SUM(J$20:J$36)</f>
        <v>616</v>
      </c>
      <c r="E110" s="106">
        <f>SUM(L$20:L$36)+SUM(N$20:N$36)+SUM(P$20:P$36)+SUM(R$20:R$36)</f>
        <v>851</v>
      </c>
      <c r="F110" s="106">
        <f>SUM(T$20:T$36)+SUM(V$20:V$36)+SUM(X$20:X$36)+SUM(Z$20:Z$36)</f>
        <v>6822</v>
      </c>
      <c r="G110" s="106">
        <f>SUM(AB$20:AB$36)+SUM(AD$20:AD$36)+SUM(AF$20:AF$36)+SUM(AH$20:AH$36)</f>
        <v>936</v>
      </c>
      <c r="H110" s="106">
        <f>SUM(AJ$20:AJ$36)+SUM(AL$20:AL$36)+SUM(AN$20:AN$36)+SUM(AP$20:AP$36)</f>
        <v>932</v>
      </c>
      <c r="I110" s="106">
        <f>SUM(AR$20:AR$36)+SUM(AT$20:AT$36)+SUM(AV$20:AV$36)+SUM(AX$20:AX$36)</f>
        <v>582</v>
      </c>
      <c r="J110" s="106">
        <f>SUM(AZ$20:AZ$36)+SUM(BB$20:BB$36)+SUM(BD$20:BD$36)+SUM(BF$20:BF$36)</f>
        <v>744</v>
      </c>
      <c r="K110" s="106">
        <f>SUM(BH$20:BH$36)+SUM(BJ$20:BJ$36)+SUM(BL$20:BL$36)+SUM(BN$20:BN$36)</f>
        <v>496</v>
      </c>
      <c r="L110" s="106">
        <f>SUM(BP$20:BP$36)+SUM(BR$20:BR$36)+SUM(BT$20:BT$36)+SUM(BV$20:BV$36)</f>
        <v>1007</v>
      </c>
      <c r="M110" s="106">
        <f>SUM(BX$20:BX$36)+SUM(BZ$20:BZ$36)+SUM(CB$20:CB$36)+SUM(CD$20:CD$36)</f>
        <v>7591</v>
      </c>
      <c r="N110" s="106">
        <f>SUM(CF$20:CF$36)+SUM(CH$20:CH$36)+SUM(CJ$20:CJ$36)+SUM(CL$20:CL$36)</f>
        <v>4991</v>
      </c>
      <c r="O110" s="106">
        <f>SUM(CN$20:CN$36)+SUM(CP$20:CP$36)+SUM(CR$20:CR$36)+SUM(CT$20:CT$36)</f>
        <v>764</v>
      </c>
    </row>
    <row r="111" spans="2:99" x14ac:dyDescent="0.2">
      <c r="C111" s="105" t="s">
        <v>128</v>
      </c>
      <c r="D111" s="106">
        <f>SUM(D$37:D$48)+SUM(F$37:F$48)+SUM(H$37:H$48)+SUM(J$37:J$48)</f>
        <v>292</v>
      </c>
      <c r="E111" s="106">
        <f>SUM(L$37:L$48)+SUM(N$37:N$48)+SUM(P$37:P$48)+SUM(R$37:R$48)</f>
        <v>833</v>
      </c>
      <c r="F111" s="106">
        <f>SUM(T$37:T$48)+SUM(V$37:V$48)+SUM(X$37:X$48)+SUM(Z$37:Z$48)</f>
        <v>1029</v>
      </c>
      <c r="G111" s="106">
        <f>SUM(AB$37:AB$48)+SUM(AD$37:AD$48)+SUM(AF$37:AF$48)+SUM(AH$37:AH$48)</f>
        <v>1181</v>
      </c>
      <c r="H111" s="106">
        <f>SUM(AJ$37:AJ$48)+SUM(AL$37:AL$48)+SUM(AN$37:AN$48)+SUM(AP$37:AP$48)</f>
        <v>462</v>
      </c>
      <c r="I111" s="106">
        <f>SUM(AR$37:AR$48)+SUM(AT$37:AT$48)+SUM(AV$37:AV$48)+SUM(AX$37:AX$48)</f>
        <v>2202</v>
      </c>
      <c r="J111" s="106">
        <f>SUM(AZ$37:AZ$48)+SUM(BB$37:BB$48)+SUM(BD$37:BD$48)+SUM(BF$37:BF$48)</f>
        <v>494</v>
      </c>
      <c r="K111" s="106">
        <f>SUM(BH$37:BH$48)+SUM(BJ$37:BJ$48)+SUM(BL$37:BL$48)+SUM(BN$37:BN$48)</f>
        <v>774</v>
      </c>
      <c r="L111" s="106">
        <f>SUM(BP$37:BP$48)+SUM(BR$37:BR$48)+SUM(BT$37:BT$48)+SUM(BV$37:BV$48)</f>
        <v>507</v>
      </c>
      <c r="M111" s="106">
        <f>SUM(BX$37:BX$48)+SUM(BZ$37:BZ$48)+SUM(CB$37:CB$48)+SUM(CD$37:CD$48)</f>
        <v>293</v>
      </c>
      <c r="N111" s="106">
        <f>SUM(CF$37:CF$48)+SUM(CH$37:CH$48)+SUM(CJ$37:CJ$48)+SUM(CL$37:CL$48)</f>
        <v>1375</v>
      </c>
      <c r="O111" s="106">
        <f>SUM(CN$37:CN$48)+SUM(CP$37:CP$48)+SUM(CR$37:CR$48)+SUM(CT$37:CT$48)</f>
        <v>904</v>
      </c>
    </row>
    <row r="112" spans="2:99" x14ac:dyDescent="0.2">
      <c r="C112" s="105" t="s">
        <v>129</v>
      </c>
      <c r="D112" s="106">
        <f>SUM(D$49:D$70)+SUM(F$49:F$70)+SUM(H$49:H$70)+SUM(J$49:J$70)</f>
        <v>455</v>
      </c>
      <c r="E112" s="106">
        <f>SUM(L$49:L$70)+SUM(N$49:N$70)+SUM(P$49:P$70)+SUM(R$49:R$70)</f>
        <v>466</v>
      </c>
      <c r="F112" s="106">
        <f>SUM(T$49:T$70)+SUM(V$49:V$70)+SUM(X$49:X$70)+SUM(Z$49:Z$70)</f>
        <v>4409</v>
      </c>
      <c r="G112" s="106">
        <f>SUM(AB$49:AB$70)+SUM(AD$49:AD$70)+SUM(AF$49:AF$70)+SUM(AH$49:AH$70)</f>
        <v>1000</v>
      </c>
      <c r="H112" s="106">
        <f>SUM(AJ$49:AJ$70)+SUM(AL$49:AL$70)+SUM(AN$49:AN$70)+SUM(AP$49:AP$70)</f>
        <v>1295</v>
      </c>
      <c r="I112" s="106">
        <f>SUM(AR$49:AR$70)+SUM(AT$49:AT$70)+SUM(AV$49:AV$70)+SUM(AX$49:AX$70)</f>
        <v>338</v>
      </c>
      <c r="J112" s="106">
        <f>SUM(AZ$49:AZ$70)+SUM(BB$49:BB$70)+SUM(BD$49:BD$70)+SUM(BF$49:BF$70)</f>
        <v>530</v>
      </c>
      <c r="K112" s="106">
        <f>SUM(BH$49:BH$70)+SUM(BJ$49:BJ$70)+SUM(BL$49:BL$70)+SUM(BN$49:BN$70)</f>
        <v>547</v>
      </c>
      <c r="L112" s="106">
        <f>SUM(BP$49:BP$70)+SUM(BR$49:BR$70)+SUM(BT$49:BT$70)+SUM(BV$49:BV$70)</f>
        <v>1132</v>
      </c>
      <c r="M112" s="106">
        <f>SUM(BX$49:BX$70)+SUM(BZ$49:BZ$70)+SUM(CB$49:CB$70)+SUM(CD$49:CD$70)</f>
        <v>340</v>
      </c>
      <c r="N112" s="106">
        <f>SUM(CF$49:CF$70)+SUM(CH$49:CH$70)+SUM(CJ$49:CJ$70)+SUM(CL$49:CL$70)</f>
        <v>5797</v>
      </c>
      <c r="O112" s="106">
        <f>SUM(CN$49:CN$70)+SUM(CP$49:CP$70)+SUM(CR$49:CR$70)+SUM(CT$49:CT$70)</f>
        <v>729</v>
      </c>
    </row>
    <row r="113" spans="2:15" x14ac:dyDescent="0.2">
      <c r="C113" s="105" t="s">
        <v>130</v>
      </c>
      <c r="D113" s="106">
        <f>SUM(D$71:D$86)+SUM(F$71:F$86)+SUM(H$71:H$86)+SUM(J$71:J$86)</f>
        <v>1844</v>
      </c>
      <c r="E113" s="106">
        <f>SUM(L$71:L$86)+SUM(N$71:N$86)+SUM(P$71:P$86)+SUM(R$71:R$86)</f>
        <v>1805</v>
      </c>
      <c r="F113" s="106">
        <f>SUM(T$71:T$86)+SUM(V$71:V$86)+SUM(X$71:X$86)+SUM(Z$71:Z$86)</f>
        <v>978</v>
      </c>
      <c r="G113" s="106">
        <f>SUM(AB$71:AB$86)+SUM(AD$71:AD$86)+SUM(AF$71:AF$86)+SUM(AH$71:AH$86)</f>
        <v>833</v>
      </c>
      <c r="H113" s="106">
        <f>SUM(AJ$71:AJ$86)+SUM(AL$71:AL$86)+SUM(AN$71:AN$86)+SUM(AP$71:AP$86)</f>
        <v>1409</v>
      </c>
      <c r="I113" s="106">
        <f>SUM(AR$71:AR$86)+SUM(AT$71:AT$86)+SUM(AV$71:AV$86)+SUM(AX$71:AX$86)</f>
        <v>2080</v>
      </c>
      <c r="J113" s="106">
        <f>SUM(AZ$71:AZ$86)+SUM(BB$71:BB$86)+SUM(BD$71:BD$86)+SUM(BF$71:BF$86)</f>
        <v>257</v>
      </c>
      <c r="K113" s="106">
        <f>SUM(BH$71:BH$86)+SUM(BJ$71:BJ$86)+SUM(BL$71:BL$86)+SUM(BN$71:BN$86)</f>
        <v>283</v>
      </c>
      <c r="L113" s="106">
        <f>SUM(BP$71:BP$86)+SUM(BR$71:BR$86)+SUM(BT$71:BT$86)+SUM(BV$71:BV$86)</f>
        <v>313</v>
      </c>
      <c r="M113" s="106">
        <f>SUM(BX$71:BX$86)+SUM(BZ$71:BZ$86)+SUM(CB$71:CB$86)+SUM(CD$71:CD$86)</f>
        <v>1481</v>
      </c>
      <c r="N113" s="106">
        <f>SUM(CF$71:CF$86)+SUM(CH$71:CH$86)+SUM(CJ$71:CJ$86)+SUM(CL$71:CL$86)</f>
        <v>225</v>
      </c>
      <c r="O113" s="106">
        <f>SUM(CN$71:CN$86)+SUM(CP$71:CP$86)+SUM(CR$71:CR$86)+SUM(CT$71:CT$86)</f>
        <v>377</v>
      </c>
    </row>
    <row r="114" spans="2:15" x14ac:dyDescent="0.2">
      <c r="C114" s="105" t="s">
        <v>131</v>
      </c>
      <c r="D114" s="106">
        <f>SUM(D$87:D$94)+SUM(F$87:F$94)+SUM(H$87:H$94)+SUM(J$87:J$94)</f>
        <v>177</v>
      </c>
      <c r="E114" s="106">
        <f>SUM(L$87:L$94)+SUM(N$87:N$94)+SUM(P$87:P$94)+SUM(R$87:R$94)</f>
        <v>235</v>
      </c>
      <c r="F114" s="106">
        <f>SUM(T$87:T$94)+SUM(V$87:V$94)+SUM(X$87:X$94)+SUM(Z$87:Z$94)</f>
        <v>260</v>
      </c>
      <c r="G114" s="106">
        <f>SUM(AB$87:AB$94)+SUM(AD$87:AD$94)+SUM(AF$87:AF$94)+SUM(AH$87:AH$94)</f>
        <v>442</v>
      </c>
      <c r="H114" s="106">
        <f>SUM(AJ$87:AJ$94)+SUM(AL$87:AL$94)+SUM(AN$87:AN$94)+SUM(AP$87:AP$94)</f>
        <v>360</v>
      </c>
      <c r="I114" s="106">
        <f>SUM(AR$87:AR$94)+SUM(AT$87:AT$94)+SUM(AV$87:AV$94)+SUM(AX$87:AX$94)</f>
        <v>743</v>
      </c>
      <c r="J114" s="106">
        <f>SUM(AZ$87:AZ$94)+SUM(BB$87:BB$94)+SUM(BD$87:BD$94)+SUM(BF$87:BF$94)</f>
        <v>169</v>
      </c>
      <c r="K114" s="106">
        <f>SUM(BH$87:BH$94)+SUM(BJ$87:BJ$94)+SUM(BL$87:BL$94)+SUM(BN$87:BN$94)</f>
        <v>357</v>
      </c>
      <c r="L114" s="106">
        <f>SUM(BP$87:BP$94)+SUM(BR$87:BR$94)+SUM(BT$87:BT$94)+SUM(BV$87:BV$94)</f>
        <v>592</v>
      </c>
      <c r="M114" s="106">
        <f>SUM(BX$87:BX$94)+SUM(BZ$87:BZ$94)+SUM(CB$87:CB$94)+SUM(CD$87:CD$94)</f>
        <v>352</v>
      </c>
      <c r="N114" s="106">
        <f>SUM(CF$87:CF$94)+SUM(CH$87:CH$94)+SUM(CJ$87:CJ$94)+SUM(CL$87:CL$94)</f>
        <v>152</v>
      </c>
      <c r="O114" s="106">
        <f>SUM(CN$87:CN$94)+SUM(CP$87:CP$94)+SUM(CR$87:CR$94)+SUM(CT$87:CT$94)</f>
        <v>117</v>
      </c>
    </row>
    <row r="115" spans="2:15" x14ac:dyDescent="0.2">
      <c r="C115" s="105" t="s">
        <v>132</v>
      </c>
      <c r="D115" s="106">
        <f>SUM(D$95:D$105)+SUM(F$95:F$105)+SUM(H$95:H$105)+SUM(J$95:J$105)</f>
        <v>714</v>
      </c>
      <c r="E115" s="106">
        <f>SUM(L$95:L$105)+SUM(N$95:N$105)+SUM(P$95:P$105)+SUM(R$95:R$105)</f>
        <v>1400</v>
      </c>
      <c r="F115" s="106">
        <f>SUM(T$95:T$105)+SUM(V$95:V$105)+SUM(X$95:X$105)+SUM(Z$95:Z$105)</f>
        <v>637</v>
      </c>
      <c r="G115" s="106">
        <f>SUM(AB$95:AB$105)+SUM(AD$95:AD$105)+SUM(AF$95:AF$105)+SUM(AH$95:AH$105)</f>
        <v>351</v>
      </c>
      <c r="H115" s="106">
        <f>SUM(AJ$95:AJ$105)+SUM(AL$95:AL$105)+SUM(AN$95:AN$105)+SUM(AP$95:AP$105)</f>
        <v>413</v>
      </c>
      <c r="I115" s="106">
        <f>SUM(AR$95:AR$105)+SUM(AT$95:AT$105)+SUM(AV$95:AV$105)+SUM(AX$95:AX$105)</f>
        <v>181</v>
      </c>
      <c r="J115" s="106">
        <f>SUM(AZ$95:AZ$105)+SUM(BB$95:BB$105)+SUM(BD$95:BD$105)+SUM(BF$95:BF$105)</f>
        <v>427</v>
      </c>
      <c r="K115" s="106">
        <f>SUM(BH$95:BH$105)+SUM(BJ$95:BJ$105)+SUM(BL$95:BL$105)+SUM(BN$95:BN$105)</f>
        <v>504</v>
      </c>
      <c r="L115" s="106">
        <f>SUM(BP$95:BP$105)+SUM(BR$95:BR$105)+SUM(BT$95:BT$105)+SUM(BV$95:BV$105)</f>
        <v>198</v>
      </c>
      <c r="M115" s="106">
        <f>SUM(BX$95:BX$105)+SUM(BZ$95:BZ$105)+SUM(CB$95:CB$105)+SUM(CD$95:CD$105)</f>
        <v>507</v>
      </c>
      <c r="N115" s="106">
        <f>SUM(CF$95:CF$105)+SUM(CH$95:CH$105)+SUM(CJ$95:CJ$105)+SUM(CL$95:CL$105)</f>
        <v>275</v>
      </c>
      <c r="O115" s="106">
        <f>SUM(CN$95:CN$105)+SUM(CP$95:CP$105)+SUM(CR$95:CR$105)+SUM(CT$95:CT$105)</f>
        <v>421</v>
      </c>
    </row>
    <row r="116" spans="2:15" x14ac:dyDescent="0.2">
      <c r="C116" s="105" t="s">
        <v>277</v>
      </c>
      <c r="D116" s="106">
        <f t="shared" ref="D116:O116" si="0">SUM(D$109:D$115)</f>
        <v>4308</v>
      </c>
      <c r="E116" s="106">
        <f t="shared" si="0"/>
        <v>5842</v>
      </c>
      <c r="F116" s="106">
        <f t="shared" si="0"/>
        <v>14933</v>
      </c>
      <c r="G116" s="106">
        <f t="shared" si="0"/>
        <v>6366</v>
      </c>
      <c r="H116" s="106">
        <f t="shared" si="0"/>
        <v>5496</v>
      </c>
      <c r="I116" s="106">
        <f t="shared" si="0"/>
        <v>6881</v>
      </c>
      <c r="J116" s="106">
        <f t="shared" si="0"/>
        <v>3286</v>
      </c>
      <c r="K116" s="106">
        <f t="shared" si="0"/>
        <v>4555</v>
      </c>
      <c r="L116" s="106">
        <f t="shared" si="0"/>
        <v>5179</v>
      </c>
      <c r="M116" s="106">
        <f t="shared" si="0"/>
        <v>11334</v>
      </c>
      <c r="N116" s="106">
        <f t="shared" si="0"/>
        <v>13166</v>
      </c>
      <c r="O116" s="106">
        <f t="shared" si="0"/>
        <v>3757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D109*pricing!D6*2000</f>
        <v>1486846.517428613</v>
      </c>
      <c r="E120" s="106">
        <f>E109*pricing!E6*2000</f>
        <v>1555671.1153103525</v>
      </c>
      <c r="F120" s="106">
        <f>F109*pricing!F6*2000</f>
        <v>3259948.9944950426</v>
      </c>
      <c r="G120" s="106">
        <f>G109*pricing!G6*2000</f>
        <v>4900746.7291729283</v>
      </c>
      <c r="H120" s="106">
        <f>H109*pricing!H6*2000</f>
        <v>2818122.1250027926</v>
      </c>
      <c r="I120" s="106">
        <f>I109*pricing!I6*2000</f>
        <v>3128863.451332463</v>
      </c>
      <c r="J120" s="106">
        <f>J109*pricing!J6*2000</f>
        <v>3034693.0413944582</v>
      </c>
      <c r="K120" s="106">
        <f>K109*pricing!K6*2000</f>
        <v>4778602.4861279875</v>
      </c>
      <c r="L120" s="106">
        <f>L109*pricing!L6*2000</f>
        <v>4520405.5078881616</v>
      </c>
      <c r="M120" s="106">
        <f>M109*pricing!M6*2000</f>
        <v>3413286.2650221516</v>
      </c>
      <c r="N120" s="106">
        <f>N109*pricing!N6*2000</f>
        <v>2264736.8947999324</v>
      </c>
      <c r="O120" s="106">
        <f>O109*pricing!O6*2000</f>
        <v>2283881.5351245422</v>
      </c>
    </row>
    <row r="121" spans="2:15" x14ac:dyDescent="0.2">
      <c r="C121" s="105" t="s">
        <v>127</v>
      </c>
      <c r="D121" s="106">
        <f>D110*pricing!D7*2000</f>
        <v>3715763.6266219602</v>
      </c>
      <c r="E121" s="106">
        <f>E110*pricing!E7*2000</f>
        <v>4386615.0101637505</v>
      </c>
      <c r="F121" s="106">
        <f>F110*pricing!F7*2000</f>
        <v>14557738.728462979</v>
      </c>
      <c r="G121" s="106">
        <f>G110*pricing!G7*2000</f>
        <v>4732991.962574021</v>
      </c>
      <c r="H121" s="106">
        <f>H110*pricing!H7*2000</f>
        <v>4501273.9614879498</v>
      </c>
      <c r="I121" s="106">
        <f>I110*pricing!I7*2000</f>
        <v>3393021.4987200252</v>
      </c>
      <c r="J121" s="106">
        <f>J110*pricing!J7*2000</f>
        <v>4414863.3599106744</v>
      </c>
      <c r="K121" s="106">
        <f>K110*pricing!K7*2000</f>
        <v>3198581.2108662003</v>
      </c>
      <c r="L121" s="106">
        <f>L110*pricing!L7*2000</f>
        <v>4980661.2966454485</v>
      </c>
      <c r="M121" s="106">
        <f>M110*pricing!M7*2000</f>
        <v>15784710.465907712</v>
      </c>
      <c r="N121" s="106">
        <f>N110*pricing!N7*2000</f>
        <v>12033284.17476465</v>
      </c>
      <c r="O121" s="106">
        <f>O110*pricing!O7*2000</f>
        <v>4105806.6593873091</v>
      </c>
    </row>
    <row r="122" spans="2:15" x14ac:dyDescent="0.2">
      <c r="C122" s="105" t="s">
        <v>128</v>
      </c>
      <c r="D122" s="106">
        <f>D111*pricing!D8*2000</f>
        <v>1910877.2475161424</v>
      </c>
      <c r="E122" s="106">
        <f>E111*pricing!E8*2000</f>
        <v>3391691.7543198667</v>
      </c>
      <c r="F122" s="106">
        <f>F111*pricing!F8*2000</f>
        <v>3771331.2716938737</v>
      </c>
      <c r="G122" s="106">
        <f>G111*pricing!G8*2000</f>
        <v>3977866.6553896484</v>
      </c>
      <c r="H122" s="106">
        <f>H111*pricing!H8*2000</f>
        <v>2439472.5638636383</v>
      </c>
      <c r="I122" s="106">
        <f>I111*pricing!I8*2000</f>
        <v>6123675.1338131018</v>
      </c>
      <c r="J122" s="106">
        <f>J111*pricing!J8*2000</f>
        <v>2492671.8944203067</v>
      </c>
      <c r="K122" s="106">
        <f>K111*pricing!K8*2000</f>
        <v>3255170.07521368</v>
      </c>
      <c r="L122" s="106">
        <f>L111*pricing!L8*2000</f>
        <v>2475715.1798024229</v>
      </c>
      <c r="M122" s="106">
        <f>M111*pricing!M8*2000</f>
        <v>1956938.8757743228</v>
      </c>
      <c r="N122" s="106">
        <f>N111*pricing!N8*2000</f>
        <v>4630420.3662085896</v>
      </c>
      <c r="O122" s="106">
        <f>O111*pricing!O8*2000</f>
        <v>3266612.3914639493</v>
      </c>
    </row>
    <row r="123" spans="2:15" x14ac:dyDescent="0.2">
      <c r="C123" s="105" t="s">
        <v>129</v>
      </c>
      <c r="D123" s="106">
        <f>D112*pricing!D9*2000</f>
        <v>3046845.1507191784</v>
      </c>
      <c r="E123" s="106">
        <f>E112*pricing!E9*2000</f>
        <v>3133103.7552502141</v>
      </c>
      <c r="F123" s="106">
        <f>F112*pricing!F9*2000</f>
        <v>10239189.126681576</v>
      </c>
      <c r="G123" s="106">
        <f>G112*pricing!G9*2000</f>
        <v>4717134.8730951361</v>
      </c>
      <c r="H123" s="106">
        <f>H112*pricing!H9*2000</f>
        <v>5039507.4124881104</v>
      </c>
      <c r="I123" s="106">
        <f>I112*pricing!I9*2000</f>
        <v>2430182.285575801</v>
      </c>
      <c r="J123" s="106">
        <f>J112*pricing!J9*2000</f>
        <v>3501720.0703471382</v>
      </c>
      <c r="K123" s="106">
        <f>K112*pricing!K9*2000</f>
        <v>3312306.3336565713</v>
      </c>
      <c r="L123" s="106">
        <f>L112*pricing!L9*2000</f>
        <v>5156691.2523243735</v>
      </c>
      <c r="M123" s="106">
        <f>M112*pricing!M9*2000</f>
        <v>2443134.1141340784</v>
      </c>
      <c r="N123" s="106">
        <f>N112*pricing!N9*2000</f>
        <v>12893882.93822076</v>
      </c>
      <c r="O123" s="106">
        <f>O112*pricing!O9*2000</f>
        <v>3808484.0582742612</v>
      </c>
    </row>
    <row r="124" spans="2:15" x14ac:dyDescent="0.2">
      <c r="C124" s="105" t="s">
        <v>130</v>
      </c>
      <c r="D124" s="106">
        <f>D113*pricing!D10*2000</f>
        <v>4948187.1743101915</v>
      </c>
      <c r="E124" s="106">
        <f>E113*pricing!E10*2000</f>
        <v>4820254.740988886</v>
      </c>
      <c r="F124" s="106">
        <f>F113*pricing!F10*2000</f>
        <v>3430630.106439813</v>
      </c>
      <c r="G124" s="106">
        <f>G113*pricing!G10*2000</f>
        <v>3219861.3234153609</v>
      </c>
      <c r="H124" s="106">
        <f>H113*pricing!H10*2000</f>
        <v>3969588.6314094546</v>
      </c>
      <c r="I124" s="106">
        <f>I113*pricing!I10*2000</f>
        <v>5066570.4685001122</v>
      </c>
      <c r="J124" s="106">
        <f>J113*pricing!J10*2000</f>
        <v>1689733.3631403991</v>
      </c>
      <c r="K124" s="106">
        <f>K113*pricing!K10*2000</f>
        <v>1978799.6740305959</v>
      </c>
      <c r="L124" s="106">
        <f>L113*pricing!L10*2000</f>
        <v>1930562.2486876165</v>
      </c>
      <c r="M124" s="106">
        <f>M113*pricing!M10*2000</f>
        <v>4356846.6584867323</v>
      </c>
      <c r="N124" s="106">
        <f>N113*pricing!N10*2000</f>
        <v>1599874.8829049831</v>
      </c>
      <c r="O124" s="106">
        <f>O113*pricing!O10*2000</f>
        <v>2140727.8431915054</v>
      </c>
    </row>
    <row r="125" spans="2:15" x14ac:dyDescent="0.2">
      <c r="C125" s="105" t="s">
        <v>131</v>
      </c>
      <c r="D125" s="106">
        <f>D114*pricing!D11*2000</f>
        <v>1141133.5933627961</v>
      </c>
      <c r="E125" s="106">
        <f>E114*pricing!E11*2000</f>
        <v>1179166.0759980476</v>
      </c>
      <c r="F125" s="106">
        <f>F114*pricing!F11*2000</f>
        <v>1296532.3313740639</v>
      </c>
      <c r="G125" s="106">
        <f>G114*pricing!G11*2000</f>
        <v>1737333.0348902943</v>
      </c>
      <c r="H125" s="106">
        <f>H114*pricing!H11*2000</f>
        <v>1550573.2184530378</v>
      </c>
      <c r="I125" s="106">
        <f>I114*pricing!I11*2000</f>
        <v>2390094.7897148198</v>
      </c>
      <c r="J125" s="106">
        <f>J114*pricing!J11*2000</f>
        <v>1122539.7129571943</v>
      </c>
      <c r="K125" s="106">
        <f>K114*pricing!K11*2000</f>
        <v>1609378.779512078</v>
      </c>
      <c r="L125" s="106">
        <f>L114*pricing!L11*2000</f>
        <v>2018115.5220418731</v>
      </c>
      <c r="M125" s="106">
        <f>M114*pricing!M11*2000</f>
        <v>1692162.9382292149</v>
      </c>
      <c r="N125" s="106">
        <f>N114*pricing!N11*2000</f>
        <v>963712.75348489103</v>
      </c>
      <c r="O125" s="106">
        <f>O114*pricing!O11*2000</f>
        <v>841693.18438689841</v>
      </c>
    </row>
    <row r="126" spans="2:15" x14ac:dyDescent="0.2">
      <c r="C126" s="105" t="s">
        <v>132</v>
      </c>
      <c r="D126" s="106">
        <f>D115*pricing!D12*2000</f>
        <v>2756973.5036405292</v>
      </c>
      <c r="E126" s="106">
        <f>E115*pricing!E12*2000</f>
        <v>3755215.260973122</v>
      </c>
      <c r="F126" s="106">
        <f>F115*pricing!F12*2000</f>
        <v>2347727.2150884694</v>
      </c>
      <c r="G126" s="106">
        <f>G115*pricing!G12*2000</f>
        <v>1894051.1782826041</v>
      </c>
      <c r="H126" s="106">
        <f>H115*pricing!H12*2000</f>
        <v>2007379.7103268332</v>
      </c>
      <c r="I126" s="106">
        <f>I115*pricing!I12*2000</f>
        <v>1244389.9746459099</v>
      </c>
      <c r="J126" s="106">
        <f>J115*pricing!J12*2000</f>
        <v>2080926.0660847696</v>
      </c>
      <c r="K126" s="106">
        <f>K115*pricing!K12*2000</f>
        <v>2394447.5048458725</v>
      </c>
      <c r="L126" s="106">
        <f>L115*pricing!L12*2000</f>
        <v>1324575.545860131</v>
      </c>
      <c r="M126" s="106">
        <f>M115*pricing!M12*2000</f>
        <v>2336691.6899453197</v>
      </c>
      <c r="N126" s="106">
        <f>N115*pricing!N12*2000</f>
        <v>1638637.680179219</v>
      </c>
      <c r="O126" s="106">
        <f>O115*pricing!O12*2000</f>
        <v>1997032.5793482482</v>
      </c>
    </row>
    <row r="127" spans="2:15" x14ac:dyDescent="0.2">
      <c r="C127" s="105" t="s">
        <v>277</v>
      </c>
      <c r="D127" s="106">
        <f t="shared" ref="D127:O127" si="1">SUM(D$120:D$126)</f>
        <v>19006626.813599411</v>
      </c>
      <c r="E127" s="106">
        <f t="shared" si="1"/>
        <v>22221717.713004239</v>
      </c>
      <c r="F127" s="106">
        <f t="shared" si="1"/>
        <v>38903097.774235822</v>
      </c>
      <c r="G127" s="106">
        <f t="shared" si="1"/>
        <v>25179985.756819993</v>
      </c>
      <c r="H127" s="106">
        <f t="shared" si="1"/>
        <v>22325917.623031817</v>
      </c>
      <c r="I127" s="106">
        <f t="shared" si="1"/>
        <v>23776797.602302235</v>
      </c>
      <c r="J127" s="106">
        <f t="shared" si="1"/>
        <v>18337147.508254938</v>
      </c>
      <c r="K127" s="106">
        <f t="shared" si="1"/>
        <v>20527286.064252988</v>
      </c>
      <c r="L127" s="106">
        <f t="shared" si="1"/>
        <v>22406726.553250026</v>
      </c>
      <c r="M127" s="106">
        <f t="shared" si="1"/>
        <v>31983771.007499531</v>
      </c>
      <c r="N127" s="106">
        <f t="shared" si="1"/>
        <v>36024549.690563023</v>
      </c>
      <c r="O127" s="106">
        <f t="shared" si="1"/>
        <v>18444238.251176711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106024.79999999999</v>
      </c>
      <c r="E131" s="112">
        <f>SUM(M$6:M$19)+SUM(O$6:O$19)+SUM(Q$6:Q$19)+SUM(S$6:S$19)</f>
        <v>127518</v>
      </c>
      <c r="F131" s="112">
        <f>SUM(U$6:U$19)+SUM(W$6:W$19)+SUM(Y$6:Y$19)+SUM(AA$6:AA$19)</f>
        <v>402203.99999999994</v>
      </c>
      <c r="G131" s="112">
        <f>SUM(AC$6:AC$19)+SUM(AE$6:AE$19)+SUM(AG$6:AG$19)+SUM(AI$6:AI$19)</f>
        <v>816553.2</v>
      </c>
      <c r="H131" s="112">
        <f>SUM(AK$6:AK$19)+SUM(AM$6:AM$19)+SUM(AO$6:AO$19)+SUM(AQ$6:AQ$19)</f>
        <v>314324.40000000002</v>
      </c>
      <c r="I131" s="112">
        <f>SUM(AS$6:AS$19)+SUM(AU$6:AU$19)+SUM(AW$6:AW$19)+SUM(AY$6:AY$19)</f>
        <v>380830.8</v>
      </c>
      <c r="J131" s="112">
        <f>SUM(BA$6:BA$19)+SUM(BC$6:BC$19)+SUM(BE$6:BE$19)+SUM(BG$6:BG$19)</f>
        <v>335421.59999999998</v>
      </c>
      <c r="K131" s="112">
        <f>SUM(BI$6:BI$19)+SUM(BK$6:BK$19)+SUM(BM$6:BM$19)+SUM(BO$6:BO$19)</f>
        <v>801453.6</v>
      </c>
      <c r="L131" s="112">
        <f>SUM(BQ$6:BQ$19)+SUM(BS$6:BS$19)+SUM(BU$6:BU$19)+SUM(BW$6:BW$19)</f>
        <v>715261.2</v>
      </c>
      <c r="M131" s="112">
        <f>SUM(BY$6:BY$19)+SUM(CA$6:CA$19)+SUM(CC$6:CC$19)+SUM(CE$6:CE$19)</f>
        <v>387982.79999999993</v>
      </c>
      <c r="N131" s="112">
        <f>SUM(CG$6:CG$19)+SUM(CI$6:CI$19)+SUM(CK$6:CK$19)+SUM(CM$6:CM$19)</f>
        <v>176959.2</v>
      </c>
      <c r="O131" s="112">
        <f>SUM(CO$6:CO$19)+SUM(CQ$6:CQ$19)+SUM(CS$6:CS$19)+SUM(CU$6:CU$19)</f>
        <v>224811.59999999998</v>
      </c>
    </row>
    <row r="132" spans="2:15" x14ac:dyDescent="0.2">
      <c r="C132" s="111" t="s">
        <v>127</v>
      </c>
      <c r="D132" s="112">
        <f>SUM(E$20:E$36)+SUM(G$20:G$36)+SUM(I$20:I$36)+SUM(K$20:K$36)</f>
        <v>263336.39999999997</v>
      </c>
      <c r="E132" s="112">
        <f>SUM(M$20:M$36)+SUM(O$20:O$36)+SUM(Q$20:Q$36)+SUM(S$20:S$36)</f>
        <v>360680.4</v>
      </c>
      <c r="F132" s="112">
        <f>SUM(U$20:U$36)+SUM(W$20:W$36)+SUM(Y$20:Y$36)+SUM(AA$20:AA$36)</f>
        <v>2859250.8</v>
      </c>
      <c r="G132" s="112">
        <f>SUM(AC$20:AC$36)+SUM(AE$20:AE$36)+SUM(AG$20:AG$36)+SUM(AI$20:AI$36)</f>
        <v>398637.6</v>
      </c>
      <c r="H132" s="112">
        <f>SUM(AK$20:AK$36)+SUM(AM$20:AM$36)+SUM(AO$20:AO$36)+SUM(AQ$20:AQ$36)</f>
        <v>398169.59999999998</v>
      </c>
      <c r="I132" s="112">
        <f>SUM(AS$20:AS$36)+SUM(AU$20:AU$36)+SUM(AW$20:AW$36)+SUM(AY$20:AY$36)</f>
        <v>249221.99999999997</v>
      </c>
      <c r="J132" s="112">
        <f>SUM(BA$20:BA$36)+SUM(BC$20:BC$36)+SUM(BE$20:BE$36)+SUM(BG$20:BG$36)</f>
        <v>317254.80000000005</v>
      </c>
      <c r="K132" s="112">
        <f>SUM(BI$20:BI$36)+SUM(BK$20:BK$36)+SUM(BM$20:BM$36)+SUM(BO$20:BO$36)</f>
        <v>211891.20000000001</v>
      </c>
      <c r="L132" s="112">
        <f>SUM(BQ$20:BQ$36)+SUM(BS$20:BS$36)+SUM(BU$20:BU$36)+SUM(BW$20:BW$36)</f>
        <v>424790.4</v>
      </c>
      <c r="M132" s="112">
        <f>SUM(BY$20:BY$36)+SUM(CA$20:CA$36)+SUM(CC$20:CC$36)+SUM(CE$20:CE$36)</f>
        <v>3177946.7999999993</v>
      </c>
      <c r="N132" s="112">
        <f>SUM(CG$20:CG$36)+SUM(CI$20:CI$36)+SUM(CK$20:CK$36)+SUM(CM$20:CM$36)</f>
        <v>2105626.7999999998</v>
      </c>
      <c r="O132" s="112">
        <f>SUM(CO$20:CO$36)+SUM(CQ$20:CQ$36)+SUM(CS$20:CS$36)+SUM(CU$20:CU$36)</f>
        <v>328729.2</v>
      </c>
    </row>
    <row r="133" spans="2:15" x14ac:dyDescent="0.2">
      <c r="C133" s="111" t="s">
        <v>128</v>
      </c>
      <c r="D133" s="112">
        <f>SUM(E$37:E$48)+SUM(G$37:G$48)+SUM(I$37:I$48)+SUM(K$37:K$48)</f>
        <v>305637.60000000003</v>
      </c>
      <c r="E133" s="112">
        <f>SUM(M$37:M$48)+SUM(O$37:O$48)+SUM(Q$37:Q$48)+SUM(S$37:S$48)</f>
        <v>870913.2</v>
      </c>
      <c r="F133" s="112">
        <f>SUM(U$37:U$48)+SUM(W$37:W$48)+SUM(Y$37:Y$48)+SUM(AA$37:AA$48)</f>
        <v>1074910.8</v>
      </c>
      <c r="G133" s="112">
        <f>SUM(AC$37:AC$48)+SUM(AE$37:AE$48)+SUM(AG$37:AG$48)+SUM(AI$37:AI$48)</f>
        <v>1234620</v>
      </c>
      <c r="H133" s="112">
        <f>SUM(AK$37:AK$48)+SUM(AM$37:AM$48)+SUM(AO$37:AO$48)+SUM(AQ$37:AQ$48)</f>
        <v>484531.19999999995</v>
      </c>
      <c r="I133" s="112">
        <f>SUM(AS$37:AS$48)+SUM(AU$37:AU$48)+SUM(AW$37:AW$48)+SUM(AY$37:AY$48)</f>
        <v>2297440.7999999998</v>
      </c>
      <c r="J133" s="112">
        <f>SUM(BA$37:BA$48)+SUM(BC$37:BC$48)+SUM(BE$37:BE$48)+SUM(BG$37:BG$48)</f>
        <v>518149.19999999995</v>
      </c>
      <c r="K133" s="112">
        <f>SUM(BI$37:BI$48)+SUM(BK$37:BK$48)+SUM(BM$37:BM$48)+SUM(BO$37:BO$48)</f>
        <v>812398.79999999981</v>
      </c>
      <c r="L133" s="112">
        <f>SUM(BQ$37:BQ$48)+SUM(BS$37:BS$48)+SUM(BU$37:BU$48)+SUM(BW$37:BW$48)</f>
        <v>529664.4</v>
      </c>
      <c r="M133" s="112">
        <f>SUM(BY$37:BY$48)+SUM(CA$37:CA$48)+SUM(CC$37:CC$48)+SUM(CE$37:CE$48)</f>
        <v>309163.2</v>
      </c>
      <c r="N133" s="112">
        <f>SUM(CG$37:CG$48)+SUM(CI$37:CI$48)+SUM(CK$37:CK$48)+SUM(CM$37:CM$48)</f>
        <v>1437498</v>
      </c>
      <c r="O133" s="112">
        <f>SUM(CO$37:CO$48)+SUM(CQ$37:CQ$48)+SUM(CS$37:CS$48)+SUM(CU$37:CU$48)</f>
        <v>947104.79999999993</v>
      </c>
    </row>
    <row r="134" spans="2:15" x14ac:dyDescent="0.2">
      <c r="C134" s="111" t="s">
        <v>129</v>
      </c>
      <c r="D134" s="112">
        <f>SUM(E$49:E$70)+SUM(G$49:G$70)+SUM(I$49:I$70)+SUM(K$49:K$70)</f>
        <v>386774.39999999991</v>
      </c>
      <c r="E134" s="112">
        <f>SUM(M$49:M$70)+SUM(O$49:O$70)+SUM(Q$49:Q$70)+SUM(S$49:S$70)</f>
        <v>395371.19999999995</v>
      </c>
      <c r="F134" s="112">
        <f>SUM(U$49:U$70)+SUM(W$49:W$70)+SUM(Y$49:Y$70)+SUM(AA$49:AA$70)</f>
        <v>3691116</v>
      </c>
      <c r="G134" s="112">
        <f>SUM(AC$49:AC$70)+SUM(AE$49:AE$70)+SUM(AG$49:AG$70)+SUM(AI$49:AI$70)</f>
        <v>847092</v>
      </c>
      <c r="H134" s="112">
        <f>SUM(AK$49:AK$70)+SUM(AM$49:AM$70)+SUM(AO$49:AO$70)+SUM(AQ$49:AQ$70)</f>
        <v>1096743.6000000001</v>
      </c>
      <c r="I134" s="112">
        <f>SUM(AS$49:AS$70)+SUM(AU$49:AU$70)+SUM(AW$49:AW$70)+SUM(AY$49:AY$70)</f>
        <v>289614</v>
      </c>
      <c r="J134" s="112">
        <f>SUM(BA$49:BA$70)+SUM(BC$49:BC$70)+SUM(BE$49:BE$70)+SUM(BG$49:BG$70)</f>
        <v>452139.59999999986</v>
      </c>
      <c r="K134" s="112">
        <f>SUM(BI$49:BI$70)+SUM(BK$49:BK$70)+SUM(BM$49:BM$70)+SUM(BO$49:BO$70)</f>
        <v>463993.19999999995</v>
      </c>
      <c r="L134" s="112">
        <f>SUM(BQ$49:BQ$70)+SUM(BS$49:BS$70)+SUM(BU$49:BU$70)+SUM(BW$49:BW$70)</f>
        <v>954872.39999999991</v>
      </c>
      <c r="M134" s="112">
        <f>SUM(BY$49:BY$70)+SUM(CA$49:CA$70)+SUM(CC$49:CC$70)+SUM(CE$49:CE$70)</f>
        <v>291216</v>
      </c>
      <c r="N134" s="112">
        <f>SUM(CG$49:CG$70)+SUM(CI$49:CI$70)+SUM(CK$49:CK$70)+SUM(CM$49:CM$70)</f>
        <v>4834730.4000000004</v>
      </c>
      <c r="O134" s="112">
        <f>SUM(CO$49:CO$70)+SUM(CQ$49:CQ$70)+SUM(CS$49:CS$70)+SUM(CU$49:CU$70)</f>
        <v>617950.80000000005</v>
      </c>
    </row>
    <row r="135" spans="2:15" x14ac:dyDescent="0.2">
      <c r="C135" s="111" t="s">
        <v>130</v>
      </c>
      <c r="D135" s="112">
        <f>SUM(E$71:E$86)+SUM(G$71:G$86)+SUM(I$71:I$86)+SUM(K$71:K$86)</f>
        <v>1022821.2</v>
      </c>
      <c r="E135" s="112">
        <f>SUM(M$71:M$86)+SUM(O$71:O$86)+SUM(Q$71:Q$86)+SUM(S$71:S$86)</f>
        <v>998302.79999999993</v>
      </c>
      <c r="F135" s="112">
        <f>SUM(U$71:U$86)+SUM(W$71:W$86)+SUM(Y$71:Y$86)+SUM(AA$71:AA$86)</f>
        <v>544579.19999999995</v>
      </c>
      <c r="G135" s="112">
        <f>SUM(AC$71:AC$86)+SUM(AE$71:AE$86)+SUM(AG$71:AG$86)+SUM(AI$71:AI$86)</f>
        <v>461914.79999999993</v>
      </c>
      <c r="H135" s="112">
        <f>SUM(AK$71:AK$86)+SUM(AM$71:AM$86)+SUM(AO$71:AO$86)+SUM(AQ$71:AQ$86)</f>
        <v>781267.2</v>
      </c>
      <c r="I135" s="112">
        <f>SUM(AS$71:AS$86)+SUM(AU$71:AU$86)+SUM(AW$71:AW$86)+SUM(AY$71:AY$86)</f>
        <v>1151851.2</v>
      </c>
      <c r="J135" s="112">
        <f>SUM(BA$71:BA$86)+SUM(BC$71:BC$86)+SUM(BE$71:BE$86)+SUM(BG$71:BG$86)</f>
        <v>143173.20000000001</v>
      </c>
      <c r="K135" s="112">
        <f>SUM(BI$71:BI$86)+SUM(BK$71:BK$86)+SUM(BM$71:BM$86)+SUM(BO$71:BO$86)</f>
        <v>157860</v>
      </c>
      <c r="L135" s="112">
        <f>SUM(BQ$71:BQ$86)+SUM(BS$71:BS$86)+SUM(BU$71:BU$86)+SUM(BW$71:BW$86)</f>
        <v>174796.79999999999</v>
      </c>
      <c r="M135" s="112">
        <f>SUM(BY$71:BY$86)+SUM(CA$71:CA$86)+SUM(CC$71:CC$86)+SUM(CE$71:CE$86)</f>
        <v>821211.6</v>
      </c>
      <c r="N135" s="112">
        <f>SUM(CG$71:CG$86)+SUM(CI$71:CI$86)+SUM(CK$71:CK$86)+SUM(CM$71:CM$86)</f>
        <v>126939.6</v>
      </c>
      <c r="O135" s="112">
        <f>SUM(CO$71:CO$86)+SUM(CQ$71:CQ$86)+SUM(CS$71:CS$86)+SUM(CU$71:CU$86)</f>
        <v>210192</v>
      </c>
    </row>
    <row r="136" spans="2:15" x14ac:dyDescent="0.2">
      <c r="C136" s="111" t="s">
        <v>131</v>
      </c>
      <c r="D136" s="112">
        <f>SUM(E$87:E$94)+SUM(G$87:G$94)+SUM(I$87:I$94)+SUM(K$87:K$94)</f>
        <v>360186</v>
      </c>
      <c r="E136" s="112">
        <f>SUM(M$87:M$94)+SUM(O$87:O$94)+SUM(Q$87:Q$94)+SUM(S$87:S$94)</f>
        <v>477634.79999999993</v>
      </c>
      <c r="F136" s="112">
        <f>SUM(U$87:U$94)+SUM(W$87:W$94)+SUM(Y$87:Y$94)+SUM(AA$87:AA$94)</f>
        <v>528745.19999999995</v>
      </c>
      <c r="G136" s="112">
        <f>SUM(AC$87:AC$94)+SUM(AE$87:AE$94)+SUM(AG$87:AG$94)+SUM(AI$87:AI$94)</f>
        <v>897940.79999999993</v>
      </c>
      <c r="H136" s="112">
        <f>SUM(AK$87:AK$94)+SUM(AM$87:AM$94)+SUM(AO$87:AO$94)+SUM(AQ$87:AQ$94)</f>
        <v>731196</v>
      </c>
      <c r="I136" s="112">
        <f>SUM(AS$87:AS$94)+SUM(AU$87:AU$94)+SUM(AW$87:AW$94)+SUM(AY$87:AY$94)</f>
        <v>1504135.2</v>
      </c>
      <c r="J136" s="112">
        <f>SUM(BA$87:BA$94)+SUM(BC$87:BC$94)+SUM(BE$87:BE$94)+SUM(BG$87:BG$94)</f>
        <v>344306.39999999997</v>
      </c>
      <c r="K136" s="112">
        <f>SUM(BI$87:BI$94)+SUM(BK$87:BK$94)+SUM(BM$87:BM$94)+SUM(BO$87:BO$94)</f>
        <v>725798.40000000002</v>
      </c>
      <c r="L136" s="112">
        <f>SUM(BQ$87:BQ$94)+SUM(BS$87:BS$94)+SUM(BU$87:BU$94)+SUM(BW$87:BW$94)</f>
        <v>1199620.7999999998</v>
      </c>
      <c r="M136" s="112">
        <f>SUM(BY$87:BY$94)+SUM(CA$87:CA$94)+SUM(CC$87:CC$94)+SUM(CE$87:CE$94)</f>
        <v>713293.2</v>
      </c>
      <c r="N136" s="112">
        <f>SUM(CG$87:CG$94)+SUM(CI$87:CI$94)+SUM(CK$87:CK$94)+SUM(CM$87:CM$94)</f>
        <v>308655.59999999998</v>
      </c>
      <c r="O136" s="112">
        <f>SUM(CO$87:CO$94)+SUM(CQ$87:CQ$94)+SUM(CS$87:CS$94)+SUM(CU$87:CU$94)</f>
        <v>238420.79999999996</v>
      </c>
    </row>
    <row r="137" spans="2:15" x14ac:dyDescent="0.2">
      <c r="C137" s="111" t="s">
        <v>132</v>
      </c>
      <c r="D137" s="112">
        <f>SUM(E$95:E$105)+SUM(G$95:G$105)+SUM(I$95:I$105)+SUM(K$95:K$105)</f>
        <v>1340338.7999999998</v>
      </c>
      <c r="E137" s="112">
        <f>SUM(M$95:M$105)+SUM(O$95:O$105)+SUM(Q$95:Q$105)+SUM(S$95:S$105)</f>
        <v>2580014.3999999994</v>
      </c>
      <c r="F137" s="112">
        <f>SUM(U$95:U$105)+SUM(W$95:W$105)+SUM(Y$95:Y$105)+SUM(AA$95:AA$105)</f>
        <v>1186046.3999999999</v>
      </c>
      <c r="G137" s="112">
        <f>SUM(AC$95:AC$105)+SUM(AE$95:AE$105)+SUM(AG$95:AG$105)+SUM(AI$95:AI$105)</f>
        <v>669015.60000000009</v>
      </c>
      <c r="H137" s="112">
        <f>SUM(AK$95:AK$105)+SUM(AM$95:AM$105)+SUM(AO$95:AO$105)+SUM(AQ$95:AQ$105)</f>
        <v>779969.99999999988</v>
      </c>
      <c r="I137" s="112">
        <f>SUM(AS$95:AS$105)+SUM(AU$95:AU$105)+SUM(AW$95:AW$105)+SUM(AY$95:AY$105)</f>
        <v>347451.6</v>
      </c>
      <c r="J137" s="112">
        <f>SUM(BA$95:BA$105)+SUM(BC$95:BC$105)+SUM(BE$95:BE$105)+SUM(BG$95:BG$105)</f>
        <v>814909.2</v>
      </c>
      <c r="K137" s="112">
        <f>SUM(BI$95:BI$105)+SUM(BK$95:BK$105)+SUM(BM$95:BM$105)+SUM(BO$95:BO$105)</f>
        <v>952432.79999999993</v>
      </c>
      <c r="L137" s="112">
        <f>SUM(BQ$95:BQ$105)+SUM(BS$95:BS$105)+SUM(BU$95:BU$105)+SUM(BW$95:BW$105)</f>
        <v>377467.2</v>
      </c>
      <c r="M137" s="112">
        <f>SUM(BY$95:BY$105)+SUM(CA$95:CA$105)+SUM(CC$95:CC$105)+SUM(CE$95:CE$105)</f>
        <v>958610.39999999991</v>
      </c>
      <c r="N137" s="112">
        <f>SUM(CG$95:CG$105)+SUM(CI$95:CI$105)+SUM(CK$95:CK$105)+SUM(CM$95:CM$105)</f>
        <v>526918.79999999993</v>
      </c>
      <c r="O137" s="112">
        <f>SUM(CO$95:CO$105)+SUM(CQ$95:CQ$105)+SUM(CS$95:CS$105)+SUM(CU$95:CU$105)</f>
        <v>799084.79999999993</v>
      </c>
    </row>
    <row r="138" spans="2:15" x14ac:dyDescent="0.2">
      <c r="C138" s="111" t="s">
        <v>277</v>
      </c>
      <c r="D138" s="106">
        <f t="shared" ref="D138:O138" si="2">SUM(D$131:D$137)</f>
        <v>3785119.1999999997</v>
      </c>
      <c r="E138" s="106">
        <f t="shared" si="2"/>
        <v>5810434.7999999989</v>
      </c>
      <c r="F138" s="106">
        <f t="shared" si="2"/>
        <v>10286852.399999999</v>
      </c>
      <c r="G138" s="106">
        <f t="shared" si="2"/>
        <v>5325774</v>
      </c>
      <c r="H138" s="106">
        <f t="shared" si="2"/>
        <v>4586202</v>
      </c>
      <c r="I138" s="106">
        <f t="shared" si="2"/>
        <v>6220545.5999999996</v>
      </c>
      <c r="J138" s="106">
        <f t="shared" si="2"/>
        <v>2925354</v>
      </c>
      <c r="K138" s="106">
        <f t="shared" si="2"/>
        <v>4125827.9999999995</v>
      </c>
      <c r="L138" s="106">
        <f t="shared" si="2"/>
        <v>4376473.1999999993</v>
      </c>
      <c r="M138" s="106">
        <f t="shared" si="2"/>
        <v>6659424</v>
      </c>
      <c r="N138" s="106">
        <f t="shared" si="2"/>
        <v>9517328.4000000004</v>
      </c>
      <c r="O138" s="106">
        <f t="shared" si="2"/>
        <v>3366294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281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12.197178563423702</v>
      </c>
      <c r="I6" s="106">
        <v>7054.8480810842684</v>
      </c>
      <c r="J6" s="106">
        <v>16.577689629737712</v>
      </c>
      <c r="K6" s="106">
        <v>9588.5356818402925</v>
      </c>
      <c r="L6" s="106">
        <v>56</v>
      </c>
      <c r="M6" s="106">
        <v>32390.399999999998</v>
      </c>
      <c r="N6" s="106">
        <v>42</v>
      </c>
      <c r="O6" s="106">
        <v>24292.799999999999</v>
      </c>
      <c r="P6" s="106">
        <v>60</v>
      </c>
      <c r="Q6" s="106">
        <v>34704</v>
      </c>
      <c r="R6" s="106">
        <v>46</v>
      </c>
      <c r="S6" s="106">
        <v>26606.399999999998</v>
      </c>
      <c r="T6" s="106">
        <v>7</v>
      </c>
      <c r="U6" s="106">
        <v>4048.7999999999997</v>
      </c>
      <c r="V6" s="106">
        <v>8</v>
      </c>
      <c r="W6" s="106">
        <v>4627.2</v>
      </c>
      <c r="X6" s="106">
        <v>5</v>
      </c>
      <c r="Y6" s="106">
        <v>2892</v>
      </c>
      <c r="Z6" s="106">
        <v>4</v>
      </c>
      <c r="AA6" s="106">
        <v>2313.6</v>
      </c>
      <c r="AB6" s="106">
        <v>15</v>
      </c>
      <c r="AC6" s="106">
        <v>8676</v>
      </c>
      <c r="AD6" s="106">
        <v>25</v>
      </c>
      <c r="AE6" s="106">
        <v>14460</v>
      </c>
      <c r="AF6" s="106">
        <v>24</v>
      </c>
      <c r="AG6" s="106">
        <v>13881.599999999999</v>
      </c>
      <c r="AH6" s="106">
        <v>31</v>
      </c>
      <c r="AI6" s="106">
        <v>17930.399999999998</v>
      </c>
      <c r="AJ6" s="106">
        <v>5</v>
      </c>
      <c r="AK6" s="106">
        <v>2892</v>
      </c>
      <c r="AL6" s="106">
        <v>9</v>
      </c>
      <c r="AM6" s="106">
        <v>5205.5999999999995</v>
      </c>
      <c r="AN6" s="106">
        <v>9</v>
      </c>
      <c r="AO6" s="106">
        <v>5205.5999999999995</v>
      </c>
      <c r="AP6" s="106">
        <v>7</v>
      </c>
      <c r="AQ6" s="106">
        <v>4048.7999999999997</v>
      </c>
      <c r="AR6" s="106">
        <v>44</v>
      </c>
      <c r="AS6" s="106">
        <v>25449.599999999999</v>
      </c>
      <c r="AT6" s="106">
        <v>32</v>
      </c>
      <c r="AU6" s="106">
        <v>18508.8</v>
      </c>
      <c r="AV6" s="106">
        <v>41</v>
      </c>
      <c r="AW6" s="106">
        <v>23714.399999999998</v>
      </c>
      <c r="AX6" s="106">
        <v>32</v>
      </c>
      <c r="AY6" s="106">
        <v>18508.8</v>
      </c>
      <c r="AZ6" s="106">
        <v>13</v>
      </c>
      <c r="BA6" s="106">
        <v>7519.2</v>
      </c>
      <c r="BB6" s="106">
        <v>14</v>
      </c>
      <c r="BC6" s="106">
        <v>8097.5999999999995</v>
      </c>
      <c r="BD6" s="106">
        <v>9</v>
      </c>
      <c r="BE6" s="106">
        <v>5205.5999999999995</v>
      </c>
      <c r="BF6" s="106">
        <v>13</v>
      </c>
      <c r="BG6" s="106">
        <v>7519.2</v>
      </c>
      <c r="BH6" s="106">
        <v>49</v>
      </c>
      <c r="BI6" s="106">
        <v>28341.599999999999</v>
      </c>
      <c r="BJ6" s="106">
        <v>48</v>
      </c>
      <c r="BK6" s="106">
        <v>27763.199999999997</v>
      </c>
      <c r="BL6" s="106">
        <v>44</v>
      </c>
      <c r="BM6" s="106">
        <v>25449.599999999999</v>
      </c>
      <c r="BN6" s="106">
        <v>81</v>
      </c>
      <c r="BO6" s="106">
        <v>46850.400000000001</v>
      </c>
      <c r="BP6" s="106">
        <v>99</v>
      </c>
      <c r="BQ6" s="106">
        <v>57261.599999999999</v>
      </c>
      <c r="BR6" s="106">
        <v>82</v>
      </c>
      <c r="BS6" s="106">
        <v>47428.799999999996</v>
      </c>
      <c r="BT6" s="106">
        <v>73</v>
      </c>
      <c r="BU6" s="106">
        <v>42223.199999999997</v>
      </c>
      <c r="BV6" s="106">
        <v>70</v>
      </c>
      <c r="BW6" s="106">
        <v>40488</v>
      </c>
      <c r="BX6" s="106">
        <v>18</v>
      </c>
      <c r="BY6" s="106">
        <v>10411.199999999999</v>
      </c>
      <c r="BZ6" s="106">
        <v>9</v>
      </c>
      <c r="CA6" s="106">
        <v>5205.5999999999995</v>
      </c>
      <c r="CB6" s="106">
        <v>11</v>
      </c>
      <c r="CC6" s="106">
        <v>6362.4</v>
      </c>
      <c r="CD6" s="106">
        <v>14</v>
      </c>
      <c r="CE6" s="106">
        <v>8097.5999999999995</v>
      </c>
      <c r="CF6" s="106">
        <v>21</v>
      </c>
      <c r="CG6" s="106">
        <v>12146.4</v>
      </c>
      <c r="CH6" s="106">
        <v>19</v>
      </c>
      <c r="CI6" s="106">
        <v>10989.6</v>
      </c>
      <c r="CJ6" s="106">
        <v>14</v>
      </c>
      <c r="CK6" s="106">
        <v>8097.5999999999995</v>
      </c>
      <c r="CL6" s="106">
        <v>22</v>
      </c>
      <c r="CM6" s="106">
        <v>12724.8</v>
      </c>
      <c r="CN6" s="106">
        <v>11</v>
      </c>
      <c r="CO6" s="106">
        <v>6362.4</v>
      </c>
      <c r="CP6" s="106">
        <v>12</v>
      </c>
      <c r="CQ6" s="106">
        <v>6940.7999999999993</v>
      </c>
      <c r="CR6" s="106">
        <v>15</v>
      </c>
      <c r="CS6" s="106">
        <v>8676</v>
      </c>
      <c r="CT6" s="106">
        <v>16</v>
      </c>
      <c r="CU6" s="106">
        <v>9254.4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14.23004165732765</v>
      </c>
      <c r="I7" s="106">
        <v>11218.964842637119</v>
      </c>
      <c r="J7" s="106">
        <v>14.091036185277057</v>
      </c>
      <c r="K7" s="106">
        <v>11109.37292847243</v>
      </c>
      <c r="L7" s="106">
        <v>59</v>
      </c>
      <c r="M7" s="106">
        <v>46515.6</v>
      </c>
      <c r="N7" s="106">
        <v>43</v>
      </c>
      <c r="O7" s="106">
        <v>33901.199999999997</v>
      </c>
      <c r="P7" s="106">
        <v>60</v>
      </c>
      <c r="Q7" s="106">
        <v>47304</v>
      </c>
      <c r="R7" s="106">
        <v>39</v>
      </c>
      <c r="S7" s="106">
        <v>30747.599999999999</v>
      </c>
      <c r="T7" s="106">
        <v>7</v>
      </c>
      <c r="U7" s="106">
        <v>5518.8</v>
      </c>
      <c r="V7" s="106">
        <v>7</v>
      </c>
      <c r="W7" s="106">
        <v>5518.8</v>
      </c>
      <c r="X7" s="106">
        <v>6</v>
      </c>
      <c r="Y7" s="106">
        <v>4730.3999999999996</v>
      </c>
      <c r="Z7" s="106">
        <v>5</v>
      </c>
      <c r="AA7" s="106">
        <v>3942</v>
      </c>
      <c r="AB7" s="106">
        <v>15</v>
      </c>
      <c r="AC7" s="106">
        <v>11826</v>
      </c>
      <c r="AD7" s="106">
        <v>24</v>
      </c>
      <c r="AE7" s="106">
        <v>18921.599999999999</v>
      </c>
      <c r="AF7" s="106">
        <v>23</v>
      </c>
      <c r="AG7" s="106">
        <v>18133.2</v>
      </c>
      <c r="AH7" s="106">
        <v>28</v>
      </c>
      <c r="AI7" s="106">
        <v>22075.200000000001</v>
      </c>
      <c r="AJ7" s="106">
        <v>6</v>
      </c>
      <c r="AK7" s="106">
        <v>4730.3999999999996</v>
      </c>
      <c r="AL7" s="106">
        <v>8</v>
      </c>
      <c r="AM7" s="106">
        <v>6307.2</v>
      </c>
      <c r="AN7" s="106">
        <v>10</v>
      </c>
      <c r="AO7" s="106">
        <v>7884</v>
      </c>
      <c r="AP7" s="106">
        <v>8</v>
      </c>
      <c r="AQ7" s="106">
        <v>6307.2</v>
      </c>
      <c r="AR7" s="106">
        <v>43</v>
      </c>
      <c r="AS7" s="106">
        <v>33901.199999999997</v>
      </c>
      <c r="AT7" s="106">
        <v>27</v>
      </c>
      <c r="AU7" s="106">
        <v>21286.799999999999</v>
      </c>
      <c r="AV7" s="106">
        <v>38</v>
      </c>
      <c r="AW7" s="106">
        <v>29959.200000000001</v>
      </c>
      <c r="AX7" s="106">
        <v>29</v>
      </c>
      <c r="AY7" s="106">
        <v>22863.599999999999</v>
      </c>
      <c r="AZ7" s="106">
        <v>12</v>
      </c>
      <c r="BA7" s="106">
        <v>9460.7999999999993</v>
      </c>
      <c r="BB7" s="106">
        <v>11</v>
      </c>
      <c r="BC7" s="106">
        <v>8672.4</v>
      </c>
      <c r="BD7" s="106">
        <v>8</v>
      </c>
      <c r="BE7" s="106">
        <v>6307.2</v>
      </c>
      <c r="BF7" s="106">
        <v>12</v>
      </c>
      <c r="BG7" s="106">
        <v>9460.7999999999993</v>
      </c>
      <c r="BH7" s="106">
        <v>53</v>
      </c>
      <c r="BI7" s="106">
        <v>41785.199999999997</v>
      </c>
      <c r="BJ7" s="106">
        <v>48</v>
      </c>
      <c r="BK7" s="106">
        <v>37843.199999999997</v>
      </c>
      <c r="BL7" s="106">
        <v>42</v>
      </c>
      <c r="BM7" s="106">
        <v>33112.799999999996</v>
      </c>
      <c r="BN7" s="106">
        <v>77</v>
      </c>
      <c r="BO7" s="106">
        <v>60706.799999999996</v>
      </c>
      <c r="BP7" s="106">
        <v>79</v>
      </c>
      <c r="BQ7" s="106">
        <v>62283.6</v>
      </c>
      <c r="BR7" s="106">
        <v>84</v>
      </c>
      <c r="BS7" s="106">
        <v>66225.599999999991</v>
      </c>
      <c r="BT7" s="106">
        <v>64</v>
      </c>
      <c r="BU7" s="106">
        <v>50457.599999999999</v>
      </c>
      <c r="BV7" s="106">
        <v>59</v>
      </c>
      <c r="BW7" s="106">
        <v>46515.6</v>
      </c>
      <c r="BX7" s="106">
        <v>19</v>
      </c>
      <c r="BY7" s="106">
        <v>14979.6</v>
      </c>
      <c r="BZ7" s="106">
        <v>10</v>
      </c>
      <c r="CA7" s="106">
        <v>7884</v>
      </c>
      <c r="CB7" s="106">
        <v>11</v>
      </c>
      <c r="CC7" s="106">
        <v>8672.4</v>
      </c>
      <c r="CD7" s="106">
        <v>13</v>
      </c>
      <c r="CE7" s="106">
        <v>10249.199999999999</v>
      </c>
      <c r="CF7" s="106">
        <v>18</v>
      </c>
      <c r="CG7" s="106">
        <v>14191.199999999999</v>
      </c>
      <c r="CH7" s="106">
        <v>17</v>
      </c>
      <c r="CI7" s="106">
        <v>13402.8</v>
      </c>
      <c r="CJ7" s="106">
        <v>15</v>
      </c>
      <c r="CK7" s="106">
        <v>11826</v>
      </c>
      <c r="CL7" s="106">
        <v>21</v>
      </c>
      <c r="CM7" s="106">
        <v>16556.399999999998</v>
      </c>
      <c r="CN7" s="106">
        <v>12</v>
      </c>
      <c r="CO7" s="106">
        <v>9460.7999999999993</v>
      </c>
      <c r="CP7" s="106">
        <v>11</v>
      </c>
      <c r="CQ7" s="106">
        <v>8672.4</v>
      </c>
      <c r="CR7" s="106">
        <v>14</v>
      </c>
      <c r="CS7" s="106">
        <v>11037.6</v>
      </c>
      <c r="CT7" s="106">
        <v>14</v>
      </c>
      <c r="CU7" s="106">
        <v>11037.6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12.874799594725019</v>
      </c>
      <c r="I8" s="106">
        <v>3986.0379545268656</v>
      </c>
      <c r="J8" s="106">
        <v>14.919920666763941</v>
      </c>
      <c r="K8" s="106">
        <v>4619.2074384301159</v>
      </c>
      <c r="L8" s="106">
        <v>68</v>
      </c>
      <c r="M8" s="106">
        <v>21052.799999999999</v>
      </c>
      <c r="N8" s="106">
        <v>43</v>
      </c>
      <c r="O8" s="106">
        <v>13312.8</v>
      </c>
      <c r="P8" s="106">
        <v>72</v>
      </c>
      <c r="Q8" s="106">
        <v>22291.199999999997</v>
      </c>
      <c r="R8" s="106">
        <v>40</v>
      </c>
      <c r="S8" s="106">
        <v>12383.999999999998</v>
      </c>
      <c r="T8" s="106">
        <v>8</v>
      </c>
      <c r="U8" s="106">
        <v>2476.7999999999997</v>
      </c>
      <c r="V8" s="106">
        <v>7</v>
      </c>
      <c r="W8" s="106">
        <v>2167.1999999999998</v>
      </c>
      <c r="X8" s="106">
        <v>5</v>
      </c>
      <c r="Y8" s="106">
        <v>1547.9999999999998</v>
      </c>
      <c r="Z8" s="106">
        <v>5</v>
      </c>
      <c r="AA8" s="106">
        <v>1547.9999999999998</v>
      </c>
      <c r="AB8" s="106">
        <v>17</v>
      </c>
      <c r="AC8" s="106">
        <v>5263.2</v>
      </c>
      <c r="AD8" s="106">
        <v>26</v>
      </c>
      <c r="AE8" s="106">
        <v>8049.5999999999995</v>
      </c>
      <c r="AF8" s="106">
        <v>25</v>
      </c>
      <c r="AG8" s="106">
        <v>7739.9999999999991</v>
      </c>
      <c r="AH8" s="106">
        <v>31</v>
      </c>
      <c r="AI8" s="106">
        <v>9597.5999999999985</v>
      </c>
      <c r="AJ8" s="106">
        <v>6</v>
      </c>
      <c r="AK8" s="106">
        <v>1857.6</v>
      </c>
      <c r="AL8" s="106">
        <v>9</v>
      </c>
      <c r="AM8" s="106">
        <v>2786.3999999999996</v>
      </c>
      <c r="AN8" s="106">
        <v>9</v>
      </c>
      <c r="AO8" s="106">
        <v>2786.3999999999996</v>
      </c>
      <c r="AP8" s="106">
        <v>8</v>
      </c>
      <c r="AQ8" s="106">
        <v>2476.7999999999997</v>
      </c>
      <c r="AR8" s="106">
        <v>51</v>
      </c>
      <c r="AS8" s="106">
        <v>15789.599999999999</v>
      </c>
      <c r="AT8" s="106">
        <v>30</v>
      </c>
      <c r="AU8" s="106">
        <v>9287.9999999999982</v>
      </c>
      <c r="AV8" s="106">
        <v>41</v>
      </c>
      <c r="AW8" s="106">
        <v>12693.599999999999</v>
      </c>
      <c r="AX8" s="106">
        <v>33</v>
      </c>
      <c r="AY8" s="106">
        <v>10216.799999999999</v>
      </c>
      <c r="AZ8" s="106">
        <v>13</v>
      </c>
      <c r="BA8" s="106">
        <v>4024.7999999999997</v>
      </c>
      <c r="BB8" s="106">
        <v>14</v>
      </c>
      <c r="BC8" s="106">
        <v>4334.3999999999996</v>
      </c>
      <c r="BD8" s="106">
        <v>8</v>
      </c>
      <c r="BE8" s="106">
        <v>2476.7999999999997</v>
      </c>
      <c r="BF8" s="106">
        <v>13</v>
      </c>
      <c r="BG8" s="106">
        <v>4024.7999999999997</v>
      </c>
      <c r="BH8" s="106">
        <v>51</v>
      </c>
      <c r="BI8" s="106">
        <v>15789.599999999999</v>
      </c>
      <c r="BJ8" s="106">
        <v>52</v>
      </c>
      <c r="BK8" s="106">
        <v>16099.199999999999</v>
      </c>
      <c r="BL8" s="106">
        <v>43</v>
      </c>
      <c r="BM8" s="106">
        <v>13312.8</v>
      </c>
      <c r="BN8" s="106">
        <v>79</v>
      </c>
      <c r="BO8" s="106">
        <v>24458.399999999998</v>
      </c>
      <c r="BP8" s="106">
        <v>87</v>
      </c>
      <c r="BQ8" s="106">
        <v>26935.199999999997</v>
      </c>
      <c r="BR8" s="106">
        <v>86</v>
      </c>
      <c r="BS8" s="106">
        <v>26625.599999999999</v>
      </c>
      <c r="BT8" s="106">
        <v>78</v>
      </c>
      <c r="BU8" s="106">
        <v>24148.799999999996</v>
      </c>
      <c r="BV8" s="106">
        <v>72</v>
      </c>
      <c r="BW8" s="106">
        <v>22291.199999999997</v>
      </c>
      <c r="BX8" s="106">
        <v>20</v>
      </c>
      <c r="BY8" s="106">
        <v>6191.9999999999991</v>
      </c>
      <c r="BZ8" s="106">
        <v>10</v>
      </c>
      <c r="CA8" s="106">
        <v>3095.9999999999995</v>
      </c>
      <c r="CB8" s="106">
        <v>12</v>
      </c>
      <c r="CC8" s="106">
        <v>3715.2</v>
      </c>
      <c r="CD8" s="106">
        <v>15</v>
      </c>
      <c r="CE8" s="106">
        <v>4643.9999999999991</v>
      </c>
      <c r="CF8" s="106">
        <v>20</v>
      </c>
      <c r="CG8" s="106">
        <v>6191.9999999999991</v>
      </c>
      <c r="CH8" s="106">
        <v>21</v>
      </c>
      <c r="CI8" s="106">
        <v>6501.5999999999995</v>
      </c>
      <c r="CJ8" s="106">
        <v>17</v>
      </c>
      <c r="CK8" s="106">
        <v>5263.2</v>
      </c>
      <c r="CL8" s="106">
        <v>22</v>
      </c>
      <c r="CM8" s="106">
        <v>6811.1999999999989</v>
      </c>
      <c r="CN8" s="106">
        <v>12</v>
      </c>
      <c r="CO8" s="106">
        <v>3715.2</v>
      </c>
      <c r="CP8" s="106">
        <v>12</v>
      </c>
      <c r="CQ8" s="106">
        <v>3715.2</v>
      </c>
      <c r="CR8" s="106">
        <v>17</v>
      </c>
      <c r="CS8" s="106">
        <v>5263.2</v>
      </c>
      <c r="CT8" s="106">
        <v>15</v>
      </c>
      <c r="CU8" s="106">
        <v>4643.9999999999991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13.552420626026334</v>
      </c>
      <c r="I9" s="106">
        <v>9513.799279470486</v>
      </c>
      <c r="J9" s="106">
        <v>15.748805148250828</v>
      </c>
      <c r="K9" s="106">
        <v>11055.661214072081</v>
      </c>
      <c r="L9" s="106">
        <v>58</v>
      </c>
      <c r="M9" s="106">
        <v>40716</v>
      </c>
      <c r="N9" s="106">
        <v>42</v>
      </c>
      <c r="O9" s="106">
        <v>29484</v>
      </c>
      <c r="P9" s="106">
        <v>59</v>
      </c>
      <c r="Q9" s="106">
        <v>41418</v>
      </c>
      <c r="R9" s="106">
        <v>42</v>
      </c>
      <c r="S9" s="106">
        <v>29484</v>
      </c>
      <c r="T9" s="106">
        <v>8</v>
      </c>
      <c r="U9" s="106">
        <v>5616</v>
      </c>
      <c r="V9" s="106">
        <v>7</v>
      </c>
      <c r="W9" s="106">
        <v>4914</v>
      </c>
      <c r="X9" s="106">
        <v>5</v>
      </c>
      <c r="Y9" s="106">
        <v>3510</v>
      </c>
      <c r="Z9" s="106">
        <v>5</v>
      </c>
      <c r="AA9" s="106">
        <v>3510</v>
      </c>
      <c r="AB9" s="106">
        <v>18</v>
      </c>
      <c r="AC9" s="106">
        <v>12636</v>
      </c>
      <c r="AD9" s="106">
        <v>22</v>
      </c>
      <c r="AE9" s="106">
        <v>15444</v>
      </c>
      <c r="AF9" s="106">
        <v>26</v>
      </c>
      <c r="AG9" s="106">
        <v>18252</v>
      </c>
      <c r="AH9" s="106">
        <v>31</v>
      </c>
      <c r="AI9" s="106">
        <v>21762</v>
      </c>
      <c r="AJ9" s="106">
        <v>6</v>
      </c>
      <c r="AK9" s="106">
        <v>4212</v>
      </c>
      <c r="AL9" s="106">
        <v>8</v>
      </c>
      <c r="AM9" s="106">
        <v>5616</v>
      </c>
      <c r="AN9" s="106">
        <v>9</v>
      </c>
      <c r="AO9" s="106">
        <v>6318</v>
      </c>
      <c r="AP9" s="106">
        <v>8</v>
      </c>
      <c r="AQ9" s="106">
        <v>5616</v>
      </c>
      <c r="AR9" s="106">
        <v>48</v>
      </c>
      <c r="AS9" s="106">
        <v>33696</v>
      </c>
      <c r="AT9" s="106">
        <v>28</v>
      </c>
      <c r="AU9" s="106">
        <v>19656</v>
      </c>
      <c r="AV9" s="106">
        <v>35</v>
      </c>
      <c r="AW9" s="106">
        <v>24570</v>
      </c>
      <c r="AX9" s="106">
        <v>32</v>
      </c>
      <c r="AY9" s="106">
        <v>22464</v>
      </c>
      <c r="AZ9" s="106">
        <v>12</v>
      </c>
      <c r="BA9" s="106">
        <v>8424</v>
      </c>
      <c r="BB9" s="106">
        <v>12</v>
      </c>
      <c r="BC9" s="106">
        <v>8424</v>
      </c>
      <c r="BD9" s="106">
        <v>8</v>
      </c>
      <c r="BE9" s="106">
        <v>5616</v>
      </c>
      <c r="BF9" s="106">
        <v>11</v>
      </c>
      <c r="BG9" s="106">
        <v>7722</v>
      </c>
      <c r="BH9" s="106">
        <v>56</v>
      </c>
      <c r="BI9" s="106">
        <v>39312</v>
      </c>
      <c r="BJ9" s="106">
        <v>48</v>
      </c>
      <c r="BK9" s="106">
        <v>33696</v>
      </c>
      <c r="BL9" s="106">
        <v>35</v>
      </c>
      <c r="BM9" s="106">
        <v>24570</v>
      </c>
      <c r="BN9" s="106">
        <v>79</v>
      </c>
      <c r="BO9" s="106">
        <v>55458</v>
      </c>
      <c r="BP9" s="106">
        <v>97</v>
      </c>
      <c r="BQ9" s="106">
        <v>68094</v>
      </c>
      <c r="BR9" s="106">
        <v>90</v>
      </c>
      <c r="BS9" s="106">
        <v>63180</v>
      </c>
      <c r="BT9" s="106">
        <v>65</v>
      </c>
      <c r="BU9" s="106">
        <v>45630</v>
      </c>
      <c r="BV9" s="106">
        <v>59</v>
      </c>
      <c r="BW9" s="106">
        <v>41418</v>
      </c>
      <c r="BX9" s="106">
        <v>19</v>
      </c>
      <c r="BY9" s="106">
        <v>13338</v>
      </c>
      <c r="BZ9" s="106">
        <v>11</v>
      </c>
      <c r="CA9" s="106">
        <v>7722</v>
      </c>
      <c r="CB9" s="106">
        <v>10</v>
      </c>
      <c r="CC9" s="106">
        <v>7020</v>
      </c>
      <c r="CD9" s="106">
        <v>12</v>
      </c>
      <c r="CE9" s="106">
        <v>8424</v>
      </c>
      <c r="CF9" s="106">
        <v>20</v>
      </c>
      <c r="CG9" s="106">
        <v>14040</v>
      </c>
      <c r="CH9" s="106">
        <v>21</v>
      </c>
      <c r="CI9" s="106">
        <v>14742</v>
      </c>
      <c r="CJ9" s="106">
        <v>14</v>
      </c>
      <c r="CK9" s="106">
        <v>9828</v>
      </c>
      <c r="CL9" s="106">
        <v>19</v>
      </c>
      <c r="CM9" s="106">
        <v>13338</v>
      </c>
      <c r="CN9" s="106">
        <v>11</v>
      </c>
      <c r="CO9" s="106">
        <v>7722</v>
      </c>
      <c r="CP9" s="106">
        <v>12</v>
      </c>
      <c r="CQ9" s="106">
        <v>8424</v>
      </c>
      <c r="CR9" s="106">
        <v>15</v>
      </c>
      <c r="CS9" s="106">
        <v>10530</v>
      </c>
      <c r="CT9" s="106">
        <v>17</v>
      </c>
      <c r="CU9" s="106">
        <v>11934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13.552420626026334</v>
      </c>
      <c r="I10" s="106">
        <v>7383.3587570591462</v>
      </c>
      <c r="J10" s="106">
        <v>14.091036185277057</v>
      </c>
      <c r="K10" s="106">
        <v>7676.7965137389401</v>
      </c>
      <c r="L10" s="106">
        <v>64</v>
      </c>
      <c r="M10" s="106">
        <v>34867.199999999997</v>
      </c>
      <c r="N10" s="106">
        <v>44</v>
      </c>
      <c r="O10" s="106">
        <v>23971.199999999997</v>
      </c>
      <c r="P10" s="106">
        <v>66</v>
      </c>
      <c r="Q10" s="106">
        <v>35956.799999999996</v>
      </c>
      <c r="R10" s="106">
        <v>41</v>
      </c>
      <c r="S10" s="106">
        <v>22336.799999999999</v>
      </c>
      <c r="T10" s="106">
        <v>7</v>
      </c>
      <c r="U10" s="106">
        <v>3813.5999999999995</v>
      </c>
      <c r="V10" s="106">
        <v>7</v>
      </c>
      <c r="W10" s="106">
        <v>3813.5999999999995</v>
      </c>
      <c r="X10" s="106">
        <v>6</v>
      </c>
      <c r="Y10" s="106">
        <v>3268.7999999999997</v>
      </c>
      <c r="Z10" s="106">
        <v>4</v>
      </c>
      <c r="AA10" s="106">
        <v>2179.1999999999998</v>
      </c>
      <c r="AB10" s="106">
        <v>16</v>
      </c>
      <c r="AC10" s="106">
        <v>8716.7999999999993</v>
      </c>
      <c r="AD10" s="106">
        <v>23</v>
      </c>
      <c r="AE10" s="106">
        <v>12530.4</v>
      </c>
      <c r="AF10" s="106">
        <v>26</v>
      </c>
      <c r="AG10" s="106">
        <v>14164.8</v>
      </c>
      <c r="AH10" s="106">
        <v>29</v>
      </c>
      <c r="AI10" s="106">
        <v>15799.199999999999</v>
      </c>
      <c r="AJ10" s="106">
        <v>5</v>
      </c>
      <c r="AK10" s="106">
        <v>2724</v>
      </c>
      <c r="AL10" s="106">
        <v>8</v>
      </c>
      <c r="AM10" s="106">
        <v>4358.3999999999996</v>
      </c>
      <c r="AN10" s="106">
        <v>10</v>
      </c>
      <c r="AO10" s="106">
        <v>5448</v>
      </c>
      <c r="AP10" s="106">
        <v>7</v>
      </c>
      <c r="AQ10" s="106">
        <v>3813.5999999999995</v>
      </c>
      <c r="AR10" s="106">
        <v>49</v>
      </c>
      <c r="AS10" s="106">
        <v>26695.199999999997</v>
      </c>
      <c r="AT10" s="106">
        <v>29</v>
      </c>
      <c r="AU10" s="106">
        <v>15799.199999999999</v>
      </c>
      <c r="AV10" s="106">
        <v>40</v>
      </c>
      <c r="AW10" s="106">
        <v>21792</v>
      </c>
      <c r="AX10" s="106">
        <v>30</v>
      </c>
      <c r="AY10" s="106">
        <v>16343.999999999998</v>
      </c>
      <c r="AZ10" s="106">
        <v>13</v>
      </c>
      <c r="BA10" s="106">
        <v>7082.4</v>
      </c>
      <c r="BB10" s="106">
        <v>11</v>
      </c>
      <c r="BC10" s="106">
        <v>5992.7999999999993</v>
      </c>
      <c r="BD10" s="106">
        <v>9</v>
      </c>
      <c r="BE10" s="106">
        <v>4903.2</v>
      </c>
      <c r="BF10" s="106">
        <v>12</v>
      </c>
      <c r="BG10" s="106">
        <v>6537.5999999999995</v>
      </c>
      <c r="BH10" s="106">
        <v>54</v>
      </c>
      <c r="BI10" s="106">
        <v>29419.199999999997</v>
      </c>
      <c r="BJ10" s="106">
        <v>43</v>
      </c>
      <c r="BK10" s="106">
        <v>23426.399999999998</v>
      </c>
      <c r="BL10" s="106">
        <v>43</v>
      </c>
      <c r="BM10" s="106">
        <v>23426.399999999998</v>
      </c>
      <c r="BN10" s="106">
        <v>78</v>
      </c>
      <c r="BO10" s="106">
        <v>42494.399999999994</v>
      </c>
      <c r="BP10" s="106">
        <v>90</v>
      </c>
      <c r="BQ10" s="106">
        <v>49031.999999999993</v>
      </c>
      <c r="BR10" s="106">
        <v>87</v>
      </c>
      <c r="BS10" s="106">
        <v>47397.599999999999</v>
      </c>
      <c r="BT10" s="106">
        <v>79</v>
      </c>
      <c r="BU10" s="106">
        <v>43039.199999999997</v>
      </c>
      <c r="BV10" s="106">
        <v>62</v>
      </c>
      <c r="BW10" s="106">
        <v>33777.599999999999</v>
      </c>
      <c r="BX10" s="106">
        <v>17</v>
      </c>
      <c r="BY10" s="106">
        <v>9261.5999999999985</v>
      </c>
      <c r="BZ10" s="106">
        <v>11</v>
      </c>
      <c r="CA10" s="106">
        <v>5992.7999999999993</v>
      </c>
      <c r="CB10" s="106">
        <v>11</v>
      </c>
      <c r="CC10" s="106">
        <v>5992.7999999999993</v>
      </c>
      <c r="CD10" s="106">
        <v>14</v>
      </c>
      <c r="CE10" s="106">
        <v>7627.1999999999989</v>
      </c>
      <c r="CF10" s="106">
        <v>21</v>
      </c>
      <c r="CG10" s="106">
        <v>11440.8</v>
      </c>
      <c r="CH10" s="106">
        <v>19</v>
      </c>
      <c r="CI10" s="106">
        <v>10351.199999999999</v>
      </c>
      <c r="CJ10" s="106">
        <v>15</v>
      </c>
      <c r="CK10" s="106">
        <v>8171.9999999999991</v>
      </c>
      <c r="CL10" s="106">
        <v>20</v>
      </c>
      <c r="CM10" s="106">
        <v>10896</v>
      </c>
      <c r="CN10" s="106">
        <v>11</v>
      </c>
      <c r="CO10" s="106">
        <v>5992.7999999999993</v>
      </c>
      <c r="CP10" s="106">
        <v>11</v>
      </c>
      <c r="CQ10" s="106">
        <v>5992.7999999999993</v>
      </c>
      <c r="CR10" s="106">
        <v>17</v>
      </c>
      <c r="CS10" s="106">
        <v>9261.5999999999985</v>
      </c>
      <c r="CT10" s="106">
        <v>16</v>
      </c>
      <c r="CU10" s="106">
        <v>8716.7999999999993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12.197178563423702</v>
      </c>
      <c r="I11" s="106">
        <v>6498.656738592148</v>
      </c>
      <c r="J11" s="106">
        <v>15.748805148250828</v>
      </c>
      <c r="K11" s="106">
        <v>8390.9633829880404</v>
      </c>
      <c r="L11" s="106">
        <v>57</v>
      </c>
      <c r="M11" s="106">
        <v>30369.599999999999</v>
      </c>
      <c r="N11" s="106">
        <v>39</v>
      </c>
      <c r="O11" s="106">
        <v>20779.199999999997</v>
      </c>
      <c r="P11" s="106">
        <v>67</v>
      </c>
      <c r="Q11" s="106">
        <v>35697.599999999999</v>
      </c>
      <c r="R11" s="106">
        <v>43</v>
      </c>
      <c r="S11" s="106">
        <v>22910.399999999998</v>
      </c>
      <c r="T11" s="106">
        <v>7</v>
      </c>
      <c r="U11" s="106">
        <v>3729.5999999999995</v>
      </c>
      <c r="V11" s="106">
        <v>7</v>
      </c>
      <c r="W11" s="106">
        <v>3729.5999999999995</v>
      </c>
      <c r="X11" s="106">
        <v>6</v>
      </c>
      <c r="Y11" s="106">
        <v>3196.7999999999997</v>
      </c>
      <c r="Z11" s="106">
        <v>5</v>
      </c>
      <c r="AA11" s="106">
        <v>2664</v>
      </c>
      <c r="AB11" s="106">
        <v>16</v>
      </c>
      <c r="AC11" s="106">
        <v>8524.7999999999993</v>
      </c>
      <c r="AD11" s="106">
        <v>23</v>
      </c>
      <c r="AE11" s="106">
        <v>12254.4</v>
      </c>
      <c r="AF11" s="106">
        <v>26</v>
      </c>
      <c r="AG11" s="106">
        <v>13852.8</v>
      </c>
      <c r="AH11" s="106">
        <v>31</v>
      </c>
      <c r="AI11" s="106">
        <v>16516.8</v>
      </c>
      <c r="AJ11" s="106">
        <v>6</v>
      </c>
      <c r="AK11" s="106">
        <v>3196.7999999999997</v>
      </c>
      <c r="AL11" s="106">
        <v>9</v>
      </c>
      <c r="AM11" s="106">
        <v>4795.2</v>
      </c>
      <c r="AN11" s="106">
        <v>11</v>
      </c>
      <c r="AO11" s="106">
        <v>5860.7999999999993</v>
      </c>
      <c r="AP11" s="106">
        <v>8</v>
      </c>
      <c r="AQ11" s="106">
        <v>4262.3999999999996</v>
      </c>
      <c r="AR11" s="106">
        <v>49</v>
      </c>
      <c r="AS11" s="106">
        <v>26107.199999999997</v>
      </c>
      <c r="AT11" s="106">
        <v>34</v>
      </c>
      <c r="AU11" s="106">
        <v>18115.199999999997</v>
      </c>
      <c r="AV11" s="106">
        <v>41</v>
      </c>
      <c r="AW11" s="106">
        <v>21844.799999999999</v>
      </c>
      <c r="AX11" s="106">
        <v>28</v>
      </c>
      <c r="AY11" s="106">
        <v>14918.399999999998</v>
      </c>
      <c r="AZ11" s="106">
        <v>13</v>
      </c>
      <c r="BA11" s="106">
        <v>6926.4</v>
      </c>
      <c r="BB11" s="106">
        <v>14</v>
      </c>
      <c r="BC11" s="106">
        <v>7459.1999999999989</v>
      </c>
      <c r="BD11" s="106">
        <v>8</v>
      </c>
      <c r="BE11" s="106">
        <v>4262.3999999999996</v>
      </c>
      <c r="BF11" s="106">
        <v>12</v>
      </c>
      <c r="BG11" s="106">
        <v>6393.5999999999995</v>
      </c>
      <c r="BH11" s="106">
        <v>56</v>
      </c>
      <c r="BI11" s="106">
        <v>29836.799999999996</v>
      </c>
      <c r="BJ11" s="106">
        <v>46</v>
      </c>
      <c r="BK11" s="106">
        <v>24508.799999999999</v>
      </c>
      <c r="BL11" s="106">
        <v>43</v>
      </c>
      <c r="BM11" s="106">
        <v>22910.399999999998</v>
      </c>
      <c r="BN11" s="106">
        <v>75</v>
      </c>
      <c r="BO11" s="106">
        <v>39960</v>
      </c>
      <c r="BP11" s="106">
        <v>94</v>
      </c>
      <c r="BQ11" s="106">
        <v>50083.199999999997</v>
      </c>
      <c r="BR11" s="106">
        <v>86</v>
      </c>
      <c r="BS11" s="106">
        <v>45820.799999999996</v>
      </c>
      <c r="BT11" s="106">
        <v>70</v>
      </c>
      <c r="BU11" s="106">
        <v>37296</v>
      </c>
      <c r="BV11" s="106">
        <v>72</v>
      </c>
      <c r="BW11" s="106">
        <v>38361.599999999999</v>
      </c>
      <c r="BX11" s="106">
        <v>19</v>
      </c>
      <c r="BY11" s="106">
        <v>10123.199999999999</v>
      </c>
      <c r="BZ11" s="106">
        <v>10</v>
      </c>
      <c r="CA11" s="106">
        <v>5328</v>
      </c>
      <c r="CB11" s="106">
        <v>12</v>
      </c>
      <c r="CC11" s="106">
        <v>6393.5999999999995</v>
      </c>
      <c r="CD11" s="106">
        <v>13</v>
      </c>
      <c r="CE11" s="106">
        <v>6926.4</v>
      </c>
      <c r="CF11" s="106">
        <v>18</v>
      </c>
      <c r="CG11" s="106">
        <v>9590.4</v>
      </c>
      <c r="CH11" s="106">
        <v>20</v>
      </c>
      <c r="CI11" s="106">
        <v>10656</v>
      </c>
      <c r="CJ11" s="106">
        <v>16</v>
      </c>
      <c r="CK11" s="106">
        <v>8524.7999999999993</v>
      </c>
      <c r="CL11" s="106">
        <v>18</v>
      </c>
      <c r="CM11" s="106">
        <v>9590.4</v>
      </c>
      <c r="CN11" s="106">
        <v>12</v>
      </c>
      <c r="CO11" s="106">
        <v>6393.5999999999995</v>
      </c>
      <c r="CP11" s="106">
        <v>12</v>
      </c>
      <c r="CQ11" s="106">
        <v>6393.5999999999995</v>
      </c>
      <c r="CR11" s="106">
        <v>15</v>
      </c>
      <c r="CS11" s="106">
        <v>7991.9999999999991</v>
      </c>
      <c r="CT11" s="106">
        <v>16</v>
      </c>
      <c r="CU11" s="106">
        <v>8524.7999999999993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14.23004165732765</v>
      </c>
      <c r="I12" s="106">
        <v>8008.6674447440009</v>
      </c>
      <c r="J12" s="106">
        <v>14.919920666763941</v>
      </c>
      <c r="K12" s="106">
        <v>8396.9313512547451</v>
      </c>
      <c r="L12" s="106">
        <v>65</v>
      </c>
      <c r="M12" s="106">
        <v>36582</v>
      </c>
      <c r="N12" s="106">
        <v>43</v>
      </c>
      <c r="O12" s="106">
        <v>24200.399999999998</v>
      </c>
      <c r="P12" s="106">
        <v>67</v>
      </c>
      <c r="Q12" s="106">
        <v>37707.599999999999</v>
      </c>
      <c r="R12" s="106">
        <v>42</v>
      </c>
      <c r="S12" s="106">
        <v>23637.599999999999</v>
      </c>
      <c r="T12" s="106">
        <v>7</v>
      </c>
      <c r="U12" s="106">
        <v>3939.5999999999995</v>
      </c>
      <c r="V12" s="106">
        <v>7</v>
      </c>
      <c r="W12" s="106">
        <v>3939.5999999999995</v>
      </c>
      <c r="X12" s="106">
        <v>6</v>
      </c>
      <c r="Y12" s="106">
        <v>3376.7999999999997</v>
      </c>
      <c r="Z12" s="106">
        <v>5</v>
      </c>
      <c r="AA12" s="106">
        <v>2814</v>
      </c>
      <c r="AB12" s="106">
        <v>18</v>
      </c>
      <c r="AC12" s="106">
        <v>10130.4</v>
      </c>
      <c r="AD12" s="106">
        <v>26</v>
      </c>
      <c r="AE12" s="106">
        <v>14632.8</v>
      </c>
      <c r="AF12" s="106">
        <v>28</v>
      </c>
      <c r="AG12" s="106">
        <v>15758.399999999998</v>
      </c>
      <c r="AH12" s="106">
        <v>29</v>
      </c>
      <c r="AI12" s="106">
        <v>16321.199999999999</v>
      </c>
      <c r="AJ12" s="106">
        <v>6</v>
      </c>
      <c r="AK12" s="106">
        <v>3376.7999999999997</v>
      </c>
      <c r="AL12" s="106">
        <v>8</v>
      </c>
      <c r="AM12" s="106">
        <v>4502.3999999999996</v>
      </c>
      <c r="AN12" s="106">
        <v>10</v>
      </c>
      <c r="AO12" s="106">
        <v>5628</v>
      </c>
      <c r="AP12" s="106">
        <v>8</v>
      </c>
      <c r="AQ12" s="106">
        <v>4502.3999999999996</v>
      </c>
      <c r="AR12" s="106">
        <v>45</v>
      </c>
      <c r="AS12" s="106">
        <v>25325.999999999996</v>
      </c>
      <c r="AT12" s="106">
        <v>32</v>
      </c>
      <c r="AU12" s="106">
        <v>18009.599999999999</v>
      </c>
      <c r="AV12" s="106">
        <v>39</v>
      </c>
      <c r="AW12" s="106">
        <v>21949.199999999997</v>
      </c>
      <c r="AX12" s="106">
        <v>31</v>
      </c>
      <c r="AY12" s="106">
        <v>17446.8</v>
      </c>
      <c r="AZ12" s="106">
        <v>13</v>
      </c>
      <c r="BA12" s="106">
        <v>7316.4</v>
      </c>
      <c r="BB12" s="106">
        <v>12</v>
      </c>
      <c r="BC12" s="106">
        <v>6753.5999999999995</v>
      </c>
      <c r="BD12" s="106">
        <v>8</v>
      </c>
      <c r="BE12" s="106">
        <v>4502.3999999999996</v>
      </c>
      <c r="BF12" s="106">
        <v>13</v>
      </c>
      <c r="BG12" s="106">
        <v>7316.4</v>
      </c>
      <c r="BH12" s="106">
        <v>56</v>
      </c>
      <c r="BI12" s="106">
        <v>31516.799999999996</v>
      </c>
      <c r="BJ12" s="106">
        <v>47</v>
      </c>
      <c r="BK12" s="106">
        <v>26451.599999999999</v>
      </c>
      <c r="BL12" s="106">
        <v>43</v>
      </c>
      <c r="BM12" s="106">
        <v>24200.399999999998</v>
      </c>
      <c r="BN12" s="106">
        <v>82</v>
      </c>
      <c r="BO12" s="106">
        <v>46149.599999999999</v>
      </c>
      <c r="BP12" s="106">
        <v>94</v>
      </c>
      <c r="BQ12" s="106">
        <v>52903.199999999997</v>
      </c>
      <c r="BR12" s="106">
        <v>95</v>
      </c>
      <c r="BS12" s="106">
        <v>53465.999999999993</v>
      </c>
      <c r="BT12" s="106">
        <v>68</v>
      </c>
      <c r="BU12" s="106">
        <v>38270.399999999994</v>
      </c>
      <c r="BV12" s="106">
        <v>70</v>
      </c>
      <c r="BW12" s="106">
        <v>39396</v>
      </c>
      <c r="BX12" s="106">
        <v>18</v>
      </c>
      <c r="BY12" s="106">
        <v>10130.4</v>
      </c>
      <c r="BZ12" s="106">
        <v>9</v>
      </c>
      <c r="CA12" s="106">
        <v>5065.2</v>
      </c>
      <c r="CB12" s="106">
        <v>11</v>
      </c>
      <c r="CC12" s="106">
        <v>6190.7999999999993</v>
      </c>
      <c r="CD12" s="106">
        <v>14</v>
      </c>
      <c r="CE12" s="106">
        <v>7879.1999999999989</v>
      </c>
      <c r="CF12" s="106">
        <v>19</v>
      </c>
      <c r="CG12" s="106">
        <v>10693.199999999999</v>
      </c>
      <c r="CH12" s="106">
        <v>20</v>
      </c>
      <c r="CI12" s="106">
        <v>11256</v>
      </c>
      <c r="CJ12" s="106">
        <v>14</v>
      </c>
      <c r="CK12" s="106">
        <v>7879.1999999999989</v>
      </c>
      <c r="CL12" s="106">
        <v>20</v>
      </c>
      <c r="CM12" s="106">
        <v>11256</v>
      </c>
      <c r="CN12" s="106">
        <v>13</v>
      </c>
      <c r="CO12" s="106">
        <v>7316.4</v>
      </c>
      <c r="CP12" s="106">
        <v>12</v>
      </c>
      <c r="CQ12" s="106">
        <v>6753.5999999999995</v>
      </c>
      <c r="CR12" s="106">
        <v>17</v>
      </c>
      <c r="CS12" s="106">
        <v>9567.5999999999985</v>
      </c>
      <c r="CT12" s="106">
        <v>14</v>
      </c>
      <c r="CU12" s="106">
        <v>7879.1999999999989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14.23004165732765</v>
      </c>
      <c r="I13" s="106">
        <v>1212.3995492043159</v>
      </c>
      <c r="J13" s="106">
        <v>14.919920666763941</v>
      </c>
      <c r="K13" s="106">
        <v>1271.1772408082879</v>
      </c>
      <c r="L13" s="106">
        <v>67</v>
      </c>
      <c r="M13" s="106">
        <v>5708.4000000000005</v>
      </c>
      <c r="N13" s="106">
        <v>44</v>
      </c>
      <c r="O13" s="106">
        <v>3748.8</v>
      </c>
      <c r="P13" s="106">
        <v>75</v>
      </c>
      <c r="Q13" s="106">
        <v>6390</v>
      </c>
      <c r="R13" s="106">
        <v>42</v>
      </c>
      <c r="S13" s="106">
        <v>3578.4</v>
      </c>
      <c r="T13" s="106">
        <v>8</v>
      </c>
      <c r="U13" s="106">
        <v>681.6</v>
      </c>
      <c r="V13" s="106">
        <v>8</v>
      </c>
      <c r="W13" s="106">
        <v>681.6</v>
      </c>
      <c r="X13" s="106">
        <v>7</v>
      </c>
      <c r="Y13" s="106">
        <v>596.4</v>
      </c>
      <c r="Z13" s="106">
        <v>5</v>
      </c>
      <c r="AA13" s="106">
        <v>426</v>
      </c>
      <c r="AB13" s="106">
        <v>19</v>
      </c>
      <c r="AC13" s="106">
        <v>1618.8</v>
      </c>
      <c r="AD13" s="106">
        <v>23</v>
      </c>
      <c r="AE13" s="106">
        <v>1959.6000000000001</v>
      </c>
      <c r="AF13" s="106">
        <v>29</v>
      </c>
      <c r="AG13" s="106">
        <v>2470.8000000000002</v>
      </c>
      <c r="AH13" s="106">
        <v>33</v>
      </c>
      <c r="AI13" s="106">
        <v>2811.6</v>
      </c>
      <c r="AJ13" s="106">
        <v>6</v>
      </c>
      <c r="AK13" s="106">
        <v>511.20000000000005</v>
      </c>
      <c r="AL13" s="106">
        <v>8</v>
      </c>
      <c r="AM13" s="106">
        <v>681.6</v>
      </c>
      <c r="AN13" s="106">
        <v>10</v>
      </c>
      <c r="AO13" s="106">
        <v>852</v>
      </c>
      <c r="AP13" s="106">
        <v>8</v>
      </c>
      <c r="AQ13" s="106">
        <v>681.6</v>
      </c>
      <c r="AR13" s="106">
        <v>50</v>
      </c>
      <c r="AS13" s="106">
        <v>4260</v>
      </c>
      <c r="AT13" s="106">
        <v>33</v>
      </c>
      <c r="AU13" s="106">
        <v>2811.6</v>
      </c>
      <c r="AV13" s="106">
        <v>43</v>
      </c>
      <c r="AW13" s="106">
        <v>3663.6</v>
      </c>
      <c r="AX13" s="106">
        <v>35</v>
      </c>
      <c r="AY13" s="106">
        <v>2982</v>
      </c>
      <c r="AZ13" s="106">
        <v>12</v>
      </c>
      <c r="BA13" s="106">
        <v>1022.4000000000001</v>
      </c>
      <c r="BB13" s="106">
        <v>14</v>
      </c>
      <c r="BC13" s="106">
        <v>1192.8</v>
      </c>
      <c r="BD13" s="106">
        <v>8</v>
      </c>
      <c r="BE13" s="106">
        <v>681.6</v>
      </c>
      <c r="BF13" s="106">
        <v>14</v>
      </c>
      <c r="BG13" s="106">
        <v>1192.8</v>
      </c>
      <c r="BH13" s="106">
        <v>53</v>
      </c>
      <c r="BI13" s="106">
        <v>4515.6000000000004</v>
      </c>
      <c r="BJ13" s="106">
        <v>53</v>
      </c>
      <c r="BK13" s="106">
        <v>4515.6000000000004</v>
      </c>
      <c r="BL13" s="106">
        <v>40</v>
      </c>
      <c r="BM13" s="106">
        <v>3408</v>
      </c>
      <c r="BN13" s="106">
        <v>91</v>
      </c>
      <c r="BO13" s="106">
        <v>7753.2</v>
      </c>
      <c r="BP13" s="106">
        <v>95</v>
      </c>
      <c r="BQ13" s="106">
        <v>8094</v>
      </c>
      <c r="BR13" s="106">
        <v>101</v>
      </c>
      <c r="BS13" s="106">
        <v>8605.2000000000007</v>
      </c>
      <c r="BT13" s="106">
        <v>83</v>
      </c>
      <c r="BU13" s="106">
        <v>7071.6</v>
      </c>
      <c r="BV13" s="106">
        <v>75</v>
      </c>
      <c r="BW13" s="106">
        <v>6390</v>
      </c>
      <c r="BX13" s="106">
        <v>19</v>
      </c>
      <c r="BY13" s="106">
        <v>1618.8</v>
      </c>
      <c r="BZ13" s="106">
        <v>10</v>
      </c>
      <c r="CA13" s="106">
        <v>852</v>
      </c>
      <c r="CB13" s="106">
        <v>11</v>
      </c>
      <c r="CC13" s="106">
        <v>937.2</v>
      </c>
      <c r="CD13" s="106">
        <v>13</v>
      </c>
      <c r="CE13" s="106">
        <v>1107.6000000000001</v>
      </c>
      <c r="CF13" s="106">
        <v>20</v>
      </c>
      <c r="CG13" s="106">
        <v>1704</v>
      </c>
      <c r="CH13" s="106">
        <v>18</v>
      </c>
      <c r="CI13" s="106">
        <v>1533.6000000000001</v>
      </c>
      <c r="CJ13" s="106">
        <v>14</v>
      </c>
      <c r="CK13" s="106">
        <v>1192.8</v>
      </c>
      <c r="CL13" s="106">
        <v>22</v>
      </c>
      <c r="CM13" s="106">
        <v>1874.4</v>
      </c>
      <c r="CN13" s="106">
        <v>12</v>
      </c>
      <c r="CO13" s="106">
        <v>1022.4000000000001</v>
      </c>
      <c r="CP13" s="106">
        <v>13</v>
      </c>
      <c r="CQ13" s="106">
        <v>1107.6000000000001</v>
      </c>
      <c r="CR13" s="106">
        <v>18</v>
      </c>
      <c r="CS13" s="106">
        <v>1533.6000000000001</v>
      </c>
      <c r="CT13" s="106">
        <v>17</v>
      </c>
      <c r="CU13" s="106">
        <v>1448.4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14.23004165732765</v>
      </c>
      <c r="I14" s="106">
        <v>6949.9523454388236</v>
      </c>
      <c r="J14" s="106">
        <v>14.091036185277057</v>
      </c>
      <c r="K14" s="106">
        <v>6882.0620728893145</v>
      </c>
      <c r="L14" s="106">
        <v>58</v>
      </c>
      <c r="M14" s="106">
        <v>28327.199999999997</v>
      </c>
      <c r="N14" s="106">
        <v>38</v>
      </c>
      <c r="O14" s="106">
        <v>18559.2</v>
      </c>
      <c r="P14" s="106">
        <v>60</v>
      </c>
      <c r="Q14" s="106">
        <v>29304</v>
      </c>
      <c r="R14" s="106">
        <v>46</v>
      </c>
      <c r="S14" s="106">
        <v>22466.399999999998</v>
      </c>
      <c r="T14" s="106">
        <v>8</v>
      </c>
      <c r="U14" s="106">
        <v>3907.2</v>
      </c>
      <c r="V14" s="106">
        <v>7</v>
      </c>
      <c r="W14" s="106">
        <v>3418.7999999999997</v>
      </c>
      <c r="X14" s="106">
        <v>5</v>
      </c>
      <c r="Y14" s="106">
        <v>2442</v>
      </c>
      <c r="Z14" s="106">
        <v>5</v>
      </c>
      <c r="AA14" s="106">
        <v>2442</v>
      </c>
      <c r="AB14" s="106">
        <v>17</v>
      </c>
      <c r="AC14" s="106">
        <v>8302.7999999999993</v>
      </c>
      <c r="AD14" s="106">
        <v>23</v>
      </c>
      <c r="AE14" s="106">
        <v>11233.199999999999</v>
      </c>
      <c r="AF14" s="106">
        <v>29</v>
      </c>
      <c r="AG14" s="106">
        <v>14163.599999999999</v>
      </c>
      <c r="AH14" s="106">
        <v>29</v>
      </c>
      <c r="AI14" s="106">
        <v>14163.599999999999</v>
      </c>
      <c r="AJ14" s="106">
        <v>6</v>
      </c>
      <c r="AK14" s="106">
        <v>2930.3999999999996</v>
      </c>
      <c r="AL14" s="106">
        <v>8</v>
      </c>
      <c r="AM14" s="106">
        <v>3907.2</v>
      </c>
      <c r="AN14" s="106">
        <v>10</v>
      </c>
      <c r="AO14" s="106">
        <v>4884</v>
      </c>
      <c r="AP14" s="106">
        <v>8</v>
      </c>
      <c r="AQ14" s="106">
        <v>3907.2</v>
      </c>
      <c r="AR14" s="106">
        <v>43</v>
      </c>
      <c r="AS14" s="106">
        <v>21001.200000000001</v>
      </c>
      <c r="AT14" s="106">
        <v>31</v>
      </c>
      <c r="AU14" s="106">
        <v>15140.4</v>
      </c>
      <c r="AV14" s="106">
        <v>41</v>
      </c>
      <c r="AW14" s="106">
        <v>20024.399999999998</v>
      </c>
      <c r="AX14" s="106">
        <v>32</v>
      </c>
      <c r="AY14" s="106">
        <v>15628.8</v>
      </c>
      <c r="AZ14" s="106">
        <v>12</v>
      </c>
      <c r="BA14" s="106">
        <v>5860.7999999999993</v>
      </c>
      <c r="BB14" s="106">
        <v>13</v>
      </c>
      <c r="BC14" s="106">
        <v>6349.2</v>
      </c>
      <c r="BD14" s="106">
        <v>8</v>
      </c>
      <c r="BE14" s="106">
        <v>3907.2</v>
      </c>
      <c r="BF14" s="106">
        <v>12</v>
      </c>
      <c r="BG14" s="106">
        <v>5860.7999999999993</v>
      </c>
      <c r="BH14" s="106">
        <v>53</v>
      </c>
      <c r="BI14" s="106">
        <v>25885.199999999997</v>
      </c>
      <c r="BJ14" s="106">
        <v>44</v>
      </c>
      <c r="BK14" s="106">
        <v>21489.599999999999</v>
      </c>
      <c r="BL14" s="106">
        <v>39</v>
      </c>
      <c r="BM14" s="106">
        <v>19047.599999999999</v>
      </c>
      <c r="BN14" s="106">
        <v>80</v>
      </c>
      <c r="BO14" s="106">
        <v>39072</v>
      </c>
      <c r="BP14" s="106">
        <v>90</v>
      </c>
      <c r="BQ14" s="106">
        <v>43956</v>
      </c>
      <c r="BR14" s="106">
        <v>89</v>
      </c>
      <c r="BS14" s="106">
        <v>43467.6</v>
      </c>
      <c r="BT14" s="106">
        <v>80</v>
      </c>
      <c r="BU14" s="106">
        <v>39072</v>
      </c>
      <c r="BV14" s="106">
        <v>66</v>
      </c>
      <c r="BW14" s="106">
        <v>32234.399999999998</v>
      </c>
      <c r="BX14" s="106">
        <v>19</v>
      </c>
      <c r="BY14" s="106">
        <v>9279.6</v>
      </c>
      <c r="BZ14" s="106">
        <v>11</v>
      </c>
      <c r="CA14" s="106">
        <v>5372.4</v>
      </c>
      <c r="CB14" s="106">
        <v>12</v>
      </c>
      <c r="CC14" s="106">
        <v>5860.7999999999993</v>
      </c>
      <c r="CD14" s="106">
        <v>15</v>
      </c>
      <c r="CE14" s="106">
        <v>7326</v>
      </c>
      <c r="CF14" s="106">
        <v>21</v>
      </c>
      <c r="CG14" s="106">
        <v>10256.4</v>
      </c>
      <c r="CH14" s="106">
        <v>19</v>
      </c>
      <c r="CI14" s="106">
        <v>9279.6</v>
      </c>
      <c r="CJ14" s="106">
        <v>16</v>
      </c>
      <c r="CK14" s="106">
        <v>7814.4</v>
      </c>
      <c r="CL14" s="106">
        <v>20</v>
      </c>
      <c r="CM14" s="106">
        <v>9768</v>
      </c>
      <c r="CN14" s="106">
        <v>12</v>
      </c>
      <c r="CO14" s="106">
        <v>5860.7999999999993</v>
      </c>
      <c r="CP14" s="106">
        <v>11</v>
      </c>
      <c r="CQ14" s="106">
        <v>5372.4</v>
      </c>
      <c r="CR14" s="106">
        <v>16</v>
      </c>
      <c r="CS14" s="106">
        <v>7814.4</v>
      </c>
      <c r="CT14" s="106">
        <v>16</v>
      </c>
      <c r="CU14" s="106">
        <v>7814.4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14.23004165732765</v>
      </c>
      <c r="I15" s="106">
        <v>10860.367792872461</v>
      </c>
      <c r="J15" s="106">
        <v>14.919920666763941</v>
      </c>
      <c r="K15" s="106">
        <v>11386.883452874239</v>
      </c>
      <c r="L15" s="106">
        <v>54</v>
      </c>
      <c r="M15" s="106">
        <v>41212.799999999996</v>
      </c>
      <c r="N15" s="106">
        <v>37</v>
      </c>
      <c r="O15" s="106">
        <v>28238.399999999998</v>
      </c>
      <c r="P15" s="106">
        <v>61</v>
      </c>
      <c r="Q15" s="106">
        <v>46555.199999999997</v>
      </c>
      <c r="R15" s="106">
        <v>42</v>
      </c>
      <c r="S15" s="106">
        <v>32054.399999999998</v>
      </c>
      <c r="T15" s="106">
        <v>7</v>
      </c>
      <c r="U15" s="106">
        <v>5342.4</v>
      </c>
      <c r="V15" s="106">
        <v>7</v>
      </c>
      <c r="W15" s="106">
        <v>5342.4</v>
      </c>
      <c r="X15" s="106">
        <v>6</v>
      </c>
      <c r="Y15" s="106">
        <v>4579.2</v>
      </c>
      <c r="Z15" s="106">
        <v>5</v>
      </c>
      <c r="AA15" s="106">
        <v>3815.9999999999995</v>
      </c>
      <c r="AB15" s="106">
        <v>15</v>
      </c>
      <c r="AC15" s="106">
        <v>11447.999999999998</v>
      </c>
      <c r="AD15" s="106">
        <v>26</v>
      </c>
      <c r="AE15" s="106">
        <v>19843.199999999997</v>
      </c>
      <c r="AF15" s="106">
        <v>26</v>
      </c>
      <c r="AG15" s="106">
        <v>19843.199999999997</v>
      </c>
      <c r="AH15" s="106">
        <v>29</v>
      </c>
      <c r="AI15" s="106">
        <v>22132.799999999999</v>
      </c>
      <c r="AJ15" s="106">
        <v>6</v>
      </c>
      <c r="AK15" s="106">
        <v>4579.2</v>
      </c>
      <c r="AL15" s="106">
        <v>9</v>
      </c>
      <c r="AM15" s="106">
        <v>6868.7999999999993</v>
      </c>
      <c r="AN15" s="106">
        <v>10</v>
      </c>
      <c r="AO15" s="106">
        <v>7631.9999999999991</v>
      </c>
      <c r="AP15" s="106">
        <v>8</v>
      </c>
      <c r="AQ15" s="106">
        <v>6105.5999999999995</v>
      </c>
      <c r="AR15" s="106">
        <v>47</v>
      </c>
      <c r="AS15" s="106">
        <v>35870.399999999994</v>
      </c>
      <c r="AT15" s="106">
        <v>27</v>
      </c>
      <c r="AU15" s="106">
        <v>20606.399999999998</v>
      </c>
      <c r="AV15" s="106">
        <v>40</v>
      </c>
      <c r="AW15" s="106">
        <v>30527.999999999996</v>
      </c>
      <c r="AX15" s="106">
        <v>29</v>
      </c>
      <c r="AY15" s="106">
        <v>22132.799999999999</v>
      </c>
      <c r="AZ15" s="106">
        <v>12</v>
      </c>
      <c r="BA15" s="106">
        <v>9158.4</v>
      </c>
      <c r="BB15" s="106">
        <v>12</v>
      </c>
      <c r="BC15" s="106">
        <v>9158.4</v>
      </c>
      <c r="BD15" s="106">
        <v>9</v>
      </c>
      <c r="BE15" s="106">
        <v>6868.7999999999993</v>
      </c>
      <c r="BF15" s="106">
        <v>12</v>
      </c>
      <c r="BG15" s="106">
        <v>9158.4</v>
      </c>
      <c r="BH15" s="106">
        <v>51</v>
      </c>
      <c r="BI15" s="106">
        <v>38923.199999999997</v>
      </c>
      <c r="BJ15" s="106">
        <v>44</v>
      </c>
      <c r="BK15" s="106">
        <v>33580.799999999996</v>
      </c>
      <c r="BL15" s="106">
        <v>36</v>
      </c>
      <c r="BM15" s="106">
        <v>27475.199999999997</v>
      </c>
      <c r="BN15" s="106">
        <v>81</v>
      </c>
      <c r="BO15" s="106">
        <v>61819.199999999997</v>
      </c>
      <c r="BP15" s="106">
        <v>82</v>
      </c>
      <c r="BQ15" s="106">
        <v>62582.399999999994</v>
      </c>
      <c r="BR15" s="106">
        <v>84</v>
      </c>
      <c r="BS15" s="106">
        <v>64108.799999999996</v>
      </c>
      <c r="BT15" s="106">
        <v>66</v>
      </c>
      <c r="BU15" s="106">
        <v>50371.199999999997</v>
      </c>
      <c r="BV15" s="106">
        <v>64</v>
      </c>
      <c r="BW15" s="106">
        <v>48844.799999999996</v>
      </c>
      <c r="BX15" s="106">
        <v>18</v>
      </c>
      <c r="BY15" s="106">
        <v>13737.599999999999</v>
      </c>
      <c r="BZ15" s="106">
        <v>9</v>
      </c>
      <c r="CA15" s="106">
        <v>6868.7999999999993</v>
      </c>
      <c r="CB15" s="106">
        <v>11</v>
      </c>
      <c r="CC15" s="106">
        <v>8395.1999999999989</v>
      </c>
      <c r="CD15" s="106">
        <v>13</v>
      </c>
      <c r="CE15" s="106">
        <v>9921.5999999999985</v>
      </c>
      <c r="CF15" s="106">
        <v>20</v>
      </c>
      <c r="CG15" s="106">
        <v>15263.999999999998</v>
      </c>
      <c r="CH15" s="106">
        <v>19</v>
      </c>
      <c r="CI15" s="106">
        <v>14500.8</v>
      </c>
      <c r="CJ15" s="106">
        <v>16</v>
      </c>
      <c r="CK15" s="106">
        <v>12211.199999999999</v>
      </c>
      <c r="CL15" s="106">
        <v>18</v>
      </c>
      <c r="CM15" s="106">
        <v>13737.599999999999</v>
      </c>
      <c r="CN15" s="106">
        <v>12</v>
      </c>
      <c r="CO15" s="106">
        <v>9158.4</v>
      </c>
      <c r="CP15" s="106">
        <v>12</v>
      </c>
      <c r="CQ15" s="106">
        <v>9158.4</v>
      </c>
      <c r="CR15" s="106">
        <v>14</v>
      </c>
      <c r="CS15" s="106">
        <v>10684.8</v>
      </c>
      <c r="CT15" s="106">
        <v>15</v>
      </c>
      <c r="CU15" s="106">
        <v>11447.999999999998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13.552420626026334</v>
      </c>
      <c r="I16" s="106">
        <v>4618.6649493497753</v>
      </c>
      <c r="J16" s="106">
        <v>15.748805148250828</v>
      </c>
      <c r="K16" s="106">
        <v>5367.1927945238822</v>
      </c>
      <c r="L16" s="106">
        <v>62</v>
      </c>
      <c r="M16" s="106">
        <v>21129.600000000002</v>
      </c>
      <c r="N16" s="106">
        <v>42</v>
      </c>
      <c r="O16" s="106">
        <v>14313.6</v>
      </c>
      <c r="P16" s="106">
        <v>70</v>
      </c>
      <c r="Q16" s="106">
        <v>23856</v>
      </c>
      <c r="R16" s="106">
        <v>46</v>
      </c>
      <c r="S16" s="106">
        <v>15676.800000000001</v>
      </c>
      <c r="T16" s="106">
        <v>8</v>
      </c>
      <c r="U16" s="106">
        <v>2726.4</v>
      </c>
      <c r="V16" s="106">
        <v>8</v>
      </c>
      <c r="W16" s="106">
        <v>2726.4</v>
      </c>
      <c r="X16" s="106">
        <v>6</v>
      </c>
      <c r="Y16" s="106">
        <v>2044.8000000000002</v>
      </c>
      <c r="Z16" s="106">
        <v>4</v>
      </c>
      <c r="AA16" s="106">
        <v>1363.2</v>
      </c>
      <c r="AB16" s="106">
        <v>18</v>
      </c>
      <c r="AC16" s="106">
        <v>6134.4000000000005</v>
      </c>
      <c r="AD16" s="106">
        <v>23</v>
      </c>
      <c r="AE16" s="106">
        <v>7838.4000000000005</v>
      </c>
      <c r="AF16" s="106">
        <v>29</v>
      </c>
      <c r="AG16" s="106">
        <v>9883.2000000000007</v>
      </c>
      <c r="AH16" s="106">
        <v>31</v>
      </c>
      <c r="AI16" s="106">
        <v>10564.800000000001</v>
      </c>
      <c r="AJ16" s="106">
        <v>6</v>
      </c>
      <c r="AK16" s="106">
        <v>2044.8000000000002</v>
      </c>
      <c r="AL16" s="106">
        <v>8</v>
      </c>
      <c r="AM16" s="106">
        <v>2726.4</v>
      </c>
      <c r="AN16" s="106">
        <v>10</v>
      </c>
      <c r="AO16" s="106">
        <v>3408</v>
      </c>
      <c r="AP16" s="106">
        <v>7</v>
      </c>
      <c r="AQ16" s="106">
        <v>2385.6</v>
      </c>
      <c r="AR16" s="106">
        <v>50</v>
      </c>
      <c r="AS16" s="106">
        <v>17040</v>
      </c>
      <c r="AT16" s="106">
        <v>31</v>
      </c>
      <c r="AU16" s="106">
        <v>10564.800000000001</v>
      </c>
      <c r="AV16" s="106">
        <v>38</v>
      </c>
      <c r="AW16" s="106">
        <v>12950.4</v>
      </c>
      <c r="AX16" s="106">
        <v>31</v>
      </c>
      <c r="AY16" s="106">
        <v>10564.800000000001</v>
      </c>
      <c r="AZ16" s="106">
        <v>14</v>
      </c>
      <c r="BA16" s="106">
        <v>4771.2</v>
      </c>
      <c r="BB16" s="106">
        <v>14</v>
      </c>
      <c r="BC16" s="106">
        <v>4771.2</v>
      </c>
      <c r="BD16" s="106">
        <v>8</v>
      </c>
      <c r="BE16" s="106">
        <v>2726.4</v>
      </c>
      <c r="BF16" s="106">
        <v>13</v>
      </c>
      <c r="BG16" s="106">
        <v>4430.4000000000005</v>
      </c>
      <c r="BH16" s="106">
        <v>50</v>
      </c>
      <c r="BI16" s="106">
        <v>17040</v>
      </c>
      <c r="BJ16" s="106">
        <v>47</v>
      </c>
      <c r="BK16" s="106">
        <v>16017.6</v>
      </c>
      <c r="BL16" s="106">
        <v>38</v>
      </c>
      <c r="BM16" s="106">
        <v>12950.4</v>
      </c>
      <c r="BN16" s="106">
        <v>85</v>
      </c>
      <c r="BO16" s="106">
        <v>28968</v>
      </c>
      <c r="BP16" s="106">
        <v>90</v>
      </c>
      <c r="BQ16" s="106">
        <v>30672</v>
      </c>
      <c r="BR16" s="106">
        <v>103</v>
      </c>
      <c r="BS16" s="106">
        <v>35102.400000000001</v>
      </c>
      <c r="BT16" s="106">
        <v>79</v>
      </c>
      <c r="BU16" s="106">
        <v>26923.200000000001</v>
      </c>
      <c r="BV16" s="106">
        <v>74</v>
      </c>
      <c r="BW16" s="106">
        <v>25219.200000000001</v>
      </c>
      <c r="BX16" s="106">
        <v>20</v>
      </c>
      <c r="BY16" s="106">
        <v>6816</v>
      </c>
      <c r="BZ16" s="106">
        <v>11</v>
      </c>
      <c r="CA16" s="106">
        <v>3748.8</v>
      </c>
      <c r="CB16" s="106">
        <v>11</v>
      </c>
      <c r="CC16" s="106">
        <v>3748.8</v>
      </c>
      <c r="CD16" s="106">
        <v>14</v>
      </c>
      <c r="CE16" s="106">
        <v>4771.2</v>
      </c>
      <c r="CF16" s="106">
        <v>19</v>
      </c>
      <c r="CG16" s="106">
        <v>6475.2</v>
      </c>
      <c r="CH16" s="106">
        <v>18</v>
      </c>
      <c r="CI16" s="106">
        <v>6134.4000000000005</v>
      </c>
      <c r="CJ16" s="106">
        <v>15</v>
      </c>
      <c r="CK16" s="106">
        <v>5112</v>
      </c>
      <c r="CL16" s="106">
        <v>20</v>
      </c>
      <c r="CM16" s="106">
        <v>6816</v>
      </c>
      <c r="CN16" s="106">
        <v>12</v>
      </c>
      <c r="CO16" s="106">
        <v>4089.6000000000004</v>
      </c>
      <c r="CP16" s="106">
        <v>11</v>
      </c>
      <c r="CQ16" s="106">
        <v>3748.8</v>
      </c>
      <c r="CR16" s="106">
        <v>16</v>
      </c>
      <c r="CS16" s="106">
        <v>5452.8</v>
      </c>
      <c r="CT16" s="106">
        <v>17</v>
      </c>
      <c r="CU16" s="106">
        <v>5793.6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13.552420626026334</v>
      </c>
      <c r="I17" s="106">
        <v>5724.5424724335235</v>
      </c>
      <c r="J17" s="106">
        <v>14.091036185277057</v>
      </c>
      <c r="K17" s="106">
        <v>5952.0536846610285</v>
      </c>
      <c r="L17" s="106">
        <v>63</v>
      </c>
      <c r="M17" s="106">
        <v>26611.199999999997</v>
      </c>
      <c r="N17" s="106">
        <v>47</v>
      </c>
      <c r="O17" s="106">
        <v>19852.8</v>
      </c>
      <c r="P17" s="106">
        <v>62</v>
      </c>
      <c r="Q17" s="106">
        <v>26188.799999999999</v>
      </c>
      <c r="R17" s="106">
        <v>45</v>
      </c>
      <c r="S17" s="106">
        <v>19008</v>
      </c>
      <c r="T17" s="106">
        <v>7</v>
      </c>
      <c r="U17" s="106">
        <v>2956.7999999999997</v>
      </c>
      <c r="V17" s="106">
        <v>8</v>
      </c>
      <c r="W17" s="106">
        <v>3379.2</v>
      </c>
      <c r="X17" s="106">
        <v>6</v>
      </c>
      <c r="Y17" s="106">
        <v>2534.3999999999996</v>
      </c>
      <c r="Z17" s="106">
        <v>4</v>
      </c>
      <c r="AA17" s="106">
        <v>1689.6</v>
      </c>
      <c r="AB17" s="106">
        <v>17</v>
      </c>
      <c r="AC17" s="106">
        <v>7180.7999999999993</v>
      </c>
      <c r="AD17" s="106">
        <v>23</v>
      </c>
      <c r="AE17" s="106">
        <v>9715.1999999999989</v>
      </c>
      <c r="AF17" s="106">
        <v>25</v>
      </c>
      <c r="AG17" s="106">
        <v>10560</v>
      </c>
      <c r="AH17" s="106">
        <v>32</v>
      </c>
      <c r="AI17" s="106">
        <v>13516.8</v>
      </c>
      <c r="AJ17" s="106">
        <v>6</v>
      </c>
      <c r="AK17" s="106">
        <v>2534.3999999999996</v>
      </c>
      <c r="AL17" s="106">
        <v>8</v>
      </c>
      <c r="AM17" s="106">
        <v>3379.2</v>
      </c>
      <c r="AN17" s="106">
        <v>10</v>
      </c>
      <c r="AO17" s="106">
        <v>4224</v>
      </c>
      <c r="AP17" s="106">
        <v>7</v>
      </c>
      <c r="AQ17" s="106">
        <v>2956.7999999999997</v>
      </c>
      <c r="AR17" s="106">
        <v>47</v>
      </c>
      <c r="AS17" s="106">
        <v>19852.8</v>
      </c>
      <c r="AT17" s="106">
        <v>29</v>
      </c>
      <c r="AU17" s="106">
        <v>12249.599999999999</v>
      </c>
      <c r="AV17" s="106">
        <v>42</v>
      </c>
      <c r="AW17" s="106">
        <v>17740.8</v>
      </c>
      <c r="AX17" s="106">
        <v>34</v>
      </c>
      <c r="AY17" s="106">
        <v>14361.599999999999</v>
      </c>
      <c r="AZ17" s="106">
        <v>14</v>
      </c>
      <c r="BA17" s="106">
        <v>5913.5999999999995</v>
      </c>
      <c r="BB17" s="106">
        <v>14</v>
      </c>
      <c r="BC17" s="106">
        <v>5913.5999999999995</v>
      </c>
      <c r="BD17" s="106">
        <v>8</v>
      </c>
      <c r="BE17" s="106">
        <v>3379.2</v>
      </c>
      <c r="BF17" s="106">
        <v>13</v>
      </c>
      <c r="BG17" s="106">
        <v>5491.2</v>
      </c>
      <c r="BH17" s="106">
        <v>50</v>
      </c>
      <c r="BI17" s="106">
        <v>21120</v>
      </c>
      <c r="BJ17" s="106">
        <v>53</v>
      </c>
      <c r="BK17" s="106">
        <v>22387.199999999997</v>
      </c>
      <c r="BL17" s="106">
        <v>40</v>
      </c>
      <c r="BM17" s="106">
        <v>16896</v>
      </c>
      <c r="BN17" s="106">
        <v>80</v>
      </c>
      <c r="BO17" s="106">
        <v>33792</v>
      </c>
      <c r="BP17" s="106">
        <v>91</v>
      </c>
      <c r="BQ17" s="106">
        <v>38438.400000000001</v>
      </c>
      <c r="BR17" s="106">
        <v>98</v>
      </c>
      <c r="BS17" s="106">
        <v>41395.199999999997</v>
      </c>
      <c r="BT17" s="106">
        <v>70</v>
      </c>
      <c r="BU17" s="106">
        <v>29568</v>
      </c>
      <c r="BV17" s="106">
        <v>72</v>
      </c>
      <c r="BW17" s="106">
        <v>30412.799999999999</v>
      </c>
      <c r="BX17" s="106">
        <v>18</v>
      </c>
      <c r="BY17" s="106">
        <v>7603.2</v>
      </c>
      <c r="BZ17" s="106">
        <v>10</v>
      </c>
      <c r="CA17" s="106">
        <v>4224</v>
      </c>
      <c r="CB17" s="106">
        <v>11</v>
      </c>
      <c r="CC17" s="106">
        <v>4646.3999999999996</v>
      </c>
      <c r="CD17" s="106">
        <v>14</v>
      </c>
      <c r="CE17" s="106">
        <v>5913.5999999999995</v>
      </c>
      <c r="CF17" s="106">
        <v>22</v>
      </c>
      <c r="CG17" s="106">
        <v>9292.7999999999993</v>
      </c>
      <c r="CH17" s="106">
        <v>19</v>
      </c>
      <c r="CI17" s="106">
        <v>8025.5999999999995</v>
      </c>
      <c r="CJ17" s="106">
        <v>15</v>
      </c>
      <c r="CK17" s="106">
        <v>6336</v>
      </c>
      <c r="CL17" s="106">
        <v>21</v>
      </c>
      <c r="CM17" s="106">
        <v>8870.4</v>
      </c>
      <c r="CN17" s="106">
        <v>12</v>
      </c>
      <c r="CO17" s="106">
        <v>5068.7999999999993</v>
      </c>
      <c r="CP17" s="106">
        <v>11</v>
      </c>
      <c r="CQ17" s="106">
        <v>4646.3999999999996</v>
      </c>
      <c r="CR17" s="106">
        <v>15</v>
      </c>
      <c r="CS17" s="106">
        <v>6336</v>
      </c>
      <c r="CT17" s="106">
        <v>15</v>
      </c>
      <c r="CU17" s="106">
        <v>6336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14.23004165732765</v>
      </c>
      <c r="I18" s="106">
        <v>9289.3711939034893</v>
      </c>
      <c r="J18" s="106">
        <v>15.748805148250828</v>
      </c>
      <c r="K18" s="106">
        <v>10280.82000077814</v>
      </c>
      <c r="L18" s="106">
        <v>63</v>
      </c>
      <c r="M18" s="106">
        <v>41126.399999999994</v>
      </c>
      <c r="N18" s="106">
        <v>42</v>
      </c>
      <c r="O18" s="106">
        <v>27417.599999999999</v>
      </c>
      <c r="P18" s="106">
        <v>62</v>
      </c>
      <c r="Q18" s="106">
        <v>40473.599999999999</v>
      </c>
      <c r="R18" s="106">
        <v>42</v>
      </c>
      <c r="S18" s="106">
        <v>27417.599999999999</v>
      </c>
      <c r="T18" s="106">
        <v>7</v>
      </c>
      <c r="U18" s="106">
        <v>4569.5999999999995</v>
      </c>
      <c r="V18" s="106">
        <v>7</v>
      </c>
      <c r="W18" s="106">
        <v>4569.5999999999995</v>
      </c>
      <c r="X18" s="106">
        <v>6</v>
      </c>
      <c r="Y18" s="106">
        <v>3916.7999999999997</v>
      </c>
      <c r="Z18" s="106">
        <v>4</v>
      </c>
      <c r="AA18" s="106">
        <v>2611.1999999999998</v>
      </c>
      <c r="AB18" s="106">
        <v>15</v>
      </c>
      <c r="AC18" s="106">
        <v>9792</v>
      </c>
      <c r="AD18" s="106">
        <v>23</v>
      </c>
      <c r="AE18" s="106">
        <v>15014.4</v>
      </c>
      <c r="AF18" s="106">
        <v>27</v>
      </c>
      <c r="AG18" s="106">
        <v>17625.599999999999</v>
      </c>
      <c r="AH18" s="106">
        <v>32</v>
      </c>
      <c r="AI18" s="106">
        <v>20889.599999999999</v>
      </c>
      <c r="AJ18" s="106">
        <v>5</v>
      </c>
      <c r="AK18" s="106">
        <v>3264</v>
      </c>
      <c r="AL18" s="106">
        <v>9</v>
      </c>
      <c r="AM18" s="106">
        <v>5875.2</v>
      </c>
      <c r="AN18" s="106">
        <v>9</v>
      </c>
      <c r="AO18" s="106">
        <v>5875.2</v>
      </c>
      <c r="AP18" s="106">
        <v>7</v>
      </c>
      <c r="AQ18" s="106">
        <v>4569.5999999999995</v>
      </c>
      <c r="AR18" s="106">
        <v>41</v>
      </c>
      <c r="AS18" s="106">
        <v>26764.799999999999</v>
      </c>
      <c r="AT18" s="106">
        <v>29</v>
      </c>
      <c r="AU18" s="106">
        <v>18931.199999999997</v>
      </c>
      <c r="AV18" s="106">
        <v>37</v>
      </c>
      <c r="AW18" s="106">
        <v>24153.599999999999</v>
      </c>
      <c r="AX18" s="106">
        <v>29</v>
      </c>
      <c r="AY18" s="106">
        <v>18931.199999999997</v>
      </c>
      <c r="AZ18" s="106">
        <v>13</v>
      </c>
      <c r="BA18" s="106">
        <v>8486.4</v>
      </c>
      <c r="BB18" s="106">
        <v>13</v>
      </c>
      <c r="BC18" s="106">
        <v>8486.4</v>
      </c>
      <c r="BD18" s="106">
        <v>8</v>
      </c>
      <c r="BE18" s="106">
        <v>5222.3999999999996</v>
      </c>
      <c r="BF18" s="106">
        <v>13</v>
      </c>
      <c r="BG18" s="106">
        <v>8486.4</v>
      </c>
      <c r="BH18" s="106">
        <v>49</v>
      </c>
      <c r="BI18" s="106">
        <v>31987.199999999997</v>
      </c>
      <c r="BJ18" s="106">
        <v>51</v>
      </c>
      <c r="BK18" s="106">
        <v>33292.799999999996</v>
      </c>
      <c r="BL18" s="106">
        <v>42</v>
      </c>
      <c r="BM18" s="106">
        <v>27417.599999999999</v>
      </c>
      <c r="BN18" s="106">
        <v>75</v>
      </c>
      <c r="BO18" s="106">
        <v>48960</v>
      </c>
      <c r="BP18" s="106">
        <v>91</v>
      </c>
      <c r="BQ18" s="106">
        <v>59404.799999999996</v>
      </c>
      <c r="BR18" s="106">
        <v>95</v>
      </c>
      <c r="BS18" s="106">
        <v>62015.999999999993</v>
      </c>
      <c r="BT18" s="106">
        <v>68</v>
      </c>
      <c r="BU18" s="106">
        <v>44390.399999999994</v>
      </c>
      <c r="BV18" s="106">
        <v>63</v>
      </c>
      <c r="BW18" s="106">
        <v>41126.399999999994</v>
      </c>
      <c r="BX18" s="106">
        <v>20</v>
      </c>
      <c r="BY18" s="106">
        <v>13056</v>
      </c>
      <c r="BZ18" s="106">
        <v>11</v>
      </c>
      <c r="CA18" s="106">
        <v>7180.7999999999993</v>
      </c>
      <c r="CB18" s="106">
        <v>11</v>
      </c>
      <c r="CC18" s="106">
        <v>7180.7999999999993</v>
      </c>
      <c r="CD18" s="106">
        <v>13</v>
      </c>
      <c r="CE18" s="106">
        <v>8486.4</v>
      </c>
      <c r="CF18" s="106">
        <v>19</v>
      </c>
      <c r="CG18" s="106">
        <v>12403.199999999999</v>
      </c>
      <c r="CH18" s="106">
        <v>21</v>
      </c>
      <c r="CI18" s="106">
        <v>13708.8</v>
      </c>
      <c r="CJ18" s="106">
        <v>15</v>
      </c>
      <c r="CK18" s="106">
        <v>9792</v>
      </c>
      <c r="CL18" s="106">
        <v>18</v>
      </c>
      <c r="CM18" s="106">
        <v>11750.4</v>
      </c>
      <c r="CN18" s="106">
        <v>13</v>
      </c>
      <c r="CO18" s="106">
        <v>8486.4</v>
      </c>
      <c r="CP18" s="106">
        <v>11</v>
      </c>
      <c r="CQ18" s="106">
        <v>7180.7999999999993</v>
      </c>
      <c r="CR18" s="106">
        <v>16</v>
      </c>
      <c r="CS18" s="106">
        <v>10444.799999999999</v>
      </c>
      <c r="CT18" s="106">
        <v>16</v>
      </c>
      <c r="CU18" s="106">
        <v>10444.799999999999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14.23004165732765</v>
      </c>
      <c r="I19" s="106">
        <v>4695.9137469181242</v>
      </c>
      <c r="J19" s="106">
        <v>17.4065741112246</v>
      </c>
      <c r="K19" s="106">
        <v>5744.1694567041177</v>
      </c>
      <c r="L19" s="106">
        <v>65</v>
      </c>
      <c r="M19" s="106">
        <v>21450</v>
      </c>
      <c r="N19" s="106">
        <v>45</v>
      </c>
      <c r="O19" s="106">
        <v>14850</v>
      </c>
      <c r="P19" s="106">
        <v>66</v>
      </c>
      <c r="Q19" s="106">
        <v>21780</v>
      </c>
      <c r="R19" s="106">
        <v>48</v>
      </c>
      <c r="S19" s="106">
        <v>15840</v>
      </c>
      <c r="T19" s="106">
        <v>8</v>
      </c>
      <c r="U19" s="106">
        <v>2640</v>
      </c>
      <c r="V19" s="106">
        <v>7</v>
      </c>
      <c r="W19" s="106">
        <v>2310</v>
      </c>
      <c r="X19" s="106">
        <v>5</v>
      </c>
      <c r="Y19" s="106">
        <v>1650</v>
      </c>
      <c r="Z19" s="106">
        <v>4</v>
      </c>
      <c r="AA19" s="106">
        <v>1320</v>
      </c>
      <c r="AB19" s="106">
        <v>18</v>
      </c>
      <c r="AC19" s="106">
        <v>5940</v>
      </c>
      <c r="AD19" s="106">
        <v>23</v>
      </c>
      <c r="AE19" s="106">
        <v>7590</v>
      </c>
      <c r="AF19" s="106">
        <v>25</v>
      </c>
      <c r="AG19" s="106">
        <v>8250</v>
      </c>
      <c r="AH19" s="106">
        <v>31</v>
      </c>
      <c r="AI19" s="106">
        <v>10230</v>
      </c>
      <c r="AJ19" s="106">
        <v>6</v>
      </c>
      <c r="AK19" s="106">
        <v>1980</v>
      </c>
      <c r="AL19" s="106">
        <v>8</v>
      </c>
      <c r="AM19" s="106">
        <v>2640</v>
      </c>
      <c r="AN19" s="106">
        <v>10</v>
      </c>
      <c r="AO19" s="106">
        <v>3300</v>
      </c>
      <c r="AP19" s="106">
        <v>7</v>
      </c>
      <c r="AQ19" s="106">
        <v>2310</v>
      </c>
      <c r="AR19" s="106">
        <v>52</v>
      </c>
      <c r="AS19" s="106">
        <v>17160</v>
      </c>
      <c r="AT19" s="106">
        <v>34</v>
      </c>
      <c r="AU19" s="106">
        <v>11220</v>
      </c>
      <c r="AV19" s="106">
        <v>42</v>
      </c>
      <c r="AW19" s="106">
        <v>13860</v>
      </c>
      <c r="AX19" s="106">
        <v>32</v>
      </c>
      <c r="AY19" s="106">
        <v>10560</v>
      </c>
      <c r="AZ19" s="106">
        <v>12</v>
      </c>
      <c r="BA19" s="106">
        <v>3960</v>
      </c>
      <c r="BB19" s="106">
        <v>12</v>
      </c>
      <c r="BC19" s="106">
        <v>3960</v>
      </c>
      <c r="BD19" s="106">
        <v>8</v>
      </c>
      <c r="BE19" s="106">
        <v>2640</v>
      </c>
      <c r="BF19" s="106">
        <v>14</v>
      </c>
      <c r="BG19" s="106">
        <v>4620</v>
      </c>
      <c r="BH19" s="106">
        <v>52</v>
      </c>
      <c r="BI19" s="106">
        <v>17160</v>
      </c>
      <c r="BJ19" s="106">
        <v>49</v>
      </c>
      <c r="BK19" s="106">
        <v>16170</v>
      </c>
      <c r="BL19" s="106">
        <v>43</v>
      </c>
      <c r="BM19" s="106">
        <v>14190</v>
      </c>
      <c r="BN19" s="106">
        <v>86</v>
      </c>
      <c r="BO19" s="106">
        <v>28380</v>
      </c>
      <c r="BP19" s="106">
        <v>92</v>
      </c>
      <c r="BQ19" s="106">
        <v>30360</v>
      </c>
      <c r="BR19" s="106">
        <v>86</v>
      </c>
      <c r="BS19" s="106">
        <v>28380</v>
      </c>
      <c r="BT19" s="106">
        <v>74</v>
      </c>
      <c r="BU19" s="106">
        <v>24420</v>
      </c>
      <c r="BV19" s="106">
        <v>71</v>
      </c>
      <c r="BW19" s="106">
        <v>23430</v>
      </c>
      <c r="BX19" s="106">
        <v>20</v>
      </c>
      <c r="BY19" s="106">
        <v>6600</v>
      </c>
      <c r="BZ19" s="106">
        <v>11</v>
      </c>
      <c r="CA19" s="106">
        <v>3630</v>
      </c>
      <c r="CB19" s="106">
        <v>11</v>
      </c>
      <c r="CC19" s="106">
        <v>3630</v>
      </c>
      <c r="CD19" s="106">
        <v>12</v>
      </c>
      <c r="CE19" s="106">
        <v>3960</v>
      </c>
      <c r="CF19" s="106">
        <v>21</v>
      </c>
      <c r="CG19" s="106">
        <v>6930</v>
      </c>
      <c r="CH19" s="106">
        <v>21</v>
      </c>
      <c r="CI19" s="106">
        <v>6930</v>
      </c>
      <c r="CJ19" s="106">
        <v>15</v>
      </c>
      <c r="CK19" s="106">
        <v>4950</v>
      </c>
      <c r="CL19" s="106">
        <v>22</v>
      </c>
      <c r="CM19" s="106">
        <v>7260</v>
      </c>
      <c r="CN19" s="106">
        <v>12</v>
      </c>
      <c r="CO19" s="106">
        <v>3960</v>
      </c>
      <c r="CP19" s="106">
        <v>11</v>
      </c>
      <c r="CQ19" s="106">
        <v>3630</v>
      </c>
      <c r="CR19" s="106">
        <v>16</v>
      </c>
      <c r="CS19" s="106">
        <v>5280</v>
      </c>
      <c r="CT19" s="106">
        <v>16</v>
      </c>
      <c r="CU19" s="106">
        <v>5280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21.006251970340816</v>
      </c>
      <c r="I20" s="106">
        <v>6024.5930650937462</v>
      </c>
      <c r="J20" s="106">
        <v>30.668725815014771</v>
      </c>
      <c r="K20" s="106">
        <v>8795.7905637462372</v>
      </c>
      <c r="L20" s="106">
        <v>18</v>
      </c>
      <c r="M20" s="106">
        <v>5162.4000000000005</v>
      </c>
      <c r="N20" s="106">
        <v>18</v>
      </c>
      <c r="O20" s="106">
        <v>5162.4000000000005</v>
      </c>
      <c r="P20" s="106">
        <v>17</v>
      </c>
      <c r="Q20" s="106">
        <v>4875.6000000000004</v>
      </c>
      <c r="R20" s="106">
        <v>18</v>
      </c>
      <c r="S20" s="106">
        <v>5162.4000000000005</v>
      </c>
      <c r="T20" s="106">
        <v>31</v>
      </c>
      <c r="U20" s="106">
        <v>8890.8000000000011</v>
      </c>
      <c r="V20" s="106">
        <v>31</v>
      </c>
      <c r="W20" s="106">
        <v>8890.8000000000011</v>
      </c>
      <c r="X20" s="106">
        <v>23</v>
      </c>
      <c r="Y20" s="106">
        <v>6596.4000000000005</v>
      </c>
      <c r="Z20" s="106">
        <v>22</v>
      </c>
      <c r="AA20" s="106">
        <v>6309.6</v>
      </c>
      <c r="AB20" s="106">
        <v>10</v>
      </c>
      <c r="AC20" s="106">
        <v>2868</v>
      </c>
      <c r="AD20" s="106">
        <v>11</v>
      </c>
      <c r="AE20" s="106">
        <v>3154.8</v>
      </c>
      <c r="AF20" s="106">
        <v>18</v>
      </c>
      <c r="AG20" s="106">
        <v>5162.4000000000005</v>
      </c>
      <c r="AH20" s="106">
        <v>17</v>
      </c>
      <c r="AI20" s="106">
        <v>4875.6000000000004</v>
      </c>
      <c r="AJ20" s="106">
        <v>15</v>
      </c>
      <c r="AK20" s="106">
        <v>4302</v>
      </c>
      <c r="AL20" s="106">
        <v>22</v>
      </c>
      <c r="AM20" s="106">
        <v>6309.6</v>
      </c>
      <c r="AN20" s="106">
        <v>17</v>
      </c>
      <c r="AO20" s="106">
        <v>4875.6000000000004</v>
      </c>
      <c r="AP20" s="106">
        <v>22</v>
      </c>
      <c r="AQ20" s="106">
        <v>6309.6</v>
      </c>
      <c r="AR20" s="106">
        <v>22</v>
      </c>
      <c r="AS20" s="106">
        <v>6309.6</v>
      </c>
      <c r="AT20" s="106">
        <v>13</v>
      </c>
      <c r="AU20" s="106">
        <v>3728.4</v>
      </c>
      <c r="AV20" s="106">
        <v>20</v>
      </c>
      <c r="AW20" s="106">
        <v>5736</v>
      </c>
      <c r="AX20" s="106">
        <v>21</v>
      </c>
      <c r="AY20" s="106">
        <v>6022.8</v>
      </c>
      <c r="AZ20" s="106">
        <v>107</v>
      </c>
      <c r="BA20" s="106">
        <v>30687.600000000002</v>
      </c>
      <c r="BB20" s="106">
        <v>87</v>
      </c>
      <c r="BC20" s="106">
        <v>24951.600000000002</v>
      </c>
      <c r="BD20" s="106">
        <v>77</v>
      </c>
      <c r="BE20" s="106">
        <v>22083.600000000002</v>
      </c>
      <c r="BF20" s="106">
        <v>112</v>
      </c>
      <c r="BG20" s="106">
        <v>32121.600000000002</v>
      </c>
      <c r="BH20" s="106">
        <v>17</v>
      </c>
      <c r="BI20" s="106">
        <v>4875.6000000000004</v>
      </c>
      <c r="BJ20" s="106">
        <v>10</v>
      </c>
      <c r="BK20" s="106">
        <v>2868</v>
      </c>
      <c r="BL20" s="106">
        <v>15</v>
      </c>
      <c r="BM20" s="106">
        <v>4302</v>
      </c>
      <c r="BN20" s="106">
        <v>10</v>
      </c>
      <c r="BO20" s="106">
        <v>2868</v>
      </c>
      <c r="BP20" s="106">
        <v>12</v>
      </c>
      <c r="BQ20" s="106">
        <v>3441.6000000000004</v>
      </c>
      <c r="BR20" s="106">
        <v>13</v>
      </c>
      <c r="BS20" s="106">
        <v>3728.4</v>
      </c>
      <c r="BT20" s="106">
        <v>19</v>
      </c>
      <c r="BU20" s="106">
        <v>5449.2</v>
      </c>
      <c r="BV20" s="106">
        <v>18</v>
      </c>
      <c r="BW20" s="106">
        <v>5162.4000000000005</v>
      </c>
      <c r="BX20" s="106">
        <v>9</v>
      </c>
      <c r="BY20" s="106">
        <v>2581.2000000000003</v>
      </c>
      <c r="BZ20" s="106">
        <v>10</v>
      </c>
      <c r="CA20" s="106">
        <v>2868</v>
      </c>
      <c r="CB20" s="106">
        <v>14</v>
      </c>
      <c r="CC20" s="106">
        <v>4015.2000000000003</v>
      </c>
      <c r="CD20" s="106">
        <v>13</v>
      </c>
      <c r="CE20" s="106">
        <v>3728.4</v>
      </c>
      <c r="CF20" s="106">
        <v>140</v>
      </c>
      <c r="CG20" s="106">
        <v>40152</v>
      </c>
      <c r="CH20" s="106">
        <v>153</v>
      </c>
      <c r="CI20" s="106">
        <v>43880.4</v>
      </c>
      <c r="CJ20" s="106">
        <v>137</v>
      </c>
      <c r="CK20" s="106">
        <v>39291.599999999999</v>
      </c>
      <c r="CL20" s="106">
        <v>127</v>
      </c>
      <c r="CM20" s="106">
        <v>36423.599999999999</v>
      </c>
      <c r="CN20" s="106">
        <v>124</v>
      </c>
      <c r="CO20" s="106">
        <v>35563.200000000004</v>
      </c>
      <c r="CP20" s="106">
        <v>137</v>
      </c>
      <c r="CQ20" s="106">
        <v>39291.599999999999</v>
      </c>
      <c r="CR20" s="106">
        <v>119</v>
      </c>
      <c r="CS20" s="106">
        <v>34129.200000000004</v>
      </c>
      <c r="CT20" s="106">
        <v>131</v>
      </c>
      <c r="CU20" s="106">
        <v>37570.800000000003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22.361494032943455</v>
      </c>
      <c r="I21" s="106">
        <v>1395.3572276556715</v>
      </c>
      <c r="J21" s="106">
        <v>28.182072370554113</v>
      </c>
      <c r="K21" s="106">
        <v>1758.5613159225766</v>
      </c>
      <c r="L21" s="106">
        <v>20</v>
      </c>
      <c r="M21" s="106">
        <v>1248</v>
      </c>
      <c r="N21" s="106">
        <v>18</v>
      </c>
      <c r="O21" s="106">
        <v>1123.2</v>
      </c>
      <c r="P21" s="106">
        <v>19</v>
      </c>
      <c r="Q21" s="106">
        <v>1185.5999999999999</v>
      </c>
      <c r="R21" s="106">
        <v>17</v>
      </c>
      <c r="S21" s="106">
        <v>1060.8</v>
      </c>
      <c r="T21" s="106">
        <v>28</v>
      </c>
      <c r="U21" s="106">
        <v>1747.2</v>
      </c>
      <c r="V21" s="106">
        <v>30</v>
      </c>
      <c r="W21" s="106">
        <v>1872</v>
      </c>
      <c r="X21" s="106">
        <v>22</v>
      </c>
      <c r="Y21" s="106">
        <v>1372.8</v>
      </c>
      <c r="Z21" s="106">
        <v>22</v>
      </c>
      <c r="AA21" s="106">
        <v>1372.8</v>
      </c>
      <c r="AB21" s="106">
        <v>9</v>
      </c>
      <c r="AC21" s="106">
        <v>561.6</v>
      </c>
      <c r="AD21" s="106">
        <v>13</v>
      </c>
      <c r="AE21" s="106">
        <v>811.19999999999993</v>
      </c>
      <c r="AF21" s="106">
        <v>16</v>
      </c>
      <c r="AG21" s="106">
        <v>998.4</v>
      </c>
      <c r="AH21" s="106">
        <v>17</v>
      </c>
      <c r="AI21" s="106">
        <v>1060.8</v>
      </c>
      <c r="AJ21" s="106">
        <v>17</v>
      </c>
      <c r="AK21" s="106">
        <v>1060.8</v>
      </c>
      <c r="AL21" s="106">
        <v>25</v>
      </c>
      <c r="AM21" s="106">
        <v>1560</v>
      </c>
      <c r="AN21" s="106">
        <v>18</v>
      </c>
      <c r="AO21" s="106">
        <v>1123.2</v>
      </c>
      <c r="AP21" s="106">
        <v>21</v>
      </c>
      <c r="AQ21" s="106">
        <v>1310.3999999999999</v>
      </c>
      <c r="AR21" s="106">
        <v>20</v>
      </c>
      <c r="AS21" s="106">
        <v>1248</v>
      </c>
      <c r="AT21" s="106">
        <v>13</v>
      </c>
      <c r="AU21" s="106">
        <v>811.19999999999993</v>
      </c>
      <c r="AV21" s="106">
        <v>23</v>
      </c>
      <c r="AW21" s="106">
        <v>1435.2</v>
      </c>
      <c r="AX21" s="106">
        <v>21</v>
      </c>
      <c r="AY21" s="106">
        <v>1310.3999999999999</v>
      </c>
      <c r="AZ21" s="106">
        <v>104</v>
      </c>
      <c r="BA21" s="106">
        <v>6489.5999999999995</v>
      </c>
      <c r="BB21" s="106">
        <v>91</v>
      </c>
      <c r="BC21" s="106">
        <v>5678.4</v>
      </c>
      <c r="BD21" s="106">
        <v>83</v>
      </c>
      <c r="BE21" s="106">
        <v>5179.2</v>
      </c>
      <c r="BF21" s="106">
        <v>127</v>
      </c>
      <c r="BG21" s="106">
        <v>7924.8</v>
      </c>
      <c r="BH21" s="106">
        <v>16</v>
      </c>
      <c r="BI21" s="106">
        <v>998.4</v>
      </c>
      <c r="BJ21" s="106">
        <v>9</v>
      </c>
      <c r="BK21" s="106">
        <v>561.6</v>
      </c>
      <c r="BL21" s="106">
        <v>18</v>
      </c>
      <c r="BM21" s="106">
        <v>1123.2</v>
      </c>
      <c r="BN21" s="106">
        <v>11</v>
      </c>
      <c r="BO21" s="106">
        <v>686.4</v>
      </c>
      <c r="BP21" s="106">
        <v>12</v>
      </c>
      <c r="BQ21" s="106">
        <v>748.8</v>
      </c>
      <c r="BR21" s="106">
        <v>13</v>
      </c>
      <c r="BS21" s="106">
        <v>811.19999999999993</v>
      </c>
      <c r="BT21" s="106">
        <v>19</v>
      </c>
      <c r="BU21" s="106">
        <v>1185.5999999999999</v>
      </c>
      <c r="BV21" s="106">
        <v>19</v>
      </c>
      <c r="BW21" s="106">
        <v>1185.5999999999999</v>
      </c>
      <c r="BX21" s="106">
        <v>9</v>
      </c>
      <c r="BY21" s="106">
        <v>561.6</v>
      </c>
      <c r="BZ21" s="106">
        <v>11</v>
      </c>
      <c r="CA21" s="106">
        <v>686.4</v>
      </c>
      <c r="CB21" s="106">
        <v>15</v>
      </c>
      <c r="CC21" s="106">
        <v>936</v>
      </c>
      <c r="CD21" s="106">
        <v>12</v>
      </c>
      <c r="CE21" s="106">
        <v>748.8</v>
      </c>
      <c r="CF21" s="106">
        <v>142</v>
      </c>
      <c r="CG21" s="106">
        <v>8860.7999999999993</v>
      </c>
      <c r="CH21" s="106">
        <v>146</v>
      </c>
      <c r="CI21" s="106">
        <v>9110.4</v>
      </c>
      <c r="CJ21" s="106">
        <v>162</v>
      </c>
      <c r="CK21" s="106">
        <v>10108.799999999999</v>
      </c>
      <c r="CL21" s="106">
        <v>119</v>
      </c>
      <c r="CM21" s="106">
        <v>7425.5999999999995</v>
      </c>
      <c r="CN21" s="106">
        <v>127</v>
      </c>
      <c r="CO21" s="106">
        <v>7924.8</v>
      </c>
      <c r="CP21" s="106">
        <v>133</v>
      </c>
      <c r="CQ21" s="106">
        <v>8299.1999999999989</v>
      </c>
      <c r="CR21" s="106">
        <v>124</v>
      </c>
      <c r="CS21" s="106">
        <v>7737.5999999999995</v>
      </c>
      <c r="CT21" s="106">
        <v>158</v>
      </c>
      <c r="CU21" s="106">
        <v>9859.1999999999989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21.683873001642134</v>
      </c>
      <c r="I22" s="106">
        <v>4059.2210259074072</v>
      </c>
      <c r="J22" s="106">
        <v>26.524303407580337</v>
      </c>
      <c r="K22" s="106">
        <v>4965.3495978990386</v>
      </c>
      <c r="L22" s="106">
        <v>21</v>
      </c>
      <c r="M22" s="106">
        <v>3931.2</v>
      </c>
      <c r="N22" s="106">
        <v>16</v>
      </c>
      <c r="O22" s="106">
        <v>2995.2</v>
      </c>
      <c r="P22" s="106">
        <v>20</v>
      </c>
      <c r="Q22" s="106">
        <v>3744</v>
      </c>
      <c r="R22" s="106">
        <v>16</v>
      </c>
      <c r="S22" s="106">
        <v>2995.2</v>
      </c>
      <c r="T22" s="106">
        <v>27</v>
      </c>
      <c r="U22" s="106">
        <v>5054.3999999999996</v>
      </c>
      <c r="V22" s="106">
        <v>35</v>
      </c>
      <c r="W22" s="106">
        <v>6552</v>
      </c>
      <c r="X22" s="106">
        <v>21</v>
      </c>
      <c r="Y22" s="106">
        <v>3931.2</v>
      </c>
      <c r="Z22" s="106">
        <v>22</v>
      </c>
      <c r="AA22" s="106">
        <v>4118.3999999999996</v>
      </c>
      <c r="AB22" s="106">
        <v>9</v>
      </c>
      <c r="AC22" s="106">
        <v>1684.8</v>
      </c>
      <c r="AD22" s="106">
        <v>13</v>
      </c>
      <c r="AE22" s="106">
        <v>2433.6</v>
      </c>
      <c r="AF22" s="106">
        <v>16</v>
      </c>
      <c r="AG22" s="106">
        <v>2995.2</v>
      </c>
      <c r="AH22" s="106">
        <v>16</v>
      </c>
      <c r="AI22" s="106">
        <v>2995.2</v>
      </c>
      <c r="AJ22" s="106">
        <v>16</v>
      </c>
      <c r="AK22" s="106">
        <v>2995.2</v>
      </c>
      <c r="AL22" s="106">
        <v>22</v>
      </c>
      <c r="AM22" s="106">
        <v>4118.3999999999996</v>
      </c>
      <c r="AN22" s="106">
        <v>17</v>
      </c>
      <c r="AO22" s="106">
        <v>3182.3999999999996</v>
      </c>
      <c r="AP22" s="106">
        <v>22</v>
      </c>
      <c r="AQ22" s="106">
        <v>4118.3999999999996</v>
      </c>
      <c r="AR22" s="106">
        <v>21</v>
      </c>
      <c r="AS22" s="106">
        <v>3931.2</v>
      </c>
      <c r="AT22" s="106">
        <v>13</v>
      </c>
      <c r="AU22" s="106">
        <v>2433.6</v>
      </c>
      <c r="AV22" s="106">
        <v>22</v>
      </c>
      <c r="AW22" s="106">
        <v>4118.3999999999996</v>
      </c>
      <c r="AX22" s="106">
        <v>20</v>
      </c>
      <c r="AY22" s="106">
        <v>3744</v>
      </c>
      <c r="AZ22" s="106">
        <v>102</v>
      </c>
      <c r="BA22" s="106">
        <v>19094.399999999998</v>
      </c>
      <c r="BB22" s="106">
        <v>78</v>
      </c>
      <c r="BC22" s="106">
        <v>14601.599999999999</v>
      </c>
      <c r="BD22" s="106">
        <v>90</v>
      </c>
      <c r="BE22" s="106">
        <v>16848</v>
      </c>
      <c r="BF22" s="106">
        <v>127</v>
      </c>
      <c r="BG22" s="106">
        <v>23774.399999999998</v>
      </c>
      <c r="BH22" s="106">
        <v>16</v>
      </c>
      <c r="BI22" s="106">
        <v>2995.2</v>
      </c>
      <c r="BJ22" s="106">
        <v>9</v>
      </c>
      <c r="BK22" s="106">
        <v>1684.8</v>
      </c>
      <c r="BL22" s="106">
        <v>17</v>
      </c>
      <c r="BM22" s="106">
        <v>3182.3999999999996</v>
      </c>
      <c r="BN22" s="106">
        <v>10</v>
      </c>
      <c r="BO22" s="106">
        <v>1872</v>
      </c>
      <c r="BP22" s="106">
        <v>10</v>
      </c>
      <c r="BQ22" s="106">
        <v>1872</v>
      </c>
      <c r="BR22" s="106">
        <v>14</v>
      </c>
      <c r="BS22" s="106">
        <v>2620.7999999999997</v>
      </c>
      <c r="BT22" s="106">
        <v>19</v>
      </c>
      <c r="BU22" s="106">
        <v>3556.7999999999997</v>
      </c>
      <c r="BV22" s="106">
        <v>16</v>
      </c>
      <c r="BW22" s="106">
        <v>2995.2</v>
      </c>
      <c r="BX22" s="106">
        <v>9</v>
      </c>
      <c r="BY22" s="106">
        <v>1684.8</v>
      </c>
      <c r="BZ22" s="106">
        <v>10</v>
      </c>
      <c r="CA22" s="106">
        <v>1872</v>
      </c>
      <c r="CB22" s="106">
        <v>16</v>
      </c>
      <c r="CC22" s="106">
        <v>2995.2</v>
      </c>
      <c r="CD22" s="106">
        <v>12</v>
      </c>
      <c r="CE22" s="106">
        <v>2246.3999999999996</v>
      </c>
      <c r="CF22" s="106">
        <v>138</v>
      </c>
      <c r="CG22" s="106">
        <v>25833.599999999999</v>
      </c>
      <c r="CH22" s="106">
        <v>155</v>
      </c>
      <c r="CI22" s="106">
        <v>29016</v>
      </c>
      <c r="CJ22" s="106">
        <v>137</v>
      </c>
      <c r="CK22" s="106">
        <v>25646.399999999998</v>
      </c>
      <c r="CL22" s="106">
        <v>123</v>
      </c>
      <c r="CM22" s="106">
        <v>23025.599999999999</v>
      </c>
      <c r="CN22" s="106">
        <v>124</v>
      </c>
      <c r="CO22" s="106">
        <v>23212.799999999999</v>
      </c>
      <c r="CP22" s="106">
        <v>126</v>
      </c>
      <c r="CQ22" s="106">
        <v>23587.199999999997</v>
      </c>
      <c r="CR22" s="106">
        <v>125</v>
      </c>
      <c r="CS22" s="106">
        <v>23400</v>
      </c>
      <c r="CT22" s="106">
        <v>142</v>
      </c>
      <c r="CU22" s="106">
        <v>26582.399999999998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21.683873001642134</v>
      </c>
      <c r="I23" s="106">
        <v>6375.0586624827874</v>
      </c>
      <c r="J23" s="106">
        <v>29.010956852040994</v>
      </c>
      <c r="K23" s="106">
        <v>8529.2213145000514</v>
      </c>
      <c r="L23" s="106">
        <v>21</v>
      </c>
      <c r="M23" s="106">
        <v>6174</v>
      </c>
      <c r="N23" s="106">
        <v>18</v>
      </c>
      <c r="O23" s="106">
        <v>5292</v>
      </c>
      <c r="P23" s="106">
        <v>19</v>
      </c>
      <c r="Q23" s="106">
        <v>5586</v>
      </c>
      <c r="R23" s="106">
        <v>17</v>
      </c>
      <c r="S23" s="106">
        <v>4998</v>
      </c>
      <c r="T23" s="106">
        <v>30</v>
      </c>
      <c r="U23" s="106">
        <v>8820</v>
      </c>
      <c r="V23" s="106">
        <v>30</v>
      </c>
      <c r="W23" s="106">
        <v>8820</v>
      </c>
      <c r="X23" s="106">
        <v>20</v>
      </c>
      <c r="Y23" s="106">
        <v>5880</v>
      </c>
      <c r="Z23" s="106">
        <v>20</v>
      </c>
      <c r="AA23" s="106">
        <v>5880</v>
      </c>
      <c r="AB23" s="106">
        <v>9</v>
      </c>
      <c r="AC23" s="106">
        <v>2646</v>
      </c>
      <c r="AD23" s="106">
        <v>12</v>
      </c>
      <c r="AE23" s="106">
        <v>3528</v>
      </c>
      <c r="AF23" s="106">
        <v>18</v>
      </c>
      <c r="AG23" s="106">
        <v>5292</v>
      </c>
      <c r="AH23" s="106">
        <v>16</v>
      </c>
      <c r="AI23" s="106">
        <v>4704</v>
      </c>
      <c r="AJ23" s="106">
        <v>14</v>
      </c>
      <c r="AK23" s="106">
        <v>4116</v>
      </c>
      <c r="AL23" s="106">
        <v>23</v>
      </c>
      <c r="AM23" s="106">
        <v>6762</v>
      </c>
      <c r="AN23" s="106">
        <v>17</v>
      </c>
      <c r="AO23" s="106">
        <v>4998</v>
      </c>
      <c r="AP23" s="106">
        <v>23</v>
      </c>
      <c r="AQ23" s="106">
        <v>6762</v>
      </c>
      <c r="AR23" s="106">
        <v>21</v>
      </c>
      <c r="AS23" s="106">
        <v>6174</v>
      </c>
      <c r="AT23" s="106">
        <v>13</v>
      </c>
      <c r="AU23" s="106">
        <v>3822</v>
      </c>
      <c r="AV23" s="106">
        <v>22</v>
      </c>
      <c r="AW23" s="106">
        <v>6468</v>
      </c>
      <c r="AX23" s="106">
        <v>21</v>
      </c>
      <c r="AY23" s="106">
        <v>6174</v>
      </c>
      <c r="AZ23" s="106">
        <v>91</v>
      </c>
      <c r="BA23" s="106">
        <v>26754</v>
      </c>
      <c r="BB23" s="106">
        <v>87</v>
      </c>
      <c r="BC23" s="106">
        <v>25578</v>
      </c>
      <c r="BD23" s="106">
        <v>88</v>
      </c>
      <c r="BE23" s="106">
        <v>25872</v>
      </c>
      <c r="BF23" s="106">
        <v>128</v>
      </c>
      <c r="BG23" s="106">
        <v>37632</v>
      </c>
      <c r="BH23" s="106">
        <v>17</v>
      </c>
      <c r="BI23" s="106">
        <v>4998</v>
      </c>
      <c r="BJ23" s="106">
        <v>9</v>
      </c>
      <c r="BK23" s="106">
        <v>2646</v>
      </c>
      <c r="BL23" s="106">
        <v>18</v>
      </c>
      <c r="BM23" s="106">
        <v>5292</v>
      </c>
      <c r="BN23" s="106">
        <v>10</v>
      </c>
      <c r="BO23" s="106">
        <v>2940</v>
      </c>
      <c r="BP23" s="106">
        <v>10</v>
      </c>
      <c r="BQ23" s="106">
        <v>2940</v>
      </c>
      <c r="BR23" s="106">
        <v>14</v>
      </c>
      <c r="BS23" s="106">
        <v>4116</v>
      </c>
      <c r="BT23" s="106">
        <v>19</v>
      </c>
      <c r="BU23" s="106">
        <v>5586</v>
      </c>
      <c r="BV23" s="106">
        <v>18</v>
      </c>
      <c r="BW23" s="106">
        <v>5292</v>
      </c>
      <c r="BX23" s="106">
        <v>9</v>
      </c>
      <c r="BY23" s="106">
        <v>2646</v>
      </c>
      <c r="BZ23" s="106">
        <v>10</v>
      </c>
      <c r="CA23" s="106">
        <v>2940</v>
      </c>
      <c r="CB23" s="106">
        <v>14</v>
      </c>
      <c r="CC23" s="106">
        <v>4116</v>
      </c>
      <c r="CD23" s="106">
        <v>12</v>
      </c>
      <c r="CE23" s="106">
        <v>3528</v>
      </c>
      <c r="CF23" s="106">
        <v>158</v>
      </c>
      <c r="CG23" s="106">
        <v>46452</v>
      </c>
      <c r="CH23" s="106">
        <v>145</v>
      </c>
      <c r="CI23" s="106">
        <v>42630</v>
      </c>
      <c r="CJ23" s="106">
        <v>156</v>
      </c>
      <c r="CK23" s="106">
        <v>45864</v>
      </c>
      <c r="CL23" s="106">
        <v>120</v>
      </c>
      <c r="CM23" s="106">
        <v>35280</v>
      </c>
      <c r="CN23" s="106">
        <v>109</v>
      </c>
      <c r="CO23" s="106">
        <v>32046</v>
      </c>
      <c r="CP23" s="106">
        <v>114</v>
      </c>
      <c r="CQ23" s="106">
        <v>33516</v>
      </c>
      <c r="CR23" s="106">
        <v>129</v>
      </c>
      <c r="CS23" s="106">
        <v>37926</v>
      </c>
      <c r="CT23" s="106">
        <v>131</v>
      </c>
      <c r="CU23" s="106">
        <v>38514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21.683873001642134</v>
      </c>
      <c r="I24" s="106">
        <v>7962.3181662029911</v>
      </c>
      <c r="J24" s="106">
        <v>28.182072370554113</v>
      </c>
      <c r="K24" s="106">
        <v>10348.45697446747</v>
      </c>
      <c r="L24" s="106">
        <v>20</v>
      </c>
      <c r="M24" s="106">
        <v>7344</v>
      </c>
      <c r="N24" s="106">
        <v>17</v>
      </c>
      <c r="O24" s="106">
        <v>6242.4</v>
      </c>
      <c r="P24" s="106">
        <v>18</v>
      </c>
      <c r="Q24" s="106">
        <v>6609.5999999999995</v>
      </c>
      <c r="R24" s="106">
        <v>17</v>
      </c>
      <c r="S24" s="106">
        <v>6242.4</v>
      </c>
      <c r="T24" s="106">
        <v>30</v>
      </c>
      <c r="U24" s="106">
        <v>11016</v>
      </c>
      <c r="V24" s="106">
        <v>31</v>
      </c>
      <c r="W24" s="106">
        <v>11383.199999999999</v>
      </c>
      <c r="X24" s="106">
        <v>21</v>
      </c>
      <c r="Y24" s="106">
        <v>7711.2</v>
      </c>
      <c r="Z24" s="106">
        <v>20</v>
      </c>
      <c r="AA24" s="106">
        <v>7344</v>
      </c>
      <c r="AB24" s="106">
        <v>10</v>
      </c>
      <c r="AC24" s="106">
        <v>3672</v>
      </c>
      <c r="AD24" s="106">
        <v>11</v>
      </c>
      <c r="AE24" s="106">
        <v>4039.2</v>
      </c>
      <c r="AF24" s="106">
        <v>17</v>
      </c>
      <c r="AG24" s="106">
        <v>6242.4</v>
      </c>
      <c r="AH24" s="106">
        <v>16</v>
      </c>
      <c r="AI24" s="106">
        <v>5875.2</v>
      </c>
      <c r="AJ24" s="106">
        <v>15</v>
      </c>
      <c r="AK24" s="106">
        <v>5508</v>
      </c>
      <c r="AL24" s="106">
        <v>25</v>
      </c>
      <c r="AM24" s="106">
        <v>9180</v>
      </c>
      <c r="AN24" s="106">
        <v>14</v>
      </c>
      <c r="AO24" s="106">
        <v>5140.8</v>
      </c>
      <c r="AP24" s="106">
        <v>23</v>
      </c>
      <c r="AQ24" s="106">
        <v>8445.6</v>
      </c>
      <c r="AR24" s="106">
        <v>21</v>
      </c>
      <c r="AS24" s="106">
        <v>7711.2</v>
      </c>
      <c r="AT24" s="106">
        <v>13</v>
      </c>
      <c r="AU24" s="106">
        <v>4773.5999999999995</v>
      </c>
      <c r="AV24" s="106">
        <v>21</v>
      </c>
      <c r="AW24" s="106">
        <v>7711.2</v>
      </c>
      <c r="AX24" s="106">
        <v>19</v>
      </c>
      <c r="AY24" s="106">
        <v>6976.8</v>
      </c>
      <c r="AZ24" s="106">
        <v>102</v>
      </c>
      <c r="BA24" s="106">
        <v>37454.400000000001</v>
      </c>
      <c r="BB24" s="106">
        <v>85</v>
      </c>
      <c r="BC24" s="106">
        <v>31212</v>
      </c>
      <c r="BD24" s="106">
        <v>85</v>
      </c>
      <c r="BE24" s="106">
        <v>31212</v>
      </c>
      <c r="BF24" s="106">
        <v>130</v>
      </c>
      <c r="BG24" s="106">
        <v>47736</v>
      </c>
      <c r="BH24" s="106">
        <v>17</v>
      </c>
      <c r="BI24" s="106">
        <v>6242.4</v>
      </c>
      <c r="BJ24" s="106">
        <v>9</v>
      </c>
      <c r="BK24" s="106">
        <v>3304.7999999999997</v>
      </c>
      <c r="BL24" s="106">
        <v>18</v>
      </c>
      <c r="BM24" s="106">
        <v>6609.5999999999995</v>
      </c>
      <c r="BN24" s="106">
        <v>9</v>
      </c>
      <c r="BO24" s="106">
        <v>3304.7999999999997</v>
      </c>
      <c r="BP24" s="106">
        <v>11</v>
      </c>
      <c r="BQ24" s="106">
        <v>4039.2</v>
      </c>
      <c r="BR24" s="106">
        <v>13</v>
      </c>
      <c r="BS24" s="106">
        <v>4773.5999999999995</v>
      </c>
      <c r="BT24" s="106">
        <v>18</v>
      </c>
      <c r="BU24" s="106">
        <v>6609.5999999999995</v>
      </c>
      <c r="BV24" s="106">
        <v>19</v>
      </c>
      <c r="BW24" s="106">
        <v>6976.8</v>
      </c>
      <c r="BX24" s="106">
        <v>9</v>
      </c>
      <c r="BY24" s="106">
        <v>3304.7999999999997</v>
      </c>
      <c r="BZ24" s="106">
        <v>11</v>
      </c>
      <c r="CA24" s="106">
        <v>4039.2</v>
      </c>
      <c r="CB24" s="106">
        <v>14</v>
      </c>
      <c r="CC24" s="106">
        <v>5140.8</v>
      </c>
      <c r="CD24" s="106">
        <v>12</v>
      </c>
      <c r="CE24" s="106">
        <v>4406.3999999999996</v>
      </c>
      <c r="CF24" s="106">
        <v>133</v>
      </c>
      <c r="CG24" s="106">
        <v>48837.599999999999</v>
      </c>
      <c r="CH24" s="106">
        <v>145</v>
      </c>
      <c r="CI24" s="106">
        <v>53244</v>
      </c>
      <c r="CJ24" s="106">
        <v>157</v>
      </c>
      <c r="CK24" s="106">
        <v>57650.400000000001</v>
      </c>
      <c r="CL24" s="106">
        <v>133</v>
      </c>
      <c r="CM24" s="106">
        <v>48837.599999999999</v>
      </c>
      <c r="CN24" s="106">
        <v>122</v>
      </c>
      <c r="CO24" s="106">
        <v>44798.400000000001</v>
      </c>
      <c r="CP24" s="106">
        <v>113</v>
      </c>
      <c r="CQ24" s="106">
        <v>41493.599999999999</v>
      </c>
      <c r="CR24" s="106">
        <v>126</v>
      </c>
      <c r="CS24" s="106">
        <v>46267.199999999997</v>
      </c>
      <c r="CT24" s="106">
        <v>138</v>
      </c>
      <c r="CU24" s="106">
        <v>50673.599999999999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18.973388876436871</v>
      </c>
      <c r="I25" s="106">
        <v>10063.485460062117</v>
      </c>
      <c r="J25" s="106">
        <v>24.866534444606568</v>
      </c>
      <c r="K25" s="106">
        <v>13189.209869419323</v>
      </c>
      <c r="L25" s="106">
        <v>20</v>
      </c>
      <c r="M25" s="106">
        <v>10608</v>
      </c>
      <c r="N25" s="106">
        <v>18</v>
      </c>
      <c r="O25" s="106">
        <v>9547.1999999999989</v>
      </c>
      <c r="P25" s="106">
        <v>16</v>
      </c>
      <c r="Q25" s="106">
        <v>8486.4</v>
      </c>
      <c r="R25" s="106">
        <v>18</v>
      </c>
      <c r="S25" s="106">
        <v>9547.1999999999989</v>
      </c>
      <c r="T25" s="106">
        <v>26</v>
      </c>
      <c r="U25" s="106">
        <v>13790.4</v>
      </c>
      <c r="V25" s="106">
        <v>31</v>
      </c>
      <c r="W25" s="106">
        <v>16442.399999999998</v>
      </c>
      <c r="X25" s="106">
        <v>20</v>
      </c>
      <c r="Y25" s="106">
        <v>10608</v>
      </c>
      <c r="Z25" s="106">
        <v>22</v>
      </c>
      <c r="AA25" s="106">
        <v>11668.8</v>
      </c>
      <c r="AB25" s="106">
        <v>10</v>
      </c>
      <c r="AC25" s="106">
        <v>5304</v>
      </c>
      <c r="AD25" s="106">
        <v>13</v>
      </c>
      <c r="AE25" s="106">
        <v>6895.2</v>
      </c>
      <c r="AF25" s="106">
        <v>18</v>
      </c>
      <c r="AG25" s="106">
        <v>9547.1999999999989</v>
      </c>
      <c r="AH25" s="106">
        <v>15</v>
      </c>
      <c r="AI25" s="106">
        <v>7956</v>
      </c>
      <c r="AJ25" s="106">
        <v>16</v>
      </c>
      <c r="AK25" s="106">
        <v>8486.4</v>
      </c>
      <c r="AL25" s="106">
        <v>23</v>
      </c>
      <c r="AM25" s="106">
        <v>12199.199999999999</v>
      </c>
      <c r="AN25" s="106">
        <v>15</v>
      </c>
      <c r="AO25" s="106">
        <v>7956</v>
      </c>
      <c r="AP25" s="106">
        <v>22</v>
      </c>
      <c r="AQ25" s="106">
        <v>11668.8</v>
      </c>
      <c r="AR25" s="106">
        <v>21</v>
      </c>
      <c r="AS25" s="106">
        <v>11138.4</v>
      </c>
      <c r="AT25" s="106">
        <v>13</v>
      </c>
      <c r="AU25" s="106">
        <v>6895.2</v>
      </c>
      <c r="AV25" s="106">
        <v>20</v>
      </c>
      <c r="AW25" s="106">
        <v>10608</v>
      </c>
      <c r="AX25" s="106">
        <v>22</v>
      </c>
      <c r="AY25" s="106">
        <v>11668.8</v>
      </c>
      <c r="AZ25" s="106">
        <v>91</v>
      </c>
      <c r="BA25" s="106">
        <v>48266.400000000001</v>
      </c>
      <c r="BB25" s="106">
        <v>83</v>
      </c>
      <c r="BC25" s="106">
        <v>44023.199999999997</v>
      </c>
      <c r="BD25" s="106">
        <v>86</v>
      </c>
      <c r="BE25" s="106">
        <v>45614.400000000001</v>
      </c>
      <c r="BF25" s="106">
        <v>124</v>
      </c>
      <c r="BG25" s="106">
        <v>65769.599999999991</v>
      </c>
      <c r="BH25" s="106">
        <v>17</v>
      </c>
      <c r="BI25" s="106">
        <v>9016.7999999999993</v>
      </c>
      <c r="BJ25" s="106">
        <v>10</v>
      </c>
      <c r="BK25" s="106">
        <v>5304</v>
      </c>
      <c r="BL25" s="106">
        <v>17</v>
      </c>
      <c r="BM25" s="106">
        <v>9016.7999999999993</v>
      </c>
      <c r="BN25" s="106">
        <v>10</v>
      </c>
      <c r="BO25" s="106">
        <v>5304</v>
      </c>
      <c r="BP25" s="106">
        <v>11</v>
      </c>
      <c r="BQ25" s="106">
        <v>5834.4</v>
      </c>
      <c r="BR25" s="106">
        <v>13</v>
      </c>
      <c r="BS25" s="106">
        <v>6895.2</v>
      </c>
      <c r="BT25" s="106">
        <v>19</v>
      </c>
      <c r="BU25" s="106">
        <v>10077.6</v>
      </c>
      <c r="BV25" s="106">
        <v>17</v>
      </c>
      <c r="BW25" s="106">
        <v>9016.7999999999993</v>
      </c>
      <c r="BX25" s="106">
        <v>9</v>
      </c>
      <c r="BY25" s="106">
        <v>4773.5999999999995</v>
      </c>
      <c r="BZ25" s="106">
        <v>11</v>
      </c>
      <c r="CA25" s="106">
        <v>5834.4</v>
      </c>
      <c r="CB25" s="106">
        <v>15</v>
      </c>
      <c r="CC25" s="106">
        <v>7956</v>
      </c>
      <c r="CD25" s="106">
        <v>12</v>
      </c>
      <c r="CE25" s="106">
        <v>6364.7999999999993</v>
      </c>
      <c r="CF25" s="106">
        <v>146</v>
      </c>
      <c r="CG25" s="106">
        <v>77438.399999999994</v>
      </c>
      <c r="CH25" s="106">
        <v>148</v>
      </c>
      <c r="CI25" s="106">
        <v>78499.199999999997</v>
      </c>
      <c r="CJ25" s="106">
        <v>129</v>
      </c>
      <c r="CK25" s="106">
        <v>68421.599999999991</v>
      </c>
      <c r="CL25" s="106">
        <v>125</v>
      </c>
      <c r="CM25" s="106">
        <v>66300</v>
      </c>
      <c r="CN25" s="106">
        <v>120</v>
      </c>
      <c r="CO25" s="106">
        <v>63648</v>
      </c>
      <c r="CP25" s="106">
        <v>130</v>
      </c>
      <c r="CQ25" s="106">
        <v>68952</v>
      </c>
      <c r="CR25" s="106">
        <v>103</v>
      </c>
      <c r="CS25" s="106">
        <v>54631.199999999997</v>
      </c>
      <c r="CT25" s="106">
        <v>132</v>
      </c>
      <c r="CU25" s="106">
        <v>70012.800000000003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21.683873001642134</v>
      </c>
      <c r="I26" s="106">
        <v>10538.362278798077</v>
      </c>
      <c r="J26" s="106">
        <v>28.182072370554113</v>
      </c>
      <c r="K26" s="106">
        <v>13696.487172089299</v>
      </c>
      <c r="L26" s="106">
        <v>21</v>
      </c>
      <c r="M26" s="106">
        <v>10206</v>
      </c>
      <c r="N26" s="106">
        <v>18</v>
      </c>
      <c r="O26" s="106">
        <v>8748</v>
      </c>
      <c r="P26" s="106">
        <v>16</v>
      </c>
      <c r="Q26" s="106">
        <v>7776</v>
      </c>
      <c r="R26" s="106">
        <v>17</v>
      </c>
      <c r="S26" s="106">
        <v>8262</v>
      </c>
      <c r="T26" s="106">
        <v>27</v>
      </c>
      <c r="U26" s="106">
        <v>13122</v>
      </c>
      <c r="V26" s="106">
        <v>30</v>
      </c>
      <c r="W26" s="106">
        <v>14580</v>
      </c>
      <c r="X26" s="106">
        <v>24</v>
      </c>
      <c r="Y26" s="106">
        <v>11664</v>
      </c>
      <c r="Z26" s="106">
        <v>21</v>
      </c>
      <c r="AA26" s="106">
        <v>10206</v>
      </c>
      <c r="AB26" s="106">
        <v>10</v>
      </c>
      <c r="AC26" s="106">
        <v>4860</v>
      </c>
      <c r="AD26" s="106">
        <v>11</v>
      </c>
      <c r="AE26" s="106">
        <v>5346</v>
      </c>
      <c r="AF26" s="106">
        <v>15</v>
      </c>
      <c r="AG26" s="106">
        <v>7290</v>
      </c>
      <c r="AH26" s="106">
        <v>17</v>
      </c>
      <c r="AI26" s="106">
        <v>8262</v>
      </c>
      <c r="AJ26" s="106">
        <v>14</v>
      </c>
      <c r="AK26" s="106">
        <v>6804</v>
      </c>
      <c r="AL26" s="106">
        <v>25</v>
      </c>
      <c r="AM26" s="106">
        <v>12150</v>
      </c>
      <c r="AN26" s="106">
        <v>15</v>
      </c>
      <c r="AO26" s="106">
        <v>7290</v>
      </c>
      <c r="AP26" s="106">
        <v>23</v>
      </c>
      <c r="AQ26" s="106">
        <v>11178</v>
      </c>
      <c r="AR26" s="106">
        <v>20</v>
      </c>
      <c r="AS26" s="106">
        <v>9720</v>
      </c>
      <c r="AT26" s="106">
        <v>12</v>
      </c>
      <c r="AU26" s="106">
        <v>5832</v>
      </c>
      <c r="AV26" s="106">
        <v>19</v>
      </c>
      <c r="AW26" s="106">
        <v>9234</v>
      </c>
      <c r="AX26" s="106">
        <v>19</v>
      </c>
      <c r="AY26" s="106">
        <v>9234</v>
      </c>
      <c r="AZ26" s="106">
        <v>101</v>
      </c>
      <c r="BA26" s="106">
        <v>49086</v>
      </c>
      <c r="BB26" s="106">
        <v>79</v>
      </c>
      <c r="BC26" s="106">
        <v>38394</v>
      </c>
      <c r="BD26" s="106">
        <v>76</v>
      </c>
      <c r="BE26" s="106">
        <v>36936</v>
      </c>
      <c r="BF26" s="106">
        <v>121</v>
      </c>
      <c r="BG26" s="106">
        <v>58806</v>
      </c>
      <c r="BH26" s="106">
        <v>17</v>
      </c>
      <c r="BI26" s="106">
        <v>8262</v>
      </c>
      <c r="BJ26" s="106">
        <v>10</v>
      </c>
      <c r="BK26" s="106">
        <v>4860</v>
      </c>
      <c r="BL26" s="106">
        <v>15</v>
      </c>
      <c r="BM26" s="106">
        <v>7290</v>
      </c>
      <c r="BN26" s="106">
        <v>11</v>
      </c>
      <c r="BO26" s="106">
        <v>5346</v>
      </c>
      <c r="BP26" s="106">
        <v>12</v>
      </c>
      <c r="BQ26" s="106">
        <v>5832</v>
      </c>
      <c r="BR26" s="106">
        <v>13</v>
      </c>
      <c r="BS26" s="106">
        <v>6318</v>
      </c>
      <c r="BT26" s="106">
        <v>19</v>
      </c>
      <c r="BU26" s="106">
        <v>9234</v>
      </c>
      <c r="BV26" s="106">
        <v>19</v>
      </c>
      <c r="BW26" s="106">
        <v>9234</v>
      </c>
      <c r="BX26" s="106">
        <v>9</v>
      </c>
      <c r="BY26" s="106">
        <v>4374</v>
      </c>
      <c r="BZ26" s="106">
        <v>11</v>
      </c>
      <c r="CA26" s="106">
        <v>5346</v>
      </c>
      <c r="CB26" s="106">
        <v>14</v>
      </c>
      <c r="CC26" s="106">
        <v>6804</v>
      </c>
      <c r="CD26" s="106">
        <v>11</v>
      </c>
      <c r="CE26" s="106">
        <v>5346</v>
      </c>
      <c r="CF26" s="106">
        <v>141</v>
      </c>
      <c r="CG26" s="106">
        <v>68526</v>
      </c>
      <c r="CH26" s="106">
        <v>138</v>
      </c>
      <c r="CI26" s="106">
        <v>67068</v>
      </c>
      <c r="CJ26" s="106">
        <v>148</v>
      </c>
      <c r="CK26" s="106">
        <v>71928</v>
      </c>
      <c r="CL26" s="106">
        <v>121</v>
      </c>
      <c r="CM26" s="106">
        <v>58806</v>
      </c>
      <c r="CN26" s="106">
        <v>125</v>
      </c>
      <c r="CO26" s="106">
        <v>60750</v>
      </c>
      <c r="CP26" s="106">
        <v>118</v>
      </c>
      <c r="CQ26" s="106">
        <v>57348</v>
      </c>
      <c r="CR26" s="106">
        <v>112</v>
      </c>
      <c r="CS26" s="106">
        <v>54432</v>
      </c>
      <c r="CT26" s="106">
        <v>135</v>
      </c>
      <c r="CU26" s="106">
        <v>65610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21.006251970340816</v>
      </c>
      <c r="I27" s="106">
        <v>8973.8708417295966</v>
      </c>
      <c r="J27" s="106">
        <v>29.839841333527882</v>
      </c>
      <c r="K27" s="106">
        <v>12747.580217683111</v>
      </c>
      <c r="L27" s="106">
        <v>19</v>
      </c>
      <c r="M27" s="106">
        <v>8116.8</v>
      </c>
      <c r="N27" s="106">
        <v>16</v>
      </c>
      <c r="O27" s="106">
        <v>6835.2</v>
      </c>
      <c r="P27" s="106">
        <v>18</v>
      </c>
      <c r="Q27" s="106">
        <v>7689.5999999999995</v>
      </c>
      <c r="R27" s="106">
        <v>19</v>
      </c>
      <c r="S27" s="106">
        <v>8116.8</v>
      </c>
      <c r="T27" s="106">
        <v>28</v>
      </c>
      <c r="U27" s="106">
        <v>11961.6</v>
      </c>
      <c r="V27" s="106">
        <v>30</v>
      </c>
      <c r="W27" s="106">
        <v>12816</v>
      </c>
      <c r="X27" s="106">
        <v>24</v>
      </c>
      <c r="Y27" s="106">
        <v>10252.799999999999</v>
      </c>
      <c r="Z27" s="106">
        <v>19</v>
      </c>
      <c r="AA27" s="106">
        <v>8116.8</v>
      </c>
      <c r="AB27" s="106">
        <v>9</v>
      </c>
      <c r="AC27" s="106">
        <v>3844.7999999999997</v>
      </c>
      <c r="AD27" s="106">
        <v>12</v>
      </c>
      <c r="AE27" s="106">
        <v>5126.3999999999996</v>
      </c>
      <c r="AF27" s="106">
        <v>18</v>
      </c>
      <c r="AG27" s="106">
        <v>7689.5999999999995</v>
      </c>
      <c r="AH27" s="106">
        <v>17</v>
      </c>
      <c r="AI27" s="106">
        <v>7262.4</v>
      </c>
      <c r="AJ27" s="106">
        <v>14</v>
      </c>
      <c r="AK27" s="106">
        <v>5980.8</v>
      </c>
      <c r="AL27" s="106">
        <v>22</v>
      </c>
      <c r="AM27" s="106">
        <v>9398.4</v>
      </c>
      <c r="AN27" s="106">
        <v>17</v>
      </c>
      <c r="AO27" s="106">
        <v>7262.4</v>
      </c>
      <c r="AP27" s="106">
        <v>24</v>
      </c>
      <c r="AQ27" s="106">
        <v>10252.799999999999</v>
      </c>
      <c r="AR27" s="106">
        <v>22</v>
      </c>
      <c r="AS27" s="106">
        <v>9398.4</v>
      </c>
      <c r="AT27" s="106">
        <v>11</v>
      </c>
      <c r="AU27" s="106">
        <v>4699.2</v>
      </c>
      <c r="AV27" s="106">
        <v>22</v>
      </c>
      <c r="AW27" s="106">
        <v>9398.4</v>
      </c>
      <c r="AX27" s="106">
        <v>20</v>
      </c>
      <c r="AY27" s="106">
        <v>8544</v>
      </c>
      <c r="AZ27" s="106">
        <v>89</v>
      </c>
      <c r="BA27" s="106">
        <v>38020.799999999996</v>
      </c>
      <c r="BB27" s="106">
        <v>75</v>
      </c>
      <c r="BC27" s="106">
        <v>32040</v>
      </c>
      <c r="BD27" s="106">
        <v>78</v>
      </c>
      <c r="BE27" s="106">
        <v>33321.599999999999</v>
      </c>
      <c r="BF27" s="106">
        <v>117</v>
      </c>
      <c r="BG27" s="106">
        <v>49982.400000000001</v>
      </c>
      <c r="BH27" s="106">
        <v>16</v>
      </c>
      <c r="BI27" s="106">
        <v>6835.2</v>
      </c>
      <c r="BJ27" s="106">
        <v>9</v>
      </c>
      <c r="BK27" s="106">
        <v>3844.7999999999997</v>
      </c>
      <c r="BL27" s="106">
        <v>16</v>
      </c>
      <c r="BM27" s="106">
        <v>6835.2</v>
      </c>
      <c r="BN27" s="106">
        <v>10</v>
      </c>
      <c r="BO27" s="106">
        <v>4272</v>
      </c>
      <c r="BP27" s="106">
        <v>11</v>
      </c>
      <c r="BQ27" s="106">
        <v>4699.2</v>
      </c>
      <c r="BR27" s="106">
        <v>13</v>
      </c>
      <c r="BS27" s="106">
        <v>5553.5999999999995</v>
      </c>
      <c r="BT27" s="106">
        <v>18</v>
      </c>
      <c r="BU27" s="106">
        <v>7689.5999999999995</v>
      </c>
      <c r="BV27" s="106">
        <v>18</v>
      </c>
      <c r="BW27" s="106">
        <v>7689.5999999999995</v>
      </c>
      <c r="BX27" s="106">
        <v>10</v>
      </c>
      <c r="BY27" s="106">
        <v>4272</v>
      </c>
      <c r="BZ27" s="106">
        <v>11</v>
      </c>
      <c r="CA27" s="106">
        <v>4699.2</v>
      </c>
      <c r="CB27" s="106">
        <v>14</v>
      </c>
      <c r="CC27" s="106">
        <v>5980.8</v>
      </c>
      <c r="CD27" s="106">
        <v>12</v>
      </c>
      <c r="CE27" s="106">
        <v>5126.3999999999996</v>
      </c>
      <c r="CF27" s="106">
        <v>150</v>
      </c>
      <c r="CG27" s="106">
        <v>64080</v>
      </c>
      <c r="CH27" s="106">
        <v>147</v>
      </c>
      <c r="CI27" s="106">
        <v>62798.400000000001</v>
      </c>
      <c r="CJ27" s="106">
        <v>134</v>
      </c>
      <c r="CK27" s="106">
        <v>57244.799999999996</v>
      </c>
      <c r="CL27" s="106">
        <v>111</v>
      </c>
      <c r="CM27" s="106">
        <v>47419.199999999997</v>
      </c>
      <c r="CN27" s="106">
        <v>114</v>
      </c>
      <c r="CO27" s="106">
        <v>48700.799999999996</v>
      </c>
      <c r="CP27" s="106">
        <v>132</v>
      </c>
      <c r="CQ27" s="106">
        <v>56390.400000000001</v>
      </c>
      <c r="CR27" s="106">
        <v>120</v>
      </c>
      <c r="CS27" s="106">
        <v>51264</v>
      </c>
      <c r="CT27" s="106">
        <v>130</v>
      </c>
      <c r="CU27" s="106">
        <v>55536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20.328630939039503</v>
      </c>
      <c r="I28" s="106">
        <v>15002.529633011152</v>
      </c>
      <c r="J28" s="106">
        <v>24.866534444606568</v>
      </c>
      <c r="K28" s="106">
        <v>18351.502420119647</v>
      </c>
      <c r="L28" s="106">
        <v>17</v>
      </c>
      <c r="M28" s="106">
        <v>12546</v>
      </c>
      <c r="N28" s="106">
        <v>16</v>
      </c>
      <c r="O28" s="106">
        <v>11808</v>
      </c>
      <c r="P28" s="106">
        <v>16</v>
      </c>
      <c r="Q28" s="106">
        <v>11808</v>
      </c>
      <c r="R28" s="106">
        <v>16</v>
      </c>
      <c r="S28" s="106">
        <v>11808</v>
      </c>
      <c r="T28" s="106">
        <v>26</v>
      </c>
      <c r="U28" s="106">
        <v>19188</v>
      </c>
      <c r="V28" s="106">
        <v>28</v>
      </c>
      <c r="W28" s="106">
        <v>20664</v>
      </c>
      <c r="X28" s="106">
        <v>20</v>
      </c>
      <c r="Y28" s="106">
        <v>14760</v>
      </c>
      <c r="Z28" s="106">
        <v>21</v>
      </c>
      <c r="AA28" s="106">
        <v>15498</v>
      </c>
      <c r="AB28" s="106">
        <v>10</v>
      </c>
      <c r="AC28" s="106">
        <v>7380</v>
      </c>
      <c r="AD28" s="106">
        <v>11</v>
      </c>
      <c r="AE28" s="106">
        <v>8118</v>
      </c>
      <c r="AF28" s="106">
        <v>18</v>
      </c>
      <c r="AG28" s="106">
        <v>13284</v>
      </c>
      <c r="AH28" s="106">
        <v>18</v>
      </c>
      <c r="AI28" s="106">
        <v>13284</v>
      </c>
      <c r="AJ28" s="106">
        <v>13</v>
      </c>
      <c r="AK28" s="106">
        <v>9594</v>
      </c>
      <c r="AL28" s="106">
        <v>25</v>
      </c>
      <c r="AM28" s="106">
        <v>18450</v>
      </c>
      <c r="AN28" s="106">
        <v>14</v>
      </c>
      <c r="AO28" s="106">
        <v>10332</v>
      </c>
      <c r="AP28" s="106">
        <v>21</v>
      </c>
      <c r="AQ28" s="106">
        <v>15498</v>
      </c>
      <c r="AR28" s="106">
        <v>21</v>
      </c>
      <c r="AS28" s="106">
        <v>15498</v>
      </c>
      <c r="AT28" s="106">
        <v>12</v>
      </c>
      <c r="AU28" s="106">
        <v>8856</v>
      </c>
      <c r="AV28" s="106">
        <v>21</v>
      </c>
      <c r="AW28" s="106">
        <v>15498</v>
      </c>
      <c r="AX28" s="106">
        <v>18</v>
      </c>
      <c r="AY28" s="106">
        <v>13284</v>
      </c>
      <c r="AZ28" s="106">
        <v>90</v>
      </c>
      <c r="BA28" s="106">
        <v>66420</v>
      </c>
      <c r="BB28" s="106">
        <v>72</v>
      </c>
      <c r="BC28" s="106">
        <v>53136</v>
      </c>
      <c r="BD28" s="106">
        <v>70</v>
      </c>
      <c r="BE28" s="106">
        <v>51660</v>
      </c>
      <c r="BF28" s="106">
        <v>112</v>
      </c>
      <c r="BG28" s="106">
        <v>82656</v>
      </c>
      <c r="BH28" s="106">
        <v>14</v>
      </c>
      <c r="BI28" s="106">
        <v>10332</v>
      </c>
      <c r="BJ28" s="106">
        <v>9</v>
      </c>
      <c r="BK28" s="106">
        <v>6642</v>
      </c>
      <c r="BL28" s="106">
        <v>17</v>
      </c>
      <c r="BM28" s="106">
        <v>12546</v>
      </c>
      <c r="BN28" s="106">
        <v>11</v>
      </c>
      <c r="BO28" s="106">
        <v>8118</v>
      </c>
      <c r="BP28" s="106">
        <v>10</v>
      </c>
      <c r="BQ28" s="106">
        <v>7380</v>
      </c>
      <c r="BR28" s="106">
        <v>12</v>
      </c>
      <c r="BS28" s="106">
        <v>8856</v>
      </c>
      <c r="BT28" s="106">
        <v>16</v>
      </c>
      <c r="BU28" s="106">
        <v>11808</v>
      </c>
      <c r="BV28" s="106">
        <v>17</v>
      </c>
      <c r="BW28" s="106">
        <v>12546</v>
      </c>
      <c r="BX28" s="106">
        <v>8</v>
      </c>
      <c r="BY28" s="106">
        <v>5904</v>
      </c>
      <c r="BZ28" s="106">
        <v>10</v>
      </c>
      <c r="CA28" s="106">
        <v>7380</v>
      </c>
      <c r="CB28" s="106">
        <v>14</v>
      </c>
      <c r="CC28" s="106">
        <v>10332</v>
      </c>
      <c r="CD28" s="106">
        <v>12</v>
      </c>
      <c r="CE28" s="106">
        <v>8856</v>
      </c>
      <c r="CF28" s="106">
        <v>144</v>
      </c>
      <c r="CG28" s="106">
        <v>106272</v>
      </c>
      <c r="CH28" s="106">
        <v>146</v>
      </c>
      <c r="CI28" s="106">
        <v>107748</v>
      </c>
      <c r="CJ28" s="106">
        <v>122</v>
      </c>
      <c r="CK28" s="106">
        <v>90036</v>
      </c>
      <c r="CL28" s="106">
        <v>121</v>
      </c>
      <c r="CM28" s="106">
        <v>89298</v>
      </c>
      <c r="CN28" s="106">
        <v>116</v>
      </c>
      <c r="CO28" s="106">
        <v>85608</v>
      </c>
      <c r="CP28" s="106">
        <v>109</v>
      </c>
      <c r="CQ28" s="106">
        <v>80442</v>
      </c>
      <c r="CR28" s="106">
        <v>117</v>
      </c>
      <c r="CS28" s="106">
        <v>86346</v>
      </c>
      <c r="CT28" s="106">
        <v>140</v>
      </c>
      <c r="CU28" s="106">
        <v>103320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23.039115064244768</v>
      </c>
      <c r="I29" s="106">
        <v>7796.4365377404292</v>
      </c>
      <c r="J29" s="106">
        <v>29.839841333527882</v>
      </c>
      <c r="K29" s="106">
        <v>10097.802307265834</v>
      </c>
      <c r="L29" s="106">
        <v>21</v>
      </c>
      <c r="M29" s="106">
        <v>7106.4</v>
      </c>
      <c r="N29" s="106">
        <v>16</v>
      </c>
      <c r="O29" s="106">
        <v>5414.4</v>
      </c>
      <c r="P29" s="106">
        <v>20</v>
      </c>
      <c r="Q29" s="106">
        <v>6768</v>
      </c>
      <c r="R29" s="106">
        <v>17</v>
      </c>
      <c r="S29" s="106">
        <v>5752.7999999999993</v>
      </c>
      <c r="T29" s="106">
        <v>32</v>
      </c>
      <c r="U29" s="106">
        <v>10828.8</v>
      </c>
      <c r="V29" s="106">
        <v>33</v>
      </c>
      <c r="W29" s="106">
        <v>11167.199999999999</v>
      </c>
      <c r="X29" s="106">
        <v>23</v>
      </c>
      <c r="Y29" s="106">
        <v>7783.2</v>
      </c>
      <c r="Z29" s="106">
        <v>20</v>
      </c>
      <c r="AA29" s="106">
        <v>6768</v>
      </c>
      <c r="AB29" s="106">
        <v>10</v>
      </c>
      <c r="AC29" s="106">
        <v>3384</v>
      </c>
      <c r="AD29" s="106">
        <v>12</v>
      </c>
      <c r="AE29" s="106">
        <v>4060.7999999999997</v>
      </c>
      <c r="AF29" s="106">
        <v>15</v>
      </c>
      <c r="AG29" s="106">
        <v>5076</v>
      </c>
      <c r="AH29" s="106">
        <v>18</v>
      </c>
      <c r="AI29" s="106">
        <v>6091.2</v>
      </c>
      <c r="AJ29" s="106">
        <v>16</v>
      </c>
      <c r="AK29" s="106">
        <v>5414.4</v>
      </c>
      <c r="AL29" s="106">
        <v>22</v>
      </c>
      <c r="AM29" s="106">
        <v>7444.7999999999993</v>
      </c>
      <c r="AN29" s="106">
        <v>15</v>
      </c>
      <c r="AO29" s="106">
        <v>5076</v>
      </c>
      <c r="AP29" s="106">
        <v>24</v>
      </c>
      <c r="AQ29" s="106">
        <v>8121.5999999999995</v>
      </c>
      <c r="AR29" s="106">
        <v>21</v>
      </c>
      <c r="AS29" s="106">
        <v>7106.4</v>
      </c>
      <c r="AT29" s="106">
        <v>12</v>
      </c>
      <c r="AU29" s="106">
        <v>4060.7999999999997</v>
      </c>
      <c r="AV29" s="106">
        <v>21</v>
      </c>
      <c r="AW29" s="106">
        <v>7106.4</v>
      </c>
      <c r="AX29" s="106">
        <v>19</v>
      </c>
      <c r="AY29" s="106">
        <v>6429.5999999999995</v>
      </c>
      <c r="AZ29" s="106">
        <v>105</v>
      </c>
      <c r="BA29" s="106">
        <v>35532</v>
      </c>
      <c r="BB29" s="106">
        <v>79</v>
      </c>
      <c r="BC29" s="106">
        <v>26733.599999999999</v>
      </c>
      <c r="BD29" s="106">
        <v>81</v>
      </c>
      <c r="BE29" s="106">
        <v>27410.399999999998</v>
      </c>
      <c r="BF29" s="106">
        <v>117</v>
      </c>
      <c r="BG29" s="106">
        <v>39592.799999999996</v>
      </c>
      <c r="BH29" s="106">
        <v>15</v>
      </c>
      <c r="BI29" s="106">
        <v>5076</v>
      </c>
      <c r="BJ29" s="106">
        <v>8</v>
      </c>
      <c r="BK29" s="106">
        <v>2707.2</v>
      </c>
      <c r="BL29" s="106">
        <v>17</v>
      </c>
      <c r="BM29" s="106">
        <v>5752.7999999999993</v>
      </c>
      <c r="BN29" s="106">
        <v>11</v>
      </c>
      <c r="BO29" s="106">
        <v>3722.3999999999996</v>
      </c>
      <c r="BP29" s="106">
        <v>11</v>
      </c>
      <c r="BQ29" s="106">
        <v>3722.3999999999996</v>
      </c>
      <c r="BR29" s="106">
        <v>13</v>
      </c>
      <c r="BS29" s="106">
        <v>4399.2</v>
      </c>
      <c r="BT29" s="106">
        <v>16</v>
      </c>
      <c r="BU29" s="106">
        <v>5414.4</v>
      </c>
      <c r="BV29" s="106">
        <v>18</v>
      </c>
      <c r="BW29" s="106">
        <v>6091.2</v>
      </c>
      <c r="BX29" s="106">
        <v>8</v>
      </c>
      <c r="BY29" s="106">
        <v>2707.2</v>
      </c>
      <c r="BZ29" s="106">
        <v>10</v>
      </c>
      <c r="CA29" s="106">
        <v>3384</v>
      </c>
      <c r="CB29" s="106">
        <v>16</v>
      </c>
      <c r="CC29" s="106">
        <v>5414.4</v>
      </c>
      <c r="CD29" s="106">
        <v>12</v>
      </c>
      <c r="CE29" s="106">
        <v>4060.7999999999997</v>
      </c>
      <c r="CF29" s="106">
        <v>156</v>
      </c>
      <c r="CG29" s="106">
        <v>52790.399999999994</v>
      </c>
      <c r="CH29" s="106">
        <v>151</v>
      </c>
      <c r="CI29" s="106">
        <v>51098.399999999994</v>
      </c>
      <c r="CJ29" s="106">
        <v>137</v>
      </c>
      <c r="CK29" s="106">
        <v>46360.799999999996</v>
      </c>
      <c r="CL29" s="106">
        <v>131</v>
      </c>
      <c r="CM29" s="106">
        <v>44330.399999999994</v>
      </c>
      <c r="CN29" s="106">
        <v>111</v>
      </c>
      <c r="CO29" s="106">
        <v>37562.399999999994</v>
      </c>
      <c r="CP29" s="106">
        <v>123</v>
      </c>
      <c r="CQ29" s="106">
        <v>41623.199999999997</v>
      </c>
      <c r="CR29" s="106">
        <v>116</v>
      </c>
      <c r="CS29" s="106">
        <v>39254.399999999994</v>
      </c>
      <c r="CT29" s="106">
        <v>134</v>
      </c>
      <c r="CU29" s="106">
        <v>45345.599999999999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23.039115064244768</v>
      </c>
      <c r="I30" s="106">
        <v>3207.0448169428714</v>
      </c>
      <c r="J30" s="106">
        <v>29.010956852040994</v>
      </c>
      <c r="K30" s="106">
        <v>4038.3251938041062</v>
      </c>
      <c r="L30" s="106">
        <v>21</v>
      </c>
      <c r="M30" s="106">
        <v>2923.2</v>
      </c>
      <c r="N30" s="106">
        <v>17</v>
      </c>
      <c r="O30" s="106">
        <v>2366.3999999999996</v>
      </c>
      <c r="P30" s="106">
        <v>18</v>
      </c>
      <c r="Q30" s="106">
        <v>2505.6</v>
      </c>
      <c r="R30" s="106">
        <v>17</v>
      </c>
      <c r="S30" s="106">
        <v>2366.3999999999996</v>
      </c>
      <c r="T30" s="106">
        <v>29</v>
      </c>
      <c r="U30" s="106">
        <v>4036.7999999999997</v>
      </c>
      <c r="V30" s="106">
        <v>32</v>
      </c>
      <c r="W30" s="106">
        <v>4454.3999999999996</v>
      </c>
      <c r="X30" s="106">
        <v>23</v>
      </c>
      <c r="Y30" s="106">
        <v>3201.6</v>
      </c>
      <c r="Z30" s="106">
        <v>23</v>
      </c>
      <c r="AA30" s="106">
        <v>3201.6</v>
      </c>
      <c r="AB30" s="106">
        <v>10</v>
      </c>
      <c r="AC30" s="106">
        <v>1392</v>
      </c>
      <c r="AD30" s="106">
        <v>12</v>
      </c>
      <c r="AE30" s="106">
        <v>1670.3999999999999</v>
      </c>
      <c r="AF30" s="106">
        <v>17</v>
      </c>
      <c r="AG30" s="106">
        <v>2366.3999999999996</v>
      </c>
      <c r="AH30" s="106">
        <v>17</v>
      </c>
      <c r="AI30" s="106">
        <v>2366.3999999999996</v>
      </c>
      <c r="AJ30" s="106">
        <v>16</v>
      </c>
      <c r="AK30" s="106">
        <v>2227.1999999999998</v>
      </c>
      <c r="AL30" s="106">
        <v>22</v>
      </c>
      <c r="AM30" s="106">
        <v>3062.3999999999996</v>
      </c>
      <c r="AN30" s="106">
        <v>17</v>
      </c>
      <c r="AO30" s="106">
        <v>2366.3999999999996</v>
      </c>
      <c r="AP30" s="106">
        <v>22</v>
      </c>
      <c r="AQ30" s="106">
        <v>3062.3999999999996</v>
      </c>
      <c r="AR30" s="106">
        <v>20</v>
      </c>
      <c r="AS30" s="106">
        <v>2784</v>
      </c>
      <c r="AT30" s="106">
        <v>11</v>
      </c>
      <c r="AU30" s="106">
        <v>1531.1999999999998</v>
      </c>
      <c r="AV30" s="106">
        <v>21</v>
      </c>
      <c r="AW30" s="106">
        <v>2923.2</v>
      </c>
      <c r="AX30" s="106">
        <v>21</v>
      </c>
      <c r="AY30" s="106">
        <v>2923.2</v>
      </c>
      <c r="AZ30" s="106">
        <v>103</v>
      </c>
      <c r="BA30" s="106">
        <v>14337.599999999999</v>
      </c>
      <c r="BB30" s="106">
        <v>87</v>
      </c>
      <c r="BC30" s="106">
        <v>12110.4</v>
      </c>
      <c r="BD30" s="106">
        <v>82</v>
      </c>
      <c r="BE30" s="106">
        <v>11414.4</v>
      </c>
      <c r="BF30" s="106">
        <v>114</v>
      </c>
      <c r="BG30" s="106">
        <v>15868.8</v>
      </c>
      <c r="BH30" s="106">
        <v>15</v>
      </c>
      <c r="BI30" s="106">
        <v>2088</v>
      </c>
      <c r="BJ30" s="106">
        <v>10</v>
      </c>
      <c r="BK30" s="106">
        <v>1392</v>
      </c>
      <c r="BL30" s="106">
        <v>18</v>
      </c>
      <c r="BM30" s="106">
        <v>2505.6</v>
      </c>
      <c r="BN30" s="106">
        <v>11</v>
      </c>
      <c r="BO30" s="106">
        <v>1531.1999999999998</v>
      </c>
      <c r="BP30" s="106">
        <v>11</v>
      </c>
      <c r="BQ30" s="106">
        <v>1531.1999999999998</v>
      </c>
      <c r="BR30" s="106">
        <v>13</v>
      </c>
      <c r="BS30" s="106">
        <v>1809.6</v>
      </c>
      <c r="BT30" s="106">
        <v>18</v>
      </c>
      <c r="BU30" s="106">
        <v>2505.6</v>
      </c>
      <c r="BV30" s="106">
        <v>18</v>
      </c>
      <c r="BW30" s="106">
        <v>2505.6</v>
      </c>
      <c r="BX30" s="106">
        <v>9</v>
      </c>
      <c r="BY30" s="106">
        <v>1252.8</v>
      </c>
      <c r="BZ30" s="106">
        <v>10</v>
      </c>
      <c r="CA30" s="106">
        <v>1392</v>
      </c>
      <c r="CB30" s="106">
        <v>16</v>
      </c>
      <c r="CC30" s="106">
        <v>2227.1999999999998</v>
      </c>
      <c r="CD30" s="106">
        <v>13</v>
      </c>
      <c r="CE30" s="106">
        <v>1809.6</v>
      </c>
      <c r="CF30" s="106">
        <v>141</v>
      </c>
      <c r="CG30" s="106">
        <v>19627.199999999997</v>
      </c>
      <c r="CH30" s="106">
        <v>156</v>
      </c>
      <c r="CI30" s="106">
        <v>21715.199999999997</v>
      </c>
      <c r="CJ30" s="106">
        <v>146</v>
      </c>
      <c r="CK30" s="106">
        <v>20323.199999999997</v>
      </c>
      <c r="CL30" s="106">
        <v>128</v>
      </c>
      <c r="CM30" s="106">
        <v>17817.599999999999</v>
      </c>
      <c r="CN30" s="106">
        <v>120</v>
      </c>
      <c r="CO30" s="106">
        <v>16704</v>
      </c>
      <c r="CP30" s="106">
        <v>124</v>
      </c>
      <c r="CQ30" s="106">
        <v>17260.8</v>
      </c>
      <c r="CR30" s="106">
        <v>113</v>
      </c>
      <c r="CS30" s="106">
        <v>15729.599999999999</v>
      </c>
      <c r="CT30" s="106">
        <v>136</v>
      </c>
      <c r="CU30" s="106">
        <v>18931.199999999997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18.973388876436871</v>
      </c>
      <c r="I31" s="106">
        <v>6466.1309290896861</v>
      </c>
      <c r="J31" s="106">
        <v>29.010956852040994</v>
      </c>
      <c r="K31" s="106">
        <v>9886.9340951755712</v>
      </c>
      <c r="L31" s="106">
        <v>20</v>
      </c>
      <c r="M31" s="106">
        <v>6816</v>
      </c>
      <c r="N31" s="106">
        <v>18</v>
      </c>
      <c r="O31" s="106">
        <v>6134.4000000000005</v>
      </c>
      <c r="P31" s="106">
        <v>20</v>
      </c>
      <c r="Q31" s="106">
        <v>6816</v>
      </c>
      <c r="R31" s="106">
        <v>17</v>
      </c>
      <c r="S31" s="106">
        <v>5793.6</v>
      </c>
      <c r="T31" s="106">
        <v>28</v>
      </c>
      <c r="U31" s="106">
        <v>9542.4</v>
      </c>
      <c r="V31" s="106">
        <v>28</v>
      </c>
      <c r="W31" s="106">
        <v>9542.4</v>
      </c>
      <c r="X31" s="106">
        <v>23</v>
      </c>
      <c r="Y31" s="106">
        <v>7838.4000000000005</v>
      </c>
      <c r="Z31" s="106">
        <v>21</v>
      </c>
      <c r="AA31" s="106">
        <v>7156.8</v>
      </c>
      <c r="AB31" s="106">
        <v>9</v>
      </c>
      <c r="AC31" s="106">
        <v>3067.2000000000003</v>
      </c>
      <c r="AD31" s="106">
        <v>12</v>
      </c>
      <c r="AE31" s="106">
        <v>4089.6000000000004</v>
      </c>
      <c r="AF31" s="106">
        <v>18</v>
      </c>
      <c r="AG31" s="106">
        <v>6134.4000000000005</v>
      </c>
      <c r="AH31" s="106">
        <v>16</v>
      </c>
      <c r="AI31" s="106">
        <v>5452.8</v>
      </c>
      <c r="AJ31" s="106">
        <v>14</v>
      </c>
      <c r="AK31" s="106">
        <v>4771.2</v>
      </c>
      <c r="AL31" s="106">
        <v>25</v>
      </c>
      <c r="AM31" s="106">
        <v>8520</v>
      </c>
      <c r="AN31" s="106">
        <v>17</v>
      </c>
      <c r="AO31" s="106">
        <v>5793.6</v>
      </c>
      <c r="AP31" s="106">
        <v>24</v>
      </c>
      <c r="AQ31" s="106">
        <v>8179.2000000000007</v>
      </c>
      <c r="AR31" s="106">
        <v>21</v>
      </c>
      <c r="AS31" s="106">
        <v>7156.8</v>
      </c>
      <c r="AT31" s="106">
        <v>13</v>
      </c>
      <c r="AU31" s="106">
        <v>4430.4000000000005</v>
      </c>
      <c r="AV31" s="106">
        <v>22</v>
      </c>
      <c r="AW31" s="106">
        <v>7497.6</v>
      </c>
      <c r="AX31" s="106">
        <v>21</v>
      </c>
      <c r="AY31" s="106">
        <v>7156.8</v>
      </c>
      <c r="AZ31" s="106">
        <v>95</v>
      </c>
      <c r="BA31" s="106">
        <v>32376</v>
      </c>
      <c r="BB31" s="106">
        <v>87</v>
      </c>
      <c r="BC31" s="106">
        <v>29649.600000000002</v>
      </c>
      <c r="BD31" s="106">
        <v>78</v>
      </c>
      <c r="BE31" s="106">
        <v>26582.400000000001</v>
      </c>
      <c r="BF31" s="106">
        <v>119</v>
      </c>
      <c r="BG31" s="106">
        <v>40555.200000000004</v>
      </c>
      <c r="BH31" s="106">
        <v>15</v>
      </c>
      <c r="BI31" s="106">
        <v>5112</v>
      </c>
      <c r="BJ31" s="106">
        <v>8</v>
      </c>
      <c r="BK31" s="106">
        <v>2726.4</v>
      </c>
      <c r="BL31" s="106">
        <v>16</v>
      </c>
      <c r="BM31" s="106">
        <v>5452.8</v>
      </c>
      <c r="BN31" s="106">
        <v>11</v>
      </c>
      <c r="BO31" s="106">
        <v>3748.8</v>
      </c>
      <c r="BP31" s="106">
        <v>11</v>
      </c>
      <c r="BQ31" s="106">
        <v>3748.8</v>
      </c>
      <c r="BR31" s="106">
        <v>13</v>
      </c>
      <c r="BS31" s="106">
        <v>4430.4000000000005</v>
      </c>
      <c r="BT31" s="106">
        <v>18</v>
      </c>
      <c r="BU31" s="106">
        <v>6134.4000000000005</v>
      </c>
      <c r="BV31" s="106">
        <v>17</v>
      </c>
      <c r="BW31" s="106">
        <v>5793.6</v>
      </c>
      <c r="BX31" s="106">
        <v>9</v>
      </c>
      <c r="BY31" s="106">
        <v>3067.2000000000003</v>
      </c>
      <c r="BZ31" s="106">
        <v>10</v>
      </c>
      <c r="CA31" s="106">
        <v>3408</v>
      </c>
      <c r="CB31" s="106">
        <v>14</v>
      </c>
      <c r="CC31" s="106">
        <v>4771.2</v>
      </c>
      <c r="CD31" s="106">
        <v>12</v>
      </c>
      <c r="CE31" s="106">
        <v>4089.6000000000004</v>
      </c>
      <c r="CF31" s="106">
        <v>146</v>
      </c>
      <c r="CG31" s="106">
        <v>49756.800000000003</v>
      </c>
      <c r="CH31" s="106">
        <v>157</v>
      </c>
      <c r="CI31" s="106">
        <v>53505.599999999999</v>
      </c>
      <c r="CJ31" s="106">
        <v>157</v>
      </c>
      <c r="CK31" s="106">
        <v>53505.599999999999</v>
      </c>
      <c r="CL31" s="106">
        <v>112</v>
      </c>
      <c r="CM31" s="106">
        <v>38169.599999999999</v>
      </c>
      <c r="CN31" s="106">
        <v>113</v>
      </c>
      <c r="CO31" s="106">
        <v>38510.400000000001</v>
      </c>
      <c r="CP31" s="106">
        <v>125</v>
      </c>
      <c r="CQ31" s="106">
        <v>42600</v>
      </c>
      <c r="CR31" s="106">
        <v>110</v>
      </c>
      <c r="CS31" s="106">
        <v>37488</v>
      </c>
      <c r="CT31" s="106">
        <v>151</v>
      </c>
      <c r="CU31" s="106">
        <v>51460.800000000003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21.006251970340816</v>
      </c>
      <c r="I32" s="106">
        <v>17645.251655086286</v>
      </c>
      <c r="J32" s="106">
        <v>27.353187889067225</v>
      </c>
      <c r="K32" s="106">
        <v>22976.677826816471</v>
      </c>
      <c r="L32" s="106">
        <v>19</v>
      </c>
      <c r="M32" s="106">
        <v>15960</v>
      </c>
      <c r="N32" s="106">
        <v>15</v>
      </c>
      <c r="O32" s="106">
        <v>12600</v>
      </c>
      <c r="P32" s="106">
        <v>18</v>
      </c>
      <c r="Q32" s="106">
        <v>15120</v>
      </c>
      <c r="R32" s="106">
        <v>16</v>
      </c>
      <c r="S32" s="106">
        <v>13440</v>
      </c>
      <c r="T32" s="106">
        <v>25</v>
      </c>
      <c r="U32" s="106">
        <v>21000</v>
      </c>
      <c r="V32" s="106">
        <v>28</v>
      </c>
      <c r="W32" s="106">
        <v>23520</v>
      </c>
      <c r="X32" s="106">
        <v>20</v>
      </c>
      <c r="Y32" s="106">
        <v>16800</v>
      </c>
      <c r="Z32" s="106">
        <v>20</v>
      </c>
      <c r="AA32" s="106">
        <v>16800</v>
      </c>
      <c r="AB32" s="106">
        <v>10</v>
      </c>
      <c r="AC32" s="106">
        <v>8400</v>
      </c>
      <c r="AD32" s="106">
        <v>11</v>
      </c>
      <c r="AE32" s="106">
        <v>9240</v>
      </c>
      <c r="AF32" s="106">
        <v>18</v>
      </c>
      <c r="AG32" s="106">
        <v>15120</v>
      </c>
      <c r="AH32" s="106">
        <v>16</v>
      </c>
      <c r="AI32" s="106">
        <v>13440</v>
      </c>
      <c r="AJ32" s="106">
        <v>14</v>
      </c>
      <c r="AK32" s="106">
        <v>11760</v>
      </c>
      <c r="AL32" s="106">
        <v>23</v>
      </c>
      <c r="AM32" s="106">
        <v>19320</v>
      </c>
      <c r="AN32" s="106">
        <v>14</v>
      </c>
      <c r="AO32" s="106">
        <v>11760</v>
      </c>
      <c r="AP32" s="106">
        <v>22</v>
      </c>
      <c r="AQ32" s="106">
        <v>18480</v>
      </c>
      <c r="AR32" s="106">
        <v>21</v>
      </c>
      <c r="AS32" s="106">
        <v>17640</v>
      </c>
      <c r="AT32" s="106">
        <v>13</v>
      </c>
      <c r="AU32" s="106">
        <v>10920</v>
      </c>
      <c r="AV32" s="106">
        <v>18</v>
      </c>
      <c r="AW32" s="106">
        <v>15120</v>
      </c>
      <c r="AX32" s="106">
        <v>20</v>
      </c>
      <c r="AY32" s="106">
        <v>16800</v>
      </c>
      <c r="AZ32" s="106">
        <v>97</v>
      </c>
      <c r="BA32" s="106">
        <v>81480</v>
      </c>
      <c r="BB32" s="106">
        <v>77</v>
      </c>
      <c r="BC32" s="106">
        <v>64680</v>
      </c>
      <c r="BD32" s="106">
        <v>81</v>
      </c>
      <c r="BE32" s="106">
        <v>68040</v>
      </c>
      <c r="BF32" s="106">
        <v>115</v>
      </c>
      <c r="BG32" s="106">
        <v>96600</v>
      </c>
      <c r="BH32" s="106">
        <v>15</v>
      </c>
      <c r="BI32" s="106">
        <v>12600</v>
      </c>
      <c r="BJ32" s="106">
        <v>10</v>
      </c>
      <c r="BK32" s="106">
        <v>8400</v>
      </c>
      <c r="BL32" s="106">
        <v>15</v>
      </c>
      <c r="BM32" s="106">
        <v>12600</v>
      </c>
      <c r="BN32" s="106">
        <v>10</v>
      </c>
      <c r="BO32" s="106">
        <v>8400</v>
      </c>
      <c r="BP32" s="106">
        <v>11</v>
      </c>
      <c r="BQ32" s="106">
        <v>9240</v>
      </c>
      <c r="BR32" s="106">
        <v>12</v>
      </c>
      <c r="BS32" s="106">
        <v>10080</v>
      </c>
      <c r="BT32" s="106">
        <v>19</v>
      </c>
      <c r="BU32" s="106">
        <v>15960</v>
      </c>
      <c r="BV32" s="106">
        <v>16</v>
      </c>
      <c r="BW32" s="106">
        <v>13440</v>
      </c>
      <c r="BX32" s="106">
        <v>9</v>
      </c>
      <c r="BY32" s="106">
        <v>7560</v>
      </c>
      <c r="BZ32" s="106">
        <v>9</v>
      </c>
      <c r="CA32" s="106">
        <v>7560</v>
      </c>
      <c r="CB32" s="106">
        <v>15</v>
      </c>
      <c r="CC32" s="106">
        <v>12600</v>
      </c>
      <c r="CD32" s="106">
        <v>13</v>
      </c>
      <c r="CE32" s="106">
        <v>10920</v>
      </c>
      <c r="CF32" s="106">
        <v>126</v>
      </c>
      <c r="CG32" s="106">
        <v>105840</v>
      </c>
      <c r="CH32" s="106">
        <v>118</v>
      </c>
      <c r="CI32" s="106">
        <v>99120</v>
      </c>
      <c r="CJ32" s="106">
        <v>136</v>
      </c>
      <c r="CK32" s="106">
        <v>114240</v>
      </c>
      <c r="CL32" s="106">
        <v>116</v>
      </c>
      <c r="CM32" s="106">
        <v>97440</v>
      </c>
      <c r="CN32" s="106">
        <v>117</v>
      </c>
      <c r="CO32" s="106">
        <v>98280</v>
      </c>
      <c r="CP32" s="106">
        <v>121</v>
      </c>
      <c r="CQ32" s="106">
        <v>101640</v>
      </c>
      <c r="CR32" s="106">
        <v>113</v>
      </c>
      <c r="CS32" s="106">
        <v>94920</v>
      </c>
      <c r="CT32" s="106">
        <v>128</v>
      </c>
      <c r="CU32" s="106">
        <v>107520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22.361494032943455</v>
      </c>
      <c r="I33" s="106">
        <v>10599.348171615198</v>
      </c>
      <c r="J33" s="106">
        <v>28.182072370554113</v>
      </c>
      <c r="K33" s="106">
        <v>13358.302303642649</v>
      </c>
      <c r="L33" s="106">
        <v>18</v>
      </c>
      <c r="M33" s="106">
        <v>8532</v>
      </c>
      <c r="N33" s="106">
        <v>17</v>
      </c>
      <c r="O33" s="106">
        <v>8058</v>
      </c>
      <c r="P33" s="106">
        <v>16</v>
      </c>
      <c r="Q33" s="106">
        <v>7584</v>
      </c>
      <c r="R33" s="106">
        <v>18</v>
      </c>
      <c r="S33" s="106">
        <v>8532</v>
      </c>
      <c r="T33" s="106">
        <v>28</v>
      </c>
      <c r="U33" s="106">
        <v>13272</v>
      </c>
      <c r="V33" s="106">
        <v>28</v>
      </c>
      <c r="W33" s="106">
        <v>13272</v>
      </c>
      <c r="X33" s="106">
        <v>21</v>
      </c>
      <c r="Y33" s="106">
        <v>9954</v>
      </c>
      <c r="Z33" s="106">
        <v>21</v>
      </c>
      <c r="AA33" s="106">
        <v>9954</v>
      </c>
      <c r="AB33" s="106">
        <v>11</v>
      </c>
      <c r="AC33" s="106">
        <v>5214</v>
      </c>
      <c r="AD33" s="106">
        <v>12</v>
      </c>
      <c r="AE33" s="106">
        <v>5688</v>
      </c>
      <c r="AF33" s="106">
        <v>16</v>
      </c>
      <c r="AG33" s="106">
        <v>7584</v>
      </c>
      <c r="AH33" s="106">
        <v>15</v>
      </c>
      <c r="AI33" s="106">
        <v>7110</v>
      </c>
      <c r="AJ33" s="106">
        <v>14</v>
      </c>
      <c r="AK33" s="106">
        <v>6636</v>
      </c>
      <c r="AL33" s="106">
        <v>23</v>
      </c>
      <c r="AM33" s="106">
        <v>10902</v>
      </c>
      <c r="AN33" s="106">
        <v>17</v>
      </c>
      <c r="AO33" s="106">
        <v>8058</v>
      </c>
      <c r="AP33" s="106">
        <v>21</v>
      </c>
      <c r="AQ33" s="106">
        <v>9954</v>
      </c>
      <c r="AR33" s="106">
        <v>18</v>
      </c>
      <c r="AS33" s="106">
        <v>8532</v>
      </c>
      <c r="AT33" s="106">
        <v>13</v>
      </c>
      <c r="AU33" s="106">
        <v>6162</v>
      </c>
      <c r="AV33" s="106">
        <v>21</v>
      </c>
      <c r="AW33" s="106">
        <v>9954</v>
      </c>
      <c r="AX33" s="106">
        <v>19</v>
      </c>
      <c r="AY33" s="106">
        <v>9006</v>
      </c>
      <c r="AZ33" s="106">
        <v>102</v>
      </c>
      <c r="BA33" s="106">
        <v>48348</v>
      </c>
      <c r="BB33" s="106">
        <v>76</v>
      </c>
      <c r="BC33" s="106">
        <v>36024</v>
      </c>
      <c r="BD33" s="106">
        <v>82</v>
      </c>
      <c r="BE33" s="106">
        <v>38868</v>
      </c>
      <c r="BF33" s="106">
        <v>109</v>
      </c>
      <c r="BG33" s="106">
        <v>51666</v>
      </c>
      <c r="BH33" s="106">
        <v>17</v>
      </c>
      <c r="BI33" s="106">
        <v>8058</v>
      </c>
      <c r="BJ33" s="106">
        <v>8</v>
      </c>
      <c r="BK33" s="106">
        <v>3792</v>
      </c>
      <c r="BL33" s="106">
        <v>17</v>
      </c>
      <c r="BM33" s="106">
        <v>8058</v>
      </c>
      <c r="BN33" s="106">
        <v>11</v>
      </c>
      <c r="BO33" s="106">
        <v>5214</v>
      </c>
      <c r="BP33" s="106">
        <v>12</v>
      </c>
      <c r="BQ33" s="106">
        <v>5688</v>
      </c>
      <c r="BR33" s="106">
        <v>12</v>
      </c>
      <c r="BS33" s="106">
        <v>5688</v>
      </c>
      <c r="BT33" s="106">
        <v>17</v>
      </c>
      <c r="BU33" s="106">
        <v>8058</v>
      </c>
      <c r="BV33" s="106">
        <v>17</v>
      </c>
      <c r="BW33" s="106">
        <v>8058</v>
      </c>
      <c r="BX33" s="106">
        <v>9</v>
      </c>
      <c r="BY33" s="106">
        <v>4266</v>
      </c>
      <c r="BZ33" s="106">
        <v>10</v>
      </c>
      <c r="CA33" s="106">
        <v>4740</v>
      </c>
      <c r="CB33" s="106">
        <v>14</v>
      </c>
      <c r="CC33" s="106">
        <v>6636</v>
      </c>
      <c r="CD33" s="106">
        <v>11</v>
      </c>
      <c r="CE33" s="106">
        <v>5214</v>
      </c>
      <c r="CF33" s="106">
        <v>142</v>
      </c>
      <c r="CG33" s="106">
        <v>67308</v>
      </c>
      <c r="CH33" s="106">
        <v>135</v>
      </c>
      <c r="CI33" s="106">
        <v>63990</v>
      </c>
      <c r="CJ33" s="106">
        <v>144</v>
      </c>
      <c r="CK33" s="106">
        <v>68256</v>
      </c>
      <c r="CL33" s="106">
        <v>109</v>
      </c>
      <c r="CM33" s="106">
        <v>51666</v>
      </c>
      <c r="CN33" s="106">
        <v>119</v>
      </c>
      <c r="CO33" s="106">
        <v>56406</v>
      </c>
      <c r="CP33" s="106">
        <v>118</v>
      </c>
      <c r="CQ33" s="106">
        <v>55932</v>
      </c>
      <c r="CR33" s="106">
        <v>122</v>
      </c>
      <c r="CS33" s="106">
        <v>57828</v>
      </c>
      <c r="CT33" s="106">
        <v>133</v>
      </c>
      <c r="CU33" s="106">
        <v>63042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22.361494032943455</v>
      </c>
      <c r="I34" s="106">
        <v>12263.04332766619</v>
      </c>
      <c r="J34" s="106">
        <v>29.010956852040994</v>
      </c>
      <c r="K34" s="106">
        <v>15909.60873765928</v>
      </c>
      <c r="L34" s="106">
        <v>20</v>
      </c>
      <c r="M34" s="106">
        <v>10968</v>
      </c>
      <c r="N34" s="106">
        <v>18</v>
      </c>
      <c r="O34" s="106">
        <v>9871.1999999999989</v>
      </c>
      <c r="P34" s="106">
        <v>17</v>
      </c>
      <c r="Q34" s="106">
        <v>9322.7999999999993</v>
      </c>
      <c r="R34" s="106">
        <v>16</v>
      </c>
      <c r="S34" s="106">
        <v>8774.4</v>
      </c>
      <c r="T34" s="106">
        <v>30</v>
      </c>
      <c r="U34" s="106">
        <v>16452</v>
      </c>
      <c r="V34" s="106">
        <v>31</v>
      </c>
      <c r="W34" s="106">
        <v>17000.399999999998</v>
      </c>
      <c r="X34" s="106">
        <v>22</v>
      </c>
      <c r="Y34" s="106">
        <v>12064.8</v>
      </c>
      <c r="Z34" s="106">
        <v>19</v>
      </c>
      <c r="AA34" s="106">
        <v>10419.6</v>
      </c>
      <c r="AB34" s="106">
        <v>10</v>
      </c>
      <c r="AC34" s="106">
        <v>5484</v>
      </c>
      <c r="AD34" s="106">
        <v>12</v>
      </c>
      <c r="AE34" s="106">
        <v>6580.7999999999993</v>
      </c>
      <c r="AF34" s="106">
        <v>17</v>
      </c>
      <c r="AG34" s="106">
        <v>9322.7999999999993</v>
      </c>
      <c r="AH34" s="106">
        <v>18</v>
      </c>
      <c r="AI34" s="106">
        <v>9871.1999999999989</v>
      </c>
      <c r="AJ34" s="106">
        <v>14</v>
      </c>
      <c r="AK34" s="106">
        <v>7677.5999999999995</v>
      </c>
      <c r="AL34" s="106">
        <v>21</v>
      </c>
      <c r="AM34" s="106">
        <v>11516.4</v>
      </c>
      <c r="AN34" s="106">
        <v>17</v>
      </c>
      <c r="AO34" s="106">
        <v>9322.7999999999993</v>
      </c>
      <c r="AP34" s="106">
        <v>21</v>
      </c>
      <c r="AQ34" s="106">
        <v>11516.4</v>
      </c>
      <c r="AR34" s="106">
        <v>22</v>
      </c>
      <c r="AS34" s="106">
        <v>12064.8</v>
      </c>
      <c r="AT34" s="106">
        <v>11</v>
      </c>
      <c r="AU34" s="106">
        <v>6032.4</v>
      </c>
      <c r="AV34" s="106">
        <v>19</v>
      </c>
      <c r="AW34" s="106">
        <v>10419.6</v>
      </c>
      <c r="AX34" s="106">
        <v>20</v>
      </c>
      <c r="AY34" s="106">
        <v>10968</v>
      </c>
      <c r="AZ34" s="106">
        <v>96</v>
      </c>
      <c r="BA34" s="106">
        <v>52646.399999999994</v>
      </c>
      <c r="BB34" s="106">
        <v>75</v>
      </c>
      <c r="BC34" s="106">
        <v>41130</v>
      </c>
      <c r="BD34" s="106">
        <v>82</v>
      </c>
      <c r="BE34" s="106">
        <v>44968.799999999996</v>
      </c>
      <c r="BF34" s="106">
        <v>119</v>
      </c>
      <c r="BG34" s="106">
        <v>65259.6</v>
      </c>
      <c r="BH34" s="106">
        <v>15</v>
      </c>
      <c r="BI34" s="106">
        <v>8226</v>
      </c>
      <c r="BJ34" s="106">
        <v>9</v>
      </c>
      <c r="BK34" s="106">
        <v>4935.5999999999995</v>
      </c>
      <c r="BL34" s="106">
        <v>17</v>
      </c>
      <c r="BM34" s="106">
        <v>9322.7999999999993</v>
      </c>
      <c r="BN34" s="106">
        <v>10</v>
      </c>
      <c r="BO34" s="106">
        <v>5484</v>
      </c>
      <c r="BP34" s="106">
        <v>10</v>
      </c>
      <c r="BQ34" s="106">
        <v>5484</v>
      </c>
      <c r="BR34" s="106">
        <v>13</v>
      </c>
      <c r="BS34" s="106">
        <v>7129.2</v>
      </c>
      <c r="BT34" s="106">
        <v>17</v>
      </c>
      <c r="BU34" s="106">
        <v>9322.7999999999993</v>
      </c>
      <c r="BV34" s="106">
        <v>16</v>
      </c>
      <c r="BW34" s="106">
        <v>8774.4</v>
      </c>
      <c r="BX34" s="106">
        <v>9</v>
      </c>
      <c r="BY34" s="106">
        <v>4935.5999999999995</v>
      </c>
      <c r="BZ34" s="106">
        <v>10</v>
      </c>
      <c r="CA34" s="106">
        <v>5484</v>
      </c>
      <c r="CB34" s="106">
        <v>15</v>
      </c>
      <c r="CC34" s="106">
        <v>8226</v>
      </c>
      <c r="CD34" s="106">
        <v>12</v>
      </c>
      <c r="CE34" s="106">
        <v>6580.7999999999993</v>
      </c>
      <c r="CF34" s="106">
        <v>139</v>
      </c>
      <c r="CG34" s="106">
        <v>76227.599999999991</v>
      </c>
      <c r="CH34" s="106">
        <v>128</v>
      </c>
      <c r="CI34" s="106">
        <v>70195.199999999997</v>
      </c>
      <c r="CJ34" s="106">
        <v>152</v>
      </c>
      <c r="CK34" s="106">
        <v>83356.800000000003</v>
      </c>
      <c r="CL34" s="106">
        <v>124</v>
      </c>
      <c r="CM34" s="106">
        <v>68001.599999999991</v>
      </c>
      <c r="CN34" s="106">
        <v>113</v>
      </c>
      <c r="CO34" s="106">
        <v>61969.2</v>
      </c>
      <c r="CP34" s="106">
        <v>114</v>
      </c>
      <c r="CQ34" s="106">
        <v>62517.599999999999</v>
      </c>
      <c r="CR34" s="106">
        <v>119</v>
      </c>
      <c r="CS34" s="106">
        <v>65259.6</v>
      </c>
      <c r="CT34" s="106">
        <v>147</v>
      </c>
      <c r="CU34" s="106">
        <v>80614.8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20.328630939039503</v>
      </c>
      <c r="I35" s="106">
        <v>10221.23563614906</v>
      </c>
      <c r="J35" s="106">
        <v>27.353187889067225</v>
      </c>
      <c r="K35" s="106">
        <v>13753.182870622999</v>
      </c>
      <c r="L35" s="106">
        <v>21</v>
      </c>
      <c r="M35" s="106">
        <v>10558.799999999997</v>
      </c>
      <c r="N35" s="106">
        <v>18</v>
      </c>
      <c r="O35" s="106">
        <v>9050.3999999999978</v>
      </c>
      <c r="P35" s="106">
        <v>19</v>
      </c>
      <c r="Q35" s="106">
        <v>9553.1999999999989</v>
      </c>
      <c r="R35" s="106">
        <v>18</v>
      </c>
      <c r="S35" s="106">
        <v>9050.3999999999978</v>
      </c>
      <c r="T35" s="106">
        <v>31</v>
      </c>
      <c r="U35" s="106">
        <v>15586.799999999997</v>
      </c>
      <c r="V35" s="106">
        <v>34</v>
      </c>
      <c r="W35" s="106">
        <v>17095.199999999997</v>
      </c>
      <c r="X35" s="106">
        <v>23</v>
      </c>
      <c r="Y35" s="106">
        <v>11564.399999999998</v>
      </c>
      <c r="Z35" s="106">
        <v>21</v>
      </c>
      <c r="AA35" s="106">
        <v>10558.799999999997</v>
      </c>
      <c r="AB35" s="106">
        <v>9</v>
      </c>
      <c r="AC35" s="106">
        <v>4525.1999999999989</v>
      </c>
      <c r="AD35" s="106">
        <v>12</v>
      </c>
      <c r="AE35" s="106">
        <v>6033.5999999999985</v>
      </c>
      <c r="AF35" s="106">
        <v>18</v>
      </c>
      <c r="AG35" s="106">
        <v>9050.3999999999978</v>
      </c>
      <c r="AH35" s="106">
        <v>16</v>
      </c>
      <c r="AI35" s="106">
        <v>8044.7999999999984</v>
      </c>
      <c r="AJ35" s="106">
        <v>16</v>
      </c>
      <c r="AK35" s="106">
        <v>8044.7999999999984</v>
      </c>
      <c r="AL35" s="106">
        <v>25</v>
      </c>
      <c r="AM35" s="106">
        <v>12569.999999999998</v>
      </c>
      <c r="AN35" s="106">
        <v>16</v>
      </c>
      <c r="AO35" s="106">
        <v>8044.7999999999984</v>
      </c>
      <c r="AP35" s="106">
        <v>20</v>
      </c>
      <c r="AQ35" s="106">
        <v>10055.999999999998</v>
      </c>
      <c r="AR35" s="106">
        <v>22</v>
      </c>
      <c r="AS35" s="106">
        <v>11061.599999999999</v>
      </c>
      <c r="AT35" s="106">
        <v>13</v>
      </c>
      <c r="AU35" s="106">
        <v>6536.3999999999987</v>
      </c>
      <c r="AV35" s="106">
        <v>20</v>
      </c>
      <c r="AW35" s="106">
        <v>10055.999999999998</v>
      </c>
      <c r="AX35" s="106">
        <v>22</v>
      </c>
      <c r="AY35" s="106">
        <v>11061.599999999999</v>
      </c>
      <c r="AZ35" s="106">
        <v>103</v>
      </c>
      <c r="BA35" s="106">
        <v>51788.399999999987</v>
      </c>
      <c r="BB35" s="106">
        <v>76</v>
      </c>
      <c r="BC35" s="106">
        <v>38212.799999999996</v>
      </c>
      <c r="BD35" s="106">
        <v>76</v>
      </c>
      <c r="BE35" s="106">
        <v>38212.799999999996</v>
      </c>
      <c r="BF35" s="106">
        <v>116</v>
      </c>
      <c r="BG35" s="106">
        <v>58324.799999999988</v>
      </c>
      <c r="BH35" s="106">
        <v>17</v>
      </c>
      <c r="BI35" s="106">
        <v>8547.5999999999985</v>
      </c>
      <c r="BJ35" s="106">
        <v>8</v>
      </c>
      <c r="BK35" s="106">
        <v>4022.3999999999992</v>
      </c>
      <c r="BL35" s="106">
        <v>17</v>
      </c>
      <c r="BM35" s="106">
        <v>8547.5999999999985</v>
      </c>
      <c r="BN35" s="106">
        <v>11</v>
      </c>
      <c r="BO35" s="106">
        <v>5530.7999999999993</v>
      </c>
      <c r="BP35" s="106">
        <v>10</v>
      </c>
      <c r="BQ35" s="106">
        <v>5027.9999999999991</v>
      </c>
      <c r="BR35" s="106">
        <v>13</v>
      </c>
      <c r="BS35" s="106">
        <v>6536.3999999999987</v>
      </c>
      <c r="BT35" s="106">
        <v>19</v>
      </c>
      <c r="BU35" s="106">
        <v>9553.1999999999989</v>
      </c>
      <c r="BV35" s="106">
        <v>18</v>
      </c>
      <c r="BW35" s="106">
        <v>9050.3999999999978</v>
      </c>
      <c r="BX35" s="106">
        <v>9</v>
      </c>
      <c r="BY35" s="106">
        <v>4525.1999999999989</v>
      </c>
      <c r="BZ35" s="106">
        <v>11</v>
      </c>
      <c r="CA35" s="106">
        <v>5530.7999999999993</v>
      </c>
      <c r="CB35" s="106">
        <v>15</v>
      </c>
      <c r="CC35" s="106">
        <v>7541.9999999999982</v>
      </c>
      <c r="CD35" s="106">
        <v>12</v>
      </c>
      <c r="CE35" s="106">
        <v>6033.5999999999985</v>
      </c>
      <c r="CF35" s="106">
        <v>130</v>
      </c>
      <c r="CG35" s="106">
        <v>65363.999999999985</v>
      </c>
      <c r="CH35" s="106">
        <v>144</v>
      </c>
      <c r="CI35" s="106">
        <v>72403.199999999983</v>
      </c>
      <c r="CJ35" s="106">
        <v>130</v>
      </c>
      <c r="CK35" s="106">
        <v>65363.999999999985</v>
      </c>
      <c r="CL35" s="106">
        <v>111</v>
      </c>
      <c r="CM35" s="106">
        <v>55810.799999999988</v>
      </c>
      <c r="CN35" s="106">
        <v>119</v>
      </c>
      <c r="CO35" s="106">
        <v>59833.19999999999</v>
      </c>
      <c r="CP35" s="106">
        <v>116</v>
      </c>
      <c r="CQ35" s="106">
        <v>58324.799999999988</v>
      </c>
      <c r="CR35" s="106">
        <v>121</v>
      </c>
      <c r="CS35" s="106">
        <v>60838.799999999988</v>
      </c>
      <c r="CT35" s="106">
        <v>139</v>
      </c>
      <c r="CU35" s="106">
        <v>69889.199999999983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21.683873001642134</v>
      </c>
      <c r="I36" s="106">
        <v>16497.090579649335</v>
      </c>
      <c r="J36" s="106">
        <v>26.524303407580337</v>
      </c>
      <c r="K36" s="106">
        <v>20179.69003248712</v>
      </c>
      <c r="L36" s="106">
        <v>17</v>
      </c>
      <c r="M36" s="106">
        <v>12933.599999999999</v>
      </c>
      <c r="N36" s="106">
        <v>17</v>
      </c>
      <c r="O36" s="106">
        <v>12933.599999999999</v>
      </c>
      <c r="P36" s="106">
        <v>17</v>
      </c>
      <c r="Q36" s="106">
        <v>12933.599999999999</v>
      </c>
      <c r="R36" s="106">
        <v>16</v>
      </c>
      <c r="S36" s="106">
        <v>12172.8</v>
      </c>
      <c r="T36" s="106">
        <v>29</v>
      </c>
      <c r="U36" s="106">
        <v>22063.199999999997</v>
      </c>
      <c r="V36" s="106">
        <v>30</v>
      </c>
      <c r="W36" s="106">
        <v>22824</v>
      </c>
      <c r="X36" s="106">
        <v>21</v>
      </c>
      <c r="Y36" s="106">
        <v>15976.8</v>
      </c>
      <c r="Z36" s="106">
        <v>21</v>
      </c>
      <c r="AA36" s="106">
        <v>15976.8</v>
      </c>
      <c r="AB36" s="106">
        <v>9</v>
      </c>
      <c r="AC36" s="106">
        <v>6847.2</v>
      </c>
      <c r="AD36" s="106">
        <v>12</v>
      </c>
      <c r="AE36" s="106">
        <v>9129.5999999999985</v>
      </c>
      <c r="AF36" s="106">
        <v>16</v>
      </c>
      <c r="AG36" s="106">
        <v>12172.8</v>
      </c>
      <c r="AH36" s="106">
        <v>18</v>
      </c>
      <c r="AI36" s="106">
        <v>13694.4</v>
      </c>
      <c r="AJ36" s="106">
        <v>14</v>
      </c>
      <c r="AK36" s="106">
        <v>10651.199999999999</v>
      </c>
      <c r="AL36" s="106">
        <v>21</v>
      </c>
      <c r="AM36" s="106">
        <v>15976.8</v>
      </c>
      <c r="AN36" s="106">
        <v>14</v>
      </c>
      <c r="AO36" s="106">
        <v>10651.199999999999</v>
      </c>
      <c r="AP36" s="106">
        <v>22</v>
      </c>
      <c r="AQ36" s="106">
        <v>16737.599999999999</v>
      </c>
      <c r="AR36" s="106">
        <v>21</v>
      </c>
      <c r="AS36" s="106">
        <v>15976.8</v>
      </c>
      <c r="AT36" s="106">
        <v>11</v>
      </c>
      <c r="AU36" s="106">
        <v>8368.7999999999993</v>
      </c>
      <c r="AV36" s="106">
        <v>21</v>
      </c>
      <c r="AW36" s="106">
        <v>15976.8</v>
      </c>
      <c r="AX36" s="106">
        <v>20</v>
      </c>
      <c r="AY36" s="106">
        <v>15216</v>
      </c>
      <c r="AZ36" s="106">
        <v>96</v>
      </c>
      <c r="BA36" s="106">
        <v>73036.799999999988</v>
      </c>
      <c r="BB36" s="106">
        <v>75</v>
      </c>
      <c r="BC36" s="106">
        <v>57060</v>
      </c>
      <c r="BD36" s="106">
        <v>72</v>
      </c>
      <c r="BE36" s="106">
        <v>54777.599999999999</v>
      </c>
      <c r="BF36" s="106">
        <v>104</v>
      </c>
      <c r="BG36" s="106">
        <v>79123.199999999997</v>
      </c>
      <c r="BH36" s="106">
        <v>16</v>
      </c>
      <c r="BI36" s="106">
        <v>12172.8</v>
      </c>
      <c r="BJ36" s="106">
        <v>10</v>
      </c>
      <c r="BK36" s="106">
        <v>7608</v>
      </c>
      <c r="BL36" s="106">
        <v>16</v>
      </c>
      <c r="BM36" s="106">
        <v>12172.8</v>
      </c>
      <c r="BN36" s="106">
        <v>9</v>
      </c>
      <c r="BO36" s="106">
        <v>6847.2</v>
      </c>
      <c r="BP36" s="106">
        <v>10</v>
      </c>
      <c r="BQ36" s="106">
        <v>7608</v>
      </c>
      <c r="BR36" s="106">
        <v>13</v>
      </c>
      <c r="BS36" s="106">
        <v>9890.4</v>
      </c>
      <c r="BT36" s="106">
        <v>19</v>
      </c>
      <c r="BU36" s="106">
        <v>14455.199999999999</v>
      </c>
      <c r="BV36" s="106">
        <v>15</v>
      </c>
      <c r="BW36" s="106">
        <v>11412</v>
      </c>
      <c r="BX36" s="106">
        <v>9</v>
      </c>
      <c r="BY36" s="106">
        <v>6847.2</v>
      </c>
      <c r="BZ36" s="106">
        <v>10</v>
      </c>
      <c r="CA36" s="106">
        <v>7608</v>
      </c>
      <c r="CB36" s="106">
        <v>15</v>
      </c>
      <c r="CC36" s="106">
        <v>11412</v>
      </c>
      <c r="CD36" s="106">
        <v>11</v>
      </c>
      <c r="CE36" s="106">
        <v>8368.7999999999993</v>
      </c>
      <c r="CF36" s="106">
        <v>128</v>
      </c>
      <c r="CG36" s="106">
        <v>97382.399999999994</v>
      </c>
      <c r="CH36" s="106">
        <v>128</v>
      </c>
      <c r="CI36" s="106">
        <v>97382.399999999994</v>
      </c>
      <c r="CJ36" s="106">
        <v>125</v>
      </c>
      <c r="CK36" s="106">
        <v>95100</v>
      </c>
      <c r="CL36" s="106">
        <v>107</v>
      </c>
      <c r="CM36" s="106">
        <v>81405.599999999991</v>
      </c>
      <c r="CN36" s="106">
        <v>114</v>
      </c>
      <c r="CO36" s="106">
        <v>86731.199999999997</v>
      </c>
      <c r="CP36" s="106">
        <v>114</v>
      </c>
      <c r="CQ36" s="106">
        <v>86731.199999999997</v>
      </c>
      <c r="CR36" s="106">
        <v>108</v>
      </c>
      <c r="CS36" s="106">
        <v>82166.399999999994</v>
      </c>
      <c r="CT36" s="106">
        <v>128</v>
      </c>
      <c r="CU36" s="106">
        <v>97382.399999999994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90.801218194376432</v>
      </c>
      <c r="I37" s="106">
        <v>78125.36813444148</v>
      </c>
      <c r="J37" s="106">
        <v>72.941834370845925</v>
      </c>
      <c r="K37" s="106">
        <v>62759.154292675834</v>
      </c>
      <c r="L37" s="106">
        <v>19</v>
      </c>
      <c r="M37" s="106">
        <v>16347.6</v>
      </c>
      <c r="N37" s="106">
        <v>15</v>
      </c>
      <c r="O37" s="106">
        <v>12906</v>
      </c>
      <c r="P37" s="106">
        <v>27</v>
      </c>
      <c r="Q37" s="106">
        <v>23230.799999999999</v>
      </c>
      <c r="R37" s="106">
        <v>16</v>
      </c>
      <c r="S37" s="106">
        <v>13766.4</v>
      </c>
      <c r="T37" s="106">
        <v>8</v>
      </c>
      <c r="U37" s="106">
        <v>6883.2</v>
      </c>
      <c r="V37" s="106">
        <v>13</v>
      </c>
      <c r="W37" s="106">
        <v>11185.199999999999</v>
      </c>
      <c r="X37" s="106">
        <v>10</v>
      </c>
      <c r="Y37" s="106">
        <v>8604</v>
      </c>
      <c r="Z37" s="106">
        <v>7</v>
      </c>
      <c r="AA37" s="106">
        <v>6022.8</v>
      </c>
      <c r="AB37" s="106">
        <v>24</v>
      </c>
      <c r="AC37" s="106">
        <v>20649.599999999999</v>
      </c>
      <c r="AD37" s="106">
        <v>13</v>
      </c>
      <c r="AE37" s="106">
        <v>11185.199999999999</v>
      </c>
      <c r="AF37" s="106">
        <v>19</v>
      </c>
      <c r="AG37" s="106">
        <v>16347.6</v>
      </c>
      <c r="AH37" s="106">
        <v>22</v>
      </c>
      <c r="AI37" s="106">
        <v>18928.8</v>
      </c>
      <c r="AJ37" s="106">
        <v>16</v>
      </c>
      <c r="AK37" s="106">
        <v>13766.4</v>
      </c>
      <c r="AL37" s="106">
        <v>17</v>
      </c>
      <c r="AM37" s="106">
        <v>14626.8</v>
      </c>
      <c r="AN37" s="106">
        <v>10</v>
      </c>
      <c r="AO37" s="106">
        <v>8604</v>
      </c>
      <c r="AP37" s="106">
        <v>13</v>
      </c>
      <c r="AQ37" s="106">
        <v>11185.199999999999</v>
      </c>
      <c r="AR37" s="106">
        <v>85</v>
      </c>
      <c r="AS37" s="106">
        <v>73134</v>
      </c>
      <c r="AT37" s="106">
        <v>126</v>
      </c>
      <c r="AU37" s="106">
        <v>108410.4</v>
      </c>
      <c r="AV37" s="106">
        <v>125</v>
      </c>
      <c r="AW37" s="106">
        <v>107550</v>
      </c>
      <c r="AX37" s="106">
        <v>96</v>
      </c>
      <c r="AY37" s="106">
        <v>82598.399999999994</v>
      </c>
      <c r="AZ37" s="106">
        <v>26</v>
      </c>
      <c r="BA37" s="106">
        <v>22370.399999999998</v>
      </c>
      <c r="BB37" s="106">
        <v>18</v>
      </c>
      <c r="BC37" s="106">
        <v>15487.199999999999</v>
      </c>
      <c r="BD37" s="106">
        <v>25</v>
      </c>
      <c r="BE37" s="106">
        <v>21510</v>
      </c>
      <c r="BF37" s="106">
        <v>24</v>
      </c>
      <c r="BG37" s="106">
        <v>20649.599999999999</v>
      </c>
      <c r="BH37" s="106">
        <v>13</v>
      </c>
      <c r="BI37" s="106">
        <v>11185.199999999999</v>
      </c>
      <c r="BJ37" s="106">
        <v>18</v>
      </c>
      <c r="BK37" s="106">
        <v>15487.199999999999</v>
      </c>
      <c r="BL37" s="106">
        <v>18</v>
      </c>
      <c r="BM37" s="106">
        <v>15487.199999999999</v>
      </c>
      <c r="BN37" s="106">
        <v>13</v>
      </c>
      <c r="BO37" s="106">
        <v>11185.199999999999</v>
      </c>
      <c r="BP37" s="106">
        <v>28</v>
      </c>
      <c r="BQ37" s="106">
        <v>24091.200000000001</v>
      </c>
      <c r="BR37" s="106">
        <v>31</v>
      </c>
      <c r="BS37" s="106">
        <v>26672.399999999998</v>
      </c>
      <c r="BT37" s="106">
        <v>18</v>
      </c>
      <c r="BU37" s="106">
        <v>15487.199999999999</v>
      </c>
      <c r="BV37" s="106">
        <v>17</v>
      </c>
      <c r="BW37" s="106">
        <v>14626.8</v>
      </c>
      <c r="BX37" s="106">
        <v>18</v>
      </c>
      <c r="BY37" s="106">
        <v>15487.199999999999</v>
      </c>
      <c r="BZ37" s="106">
        <v>21</v>
      </c>
      <c r="CA37" s="106">
        <v>18068.399999999998</v>
      </c>
      <c r="CB37" s="106">
        <v>16</v>
      </c>
      <c r="CC37" s="106">
        <v>13766.4</v>
      </c>
      <c r="CD37" s="106">
        <v>21</v>
      </c>
      <c r="CE37" s="106">
        <v>18068.399999999998</v>
      </c>
      <c r="CF37" s="106">
        <v>62</v>
      </c>
      <c r="CG37" s="106">
        <v>53344.799999999996</v>
      </c>
      <c r="CH37" s="106">
        <v>50</v>
      </c>
      <c r="CI37" s="106">
        <v>43020</v>
      </c>
      <c r="CJ37" s="106">
        <v>66</v>
      </c>
      <c r="CK37" s="106">
        <v>56786.400000000001</v>
      </c>
      <c r="CL37" s="106">
        <v>60</v>
      </c>
      <c r="CM37" s="106">
        <v>51624</v>
      </c>
      <c r="CN37" s="106">
        <v>17</v>
      </c>
      <c r="CO37" s="106">
        <v>14626.8</v>
      </c>
      <c r="CP37" s="106">
        <v>14</v>
      </c>
      <c r="CQ37" s="106">
        <v>12045.6</v>
      </c>
      <c r="CR37" s="106">
        <v>14</v>
      </c>
      <c r="CS37" s="106">
        <v>12045.6</v>
      </c>
      <c r="CT37" s="106">
        <v>16</v>
      </c>
      <c r="CU37" s="106">
        <v>13766.4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75.215934474446158</v>
      </c>
      <c r="I38" s="106">
        <v>93418.190617262124</v>
      </c>
      <c r="J38" s="106">
        <v>80.40179470422791</v>
      </c>
      <c r="K38" s="106">
        <v>99859.02902265107</v>
      </c>
      <c r="L38" s="106">
        <v>18</v>
      </c>
      <c r="M38" s="106">
        <v>22356</v>
      </c>
      <c r="N38" s="106">
        <v>15</v>
      </c>
      <c r="O38" s="106">
        <v>18630</v>
      </c>
      <c r="P38" s="106">
        <v>23</v>
      </c>
      <c r="Q38" s="106">
        <v>28566</v>
      </c>
      <c r="R38" s="106">
        <v>15</v>
      </c>
      <c r="S38" s="106">
        <v>18630</v>
      </c>
      <c r="T38" s="106">
        <v>8</v>
      </c>
      <c r="U38" s="106">
        <v>9936</v>
      </c>
      <c r="V38" s="106">
        <v>14</v>
      </c>
      <c r="W38" s="106">
        <v>17388</v>
      </c>
      <c r="X38" s="106">
        <v>10</v>
      </c>
      <c r="Y38" s="106">
        <v>12420</v>
      </c>
      <c r="Z38" s="106">
        <v>8</v>
      </c>
      <c r="AA38" s="106">
        <v>9936</v>
      </c>
      <c r="AB38" s="106">
        <v>22</v>
      </c>
      <c r="AC38" s="106">
        <v>27324</v>
      </c>
      <c r="AD38" s="106">
        <v>14</v>
      </c>
      <c r="AE38" s="106">
        <v>17388</v>
      </c>
      <c r="AF38" s="106">
        <v>19</v>
      </c>
      <c r="AG38" s="106">
        <v>23598</v>
      </c>
      <c r="AH38" s="106">
        <v>21</v>
      </c>
      <c r="AI38" s="106">
        <v>26082</v>
      </c>
      <c r="AJ38" s="106">
        <v>15</v>
      </c>
      <c r="AK38" s="106">
        <v>18630</v>
      </c>
      <c r="AL38" s="106">
        <v>17</v>
      </c>
      <c r="AM38" s="106">
        <v>21114</v>
      </c>
      <c r="AN38" s="106">
        <v>10</v>
      </c>
      <c r="AO38" s="106">
        <v>12420</v>
      </c>
      <c r="AP38" s="106">
        <v>13</v>
      </c>
      <c r="AQ38" s="106">
        <v>16146</v>
      </c>
      <c r="AR38" s="106">
        <v>86</v>
      </c>
      <c r="AS38" s="106">
        <v>106812</v>
      </c>
      <c r="AT38" s="106">
        <v>117</v>
      </c>
      <c r="AU38" s="106">
        <v>145314</v>
      </c>
      <c r="AV38" s="106">
        <v>123</v>
      </c>
      <c r="AW38" s="106">
        <v>152766</v>
      </c>
      <c r="AX38" s="106">
        <v>77</v>
      </c>
      <c r="AY38" s="106">
        <v>95634</v>
      </c>
      <c r="AZ38" s="106">
        <v>27</v>
      </c>
      <c r="BA38" s="106">
        <v>33534</v>
      </c>
      <c r="BB38" s="106">
        <v>17</v>
      </c>
      <c r="BC38" s="106">
        <v>21114</v>
      </c>
      <c r="BD38" s="106">
        <v>24</v>
      </c>
      <c r="BE38" s="106">
        <v>29808</v>
      </c>
      <c r="BF38" s="106">
        <v>26</v>
      </c>
      <c r="BG38" s="106">
        <v>32292</v>
      </c>
      <c r="BH38" s="106">
        <v>14</v>
      </c>
      <c r="BI38" s="106">
        <v>17388</v>
      </c>
      <c r="BJ38" s="106">
        <v>20</v>
      </c>
      <c r="BK38" s="106">
        <v>24840</v>
      </c>
      <c r="BL38" s="106">
        <v>17</v>
      </c>
      <c r="BM38" s="106">
        <v>21114</v>
      </c>
      <c r="BN38" s="106">
        <v>13</v>
      </c>
      <c r="BO38" s="106">
        <v>16146</v>
      </c>
      <c r="BP38" s="106">
        <v>32</v>
      </c>
      <c r="BQ38" s="106">
        <v>39744</v>
      </c>
      <c r="BR38" s="106">
        <v>26</v>
      </c>
      <c r="BS38" s="106">
        <v>32292</v>
      </c>
      <c r="BT38" s="106">
        <v>18</v>
      </c>
      <c r="BU38" s="106">
        <v>22356</v>
      </c>
      <c r="BV38" s="106">
        <v>19</v>
      </c>
      <c r="BW38" s="106">
        <v>23598</v>
      </c>
      <c r="BX38" s="106">
        <v>19</v>
      </c>
      <c r="BY38" s="106">
        <v>23598</v>
      </c>
      <c r="BZ38" s="106">
        <v>20</v>
      </c>
      <c r="CA38" s="106">
        <v>24840</v>
      </c>
      <c r="CB38" s="106">
        <v>16</v>
      </c>
      <c r="CC38" s="106">
        <v>19872</v>
      </c>
      <c r="CD38" s="106">
        <v>20</v>
      </c>
      <c r="CE38" s="106">
        <v>24840</v>
      </c>
      <c r="CF38" s="106">
        <v>58</v>
      </c>
      <c r="CG38" s="106">
        <v>72036</v>
      </c>
      <c r="CH38" s="106">
        <v>48</v>
      </c>
      <c r="CI38" s="106">
        <v>59616</v>
      </c>
      <c r="CJ38" s="106">
        <v>57</v>
      </c>
      <c r="CK38" s="106">
        <v>70794</v>
      </c>
      <c r="CL38" s="106">
        <v>57</v>
      </c>
      <c r="CM38" s="106">
        <v>70794</v>
      </c>
      <c r="CN38" s="106">
        <v>15</v>
      </c>
      <c r="CO38" s="106">
        <v>18630</v>
      </c>
      <c r="CP38" s="106">
        <v>14</v>
      </c>
      <c r="CQ38" s="106">
        <v>17388</v>
      </c>
      <c r="CR38" s="106">
        <v>13</v>
      </c>
      <c r="CS38" s="106">
        <v>16146</v>
      </c>
      <c r="CT38" s="106">
        <v>14</v>
      </c>
      <c r="CU38" s="106">
        <v>17388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77.248797568350099</v>
      </c>
      <c r="I39" s="106">
        <v>109940.48869927587</v>
      </c>
      <c r="J39" s="106">
        <v>70.455180926385282</v>
      </c>
      <c r="K39" s="106">
        <v>100271.81349443154</v>
      </c>
      <c r="L39" s="106">
        <v>18</v>
      </c>
      <c r="M39" s="106">
        <v>25617.600000000002</v>
      </c>
      <c r="N39" s="106">
        <v>14</v>
      </c>
      <c r="O39" s="106">
        <v>19924.8</v>
      </c>
      <c r="P39" s="106">
        <v>21</v>
      </c>
      <c r="Q39" s="106">
        <v>29887.200000000001</v>
      </c>
      <c r="R39" s="106">
        <v>16</v>
      </c>
      <c r="S39" s="106">
        <v>22771.200000000001</v>
      </c>
      <c r="T39" s="106">
        <v>7</v>
      </c>
      <c r="U39" s="106">
        <v>9962.4</v>
      </c>
      <c r="V39" s="106">
        <v>15</v>
      </c>
      <c r="W39" s="106">
        <v>21348</v>
      </c>
      <c r="X39" s="106">
        <v>9</v>
      </c>
      <c r="Y39" s="106">
        <v>12808.800000000001</v>
      </c>
      <c r="Z39" s="106">
        <v>7</v>
      </c>
      <c r="AA39" s="106">
        <v>9962.4</v>
      </c>
      <c r="AB39" s="106">
        <v>21</v>
      </c>
      <c r="AC39" s="106">
        <v>29887.200000000001</v>
      </c>
      <c r="AD39" s="106">
        <v>13</v>
      </c>
      <c r="AE39" s="106">
        <v>18501.600000000002</v>
      </c>
      <c r="AF39" s="106">
        <v>18</v>
      </c>
      <c r="AG39" s="106">
        <v>25617.600000000002</v>
      </c>
      <c r="AH39" s="106">
        <v>23</v>
      </c>
      <c r="AI39" s="106">
        <v>32733.600000000002</v>
      </c>
      <c r="AJ39" s="106">
        <v>15</v>
      </c>
      <c r="AK39" s="106">
        <v>21348</v>
      </c>
      <c r="AL39" s="106">
        <v>16</v>
      </c>
      <c r="AM39" s="106">
        <v>22771.200000000001</v>
      </c>
      <c r="AN39" s="106">
        <v>9</v>
      </c>
      <c r="AO39" s="106">
        <v>12808.800000000001</v>
      </c>
      <c r="AP39" s="106">
        <v>13</v>
      </c>
      <c r="AQ39" s="106">
        <v>18501.600000000002</v>
      </c>
      <c r="AR39" s="106">
        <v>89</v>
      </c>
      <c r="AS39" s="106">
        <v>126664.8</v>
      </c>
      <c r="AT39" s="106">
        <v>106</v>
      </c>
      <c r="AU39" s="106">
        <v>150859.20000000001</v>
      </c>
      <c r="AV39" s="106">
        <v>120</v>
      </c>
      <c r="AW39" s="106">
        <v>170784</v>
      </c>
      <c r="AX39" s="106">
        <v>84</v>
      </c>
      <c r="AY39" s="106">
        <v>119548.8</v>
      </c>
      <c r="AZ39" s="106">
        <v>26</v>
      </c>
      <c r="BA39" s="106">
        <v>37003.200000000004</v>
      </c>
      <c r="BB39" s="106">
        <v>17</v>
      </c>
      <c r="BC39" s="106">
        <v>24194.400000000001</v>
      </c>
      <c r="BD39" s="106">
        <v>24</v>
      </c>
      <c r="BE39" s="106">
        <v>34156.800000000003</v>
      </c>
      <c r="BF39" s="106">
        <v>25</v>
      </c>
      <c r="BG39" s="106">
        <v>35580</v>
      </c>
      <c r="BH39" s="106">
        <v>13</v>
      </c>
      <c r="BI39" s="106">
        <v>18501.600000000002</v>
      </c>
      <c r="BJ39" s="106">
        <v>18</v>
      </c>
      <c r="BK39" s="106">
        <v>25617.600000000002</v>
      </c>
      <c r="BL39" s="106">
        <v>15</v>
      </c>
      <c r="BM39" s="106">
        <v>21348</v>
      </c>
      <c r="BN39" s="106">
        <v>13</v>
      </c>
      <c r="BO39" s="106">
        <v>18501.600000000002</v>
      </c>
      <c r="BP39" s="106">
        <v>26</v>
      </c>
      <c r="BQ39" s="106">
        <v>37003.200000000004</v>
      </c>
      <c r="BR39" s="106">
        <v>30</v>
      </c>
      <c r="BS39" s="106">
        <v>42696</v>
      </c>
      <c r="BT39" s="106">
        <v>16</v>
      </c>
      <c r="BU39" s="106">
        <v>22771.200000000001</v>
      </c>
      <c r="BV39" s="106">
        <v>19</v>
      </c>
      <c r="BW39" s="106">
        <v>27040.799999999999</v>
      </c>
      <c r="BX39" s="106">
        <v>18</v>
      </c>
      <c r="BY39" s="106">
        <v>25617.600000000002</v>
      </c>
      <c r="BZ39" s="106">
        <v>19</v>
      </c>
      <c r="CA39" s="106">
        <v>27040.799999999999</v>
      </c>
      <c r="CB39" s="106">
        <v>17</v>
      </c>
      <c r="CC39" s="106">
        <v>24194.400000000001</v>
      </c>
      <c r="CD39" s="106">
        <v>19</v>
      </c>
      <c r="CE39" s="106">
        <v>27040.799999999999</v>
      </c>
      <c r="CF39" s="106">
        <v>54</v>
      </c>
      <c r="CG39" s="106">
        <v>76852.800000000003</v>
      </c>
      <c r="CH39" s="106">
        <v>47</v>
      </c>
      <c r="CI39" s="106">
        <v>66890.400000000009</v>
      </c>
      <c r="CJ39" s="106">
        <v>55</v>
      </c>
      <c r="CK39" s="106">
        <v>78276</v>
      </c>
      <c r="CL39" s="106">
        <v>53</v>
      </c>
      <c r="CM39" s="106">
        <v>75429.600000000006</v>
      </c>
      <c r="CN39" s="106">
        <v>15</v>
      </c>
      <c r="CO39" s="106">
        <v>21348</v>
      </c>
      <c r="CP39" s="106">
        <v>15</v>
      </c>
      <c r="CQ39" s="106">
        <v>21348</v>
      </c>
      <c r="CR39" s="106">
        <v>12</v>
      </c>
      <c r="CS39" s="106">
        <v>17078.400000000001</v>
      </c>
      <c r="CT39" s="106">
        <v>14</v>
      </c>
      <c r="CU39" s="106">
        <v>19924.8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90.123597163075132</v>
      </c>
      <c r="I40" s="106">
        <v>65321.58322379685</v>
      </c>
      <c r="J40" s="106">
        <v>77.086256778280358</v>
      </c>
      <c r="K40" s="106">
        <v>55872.118912897597</v>
      </c>
      <c r="L40" s="106">
        <v>18</v>
      </c>
      <c r="M40" s="106">
        <v>13046.4</v>
      </c>
      <c r="N40" s="106">
        <v>14</v>
      </c>
      <c r="O40" s="106">
        <v>10147.199999999999</v>
      </c>
      <c r="P40" s="106">
        <v>24</v>
      </c>
      <c r="Q40" s="106">
        <v>17395.199999999997</v>
      </c>
      <c r="R40" s="106">
        <v>18</v>
      </c>
      <c r="S40" s="106">
        <v>13046.4</v>
      </c>
      <c r="T40" s="106">
        <v>8</v>
      </c>
      <c r="U40" s="106">
        <v>5798.4</v>
      </c>
      <c r="V40" s="106">
        <v>15</v>
      </c>
      <c r="W40" s="106">
        <v>10872</v>
      </c>
      <c r="X40" s="106">
        <v>10</v>
      </c>
      <c r="Y40" s="106">
        <v>7248</v>
      </c>
      <c r="Z40" s="106">
        <v>8</v>
      </c>
      <c r="AA40" s="106">
        <v>5798.4</v>
      </c>
      <c r="AB40" s="106">
        <v>26</v>
      </c>
      <c r="AC40" s="106">
        <v>18844.8</v>
      </c>
      <c r="AD40" s="106">
        <v>14</v>
      </c>
      <c r="AE40" s="106">
        <v>10147.199999999999</v>
      </c>
      <c r="AF40" s="106">
        <v>23</v>
      </c>
      <c r="AG40" s="106">
        <v>16670.399999999998</v>
      </c>
      <c r="AH40" s="106">
        <v>23</v>
      </c>
      <c r="AI40" s="106">
        <v>16670.399999999998</v>
      </c>
      <c r="AJ40" s="106">
        <v>16</v>
      </c>
      <c r="AK40" s="106">
        <v>11596.8</v>
      </c>
      <c r="AL40" s="106">
        <v>17</v>
      </c>
      <c r="AM40" s="106">
        <v>12321.599999999999</v>
      </c>
      <c r="AN40" s="106">
        <v>9</v>
      </c>
      <c r="AO40" s="106">
        <v>6523.2</v>
      </c>
      <c r="AP40" s="106">
        <v>14</v>
      </c>
      <c r="AQ40" s="106">
        <v>10147.199999999999</v>
      </c>
      <c r="AR40" s="106">
        <v>89</v>
      </c>
      <c r="AS40" s="106">
        <v>64507.199999999997</v>
      </c>
      <c r="AT40" s="106">
        <v>135</v>
      </c>
      <c r="AU40" s="106">
        <v>97848</v>
      </c>
      <c r="AV40" s="106">
        <v>121</v>
      </c>
      <c r="AW40" s="106">
        <v>87700.799999999988</v>
      </c>
      <c r="AX40" s="106">
        <v>99</v>
      </c>
      <c r="AY40" s="106">
        <v>71755.199999999997</v>
      </c>
      <c r="AZ40" s="106">
        <v>24</v>
      </c>
      <c r="BA40" s="106">
        <v>17395.199999999997</v>
      </c>
      <c r="BB40" s="106">
        <v>17</v>
      </c>
      <c r="BC40" s="106">
        <v>12321.599999999999</v>
      </c>
      <c r="BD40" s="106">
        <v>25</v>
      </c>
      <c r="BE40" s="106">
        <v>18120</v>
      </c>
      <c r="BF40" s="106">
        <v>28</v>
      </c>
      <c r="BG40" s="106">
        <v>20294.399999999998</v>
      </c>
      <c r="BH40" s="106">
        <v>15</v>
      </c>
      <c r="BI40" s="106">
        <v>10872</v>
      </c>
      <c r="BJ40" s="106">
        <v>20</v>
      </c>
      <c r="BK40" s="106">
        <v>14496</v>
      </c>
      <c r="BL40" s="106">
        <v>18</v>
      </c>
      <c r="BM40" s="106">
        <v>13046.4</v>
      </c>
      <c r="BN40" s="106">
        <v>15</v>
      </c>
      <c r="BO40" s="106">
        <v>10872</v>
      </c>
      <c r="BP40" s="106">
        <v>31</v>
      </c>
      <c r="BQ40" s="106">
        <v>22468.799999999999</v>
      </c>
      <c r="BR40" s="106">
        <v>28</v>
      </c>
      <c r="BS40" s="106">
        <v>20294.399999999998</v>
      </c>
      <c r="BT40" s="106">
        <v>17</v>
      </c>
      <c r="BU40" s="106">
        <v>12321.599999999999</v>
      </c>
      <c r="BV40" s="106">
        <v>19</v>
      </c>
      <c r="BW40" s="106">
        <v>13771.199999999999</v>
      </c>
      <c r="BX40" s="106">
        <v>18</v>
      </c>
      <c r="BY40" s="106">
        <v>13046.4</v>
      </c>
      <c r="BZ40" s="106">
        <v>23</v>
      </c>
      <c r="CA40" s="106">
        <v>16670.399999999998</v>
      </c>
      <c r="CB40" s="106">
        <v>18</v>
      </c>
      <c r="CC40" s="106">
        <v>13046.4</v>
      </c>
      <c r="CD40" s="106">
        <v>24</v>
      </c>
      <c r="CE40" s="106">
        <v>17395.199999999997</v>
      </c>
      <c r="CF40" s="106">
        <v>62</v>
      </c>
      <c r="CG40" s="106">
        <v>44937.599999999999</v>
      </c>
      <c r="CH40" s="106">
        <v>50</v>
      </c>
      <c r="CI40" s="106">
        <v>36240</v>
      </c>
      <c r="CJ40" s="106">
        <v>62</v>
      </c>
      <c r="CK40" s="106">
        <v>44937.599999999999</v>
      </c>
      <c r="CL40" s="106">
        <v>64</v>
      </c>
      <c r="CM40" s="106">
        <v>46387.199999999997</v>
      </c>
      <c r="CN40" s="106">
        <v>17</v>
      </c>
      <c r="CO40" s="106">
        <v>12321.599999999999</v>
      </c>
      <c r="CP40" s="106">
        <v>15</v>
      </c>
      <c r="CQ40" s="106">
        <v>10872</v>
      </c>
      <c r="CR40" s="106">
        <v>12</v>
      </c>
      <c r="CS40" s="106">
        <v>8697.5999999999985</v>
      </c>
      <c r="CT40" s="106">
        <v>14</v>
      </c>
      <c r="CU40" s="106">
        <v>10147.199999999999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94.189323350883029</v>
      </c>
      <c r="I41" s="106">
        <v>62164.953411582799</v>
      </c>
      <c r="J41" s="106">
        <v>79.572910222741029</v>
      </c>
      <c r="K41" s="106">
        <v>52518.120747009081</v>
      </c>
      <c r="L41" s="106">
        <v>16</v>
      </c>
      <c r="M41" s="106">
        <v>10560</v>
      </c>
      <c r="N41" s="106">
        <v>16</v>
      </c>
      <c r="O41" s="106">
        <v>10560</v>
      </c>
      <c r="P41" s="106">
        <v>24</v>
      </c>
      <c r="Q41" s="106">
        <v>15840</v>
      </c>
      <c r="R41" s="106">
        <v>17</v>
      </c>
      <c r="S41" s="106">
        <v>11220</v>
      </c>
      <c r="T41" s="106">
        <v>9</v>
      </c>
      <c r="U41" s="106">
        <v>5940</v>
      </c>
      <c r="V41" s="106">
        <v>13</v>
      </c>
      <c r="W41" s="106">
        <v>8580</v>
      </c>
      <c r="X41" s="106">
        <v>11</v>
      </c>
      <c r="Y41" s="106">
        <v>7260</v>
      </c>
      <c r="Z41" s="106">
        <v>8</v>
      </c>
      <c r="AA41" s="106">
        <v>5280</v>
      </c>
      <c r="AB41" s="106">
        <v>23</v>
      </c>
      <c r="AC41" s="106">
        <v>15180</v>
      </c>
      <c r="AD41" s="106">
        <v>14</v>
      </c>
      <c r="AE41" s="106">
        <v>9240</v>
      </c>
      <c r="AF41" s="106">
        <v>20</v>
      </c>
      <c r="AG41" s="106">
        <v>13200</v>
      </c>
      <c r="AH41" s="106">
        <v>21</v>
      </c>
      <c r="AI41" s="106">
        <v>13860</v>
      </c>
      <c r="AJ41" s="106">
        <v>16</v>
      </c>
      <c r="AK41" s="106">
        <v>10560</v>
      </c>
      <c r="AL41" s="106">
        <v>17</v>
      </c>
      <c r="AM41" s="106">
        <v>11220</v>
      </c>
      <c r="AN41" s="106">
        <v>11</v>
      </c>
      <c r="AO41" s="106">
        <v>7260</v>
      </c>
      <c r="AP41" s="106">
        <v>14</v>
      </c>
      <c r="AQ41" s="106">
        <v>9240</v>
      </c>
      <c r="AR41" s="106">
        <v>90</v>
      </c>
      <c r="AS41" s="106">
        <v>59400</v>
      </c>
      <c r="AT41" s="106">
        <v>125</v>
      </c>
      <c r="AU41" s="106">
        <v>82500</v>
      </c>
      <c r="AV41" s="106">
        <v>126</v>
      </c>
      <c r="AW41" s="106">
        <v>83160</v>
      </c>
      <c r="AX41" s="106">
        <v>87</v>
      </c>
      <c r="AY41" s="106">
        <v>57420</v>
      </c>
      <c r="AZ41" s="106">
        <v>26</v>
      </c>
      <c r="BA41" s="106">
        <v>17160</v>
      </c>
      <c r="BB41" s="106">
        <v>19</v>
      </c>
      <c r="BC41" s="106">
        <v>12540</v>
      </c>
      <c r="BD41" s="106">
        <v>26</v>
      </c>
      <c r="BE41" s="106">
        <v>17160</v>
      </c>
      <c r="BF41" s="106">
        <v>27</v>
      </c>
      <c r="BG41" s="106">
        <v>17820</v>
      </c>
      <c r="BH41" s="106">
        <v>15</v>
      </c>
      <c r="BI41" s="106">
        <v>9900</v>
      </c>
      <c r="BJ41" s="106">
        <v>20</v>
      </c>
      <c r="BK41" s="106">
        <v>13200</v>
      </c>
      <c r="BL41" s="106">
        <v>18</v>
      </c>
      <c r="BM41" s="106">
        <v>11880</v>
      </c>
      <c r="BN41" s="106">
        <v>14</v>
      </c>
      <c r="BO41" s="106">
        <v>9240</v>
      </c>
      <c r="BP41" s="106">
        <v>33</v>
      </c>
      <c r="BQ41" s="106">
        <v>21780</v>
      </c>
      <c r="BR41" s="106">
        <v>27</v>
      </c>
      <c r="BS41" s="106">
        <v>17820</v>
      </c>
      <c r="BT41" s="106">
        <v>20</v>
      </c>
      <c r="BU41" s="106">
        <v>13200</v>
      </c>
      <c r="BV41" s="106">
        <v>18</v>
      </c>
      <c r="BW41" s="106">
        <v>11880</v>
      </c>
      <c r="BX41" s="106">
        <v>21</v>
      </c>
      <c r="BY41" s="106">
        <v>13860</v>
      </c>
      <c r="BZ41" s="106">
        <v>23</v>
      </c>
      <c r="CA41" s="106">
        <v>15180</v>
      </c>
      <c r="CB41" s="106">
        <v>20</v>
      </c>
      <c r="CC41" s="106">
        <v>13200</v>
      </c>
      <c r="CD41" s="106">
        <v>24</v>
      </c>
      <c r="CE41" s="106">
        <v>15840</v>
      </c>
      <c r="CF41" s="106">
        <v>63</v>
      </c>
      <c r="CG41" s="106">
        <v>41580</v>
      </c>
      <c r="CH41" s="106">
        <v>52</v>
      </c>
      <c r="CI41" s="106">
        <v>34320</v>
      </c>
      <c r="CJ41" s="106">
        <v>70</v>
      </c>
      <c r="CK41" s="106">
        <v>46200</v>
      </c>
      <c r="CL41" s="106">
        <v>64</v>
      </c>
      <c r="CM41" s="106">
        <v>42240</v>
      </c>
      <c r="CN41" s="106">
        <v>17</v>
      </c>
      <c r="CO41" s="106">
        <v>11220</v>
      </c>
      <c r="CP41" s="106">
        <v>16</v>
      </c>
      <c r="CQ41" s="106">
        <v>10560</v>
      </c>
      <c r="CR41" s="106">
        <v>13</v>
      </c>
      <c r="CS41" s="106">
        <v>8580</v>
      </c>
      <c r="CT41" s="106">
        <v>17</v>
      </c>
      <c r="CU41" s="106">
        <v>11220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90.801218194376432</v>
      </c>
      <c r="I42" s="106">
        <v>76817.830592442464</v>
      </c>
      <c r="J42" s="106">
        <v>77.086256778280358</v>
      </c>
      <c r="K42" s="106">
        <v>65214.973234425182</v>
      </c>
      <c r="L42" s="106">
        <v>16</v>
      </c>
      <c r="M42" s="106">
        <v>13536</v>
      </c>
      <c r="N42" s="106">
        <v>15</v>
      </c>
      <c r="O42" s="106">
        <v>12690</v>
      </c>
      <c r="P42" s="106">
        <v>26</v>
      </c>
      <c r="Q42" s="106">
        <v>21996</v>
      </c>
      <c r="R42" s="106">
        <v>15</v>
      </c>
      <c r="S42" s="106">
        <v>12690</v>
      </c>
      <c r="T42" s="106">
        <v>8</v>
      </c>
      <c r="U42" s="106">
        <v>6768</v>
      </c>
      <c r="V42" s="106">
        <v>15</v>
      </c>
      <c r="W42" s="106">
        <v>12690</v>
      </c>
      <c r="X42" s="106">
        <v>10</v>
      </c>
      <c r="Y42" s="106">
        <v>8460</v>
      </c>
      <c r="Z42" s="106">
        <v>7</v>
      </c>
      <c r="AA42" s="106">
        <v>5922</v>
      </c>
      <c r="AB42" s="106">
        <v>23</v>
      </c>
      <c r="AC42" s="106">
        <v>19458</v>
      </c>
      <c r="AD42" s="106">
        <v>14</v>
      </c>
      <c r="AE42" s="106">
        <v>11844</v>
      </c>
      <c r="AF42" s="106">
        <v>21</v>
      </c>
      <c r="AG42" s="106">
        <v>17766</v>
      </c>
      <c r="AH42" s="106">
        <v>22</v>
      </c>
      <c r="AI42" s="106">
        <v>18612</v>
      </c>
      <c r="AJ42" s="106">
        <v>15</v>
      </c>
      <c r="AK42" s="106">
        <v>12690</v>
      </c>
      <c r="AL42" s="106">
        <v>19</v>
      </c>
      <c r="AM42" s="106">
        <v>16074</v>
      </c>
      <c r="AN42" s="106">
        <v>9</v>
      </c>
      <c r="AO42" s="106">
        <v>7614</v>
      </c>
      <c r="AP42" s="106">
        <v>13</v>
      </c>
      <c r="AQ42" s="106">
        <v>10998</v>
      </c>
      <c r="AR42" s="106">
        <v>94</v>
      </c>
      <c r="AS42" s="106">
        <v>79524</v>
      </c>
      <c r="AT42" s="106">
        <v>125</v>
      </c>
      <c r="AU42" s="106">
        <v>105750</v>
      </c>
      <c r="AV42" s="106">
        <v>121</v>
      </c>
      <c r="AW42" s="106">
        <v>102366</v>
      </c>
      <c r="AX42" s="106">
        <v>94</v>
      </c>
      <c r="AY42" s="106">
        <v>79524</v>
      </c>
      <c r="AZ42" s="106">
        <v>28</v>
      </c>
      <c r="BA42" s="106">
        <v>23688</v>
      </c>
      <c r="BB42" s="106">
        <v>18</v>
      </c>
      <c r="BC42" s="106">
        <v>15228</v>
      </c>
      <c r="BD42" s="106">
        <v>25</v>
      </c>
      <c r="BE42" s="106">
        <v>21150</v>
      </c>
      <c r="BF42" s="106">
        <v>23</v>
      </c>
      <c r="BG42" s="106">
        <v>19458</v>
      </c>
      <c r="BH42" s="106">
        <v>13</v>
      </c>
      <c r="BI42" s="106">
        <v>10998</v>
      </c>
      <c r="BJ42" s="106">
        <v>20</v>
      </c>
      <c r="BK42" s="106">
        <v>16920</v>
      </c>
      <c r="BL42" s="106">
        <v>18</v>
      </c>
      <c r="BM42" s="106">
        <v>15228</v>
      </c>
      <c r="BN42" s="106">
        <v>14</v>
      </c>
      <c r="BO42" s="106">
        <v>11844</v>
      </c>
      <c r="BP42" s="106">
        <v>30</v>
      </c>
      <c r="BQ42" s="106">
        <v>25380</v>
      </c>
      <c r="BR42" s="106">
        <v>30</v>
      </c>
      <c r="BS42" s="106">
        <v>25380</v>
      </c>
      <c r="BT42" s="106">
        <v>17</v>
      </c>
      <c r="BU42" s="106">
        <v>14382</v>
      </c>
      <c r="BV42" s="106">
        <v>18</v>
      </c>
      <c r="BW42" s="106">
        <v>15228</v>
      </c>
      <c r="BX42" s="106">
        <v>19</v>
      </c>
      <c r="BY42" s="106">
        <v>16074</v>
      </c>
      <c r="BZ42" s="106">
        <v>20</v>
      </c>
      <c r="CA42" s="106">
        <v>16920</v>
      </c>
      <c r="CB42" s="106">
        <v>17</v>
      </c>
      <c r="CC42" s="106">
        <v>14382</v>
      </c>
      <c r="CD42" s="106">
        <v>21</v>
      </c>
      <c r="CE42" s="106">
        <v>17766</v>
      </c>
      <c r="CF42" s="106">
        <v>57</v>
      </c>
      <c r="CG42" s="106">
        <v>48222</v>
      </c>
      <c r="CH42" s="106">
        <v>46</v>
      </c>
      <c r="CI42" s="106">
        <v>38916</v>
      </c>
      <c r="CJ42" s="106">
        <v>67</v>
      </c>
      <c r="CK42" s="106">
        <v>56682</v>
      </c>
      <c r="CL42" s="106">
        <v>62</v>
      </c>
      <c r="CM42" s="106">
        <v>52452</v>
      </c>
      <c r="CN42" s="106">
        <v>17</v>
      </c>
      <c r="CO42" s="106">
        <v>14382</v>
      </c>
      <c r="CP42" s="106">
        <v>15</v>
      </c>
      <c r="CQ42" s="106">
        <v>12690</v>
      </c>
      <c r="CR42" s="106">
        <v>12</v>
      </c>
      <c r="CS42" s="106">
        <v>10152</v>
      </c>
      <c r="CT42" s="106">
        <v>14</v>
      </c>
      <c r="CU42" s="106">
        <v>11844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83.347386850061966</v>
      </c>
      <c r="I43" s="106">
        <v>85214.36831550335</v>
      </c>
      <c r="J43" s="106">
        <v>71.284065407872163</v>
      </c>
      <c r="K43" s="106">
        <v>72880.8284730085</v>
      </c>
      <c r="L43" s="106">
        <v>18</v>
      </c>
      <c r="M43" s="106">
        <v>18403.2</v>
      </c>
      <c r="N43" s="106">
        <v>15</v>
      </c>
      <c r="O43" s="106">
        <v>15336</v>
      </c>
      <c r="P43" s="106">
        <v>24</v>
      </c>
      <c r="Q43" s="106">
        <v>24537.599999999999</v>
      </c>
      <c r="R43" s="106">
        <v>16</v>
      </c>
      <c r="S43" s="106">
        <v>16358.4</v>
      </c>
      <c r="T43" s="106">
        <v>8</v>
      </c>
      <c r="U43" s="106">
        <v>8179.2</v>
      </c>
      <c r="V43" s="106">
        <v>13</v>
      </c>
      <c r="W43" s="106">
        <v>13291.199999999999</v>
      </c>
      <c r="X43" s="106">
        <v>10</v>
      </c>
      <c r="Y43" s="106">
        <v>10224</v>
      </c>
      <c r="Z43" s="106">
        <v>7</v>
      </c>
      <c r="AA43" s="106">
        <v>7156.8</v>
      </c>
      <c r="AB43" s="106">
        <v>25</v>
      </c>
      <c r="AC43" s="106">
        <v>25560</v>
      </c>
      <c r="AD43" s="106">
        <v>13</v>
      </c>
      <c r="AE43" s="106">
        <v>13291.199999999999</v>
      </c>
      <c r="AF43" s="106">
        <v>19</v>
      </c>
      <c r="AG43" s="106">
        <v>19425.599999999999</v>
      </c>
      <c r="AH43" s="106">
        <v>21</v>
      </c>
      <c r="AI43" s="106">
        <v>21470.399999999998</v>
      </c>
      <c r="AJ43" s="106">
        <v>14</v>
      </c>
      <c r="AK43" s="106">
        <v>14313.6</v>
      </c>
      <c r="AL43" s="106">
        <v>16</v>
      </c>
      <c r="AM43" s="106">
        <v>16358.4</v>
      </c>
      <c r="AN43" s="106">
        <v>9</v>
      </c>
      <c r="AO43" s="106">
        <v>9201.6</v>
      </c>
      <c r="AP43" s="106">
        <v>12</v>
      </c>
      <c r="AQ43" s="106">
        <v>12268.8</v>
      </c>
      <c r="AR43" s="106">
        <v>82</v>
      </c>
      <c r="AS43" s="106">
        <v>83836.800000000003</v>
      </c>
      <c r="AT43" s="106">
        <v>130</v>
      </c>
      <c r="AU43" s="106">
        <v>132912</v>
      </c>
      <c r="AV43" s="106">
        <v>117</v>
      </c>
      <c r="AW43" s="106">
        <v>119620.8</v>
      </c>
      <c r="AX43" s="106">
        <v>88</v>
      </c>
      <c r="AY43" s="106">
        <v>89971.199999999997</v>
      </c>
      <c r="AZ43" s="106">
        <v>25</v>
      </c>
      <c r="BA43" s="106">
        <v>25560</v>
      </c>
      <c r="BB43" s="106">
        <v>18</v>
      </c>
      <c r="BC43" s="106">
        <v>18403.2</v>
      </c>
      <c r="BD43" s="106">
        <v>25</v>
      </c>
      <c r="BE43" s="106">
        <v>25560</v>
      </c>
      <c r="BF43" s="106">
        <v>22</v>
      </c>
      <c r="BG43" s="106">
        <v>22492.799999999999</v>
      </c>
      <c r="BH43" s="106">
        <v>15</v>
      </c>
      <c r="BI43" s="106">
        <v>15336</v>
      </c>
      <c r="BJ43" s="106">
        <v>20</v>
      </c>
      <c r="BK43" s="106">
        <v>20448</v>
      </c>
      <c r="BL43" s="106">
        <v>16</v>
      </c>
      <c r="BM43" s="106">
        <v>16358.4</v>
      </c>
      <c r="BN43" s="106">
        <v>14</v>
      </c>
      <c r="BO43" s="106">
        <v>14313.6</v>
      </c>
      <c r="BP43" s="106">
        <v>33</v>
      </c>
      <c r="BQ43" s="106">
        <v>33739.199999999997</v>
      </c>
      <c r="BR43" s="106">
        <v>28</v>
      </c>
      <c r="BS43" s="106">
        <v>28627.200000000001</v>
      </c>
      <c r="BT43" s="106">
        <v>18</v>
      </c>
      <c r="BU43" s="106">
        <v>18403.2</v>
      </c>
      <c r="BV43" s="106">
        <v>18</v>
      </c>
      <c r="BW43" s="106">
        <v>18403.2</v>
      </c>
      <c r="BX43" s="106">
        <v>19</v>
      </c>
      <c r="BY43" s="106">
        <v>19425.599999999999</v>
      </c>
      <c r="BZ43" s="106">
        <v>20</v>
      </c>
      <c r="CA43" s="106">
        <v>20448</v>
      </c>
      <c r="CB43" s="106">
        <v>18</v>
      </c>
      <c r="CC43" s="106">
        <v>18403.2</v>
      </c>
      <c r="CD43" s="106">
        <v>24</v>
      </c>
      <c r="CE43" s="106">
        <v>24537.599999999999</v>
      </c>
      <c r="CF43" s="106">
        <v>53</v>
      </c>
      <c r="CG43" s="106">
        <v>54187.199999999997</v>
      </c>
      <c r="CH43" s="106">
        <v>47</v>
      </c>
      <c r="CI43" s="106">
        <v>48052.799999999996</v>
      </c>
      <c r="CJ43" s="106">
        <v>66</v>
      </c>
      <c r="CK43" s="106">
        <v>67478.399999999994</v>
      </c>
      <c r="CL43" s="106">
        <v>59</v>
      </c>
      <c r="CM43" s="106">
        <v>60321.599999999999</v>
      </c>
      <c r="CN43" s="106">
        <v>17</v>
      </c>
      <c r="CO43" s="106">
        <v>17380.8</v>
      </c>
      <c r="CP43" s="106">
        <v>15</v>
      </c>
      <c r="CQ43" s="106">
        <v>15336</v>
      </c>
      <c r="CR43" s="106">
        <v>13</v>
      </c>
      <c r="CS43" s="106">
        <v>13291.199999999999</v>
      </c>
      <c r="CT43" s="106">
        <v>15</v>
      </c>
      <c r="CU43" s="106">
        <v>15336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81.31452375615801</v>
      </c>
      <c r="I44" s="106">
        <v>83135.969088295955</v>
      </c>
      <c r="J44" s="106">
        <v>78.744025741254134</v>
      </c>
      <c r="K44" s="106">
        <v>80507.891917858229</v>
      </c>
      <c r="L44" s="106">
        <v>16</v>
      </c>
      <c r="M44" s="106">
        <v>16358.4</v>
      </c>
      <c r="N44" s="106">
        <v>13</v>
      </c>
      <c r="O44" s="106">
        <v>13291.199999999999</v>
      </c>
      <c r="P44" s="106">
        <v>25</v>
      </c>
      <c r="Q44" s="106">
        <v>25560</v>
      </c>
      <c r="R44" s="106">
        <v>15</v>
      </c>
      <c r="S44" s="106">
        <v>15336</v>
      </c>
      <c r="T44" s="106">
        <v>8</v>
      </c>
      <c r="U44" s="106">
        <v>8179.2</v>
      </c>
      <c r="V44" s="106">
        <v>13</v>
      </c>
      <c r="W44" s="106">
        <v>13291.199999999999</v>
      </c>
      <c r="X44" s="106">
        <v>10</v>
      </c>
      <c r="Y44" s="106">
        <v>10224</v>
      </c>
      <c r="Z44" s="106">
        <v>7</v>
      </c>
      <c r="AA44" s="106">
        <v>7156.8</v>
      </c>
      <c r="AB44" s="106">
        <v>23</v>
      </c>
      <c r="AC44" s="106">
        <v>23515.200000000001</v>
      </c>
      <c r="AD44" s="106">
        <v>12</v>
      </c>
      <c r="AE44" s="106">
        <v>12268.8</v>
      </c>
      <c r="AF44" s="106">
        <v>20</v>
      </c>
      <c r="AG44" s="106">
        <v>20448</v>
      </c>
      <c r="AH44" s="106">
        <v>23</v>
      </c>
      <c r="AI44" s="106">
        <v>23515.200000000001</v>
      </c>
      <c r="AJ44" s="106">
        <v>16</v>
      </c>
      <c r="AK44" s="106">
        <v>16358.4</v>
      </c>
      <c r="AL44" s="106">
        <v>16</v>
      </c>
      <c r="AM44" s="106">
        <v>16358.4</v>
      </c>
      <c r="AN44" s="106">
        <v>9</v>
      </c>
      <c r="AO44" s="106">
        <v>9201.6</v>
      </c>
      <c r="AP44" s="106">
        <v>14</v>
      </c>
      <c r="AQ44" s="106">
        <v>14313.6</v>
      </c>
      <c r="AR44" s="106">
        <v>86</v>
      </c>
      <c r="AS44" s="106">
        <v>87926.399999999994</v>
      </c>
      <c r="AT44" s="106">
        <v>122</v>
      </c>
      <c r="AU44" s="106">
        <v>124732.8</v>
      </c>
      <c r="AV44" s="106">
        <v>106</v>
      </c>
      <c r="AW44" s="106">
        <v>108374.39999999999</v>
      </c>
      <c r="AX44" s="106">
        <v>92</v>
      </c>
      <c r="AY44" s="106">
        <v>94060.800000000003</v>
      </c>
      <c r="AZ44" s="106">
        <v>25</v>
      </c>
      <c r="BA44" s="106">
        <v>25560</v>
      </c>
      <c r="BB44" s="106">
        <v>16</v>
      </c>
      <c r="BC44" s="106">
        <v>16358.4</v>
      </c>
      <c r="BD44" s="106">
        <v>25</v>
      </c>
      <c r="BE44" s="106">
        <v>25560</v>
      </c>
      <c r="BF44" s="106">
        <v>24</v>
      </c>
      <c r="BG44" s="106">
        <v>24537.599999999999</v>
      </c>
      <c r="BH44" s="106">
        <v>15</v>
      </c>
      <c r="BI44" s="106">
        <v>15336</v>
      </c>
      <c r="BJ44" s="106">
        <v>19</v>
      </c>
      <c r="BK44" s="106">
        <v>19425.599999999999</v>
      </c>
      <c r="BL44" s="106">
        <v>18</v>
      </c>
      <c r="BM44" s="106">
        <v>18403.2</v>
      </c>
      <c r="BN44" s="106">
        <v>12</v>
      </c>
      <c r="BO44" s="106">
        <v>12268.8</v>
      </c>
      <c r="BP44" s="106">
        <v>29</v>
      </c>
      <c r="BQ44" s="106">
        <v>29649.599999999999</v>
      </c>
      <c r="BR44" s="106">
        <v>31</v>
      </c>
      <c r="BS44" s="106">
        <v>31694.399999999998</v>
      </c>
      <c r="BT44" s="106">
        <v>18</v>
      </c>
      <c r="BU44" s="106">
        <v>18403.2</v>
      </c>
      <c r="BV44" s="106">
        <v>18</v>
      </c>
      <c r="BW44" s="106">
        <v>18403.2</v>
      </c>
      <c r="BX44" s="106">
        <v>20</v>
      </c>
      <c r="BY44" s="106">
        <v>20448</v>
      </c>
      <c r="BZ44" s="106">
        <v>23</v>
      </c>
      <c r="CA44" s="106">
        <v>23515.200000000001</v>
      </c>
      <c r="CB44" s="106">
        <v>17</v>
      </c>
      <c r="CC44" s="106">
        <v>17380.8</v>
      </c>
      <c r="CD44" s="106">
        <v>23</v>
      </c>
      <c r="CE44" s="106">
        <v>23515.200000000001</v>
      </c>
      <c r="CF44" s="106">
        <v>58</v>
      </c>
      <c r="CG44" s="106">
        <v>59299.199999999997</v>
      </c>
      <c r="CH44" s="106">
        <v>47</v>
      </c>
      <c r="CI44" s="106">
        <v>48052.799999999996</v>
      </c>
      <c r="CJ44" s="106">
        <v>62</v>
      </c>
      <c r="CK44" s="106">
        <v>63388.799999999996</v>
      </c>
      <c r="CL44" s="106">
        <v>60</v>
      </c>
      <c r="CM44" s="106">
        <v>61344</v>
      </c>
      <c r="CN44" s="106">
        <v>18</v>
      </c>
      <c r="CO44" s="106">
        <v>18403.2</v>
      </c>
      <c r="CP44" s="106">
        <v>14</v>
      </c>
      <c r="CQ44" s="106">
        <v>14313.6</v>
      </c>
      <c r="CR44" s="106">
        <v>13</v>
      </c>
      <c r="CS44" s="106">
        <v>13291.199999999999</v>
      </c>
      <c r="CT44" s="106">
        <v>14</v>
      </c>
      <c r="CU44" s="106">
        <v>14313.6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79.281660662254055</v>
      </c>
      <c r="I45" s="106">
        <v>99038.650499287774</v>
      </c>
      <c r="J45" s="106">
        <v>70.455180926385282</v>
      </c>
      <c r="K45" s="106">
        <v>88012.61201324049</v>
      </c>
      <c r="L45" s="106">
        <v>16</v>
      </c>
      <c r="M45" s="106">
        <v>19987.2</v>
      </c>
      <c r="N45" s="106">
        <v>14</v>
      </c>
      <c r="O45" s="106">
        <v>17488.8</v>
      </c>
      <c r="P45" s="106">
        <v>24</v>
      </c>
      <c r="Q45" s="106">
        <v>29980.800000000003</v>
      </c>
      <c r="R45" s="106">
        <v>15</v>
      </c>
      <c r="S45" s="106">
        <v>18738</v>
      </c>
      <c r="T45" s="106">
        <v>7</v>
      </c>
      <c r="U45" s="106">
        <v>8744.4</v>
      </c>
      <c r="V45" s="106">
        <v>14</v>
      </c>
      <c r="W45" s="106">
        <v>17488.8</v>
      </c>
      <c r="X45" s="106">
        <v>10</v>
      </c>
      <c r="Y45" s="106">
        <v>12492</v>
      </c>
      <c r="Z45" s="106">
        <v>7</v>
      </c>
      <c r="AA45" s="106">
        <v>8744.4</v>
      </c>
      <c r="AB45" s="106">
        <v>22</v>
      </c>
      <c r="AC45" s="106">
        <v>27482.400000000001</v>
      </c>
      <c r="AD45" s="106">
        <v>14</v>
      </c>
      <c r="AE45" s="106">
        <v>17488.8</v>
      </c>
      <c r="AF45" s="106">
        <v>20</v>
      </c>
      <c r="AG45" s="106">
        <v>24984</v>
      </c>
      <c r="AH45" s="106">
        <v>24</v>
      </c>
      <c r="AI45" s="106">
        <v>29980.800000000003</v>
      </c>
      <c r="AJ45" s="106">
        <v>14</v>
      </c>
      <c r="AK45" s="106">
        <v>17488.8</v>
      </c>
      <c r="AL45" s="106">
        <v>16</v>
      </c>
      <c r="AM45" s="106">
        <v>19987.2</v>
      </c>
      <c r="AN45" s="106">
        <v>8</v>
      </c>
      <c r="AO45" s="106">
        <v>9993.6</v>
      </c>
      <c r="AP45" s="106">
        <v>14</v>
      </c>
      <c r="AQ45" s="106">
        <v>17488.8</v>
      </c>
      <c r="AR45" s="106">
        <v>91</v>
      </c>
      <c r="AS45" s="106">
        <v>113677.2</v>
      </c>
      <c r="AT45" s="106">
        <v>106</v>
      </c>
      <c r="AU45" s="106">
        <v>132415.20000000001</v>
      </c>
      <c r="AV45" s="106">
        <v>112</v>
      </c>
      <c r="AW45" s="106">
        <v>139910.39999999999</v>
      </c>
      <c r="AX45" s="106">
        <v>82</v>
      </c>
      <c r="AY45" s="106">
        <v>102434.40000000001</v>
      </c>
      <c r="AZ45" s="106">
        <v>26</v>
      </c>
      <c r="BA45" s="106">
        <v>32479.200000000001</v>
      </c>
      <c r="BB45" s="106">
        <v>17</v>
      </c>
      <c r="BC45" s="106">
        <v>21236.400000000001</v>
      </c>
      <c r="BD45" s="106">
        <v>25</v>
      </c>
      <c r="BE45" s="106">
        <v>31230</v>
      </c>
      <c r="BF45" s="106">
        <v>23</v>
      </c>
      <c r="BG45" s="106">
        <v>28731.600000000002</v>
      </c>
      <c r="BH45" s="106">
        <v>15</v>
      </c>
      <c r="BI45" s="106">
        <v>18738</v>
      </c>
      <c r="BJ45" s="106">
        <v>18</v>
      </c>
      <c r="BK45" s="106">
        <v>22485.600000000002</v>
      </c>
      <c r="BL45" s="106">
        <v>17</v>
      </c>
      <c r="BM45" s="106">
        <v>21236.400000000001</v>
      </c>
      <c r="BN45" s="106">
        <v>14</v>
      </c>
      <c r="BO45" s="106">
        <v>17488.8</v>
      </c>
      <c r="BP45" s="106">
        <v>28</v>
      </c>
      <c r="BQ45" s="106">
        <v>34977.599999999999</v>
      </c>
      <c r="BR45" s="106">
        <v>31</v>
      </c>
      <c r="BS45" s="106">
        <v>38725.200000000004</v>
      </c>
      <c r="BT45" s="106">
        <v>17</v>
      </c>
      <c r="BU45" s="106">
        <v>21236.400000000001</v>
      </c>
      <c r="BV45" s="106">
        <v>18</v>
      </c>
      <c r="BW45" s="106">
        <v>22485.600000000002</v>
      </c>
      <c r="BX45" s="106">
        <v>20</v>
      </c>
      <c r="BY45" s="106">
        <v>24984</v>
      </c>
      <c r="BZ45" s="106">
        <v>21</v>
      </c>
      <c r="CA45" s="106">
        <v>26233.200000000001</v>
      </c>
      <c r="CB45" s="106">
        <v>18</v>
      </c>
      <c r="CC45" s="106">
        <v>22485.600000000002</v>
      </c>
      <c r="CD45" s="106">
        <v>24</v>
      </c>
      <c r="CE45" s="106">
        <v>29980.800000000003</v>
      </c>
      <c r="CF45" s="106">
        <v>50</v>
      </c>
      <c r="CG45" s="106">
        <v>62460</v>
      </c>
      <c r="CH45" s="106">
        <v>44</v>
      </c>
      <c r="CI45" s="106">
        <v>54964.800000000003</v>
      </c>
      <c r="CJ45" s="106">
        <v>62</v>
      </c>
      <c r="CK45" s="106">
        <v>77450.400000000009</v>
      </c>
      <c r="CL45" s="106">
        <v>58</v>
      </c>
      <c r="CM45" s="106">
        <v>72453.600000000006</v>
      </c>
      <c r="CN45" s="106">
        <v>17</v>
      </c>
      <c r="CO45" s="106">
        <v>21236.400000000001</v>
      </c>
      <c r="CP45" s="106">
        <v>17</v>
      </c>
      <c r="CQ45" s="106">
        <v>21236.400000000001</v>
      </c>
      <c r="CR45" s="106">
        <v>13</v>
      </c>
      <c r="CS45" s="106">
        <v>16239.6</v>
      </c>
      <c r="CT45" s="106">
        <v>13</v>
      </c>
      <c r="CU45" s="106">
        <v>16239.6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77.926418599651427</v>
      </c>
      <c r="I46" s="106">
        <v>94446.819342777526</v>
      </c>
      <c r="J46" s="106">
        <v>72.941834370845925</v>
      </c>
      <c r="K46" s="106">
        <v>88405.503257465258</v>
      </c>
      <c r="L46" s="106">
        <v>16</v>
      </c>
      <c r="M46" s="106">
        <v>19392</v>
      </c>
      <c r="N46" s="106">
        <v>15</v>
      </c>
      <c r="O46" s="106">
        <v>18180</v>
      </c>
      <c r="P46" s="106">
        <v>23</v>
      </c>
      <c r="Q46" s="106">
        <v>27876</v>
      </c>
      <c r="R46" s="106">
        <v>17</v>
      </c>
      <c r="S46" s="106">
        <v>20604</v>
      </c>
      <c r="T46" s="106">
        <v>7</v>
      </c>
      <c r="U46" s="106">
        <v>8484</v>
      </c>
      <c r="V46" s="106">
        <v>13</v>
      </c>
      <c r="W46" s="106">
        <v>15756</v>
      </c>
      <c r="X46" s="106">
        <v>11</v>
      </c>
      <c r="Y46" s="106">
        <v>13332</v>
      </c>
      <c r="Z46" s="106">
        <v>7</v>
      </c>
      <c r="AA46" s="106">
        <v>8484</v>
      </c>
      <c r="AB46" s="106">
        <v>24</v>
      </c>
      <c r="AC46" s="106">
        <v>29088</v>
      </c>
      <c r="AD46" s="106">
        <v>13</v>
      </c>
      <c r="AE46" s="106">
        <v>15756</v>
      </c>
      <c r="AF46" s="106">
        <v>19</v>
      </c>
      <c r="AG46" s="106">
        <v>23028</v>
      </c>
      <c r="AH46" s="106">
        <v>22</v>
      </c>
      <c r="AI46" s="106">
        <v>26664</v>
      </c>
      <c r="AJ46" s="106">
        <v>15</v>
      </c>
      <c r="AK46" s="106">
        <v>18180</v>
      </c>
      <c r="AL46" s="106">
        <v>15</v>
      </c>
      <c r="AM46" s="106">
        <v>18180</v>
      </c>
      <c r="AN46" s="106">
        <v>9</v>
      </c>
      <c r="AO46" s="106">
        <v>10908</v>
      </c>
      <c r="AP46" s="106">
        <v>13</v>
      </c>
      <c r="AQ46" s="106">
        <v>15756</v>
      </c>
      <c r="AR46" s="106">
        <v>85</v>
      </c>
      <c r="AS46" s="106">
        <v>103020</v>
      </c>
      <c r="AT46" s="106">
        <v>106</v>
      </c>
      <c r="AU46" s="106">
        <v>128472</v>
      </c>
      <c r="AV46" s="106">
        <v>121</v>
      </c>
      <c r="AW46" s="106">
        <v>146652</v>
      </c>
      <c r="AX46" s="106">
        <v>81</v>
      </c>
      <c r="AY46" s="106">
        <v>98172</v>
      </c>
      <c r="AZ46" s="106">
        <v>25</v>
      </c>
      <c r="BA46" s="106">
        <v>30300</v>
      </c>
      <c r="BB46" s="106">
        <v>16</v>
      </c>
      <c r="BC46" s="106">
        <v>19392</v>
      </c>
      <c r="BD46" s="106">
        <v>25</v>
      </c>
      <c r="BE46" s="106">
        <v>30300</v>
      </c>
      <c r="BF46" s="106">
        <v>26</v>
      </c>
      <c r="BG46" s="106">
        <v>31512</v>
      </c>
      <c r="BH46" s="106">
        <v>14</v>
      </c>
      <c r="BI46" s="106">
        <v>16968</v>
      </c>
      <c r="BJ46" s="106">
        <v>17</v>
      </c>
      <c r="BK46" s="106">
        <v>20604</v>
      </c>
      <c r="BL46" s="106">
        <v>16</v>
      </c>
      <c r="BM46" s="106">
        <v>19392</v>
      </c>
      <c r="BN46" s="106">
        <v>14</v>
      </c>
      <c r="BO46" s="106">
        <v>16968</v>
      </c>
      <c r="BP46" s="106">
        <v>28</v>
      </c>
      <c r="BQ46" s="106">
        <v>33936</v>
      </c>
      <c r="BR46" s="106">
        <v>29</v>
      </c>
      <c r="BS46" s="106">
        <v>35148</v>
      </c>
      <c r="BT46" s="106">
        <v>19</v>
      </c>
      <c r="BU46" s="106">
        <v>23028</v>
      </c>
      <c r="BV46" s="106">
        <v>16</v>
      </c>
      <c r="BW46" s="106">
        <v>19392</v>
      </c>
      <c r="BX46" s="106">
        <v>17</v>
      </c>
      <c r="BY46" s="106">
        <v>20604</v>
      </c>
      <c r="BZ46" s="106">
        <v>20</v>
      </c>
      <c r="CA46" s="106">
        <v>24240</v>
      </c>
      <c r="CB46" s="106">
        <v>18</v>
      </c>
      <c r="CC46" s="106">
        <v>21816</v>
      </c>
      <c r="CD46" s="106">
        <v>20</v>
      </c>
      <c r="CE46" s="106">
        <v>24240</v>
      </c>
      <c r="CF46" s="106">
        <v>60</v>
      </c>
      <c r="CG46" s="106">
        <v>72720</v>
      </c>
      <c r="CH46" s="106">
        <v>45</v>
      </c>
      <c r="CI46" s="106">
        <v>54540</v>
      </c>
      <c r="CJ46" s="106">
        <v>65</v>
      </c>
      <c r="CK46" s="106">
        <v>78780</v>
      </c>
      <c r="CL46" s="106">
        <v>63</v>
      </c>
      <c r="CM46" s="106">
        <v>76356</v>
      </c>
      <c r="CN46" s="106">
        <v>15</v>
      </c>
      <c r="CO46" s="106">
        <v>18180</v>
      </c>
      <c r="CP46" s="106">
        <v>14</v>
      </c>
      <c r="CQ46" s="106">
        <v>16968</v>
      </c>
      <c r="CR46" s="106">
        <v>12</v>
      </c>
      <c r="CS46" s="106">
        <v>14544</v>
      </c>
      <c r="CT46" s="106">
        <v>15</v>
      </c>
      <c r="CU46" s="106">
        <v>18180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77.248797568350099</v>
      </c>
      <c r="I47" s="106">
        <v>118005.2631654116</v>
      </c>
      <c r="J47" s="106">
        <v>67.968527481924625</v>
      </c>
      <c r="K47" s="106">
        <v>103828.72258138805</v>
      </c>
      <c r="L47" s="106">
        <v>17</v>
      </c>
      <c r="M47" s="106">
        <v>25969.199999999997</v>
      </c>
      <c r="N47" s="106">
        <v>14</v>
      </c>
      <c r="O47" s="106">
        <v>21386.399999999998</v>
      </c>
      <c r="P47" s="106">
        <v>23</v>
      </c>
      <c r="Q47" s="106">
        <v>35134.799999999996</v>
      </c>
      <c r="R47" s="106">
        <v>15</v>
      </c>
      <c r="S47" s="106">
        <v>22914</v>
      </c>
      <c r="T47" s="106">
        <v>7</v>
      </c>
      <c r="U47" s="106">
        <v>10693.199999999999</v>
      </c>
      <c r="V47" s="106">
        <v>13</v>
      </c>
      <c r="W47" s="106">
        <v>19858.8</v>
      </c>
      <c r="X47" s="106">
        <v>11</v>
      </c>
      <c r="Y47" s="106">
        <v>16803.599999999999</v>
      </c>
      <c r="Z47" s="106">
        <v>7</v>
      </c>
      <c r="AA47" s="106">
        <v>10693.199999999999</v>
      </c>
      <c r="AB47" s="106">
        <v>21</v>
      </c>
      <c r="AC47" s="106">
        <v>32079.599999999999</v>
      </c>
      <c r="AD47" s="106">
        <v>13</v>
      </c>
      <c r="AE47" s="106">
        <v>19858.8</v>
      </c>
      <c r="AF47" s="106">
        <v>20</v>
      </c>
      <c r="AG47" s="106">
        <v>30552</v>
      </c>
      <c r="AH47" s="106">
        <v>19</v>
      </c>
      <c r="AI47" s="106">
        <v>29024.399999999998</v>
      </c>
      <c r="AJ47" s="106">
        <v>15</v>
      </c>
      <c r="AK47" s="106">
        <v>22914</v>
      </c>
      <c r="AL47" s="106">
        <v>16</v>
      </c>
      <c r="AM47" s="106">
        <v>24441.599999999999</v>
      </c>
      <c r="AN47" s="106">
        <v>8</v>
      </c>
      <c r="AO47" s="106">
        <v>12220.8</v>
      </c>
      <c r="AP47" s="106">
        <v>14</v>
      </c>
      <c r="AQ47" s="106">
        <v>21386.399999999998</v>
      </c>
      <c r="AR47" s="106">
        <v>87</v>
      </c>
      <c r="AS47" s="106">
        <v>132901.19999999998</v>
      </c>
      <c r="AT47" s="106">
        <v>102</v>
      </c>
      <c r="AU47" s="106">
        <v>155815.19999999998</v>
      </c>
      <c r="AV47" s="106">
        <v>111</v>
      </c>
      <c r="AW47" s="106">
        <v>169563.59999999998</v>
      </c>
      <c r="AX47" s="106">
        <v>87</v>
      </c>
      <c r="AY47" s="106">
        <v>132901.19999999998</v>
      </c>
      <c r="AZ47" s="106">
        <v>23</v>
      </c>
      <c r="BA47" s="106">
        <v>35134.799999999996</v>
      </c>
      <c r="BB47" s="106">
        <v>18</v>
      </c>
      <c r="BC47" s="106">
        <v>27496.799999999999</v>
      </c>
      <c r="BD47" s="106">
        <v>24</v>
      </c>
      <c r="BE47" s="106">
        <v>36662.399999999994</v>
      </c>
      <c r="BF47" s="106">
        <v>23</v>
      </c>
      <c r="BG47" s="106">
        <v>35134.799999999996</v>
      </c>
      <c r="BH47" s="106">
        <v>12</v>
      </c>
      <c r="BI47" s="106">
        <v>18331.199999999997</v>
      </c>
      <c r="BJ47" s="106">
        <v>16</v>
      </c>
      <c r="BK47" s="106">
        <v>24441.599999999999</v>
      </c>
      <c r="BL47" s="106">
        <v>18</v>
      </c>
      <c r="BM47" s="106">
        <v>27496.799999999999</v>
      </c>
      <c r="BN47" s="106">
        <v>13</v>
      </c>
      <c r="BO47" s="106">
        <v>19858.8</v>
      </c>
      <c r="BP47" s="106">
        <v>27</v>
      </c>
      <c r="BQ47" s="106">
        <v>41245.199999999997</v>
      </c>
      <c r="BR47" s="106">
        <v>30</v>
      </c>
      <c r="BS47" s="106">
        <v>45828</v>
      </c>
      <c r="BT47" s="106">
        <v>17</v>
      </c>
      <c r="BU47" s="106">
        <v>25969.199999999997</v>
      </c>
      <c r="BV47" s="106">
        <v>19</v>
      </c>
      <c r="BW47" s="106">
        <v>29024.399999999998</v>
      </c>
      <c r="BX47" s="106">
        <v>17</v>
      </c>
      <c r="BY47" s="106">
        <v>25969.199999999997</v>
      </c>
      <c r="BZ47" s="106">
        <v>21</v>
      </c>
      <c r="CA47" s="106">
        <v>32079.599999999999</v>
      </c>
      <c r="CB47" s="106">
        <v>16</v>
      </c>
      <c r="CC47" s="106">
        <v>24441.599999999999</v>
      </c>
      <c r="CD47" s="106">
        <v>21</v>
      </c>
      <c r="CE47" s="106">
        <v>32079.599999999999</v>
      </c>
      <c r="CF47" s="106">
        <v>55</v>
      </c>
      <c r="CG47" s="106">
        <v>84018</v>
      </c>
      <c r="CH47" s="106">
        <v>41</v>
      </c>
      <c r="CI47" s="106">
        <v>62631.6</v>
      </c>
      <c r="CJ47" s="106">
        <v>58</v>
      </c>
      <c r="CK47" s="106">
        <v>88600.799999999988</v>
      </c>
      <c r="CL47" s="106">
        <v>59</v>
      </c>
      <c r="CM47" s="106">
        <v>90128.4</v>
      </c>
      <c r="CN47" s="106">
        <v>15</v>
      </c>
      <c r="CO47" s="106">
        <v>22914</v>
      </c>
      <c r="CP47" s="106">
        <v>14</v>
      </c>
      <c r="CQ47" s="106">
        <v>21386.399999999998</v>
      </c>
      <c r="CR47" s="106">
        <v>12</v>
      </c>
      <c r="CS47" s="106">
        <v>18331.199999999997</v>
      </c>
      <c r="CT47" s="106">
        <v>14</v>
      </c>
      <c r="CU47" s="106">
        <v>21386.399999999998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87.413113037869863</v>
      </c>
      <c r="I48" s="106">
        <v>75839.61687165589</v>
      </c>
      <c r="J48" s="106">
        <v>82.888448148688553</v>
      </c>
      <c r="K48" s="106">
        <v>71914.017613802192</v>
      </c>
      <c r="L48" s="106">
        <v>16</v>
      </c>
      <c r="M48" s="106">
        <v>13881.6</v>
      </c>
      <c r="N48" s="106">
        <v>15</v>
      </c>
      <c r="O48" s="106">
        <v>13014</v>
      </c>
      <c r="P48" s="106">
        <v>23</v>
      </c>
      <c r="Q48" s="106">
        <v>19954.8</v>
      </c>
      <c r="R48" s="106">
        <v>17</v>
      </c>
      <c r="S48" s="106">
        <v>14749.2</v>
      </c>
      <c r="T48" s="106">
        <v>8</v>
      </c>
      <c r="U48" s="106">
        <v>6940.8</v>
      </c>
      <c r="V48" s="106">
        <v>14</v>
      </c>
      <c r="W48" s="106">
        <v>12146.4</v>
      </c>
      <c r="X48" s="106">
        <v>10</v>
      </c>
      <c r="Y48" s="106">
        <v>8676</v>
      </c>
      <c r="Z48" s="106">
        <v>8</v>
      </c>
      <c r="AA48" s="106">
        <v>6940.8</v>
      </c>
      <c r="AB48" s="106">
        <v>22</v>
      </c>
      <c r="AC48" s="106">
        <v>19087.2</v>
      </c>
      <c r="AD48" s="106">
        <v>12</v>
      </c>
      <c r="AE48" s="106">
        <v>10411.200000000001</v>
      </c>
      <c r="AF48" s="106">
        <v>22</v>
      </c>
      <c r="AG48" s="106">
        <v>19087.2</v>
      </c>
      <c r="AH48" s="106">
        <v>23</v>
      </c>
      <c r="AI48" s="106">
        <v>19954.8</v>
      </c>
      <c r="AJ48" s="106">
        <v>16</v>
      </c>
      <c r="AK48" s="106">
        <v>13881.6</v>
      </c>
      <c r="AL48" s="106">
        <v>18</v>
      </c>
      <c r="AM48" s="106">
        <v>15616.800000000001</v>
      </c>
      <c r="AN48" s="106">
        <v>9</v>
      </c>
      <c r="AO48" s="106">
        <v>7808.4000000000005</v>
      </c>
      <c r="AP48" s="106">
        <v>14</v>
      </c>
      <c r="AQ48" s="106">
        <v>12146.4</v>
      </c>
      <c r="AR48" s="106">
        <v>92</v>
      </c>
      <c r="AS48" s="106">
        <v>79819.199999999997</v>
      </c>
      <c r="AT48" s="106">
        <v>124</v>
      </c>
      <c r="AU48" s="106">
        <v>107582.40000000001</v>
      </c>
      <c r="AV48" s="106">
        <v>129</v>
      </c>
      <c r="AW48" s="106">
        <v>111920.40000000001</v>
      </c>
      <c r="AX48" s="106">
        <v>96</v>
      </c>
      <c r="AY48" s="106">
        <v>83289.600000000006</v>
      </c>
      <c r="AZ48" s="106">
        <v>25</v>
      </c>
      <c r="BA48" s="106">
        <v>21690</v>
      </c>
      <c r="BB48" s="106">
        <v>18</v>
      </c>
      <c r="BC48" s="106">
        <v>15616.800000000001</v>
      </c>
      <c r="BD48" s="106">
        <v>26</v>
      </c>
      <c r="BE48" s="106">
        <v>22557.600000000002</v>
      </c>
      <c r="BF48" s="106">
        <v>26</v>
      </c>
      <c r="BG48" s="106">
        <v>22557.600000000002</v>
      </c>
      <c r="BH48" s="106">
        <v>12</v>
      </c>
      <c r="BI48" s="106">
        <v>10411.200000000001</v>
      </c>
      <c r="BJ48" s="106">
        <v>20</v>
      </c>
      <c r="BK48" s="106">
        <v>17352</v>
      </c>
      <c r="BL48" s="106">
        <v>19</v>
      </c>
      <c r="BM48" s="106">
        <v>16484.400000000001</v>
      </c>
      <c r="BN48" s="106">
        <v>15</v>
      </c>
      <c r="BO48" s="106">
        <v>13014</v>
      </c>
      <c r="BP48" s="106">
        <v>30</v>
      </c>
      <c r="BQ48" s="106">
        <v>26028</v>
      </c>
      <c r="BR48" s="106">
        <v>30</v>
      </c>
      <c r="BS48" s="106">
        <v>26028</v>
      </c>
      <c r="BT48" s="106">
        <v>17</v>
      </c>
      <c r="BU48" s="106">
        <v>14749.2</v>
      </c>
      <c r="BV48" s="106">
        <v>20</v>
      </c>
      <c r="BW48" s="106">
        <v>17352</v>
      </c>
      <c r="BX48" s="106">
        <v>19</v>
      </c>
      <c r="BY48" s="106">
        <v>16484.400000000001</v>
      </c>
      <c r="BZ48" s="106">
        <v>23</v>
      </c>
      <c r="CA48" s="106">
        <v>19954.8</v>
      </c>
      <c r="CB48" s="106">
        <v>17</v>
      </c>
      <c r="CC48" s="106">
        <v>14749.2</v>
      </c>
      <c r="CD48" s="106">
        <v>22</v>
      </c>
      <c r="CE48" s="106">
        <v>19087.2</v>
      </c>
      <c r="CF48" s="106">
        <v>60</v>
      </c>
      <c r="CG48" s="106">
        <v>52056</v>
      </c>
      <c r="CH48" s="106">
        <v>47</v>
      </c>
      <c r="CI48" s="106">
        <v>40777.200000000004</v>
      </c>
      <c r="CJ48" s="106">
        <v>66</v>
      </c>
      <c r="CK48" s="106">
        <v>57261.599999999999</v>
      </c>
      <c r="CL48" s="106">
        <v>59</v>
      </c>
      <c r="CM48" s="106">
        <v>51188.4</v>
      </c>
      <c r="CN48" s="106">
        <v>15</v>
      </c>
      <c r="CO48" s="106">
        <v>13014</v>
      </c>
      <c r="CP48" s="106">
        <v>16</v>
      </c>
      <c r="CQ48" s="106">
        <v>13881.6</v>
      </c>
      <c r="CR48" s="106">
        <v>13</v>
      </c>
      <c r="CS48" s="106">
        <v>11278.800000000001</v>
      </c>
      <c r="CT48" s="106">
        <v>14</v>
      </c>
      <c r="CU48" s="106">
        <v>12146.4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14.073720044224782</v>
      </c>
      <c r="I49" s="106">
        <v>13865.428987570254</v>
      </c>
      <c r="J49" s="106">
        <v>13.339987132991084</v>
      </c>
      <c r="K49" s="106">
        <v>13142.555323422815</v>
      </c>
      <c r="L49" s="106">
        <v>3.4973567698886567</v>
      </c>
      <c r="M49" s="106">
        <v>3445.5958896943043</v>
      </c>
      <c r="N49" s="106">
        <v>3.4179616105268256</v>
      </c>
      <c r="O49" s="106">
        <v>3367.3757786910282</v>
      </c>
      <c r="P49" s="106">
        <v>2.0886802298515685</v>
      </c>
      <c r="Q49" s="106">
        <v>2057.7677624497651</v>
      </c>
      <c r="R49" s="106">
        <v>1.9683012883939961</v>
      </c>
      <c r="S49" s="106">
        <v>1939.1704293257649</v>
      </c>
      <c r="T49" s="106">
        <v>0.87634302560999189</v>
      </c>
      <c r="U49" s="106">
        <v>863.37314883096394</v>
      </c>
      <c r="V49" s="106">
        <v>0.81490705551811038</v>
      </c>
      <c r="W49" s="106">
        <v>802.8464310964423</v>
      </c>
      <c r="X49" s="106">
        <v>1.1845053737440572</v>
      </c>
      <c r="Y49" s="106">
        <v>1166.9746942126451</v>
      </c>
      <c r="Z49" s="106">
        <v>1.1250453946129158</v>
      </c>
      <c r="AA49" s="106">
        <v>1108.3947227726446</v>
      </c>
      <c r="AB49" s="106">
        <v>2.6917173316118115</v>
      </c>
      <c r="AC49" s="106">
        <v>2651.8799151039566</v>
      </c>
      <c r="AD49" s="106">
        <v>2.9979209048588227</v>
      </c>
      <c r="AE49" s="106">
        <v>2953.551675466912</v>
      </c>
      <c r="AF49" s="106">
        <v>4.4331603663954855</v>
      </c>
      <c r="AG49" s="106">
        <v>4367.5495929728322</v>
      </c>
      <c r="AH49" s="106">
        <v>2.8221407487105279</v>
      </c>
      <c r="AI49" s="106">
        <v>2780.373065629612</v>
      </c>
      <c r="AJ49" s="106">
        <v>6.511838031333899</v>
      </c>
      <c r="AK49" s="106">
        <v>6415.4628284701566</v>
      </c>
      <c r="AL49" s="106">
        <v>6.307549599652563</v>
      </c>
      <c r="AM49" s="106">
        <v>6214.1978655777048</v>
      </c>
      <c r="AN49" s="106">
        <v>5.4827856033603677</v>
      </c>
      <c r="AO49" s="106">
        <v>5401.6403764306342</v>
      </c>
      <c r="AP49" s="106">
        <v>4.2689692417141707</v>
      </c>
      <c r="AQ49" s="106">
        <v>4205.7884969368006</v>
      </c>
      <c r="AR49" s="106">
        <v>1.4942400605149744</v>
      </c>
      <c r="AS49" s="106">
        <v>1472.1253076193527</v>
      </c>
      <c r="AT49" s="106">
        <v>3.3295039467873355</v>
      </c>
      <c r="AU49" s="106">
        <v>3280.2272883748828</v>
      </c>
      <c r="AV49" s="106">
        <v>2.6567958864618055</v>
      </c>
      <c r="AW49" s="106">
        <v>2617.4753073421707</v>
      </c>
      <c r="AX49" s="106">
        <v>3.2191682453081958</v>
      </c>
      <c r="AY49" s="106">
        <v>3171.5245552776341</v>
      </c>
      <c r="AZ49" s="106">
        <v>5.4073610395046172</v>
      </c>
      <c r="BA49" s="106">
        <v>5327.3320961199488</v>
      </c>
      <c r="BB49" s="106">
        <v>4.6397907224562918</v>
      </c>
      <c r="BC49" s="106">
        <v>4571.1218197639382</v>
      </c>
      <c r="BD49" s="106">
        <v>9.4395742284455597</v>
      </c>
      <c r="BE49" s="106">
        <v>9299.8685298645651</v>
      </c>
      <c r="BF49" s="106">
        <v>6.6587266854710574</v>
      </c>
      <c r="BG49" s="106">
        <v>6560.1775305260853</v>
      </c>
      <c r="BH49" s="106">
        <v>4.5465082166726427</v>
      </c>
      <c r="BI49" s="106">
        <v>4479.2198950658876</v>
      </c>
      <c r="BJ49" s="106">
        <v>4.2115023480757117</v>
      </c>
      <c r="BK49" s="106">
        <v>4149.1721133241908</v>
      </c>
      <c r="BL49" s="106">
        <v>3.4197904952542713</v>
      </c>
      <c r="BM49" s="106">
        <v>3369.1775959245078</v>
      </c>
      <c r="BN49" s="106">
        <v>5.0407602910636262</v>
      </c>
      <c r="BO49" s="106">
        <v>4966.1570387558841</v>
      </c>
      <c r="BP49" s="106">
        <v>4.3581715840783479</v>
      </c>
      <c r="BQ49" s="106">
        <v>4293.6706446339876</v>
      </c>
      <c r="BR49" s="106">
        <v>3.9937133117091546</v>
      </c>
      <c r="BS49" s="106">
        <v>3934.606354695859</v>
      </c>
      <c r="BT49" s="106">
        <v>6.2816490336636512</v>
      </c>
      <c r="BU49" s="106">
        <v>6188.6806279654284</v>
      </c>
      <c r="BV49" s="106">
        <v>5.4758086475996119</v>
      </c>
      <c r="BW49" s="106">
        <v>5394.766679615137</v>
      </c>
      <c r="BX49" s="106">
        <v>6.0109274135389841</v>
      </c>
      <c r="BY49" s="106">
        <v>5921.965687818607</v>
      </c>
      <c r="BZ49" s="106">
        <v>6.1002262423380769</v>
      </c>
      <c r="CA49" s="106">
        <v>6009.9428939514728</v>
      </c>
      <c r="CB49" s="106">
        <v>8.7366272114336549</v>
      </c>
      <c r="CC49" s="106">
        <v>8607.3251287044368</v>
      </c>
      <c r="CD49" s="106">
        <v>4.0163748261571453</v>
      </c>
      <c r="CE49" s="106">
        <v>3956.9324787300193</v>
      </c>
      <c r="CF49" s="106">
        <v>6.5568300029921254</v>
      </c>
      <c r="CG49" s="106">
        <v>6459.7889189478419</v>
      </c>
      <c r="CH49" s="106">
        <v>8.4045331946247739</v>
      </c>
      <c r="CI49" s="106">
        <v>8280.1461033443265</v>
      </c>
      <c r="CJ49" s="106">
        <v>10.281601976522863</v>
      </c>
      <c r="CK49" s="106">
        <v>10129.434267270324</v>
      </c>
      <c r="CL49" s="106">
        <v>0</v>
      </c>
      <c r="CM49" s="106">
        <v>0</v>
      </c>
      <c r="CN49" s="106">
        <v>10.526809344792682</v>
      </c>
      <c r="CO49" s="106">
        <v>10371.01256648975</v>
      </c>
      <c r="CP49" s="106">
        <v>5.0136932715187035</v>
      </c>
      <c r="CQ49" s="106">
        <v>4939.4906111002265</v>
      </c>
      <c r="CR49" s="106">
        <v>3.6560621385632217</v>
      </c>
      <c r="CS49" s="106">
        <v>3601.9524189124859</v>
      </c>
      <c r="CT49" s="106">
        <v>7.4000558054043504</v>
      </c>
      <c r="CU49" s="106">
        <v>7290.5349794843651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43.367746003284267</v>
      </c>
      <c r="I50" s="106">
        <v>12229.704372926164</v>
      </c>
      <c r="J50" s="106">
        <v>38.957570629883627</v>
      </c>
      <c r="K50" s="106">
        <v>10986.034917627183</v>
      </c>
      <c r="L50" s="106">
        <v>12</v>
      </c>
      <c r="M50" s="106">
        <v>3384</v>
      </c>
      <c r="N50" s="106">
        <v>12</v>
      </c>
      <c r="O50" s="106">
        <v>3384</v>
      </c>
      <c r="P50" s="106">
        <v>8</v>
      </c>
      <c r="Q50" s="106">
        <v>2256</v>
      </c>
      <c r="R50" s="106">
        <v>8</v>
      </c>
      <c r="S50" s="106">
        <v>2256</v>
      </c>
      <c r="T50" s="106">
        <v>5</v>
      </c>
      <c r="U50" s="106">
        <v>1410</v>
      </c>
      <c r="V50" s="106">
        <v>6</v>
      </c>
      <c r="W50" s="106">
        <v>1692</v>
      </c>
      <c r="X50" s="106">
        <v>7</v>
      </c>
      <c r="Y50" s="106">
        <v>1974</v>
      </c>
      <c r="Z50" s="106">
        <v>9</v>
      </c>
      <c r="AA50" s="106">
        <v>2538</v>
      </c>
      <c r="AB50" s="106">
        <v>6</v>
      </c>
      <c r="AC50" s="106">
        <v>1692</v>
      </c>
      <c r="AD50" s="106">
        <v>6</v>
      </c>
      <c r="AE50" s="106">
        <v>1692</v>
      </c>
      <c r="AF50" s="106">
        <v>7</v>
      </c>
      <c r="AG50" s="106">
        <v>1974</v>
      </c>
      <c r="AH50" s="106">
        <v>5</v>
      </c>
      <c r="AI50" s="106">
        <v>1410</v>
      </c>
      <c r="AJ50" s="106">
        <v>28</v>
      </c>
      <c r="AK50" s="106">
        <v>7896</v>
      </c>
      <c r="AL50" s="106">
        <v>30</v>
      </c>
      <c r="AM50" s="106">
        <v>8460</v>
      </c>
      <c r="AN50" s="106">
        <v>23</v>
      </c>
      <c r="AO50" s="106">
        <v>6486</v>
      </c>
      <c r="AP50" s="106">
        <v>19</v>
      </c>
      <c r="AQ50" s="106">
        <v>5358</v>
      </c>
      <c r="AR50" s="106">
        <v>15</v>
      </c>
      <c r="AS50" s="106">
        <v>4230</v>
      </c>
      <c r="AT50" s="106">
        <v>24</v>
      </c>
      <c r="AU50" s="106">
        <v>6768</v>
      </c>
      <c r="AV50" s="106">
        <v>16</v>
      </c>
      <c r="AW50" s="106">
        <v>4512</v>
      </c>
      <c r="AX50" s="106">
        <v>20</v>
      </c>
      <c r="AY50" s="106">
        <v>5640</v>
      </c>
      <c r="AZ50" s="106">
        <v>11</v>
      </c>
      <c r="BA50" s="106">
        <v>3102</v>
      </c>
      <c r="BB50" s="106">
        <v>10</v>
      </c>
      <c r="BC50" s="106">
        <v>2820</v>
      </c>
      <c r="BD50" s="106">
        <v>17</v>
      </c>
      <c r="BE50" s="106">
        <v>4794</v>
      </c>
      <c r="BF50" s="106">
        <v>10</v>
      </c>
      <c r="BG50" s="106">
        <v>2820</v>
      </c>
      <c r="BH50" s="106">
        <v>20</v>
      </c>
      <c r="BI50" s="106">
        <v>5640</v>
      </c>
      <c r="BJ50" s="106">
        <v>19</v>
      </c>
      <c r="BK50" s="106">
        <v>5358</v>
      </c>
      <c r="BL50" s="106">
        <v>15</v>
      </c>
      <c r="BM50" s="106">
        <v>4230</v>
      </c>
      <c r="BN50" s="106">
        <v>23</v>
      </c>
      <c r="BO50" s="106">
        <v>6486</v>
      </c>
      <c r="BP50" s="106">
        <v>18</v>
      </c>
      <c r="BQ50" s="106">
        <v>5076</v>
      </c>
      <c r="BR50" s="106">
        <v>14</v>
      </c>
      <c r="BS50" s="106">
        <v>3948</v>
      </c>
      <c r="BT50" s="106">
        <v>20</v>
      </c>
      <c r="BU50" s="106">
        <v>5640</v>
      </c>
      <c r="BV50" s="106">
        <v>17</v>
      </c>
      <c r="BW50" s="106">
        <v>4794</v>
      </c>
      <c r="BX50" s="106">
        <v>27</v>
      </c>
      <c r="BY50" s="106">
        <v>7614</v>
      </c>
      <c r="BZ50" s="106">
        <v>32</v>
      </c>
      <c r="CA50" s="106">
        <v>9024</v>
      </c>
      <c r="CB50" s="106">
        <v>38</v>
      </c>
      <c r="CC50" s="106">
        <v>10716</v>
      </c>
      <c r="CD50" s="106">
        <v>19</v>
      </c>
      <c r="CE50" s="106">
        <v>5358</v>
      </c>
      <c r="CF50" s="106">
        <v>17</v>
      </c>
      <c r="CG50" s="106">
        <v>4794</v>
      </c>
      <c r="CH50" s="106">
        <v>14</v>
      </c>
      <c r="CI50" s="106">
        <v>3948</v>
      </c>
      <c r="CJ50" s="106">
        <v>26</v>
      </c>
      <c r="CK50" s="106">
        <v>7332</v>
      </c>
      <c r="CL50" s="106">
        <v>26</v>
      </c>
      <c r="CM50" s="106">
        <v>7332</v>
      </c>
      <c r="CN50" s="106">
        <v>14</v>
      </c>
      <c r="CO50" s="106">
        <v>3948</v>
      </c>
      <c r="CP50" s="106">
        <v>17</v>
      </c>
      <c r="CQ50" s="106">
        <v>4794</v>
      </c>
      <c r="CR50" s="106">
        <v>9</v>
      </c>
      <c r="CS50" s="106">
        <v>2538</v>
      </c>
      <c r="CT50" s="106">
        <v>18</v>
      </c>
      <c r="CU50" s="106">
        <v>5076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40.657261878079005</v>
      </c>
      <c r="I51" s="106">
        <v>34737.564548630704</v>
      </c>
      <c r="J51" s="106">
        <v>38.128686148396739</v>
      </c>
      <c r="K51" s="106">
        <v>32577.149445190171</v>
      </c>
      <c r="L51" s="106">
        <v>12</v>
      </c>
      <c r="M51" s="106">
        <v>10252.799999999999</v>
      </c>
      <c r="N51" s="106">
        <v>13</v>
      </c>
      <c r="O51" s="106">
        <v>11107.199999999999</v>
      </c>
      <c r="P51" s="106">
        <v>8</v>
      </c>
      <c r="Q51" s="106">
        <v>6835.2</v>
      </c>
      <c r="R51" s="106">
        <v>8</v>
      </c>
      <c r="S51" s="106">
        <v>6835.2</v>
      </c>
      <c r="T51" s="106">
        <v>5</v>
      </c>
      <c r="U51" s="106">
        <v>4272</v>
      </c>
      <c r="V51" s="106">
        <v>5</v>
      </c>
      <c r="W51" s="106">
        <v>4272</v>
      </c>
      <c r="X51" s="106">
        <v>7</v>
      </c>
      <c r="Y51" s="106">
        <v>5980.8</v>
      </c>
      <c r="Z51" s="106">
        <v>8</v>
      </c>
      <c r="AA51" s="106">
        <v>6835.2</v>
      </c>
      <c r="AB51" s="106">
        <v>5</v>
      </c>
      <c r="AC51" s="106">
        <v>4272</v>
      </c>
      <c r="AD51" s="106">
        <v>5</v>
      </c>
      <c r="AE51" s="106">
        <v>4272</v>
      </c>
      <c r="AF51" s="106">
        <v>8</v>
      </c>
      <c r="AG51" s="106">
        <v>6835.2</v>
      </c>
      <c r="AH51" s="106">
        <v>5</v>
      </c>
      <c r="AI51" s="106">
        <v>4272</v>
      </c>
      <c r="AJ51" s="106">
        <v>25</v>
      </c>
      <c r="AK51" s="106">
        <v>21360</v>
      </c>
      <c r="AL51" s="106">
        <v>27</v>
      </c>
      <c r="AM51" s="106">
        <v>23068.799999999999</v>
      </c>
      <c r="AN51" s="106">
        <v>19</v>
      </c>
      <c r="AO51" s="106">
        <v>16233.6</v>
      </c>
      <c r="AP51" s="106">
        <v>19</v>
      </c>
      <c r="AQ51" s="106">
        <v>16233.6</v>
      </c>
      <c r="AR51" s="106">
        <v>16</v>
      </c>
      <c r="AS51" s="106">
        <v>13670.4</v>
      </c>
      <c r="AT51" s="106">
        <v>22</v>
      </c>
      <c r="AU51" s="106">
        <v>18796.8</v>
      </c>
      <c r="AV51" s="106">
        <v>16</v>
      </c>
      <c r="AW51" s="106">
        <v>13670.4</v>
      </c>
      <c r="AX51" s="106">
        <v>19</v>
      </c>
      <c r="AY51" s="106">
        <v>16233.6</v>
      </c>
      <c r="AZ51" s="106">
        <v>10</v>
      </c>
      <c r="BA51" s="106">
        <v>8544</v>
      </c>
      <c r="BB51" s="106">
        <v>9</v>
      </c>
      <c r="BC51" s="106">
        <v>7689.5999999999995</v>
      </c>
      <c r="BD51" s="106">
        <v>15</v>
      </c>
      <c r="BE51" s="106">
        <v>12816</v>
      </c>
      <c r="BF51" s="106">
        <v>9</v>
      </c>
      <c r="BG51" s="106">
        <v>7689.5999999999995</v>
      </c>
      <c r="BH51" s="106">
        <v>19</v>
      </c>
      <c r="BI51" s="106">
        <v>16233.6</v>
      </c>
      <c r="BJ51" s="106">
        <v>15</v>
      </c>
      <c r="BK51" s="106">
        <v>12816</v>
      </c>
      <c r="BL51" s="106">
        <v>14</v>
      </c>
      <c r="BM51" s="106">
        <v>11961.6</v>
      </c>
      <c r="BN51" s="106">
        <v>22</v>
      </c>
      <c r="BO51" s="106">
        <v>18796.8</v>
      </c>
      <c r="BP51" s="106">
        <v>19</v>
      </c>
      <c r="BQ51" s="106">
        <v>16233.6</v>
      </c>
      <c r="BR51" s="106">
        <v>15</v>
      </c>
      <c r="BS51" s="106">
        <v>12816</v>
      </c>
      <c r="BT51" s="106">
        <v>18</v>
      </c>
      <c r="BU51" s="106">
        <v>15379.199999999999</v>
      </c>
      <c r="BV51" s="106">
        <v>16</v>
      </c>
      <c r="BW51" s="106">
        <v>13670.4</v>
      </c>
      <c r="BX51" s="106">
        <v>25</v>
      </c>
      <c r="BY51" s="106">
        <v>21360</v>
      </c>
      <c r="BZ51" s="106">
        <v>30</v>
      </c>
      <c r="CA51" s="106">
        <v>25632</v>
      </c>
      <c r="CB51" s="106">
        <v>34</v>
      </c>
      <c r="CC51" s="106">
        <v>29049.599999999999</v>
      </c>
      <c r="CD51" s="106">
        <v>19</v>
      </c>
      <c r="CE51" s="106">
        <v>16233.6</v>
      </c>
      <c r="CF51" s="106">
        <v>16</v>
      </c>
      <c r="CG51" s="106">
        <v>13670.4</v>
      </c>
      <c r="CH51" s="106">
        <v>14</v>
      </c>
      <c r="CI51" s="106">
        <v>11961.6</v>
      </c>
      <c r="CJ51" s="106">
        <v>23</v>
      </c>
      <c r="CK51" s="106">
        <v>19651.2</v>
      </c>
      <c r="CL51" s="106">
        <v>23</v>
      </c>
      <c r="CM51" s="106">
        <v>19651.2</v>
      </c>
      <c r="CN51" s="106">
        <v>14</v>
      </c>
      <c r="CO51" s="106">
        <v>11961.6</v>
      </c>
      <c r="CP51" s="106">
        <v>17</v>
      </c>
      <c r="CQ51" s="106">
        <v>14524.8</v>
      </c>
      <c r="CR51" s="106">
        <v>9</v>
      </c>
      <c r="CS51" s="106">
        <v>7689.5999999999995</v>
      </c>
      <c r="CT51" s="106">
        <v>17</v>
      </c>
      <c r="CU51" s="106">
        <v>14524.8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42.690124971982954</v>
      </c>
      <c r="I52" s="106">
        <v>23052.667484870795</v>
      </c>
      <c r="J52" s="106">
        <v>43.101993037318053</v>
      </c>
      <c r="K52" s="106">
        <v>23275.07624015175</v>
      </c>
      <c r="L52" s="106">
        <v>13</v>
      </c>
      <c r="M52" s="106">
        <v>7020</v>
      </c>
      <c r="N52" s="106">
        <v>13</v>
      </c>
      <c r="O52" s="106">
        <v>7020</v>
      </c>
      <c r="P52" s="106">
        <v>8</v>
      </c>
      <c r="Q52" s="106">
        <v>4320</v>
      </c>
      <c r="R52" s="106">
        <v>8</v>
      </c>
      <c r="S52" s="106">
        <v>4320</v>
      </c>
      <c r="T52" s="106">
        <v>5</v>
      </c>
      <c r="U52" s="106">
        <v>2700</v>
      </c>
      <c r="V52" s="106">
        <v>6</v>
      </c>
      <c r="W52" s="106">
        <v>3240</v>
      </c>
      <c r="X52" s="106">
        <v>7</v>
      </c>
      <c r="Y52" s="106">
        <v>3780</v>
      </c>
      <c r="Z52" s="106">
        <v>7</v>
      </c>
      <c r="AA52" s="106">
        <v>3780</v>
      </c>
      <c r="AB52" s="106">
        <v>6</v>
      </c>
      <c r="AC52" s="106">
        <v>3240</v>
      </c>
      <c r="AD52" s="106">
        <v>6</v>
      </c>
      <c r="AE52" s="106">
        <v>3240</v>
      </c>
      <c r="AF52" s="106">
        <v>7</v>
      </c>
      <c r="AG52" s="106">
        <v>3780</v>
      </c>
      <c r="AH52" s="106">
        <v>5</v>
      </c>
      <c r="AI52" s="106">
        <v>2700</v>
      </c>
      <c r="AJ52" s="106">
        <v>28</v>
      </c>
      <c r="AK52" s="106">
        <v>15120</v>
      </c>
      <c r="AL52" s="106">
        <v>25</v>
      </c>
      <c r="AM52" s="106">
        <v>13500</v>
      </c>
      <c r="AN52" s="106">
        <v>21</v>
      </c>
      <c r="AO52" s="106">
        <v>11340</v>
      </c>
      <c r="AP52" s="106">
        <v>17</v>
      </c>
      <c r="AQ52" s="106">
        <v>9180</v>
      </c>
      <c r="AR52" s="106">
        <v>15</v>
      </c>
      <c r="AS52" s="106">
        <v>8100</v>
      </c>
      <c r="AT52" s="106">
        <v>24</v>
      </c>
      <c r="AU52" s="106">
        <v>12960</v>
      </c>
      <c r="AV52" s="106">
        <v>15</v>
      </c>
      <c r="AW52" s="106">
        <v>8100</v>
      </c>
      <c r="AX52" s="106">
        <v>20</v>
      </c>
      <c r="AY52" s="106">
        <v>10800</v>
      </c>
      <c r="AZ52" s="106">
        <v>12</v>
      </c>
      <c r="BA52" s="106">
        <v>6480</v>
      </c>
      <c r="BB52" s="106">
        <v>10</v>
      </c>
      <c r="BC52" s="106">
        <v>5400</v>
      </c>
      <c r="BD52" s="106">
        <v>15</v>
      </c>
      <c r="BE52" s="106">
        <v>8100</v>
      </c>
      <c r="BF52" s="106">
        <v>9</v>
      </c>
      <c r="BG52" s="106">
        <v>4860</v>
      </c>
      <c r="BH52" s="106">
        <v>19</v>
      </c>
      <c r="BI52" s="106">
        <v>10260</v>
      </c>
      <c r="BJ52" s="106">
        <v>19</v>
      </c>
      <c r="BK52" s="106">
        <v>10260</v>
      </c>
      <c r="BL52" s="106">
        <v>13</v>
      </c>
      <c r="BM52" s="106">
        <v>7020</v>
      </c>
      <c r="BN52" s="106">
        <v>20</v>
      </c>
      <c r="BO52" s="106">
        <v>10800</v>
      </c>
      <c r="BP52" s="106">
        <v>19</v>
      </c>
      <c r="BQ52" s="106">
        <v>10260</v>
      </c>
      <c r="BR52" s="106">
        <v>16</v>
      </c>
      <c r="BS52" s="106">
        <v>8640</v>
      </c>
      <c r="BT52" s="106">
        <v>19</v>
      </c>
      <c r="BU52" s="106">
        <v>10260</v>
      </c>
      <c r="BV52" s="106">
        <v>19</v>
      </c>
      <c r="BW52" s="106">
        <v>10260</v>
      </c>
      <c r="BX52" s="106">
        <v>26</v>
      </c>
      <c r="BY52" s="106">
        <v>14040</v>
      </c>
      <c r="BZ52" s="106">
        <v>32</v>
      </c>
      <c r="CA52" s="106">
        <v>17280</v>
      </c>
      <c r="CB52" s="106">
        <v>34</v>
      </c>
      <c r="CC52" s="106">
        <v>18360</v>
      </c>
      <c r="CD52" s="106">
        <v>21</v>
      </c>
      <c r="CE52" s="106">
        <v>11340</v>
      </c>
      <c r="CF52" s="106">
        <v>17</v>
      </c>
      <c r="CG52" s="106">
        <v>9180</v>
      </c>
      <c r="CH52" s="106">
        <v>13</v>
      </c>
      <c r="CI52" s="106">
        <v>7020</v>
      </c>
      <c r="CJ52" s="106">
        <v>24</v>
      </c>
      <c r="CK52" s="106">
        <v>12960</v>
      </c>
      <c r="CL52" s="106">
        <v>23</v>
      </c>
      <c r="CM52" s="106">
        <v>12420</v>
      </c>
      <c r="CN52" s="106">
        <v>12</v>
      </c>
      <c r="CO52" s="106">
        <v>6480</v>
      </c>
      <c r="CP52" s="106">
        <v>17</v>
      </c>
      <c r="CQ52" s="106">
        <v>9180</v>
      </c>
      <c r="CR52" s="106">
        <v>8</v>
      </c>
      <c r="CS52" s="106">
        <v>4320</v>
      </c>
      <c r="CT52" s="106">
        <v>16</v>
      </c>
      <c r="CU52" s="106">
        <v>8640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41.334882909380326</v>
      </c>
      <c r="I53" s="106">
        <v>16815.030367535917</v>
      </c>
      <c r="J53" s="106">
        <v>36.470917185422962</v>
      </c>
      <c r="K53" s="106">
        <v>14836.369111030061</v>
      </c>
      <c r="L53" s="106">
        <v>11</v>
      </c>
      <c r="M53" s="106">
        <v>4474.8</v>
      </c>
      <c r="N53" s="106">
        <v>13</v>
      </c>
      <c r="O53" s="106">
        <v>5288.4000000000005</v>
      </c>
      <c r="P53" s="106">
        <v>9</v>
      </c>
      <c r="Q53" s="106">
        <v>3661.2000000000003</v>
      </c>
      <c r="R53" s="106">
        <v>8</v>
      </c>
      <c r="S53" s="106">
        <v>3254.4</v>
      </c>
      <c r="T53" s="106">
        <v>5</v>
      </c>
      <c r="U53" s="106">
        <v>2034</v>
      </c>
      <c r="V53" s="106">
        <v>6</v>
      </c>
      <c r="W53" s="106">
        <v>2440.8000000000002</v>
      </c>
      <c r="X53" s="106">
        <v>8</v>
      </c>
      <c r="Y53" s="106">
        <v>3254.4</v>
      </c>
      <c r="Z53" s="106">
        <v>8</v>
      </c>
      <c r="AA53" s="106">
        <v>3254.4</v>
      </c>
      <c r="AB53" s="106">
        <v>6</v>
      </c>
      <c r="AC53" s="106">
        <v>2440.8000000000002</v>
      </c>
      <c r="AD53" s="106">
        <v>6</v>
      </c>
      <c r="AE53" s="106">
        <v>2440.8000000000002</v>
      </c>
      <c r="AF53" s="106">
        <v>7</v>
      </c>
      <c r="AG53" s="106">
        <v>2847.6</v>
      </c>
      <c r="AH53" s="106">
        <v>5</v>
      </c>
      <c r="AI53" s="106">
        <v>2034</v>
      </c>
      <c r="AJ53" s="106">
        <v>27</v>
      </c>
      <c r="AK53" s="106">
        <v>10983.6</v>
      </c>
      <c r="AL53" s="106">
        <v>27</v>
      </c>
      <c r="AM53" s="106">
        <v>10983.6</v>
      </c>
      <c r="AN53" s="106">
        <v>19</v>
      </c>
      <c r="AO53" s="106">
        <v>7729.2</v>
      </c>
      <c r="AP53" s="106">
        <v>19</v>
      </c>
      <c r="AQ53" s="106">
        <v>7729.2</v>
      </c>
      <c r="AR53" s="106">
        <v>17</v>
      </c>
      <c r="AS53" s="106">
        <v>6915.6</v>
      </c>
      <c r="AT53" s="106">
        <v>24</v>
      </c>
      <c r="AU53" s="106">
        <v>9763.2000000000007</v>
      </c>
      <c r="AV53" s="106">
        <v>18</v>
      </c>
      <c r="AW53" s="106">
        <v>7322.4000000000005</v>
      </c>
      <c r="AX53" s="106">
        <v>18</v>
      </c>
      <c r="AY53" s="106">
        <v>7322.4000000000005</v>
      </c>
      <c r="AZ53" s="106">
        <v>11</v>
      </c>
      <c r="BA53" s="106">
        <v>4474.8</v>
      </c>
      <c r="BB53" s="106">
        <v>10</v>
      </c>
      <c r="BC53" s="106">
        <v>4068</v>
      </c>
      <c r="BD53" s="106">
        <v>15</v>
      </c>
      <c r="BE53" s="106">
        <v>6102</v>
      </c>
      <c r="BF53" s="106">
        <v>9</v>
      </c>
      <c r="BG53" s="106">
        <v>3661.2000000000003</v>
      </c>
      <c r="BH53" s="106">
        <v>19</v>
      </c>
      <c r="BI53" s="106">
        <v>7729.2</v>
      </c>
      <c r="BJ53" s="106">
        <v>19</v>
      </c>
      <c r="BK53" s="106">
        <v>7729.2</v>
      </c>
      <c r="BL53" s="106">
        <v>15</v>
      </c>
      <c r="BM53" s="106">
        <v>6102</v>
      </c>
      <c r="BN53" s="106">
        <v>21</v>
      </c>
      <c r="BO53" s="106">
        <v>8542.8000000000011</v>
      </c>
      <c r="BP53" s="106">
        <v>18</v>
      </c>
      <c r="BQ53" s="106">
        <v>7322.4000000000005</v>
      </c>
      <c r="BR53" s="106">
        <v>15</v>
      </c>
      <c r="BS53" s="106">
        <v>6102</v>
      </c>
      <c r="BT53" s="106">
        <v>20</v>
      </c>
      <c r="BU53" s="106">
        <v>8136</v>
      </c>
      <c r="BV53" s="106">
        <v>18</v>
      </c>
      <c r="BW53" s="106">
        <v>7322.4000000000005</v>
      </c>
      <c r="BX53" s="106">
        <v>26</v>
      </c>
      <c r="BY53" s="106">
        <v>10576.800000000001</v>
      </c>
      <c r="BZ53" s="106">
        <v>30</v>
      </c>
      <c r="CA53" s="106">
        <v>12204</v>
      </c>
      <c r="CB53" s="106">
        <v>34</v>
      </c>
      <c r="CC53" s="106">
        <v>13831.2</v>
      </c>
      <c r="CD53" s="106">
        <v>22</v>
      </c>
      <c r="CE53" s="106">
        <v>8949.6</v>
      </c>
      <c r="CF53" s="106">
        <v>17</v>
      </c>
      <c r="CG53" s="106">
        <v>6915.6</v>
      </c>
      <c r="CH53" s="106">
        <v>15</v>
      </c>
      <c r="CI53" s="106">
        <v>6102</v>
      </c>
      <c r="CJ53" s="106">
        <v>25</v>
      </c>
      <c r="CK53" s="106">
        <v>10170</v>
      </c>
      <c r="CL53" s="106">
        <v>23</v>
      </c>
      <c r="CM53" s="106">
        <v>9356.4</v>
      </c>
      <c r="CN53" s="106">
        <v>13</v>
      </c>
      <c r="CO53" s="106">
        <v>5288.4000000000005</v>
      </c>
      <c r="CP53" s="106">
        <v>16</v>
      </c>
      <c r="CQ53" s="106">
        <v>6508.8</v>
      </c>
      <c r="CR53" s="106">
        <v>9</v>
      </c>
      <c r="CS53" s="106">
        <v>3661.2000000000003</v>
      </c>
      <c r="CT53" s="106">
        <v>17</v>
      </c>
      <c r="CU53" s="106">
        <v>6915.6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43.367746003284267</v>
      </c>
      <c r="I54" s="106">
        <v>14519.521361899573</v>
      </c>
      <c r="J54" s="106">
        <v>39.786455111370515</v>
      </c>
      <c r="K54" s="106">
        <v>13320.505171286848</v>
      </c>
      <c r="L54" s="106">
        <v>12</v>
      </c>
      <c r="M54" s="106">
        <v>4017.6000000000004</v>
      </c>
      <c r="N54" s="106">
        <v>11</v>
      </c>
      <c r="O54" s="106">
        <v>3682.8</v>
      </c>
      <c r="P54" s="106">
        <v>7</v>
      </c>
      <c r="Q54" s="106">
        <v>2343.6</v>
      </c>
      <c r="R54" s="106">
        <v>9</v>
      </c>
      <c r="S54" s="106">
        <v>3013.2000000000003</v>
      </c>
      <c r="T54" s="106">
        <v>5</v>
      </c>
      <c r="U54" s="106">
        <v>1674</v>
      </c>
      <c r="V54" s="106">
        <v>6</v>
      </c>
      <c r="W54" s="106">
        <v>2008.8000000000002</v>
      </c>
      <c r="X54" s="106">
        <v>8</v>
      </c>
      <c r="Y54" s="106">
        <v>2678.4</v>
      </c>
      <c r="Z54" s="106">
        <v>8</v>
      </c>
      <c r="AA54" s="106">
        <v>2678.4</v>
      </c>
      <c r="AB54" s="106">
        <v>5</v>
      </c>
      <c r="AC54" s="106">
        <v>1674</v>
      </c>
      <c r="AD54" s="106">
        <v>7</v>
      </c>
      <c r="AE54" s="106">
        <v>2343.6</v>
      </c>
      <c r="AF54" s="106">
        <v>7</v>
      </c>
      <c r="AG54" s="106">
        <v>2343.6</v>
      </c>
      <c r="AH54" s="106">
        <v>6</v>
      </c>
      <c r="AI54" s="106">
        <v>2008.8000000000002</v>
      </c>
      <c r="AJ54" s="106">
        <v>29</v>
      </c>
      <c r="AK54" s="106">
        <v>9709.2000000000007</v>
      </c>
      <c r="AL54" s="106">
        <v>26</v>
      </c>
      <c r="AM54" s="106">
        <v>8704.8000000000011</v>
      </c>
      <c r="AN54" s="106">
        <v>20</v>
      </c>
      <c r="AO54" s="106">
        <v>6696</v>
      </c>
      <c r="AP54" s="106">
        <v>17</v>
      </c>
      <c r="AQ54" s="106">
        <v>5691.6</v>
      </c>
      <c r="AR54" s="106">
        <v>14</v>
      </c>
      <c r="AS54" s="106">
        <v>4687.2</v>
      </c>
      <c r="AT54" s="106">
        <v>22</v>
      </c>
      <c r="AU54" s="106">
        <v>7365.6</v>
      </c>
      <c r="AV54" s="106">
        <v>16</v>
      </c>
      <c r="AW54" s="106">
        <v>5356.8</v>
      </c>
      <c r="AX54" s="106">
        <v>18</v>
      </c>
      <c r="AY54" s="106">
        <v>6026.4000000000005</v>
      </c>
      <c r="AZ54" s="106">
        <v>10</v>
      </c>
      <c r="BA54" s="106">
        <v>3348</v>
      </c>
      <c r="BB54" s="106">
        <v>11</v>
      </c>
      <c r="BC54" s="106">
        <v>3682.8</v>
      </c>
      <c r="BD54" s="106">
        <v>17</v>
      </c>
      <c r="BE54" s="106">
        <v>5691.6</v>
      </c>
      <c r="BF54" s="106">
        <v>9</v>
      </c>
      <c r="BG54" s="106">
        <v>3013.2000000000003</v>
      </c>
      <c r="BH54" s="106">
        <v>21</v>
      </c>
      <c r="BI54" s="106">
        <v>7030.8</v>
      </c>
      <c r="BJ54" s="106">
        <v>18</v>
      </c>
      <c r="BK54" s="106">
        <v>6026.4000000000005</v>
      </c>
      <c r="BL54" s="106">
        <v>15</v>
      </c>
      <c r="BM54" s="106">
        <v>5022</v>
      </c>
      <c r="BN54" s="106">
        <v>22</v>
      </c>
      <c r="BO54" s="106">
        <v>7365.6</v>
      </c>
      <c r="BP54" s="106">
        <v>18</v>
      </c>
      <c r="BQ54" s="106">
        <v>6026.4000000000005</v>
      </c>
      <c r="BR54" s="106">
        <v>15</v>
      </c>
      <c r="BS54" s="106">
        <v>5022</v>
      </c>
      <c r="BT54" s="106">
        <v>21</v>
      </c>
      <c r="BU54" s="106">
        <v>7030.8</v>
      </c>
      <c r="BV54" s="106">
        <v>20</v>
      </c>
      <c r="BW54" s="106">
        <v>6696</v>
      </c>
      <c r="BX54" s="106">
        <v>26</v>
      </c>
      <c r="BY54" s="106">
        <v>8704.8000000000011</v>
      </c>
      <c r="BZ54" s="106">
        <v>34</v>
      </c>
      <c r="CA54" s="106">
        <v>11383.2</v>
      </c>
      <c r="CB54" s="106">
        <v>33</v>
      </c>
      <c r="CC54" s="106">
        <v>11048.4</v>
      </c>
      <c r="CD54" s="106">
        <v>20</v>
      </c>
      <c r="CE54" s="106">
        <v>6696</v>
      </c>
      <c r="CF54" s="106">
        <v>19</v>
      </c>
      <c r="CG54" s="106">
        <v>6361.2</v>
      </c>
      <c r="CH54" s="106">
        <v>13</v>
      </c>
      <c r="CI54" s="106">
        <v>4352.4000000000005</v>
      </c>
      <c r="CJ54" s="106">
        <v>25</v>
      </c>
      <c r="CK54" s="106">
        <v>8370</v>
      </c>
      <c r="CL54" s="106">
        <v>25</v>
      </c>
      <c r="CM54" s="106">
        <v>8370</v>
      </c>
      <c r="CN54" s="106">
        <v>15</v>
      </c>
      <c r="CO54" s="106">
        <v>5022</v>
      </c>
      <c r="CP54" s="106">
        <v>17</v>
      </c>
      <c r="CQ54" s="106">
        <v>5691.6</v>
      </c>
      <c r="CR54" s="106">
        <v>10</v>
      </c>
      <c r="CS54" s="106">
        <v>3348</v>
      </c>
      <c r="CT54" s="106">
        <v>16</v>
      </c>
      <c r="CU54" s="106">
        <v>5356.8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41.334882909380326</v>
      </c>
      <c r="I55" s="106">
        <v>27429.828298664786</v>
      </c>
      <c r="J55" s="106">
        <v>36.470917185422962</v>
      </c>
      <c r="K55" s="106">
        <v>24202.100644246679</v>
      </c>
      <c r="L55" s="106">
        <v>12</v>
      </c>
      <c r="M55" s="106">
        <v>7963.2000000000007</v>
      </c>
      <c r="N55" s="106">
        <v>13</v>
      </c>
      <c r="O55" s="106">
        <v>8626.8000000000011</v>
      </c>
      <c r="P55" s="106">
        <v>8</v>
      </c>
      <c r="Q55" s="106">
        <v>5308.8</v>
      </c>
      <c r="R55" s="106">
        <v>9</v>
      </c>
      <c r="S55" s="106">
        <v>5972.4000000000005</v>
      </c>
      <c r="T55" s="106">
        <v>6</v>
      </c>
      <c r="U55" s="106">
        <v>3981.6000000000004</v>
      </c>
      <c r="V55" s="106">
        <v>6</v>
      </c>
      <c r="W55" s="106">
        <v>3981.6000000000004</v>
      </c>
      <c r="X55" s="106">
        <v>7</v>
      </c>
      <c r="Y55" s="106">
        <v>4645.2</v>
      </c>
      <c r="Z55" s="106">
        <v>7</v>
      </c>
      <c r="AA55" s="106">
        <v>4645.2</v>
      </c>
      <c r="AB55" s="106">
        <v>5</v>
      </c>
      <c r="AC55" s="106">
        <v>3318</v>
      </c>
      <c r="AD55" s="106">
        <v>6</v>
      </c>
      <c r="AE55" s="106">
        <v>3981.6000000000004</v>
      </c>
      <c r="AF55" s="106">
        <v>7</v>
      </c>
      <c r="AG55" s="106">
        <v>4645.2</v>
      </c>
      <c r="AH55" s="106">
        <v>5</v>
      </c>
      <c r="AI55" s="106">
        <v>3318</v>
      </c>
      <c r="AJ55" s="106">
        <v>26</v>
      </c>
      <c r="AK55" s="106">
        <v>17253.600000000002</v>
      </c>
      <c r="AL55" s="106">
        <v>26</v>
      </c>
      <c r="AM55" s="106">
        <v>17253.600000000002</v>
      </c>
      <c r="AN55" s="106">
        <v>19</v>
      </c>
      <c r="AO55" s="106">
        <v>12608.4</v>
      </c>
      <c r="AP55" s="106">
        <v>17</v>
      </c>
      <c r="AQ55" s="106">
        <v>11281.2</v>
      </c>
      <c r="AR55" s="106">
        <v>16</v>
      </c>
      <c r="AS55" s="106">
        <v>10617.6</v>
      </c>
      <c r="AT55" s="106">
        <v>23</v>
      </c>
      <c r="AU55" s="106">
        <v>15262.800000000001</v>
      </c>
      <c r="AV55" s="106">
        <v>18</v>
      </c>
      <c r="AW55" s="106">
        <v>11944.800000000001</v>
      </c>
      <c r="AX55" s="106">
        <v>20</v>
      </c>
      <c r="AY55" s="106">
        <v>13272</v>
      </c>
      <c r="AZ55" s="106">
        <v>12</v>
      </c>
      <c r="BA55" s="106">
        <v>7963.2000000000007</v>
      </c>
      <c r="BB55" s="106">
        <v>10</v>
      </c>
      <c r="BC55" s="106">
        <v>6636</v>
      </c>
      <c r="BD55" s="106">
        <v>18</v>
      </c>
      <c r="BE55" s="106">
        <v>11944.800000000001</v>
      </c>
      <c r="BF55" s="106">
        <v>9</v>
      </c>
      <c r="BG55" s="106">
        <v>5972.4000000000005</v>
      </c>
      <c r="BH55" s="106">
        <v>21</v>
      </c>
      <c r="BI55" s="106">
        <v>13935.6</v>
      </c>
      <c r="BJ55" s="106">
        <v>16</v>
      </c>
      <c r="BK55" s="106">
        <v>10617.6</v>
      </c>
      <c r="BL55" s="106">
        <v>14</v>
      </c>
      <c r="BM55" s="106">
        <v>9290.4</v>
      </c>
      <c r="BN55" s="106">
        <v>20</v>
      </c>
      <c r="BO55" s="106">
        <v>13272</v>
      </c>
      <c r="BP55" s="106">
        <v>18</v>
      </c>
      <c r="BQ55" s="106">
        <v>11944.800000000001</v>
      </c>
      <c r="BR55" s="106">
        <v>16</v>
      </c>
      <c r="BS55" s="106">
        <v>10617.6</v>
      </c>
      <c r="BT55" s="106">
        <v>21</v>
      </c>
      <c r="BU55" s="106">
        <v>13935.6</v>
      </c>
      <c r="BV55" s="106">
        <v>19</v>
      </c>
      <c r="BW55" s="106">
        <v>12608.4</v>
      </c>
      <c r="BX55" s="106">
        <v>25</v>
      </c>
      <c r="BY55" s="106">
        <v>16590</v>
      </c>
      <c r="BZ55" s="106">
        <v>32</v>
      </c>
      <c r="CA55" s="106">
        <v>21235.200000000001</v>
      </c>
      <c r="CB55" s="106">
        <v>35</v>
      </c>
      <c r="CC55" s="106">
        <v>23226</v>
      </c>
      <c r="CD55" s="106">
        <v>19</v>
      </c>
      <c r="CE55" s="106">
        <v>12608.4</v>
      </c>
      <c r="CF55" s="106">
        <v>16</v>
      </c>
      <c r="CG55" s="106">
        <v>10617.6</v>
      </c>
      <c r="CH55" s="106">
        <v>13</v>
      </c>
      <c r="CI55" s="106">
        <v>8626.8000000000011</v>
      </c>
      <c r="CJ55" s="106">
        <v>25</v>
      </c>
      <c r="CK55" s="106">
        <v>16590</v>
      </c>
      <c r="CL55" s="106">
        <v>26</v>
      </c>
      <c r="CM55" s="106">
        <v>17253.600000000002</v>
      </c>
      <c r="CN55" s="106">
        <v>13</v>
      </c>
      <c r="CO55" s="106">
        <v>8626.8000000000011</v>
      </c>
      <c r="CP55" s="106">
        <v>17</v>
      </c>
      <c r="CQ55" s="106">
        <v>11281.2</v>
      </c>
      <c r="CR55" s="106">
        <v>8</v>
      </c>
      <c r="CS55" s="106">
        <v>5308.8</v>
      </c>
      <c r="CT55" s="106">
        <v>16</v>
      </c>
      <c r="CU55" s="106">
        <v>10617.6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14.62563063419438</v>
      </c>
      <c r="I56" s="106">
        <v>16831.175733830893</v>
      </c>
      <c r="J56" s="106">
        <v>11.394572342763217</v>
      </c>
      <c r="K56" s="106">
        <v>13112.873852051909</v>
      </c>
      <c r="L56" s="106">
        <v>3.4973567698886567</v>
      </c>
      <c r="M56" s="106">
        <v>4024.7581707878662</v>
      </c>
      <c r="N56" s="106">
        <v>3.7286853933019914</v>
      </c>
      <c r="O56" s="106">
        <v>4290.971150611932</v>
      </c>
      <c r="P56" s="106">
        <v>1.8275952011201226</v>
      </c>
      <c r="Q56" s="106">
        <v>2103.1965574490368</v>
      </c>
      <c r="R56" s="106">
        <v>1.9683012883939961</v>
      </c>
      <c r="S56" s="106">
        <v>2265.1211226838104</v>
      </c>
      <c r="T56" s="106">
        <v>0.7302858546749933</v>
      </c>
      <c r="U56" s="106">
        <v>840.41296155998225</v>
      </c>
      <c r="V56" s="106">
        <v>0.97788846662173234</v>
      </c>
      <c r="W56" s="106">
        <v>1125.3540473882895</v>
      </c>
      <c r="X56" s="106">
        <v>1.3537204271360652</v>
      </c>
      <c r="Y56" s="106">
        <v>1557.8614675481838</v>
      </c>
      <c r="Z56" s="106">
        <v>1.1250453946129158</v>
      </c>
      <c r="AA56" s="106">
        <v>1294.7022401205434</v>
      </c>
      <c r="AB56" s="106">
        <v>2.6917173316118115</v>
      </c>
      <c r="AC56" s="106">
        <v>3097.6283052188724</v>
      </c>
      <c r="AD56" s="106">
        <v>2.4982674207156852</v>
      </c>
      <c r="AE56" s="106">
        <v>2875.0061477596105</v>
      </c>
      <c r="AF56" s="106">
        <v>3.3248702747966141</v>
      </c>
      <c r="AG56" s="106">
        <v>3826.2607122359432</v>
      </c>
      <c r="AH56" s="106">
        <v>2.2577125989684226</v>
      </c>
      <c r="AI56" s="106">
        <v>2598.1756588928606</v>
      </c>
      <c r="AJ56" s="106">
        <v>5.7604721046415257</v>
      </c>
      <c r="AK56" s="106">
        <v>6629.1512980214675</v>
      </c>
      <c r="AL56" s="106">
        <v>6.8121535676247671</v>
      </c>
      <c r="AM56" s="106">
        <v>7839.4263256225813</v>
      </c>
      <c r="AN56" s="106">
        <v>5.4827856033603677</v>
      </c>
      <c r="AO56" s="106">
        <v>6309.5896723471105</v>
      </c>
      <c r="AP56" s="106">
        <v>4.2689692417141707</v>
      </c>
      <c r="AQ56" s="106">
        <v>4912.7298033646675</v>
      </c>
      <c r="AR56" s="106">
        <v>1.6091816036315107</v>
      </c>
      <c r="AS56" s="106">
        <v>1851.8461894591426</v>
      </c>
      <c r="AT56" s="106">
        <v>2.9133159534389184</v>
      </c>
      <c r="AU56" s="106">
        <v>3352.6439992175069</v>
      </c>
      <c r="AV56" s="106">
        <v>2.5005137754934643</v>
      </c>
      <c r="AW56" s="106">
        <v>2877.5912528378785</v>
      </c>
      <c r="AX56" s="106">
        <v>3.2191682453081958</v>
      </c>
      <c r="AY56" s="106">
        <v>3704.6188167006717</v>
      </c>
      <c r="AZ56" s="106">
        <v>5.9480971434550787</v>
      </c>
      <c r="BA56" s="106">
        <v>6845.0701926881038</v>
      </c>
      <c r="BB56" s="106">
        <v>5.1553230249514348</v>
      </c>
      <c r="BC56" s="106">
        <v>5932.7457371141109</v>
      </c>
      <c r="BD56" s="106">
        <v>9.4395742284455597</v>
      </c>
      <c r="BE56" s="106">
        <v>10863.06202209515</v>
      </c>
      <c r="BF56" s="106">
        <v>6.6587266854710574</v>
      </c>
      <c r="BG56" s="106">
        <v>7662.8626696400925</v>
      </c>
      <c r="BH56" s="106">
        <v>4.3072183105319777</v>
      </c>
      <c r="BI56" s="106">
        <v>4956.7468317601997</v>
      </c>
      <c r="BJ56" s="106">
        <v>4.4922691712807588</v>
      </c>
      <c r="BK56" s="106">
        <v>5169.7033623098969</v>
      </c>
      <c r="BL56" s="106">
        <v>3.1567296879270192</v>
      </c>
      <c r="BM56" s="106">
        <v>3632.7645248664135</v>
      </c>
      <c r="BN56" s="106">
        <v>4.5825093555123866</v>
      </c>
      <c r="BO56" s="106">
        <v>5273.5517663236542</v>
      </c>
      <c r="BP56" s="106">
        <v>4.1160509405184396</v>
      </c>
      <c r="BQ56" s="106">
        <v>4736.7514223486205</v>
      </c>
      <c r="BR56" s="106">
        <v>3.9937133117091546</v>
      </c>
      <c r="BS56" s="106">
        <v>4595.9652791148947</v>
      </c>
      <c r="BT56" s="106">
        <v>5.6204228195937924</v>
      </c>
      <c r="BU56" s="106">
        <v>6467.9825807885363</v>
      </c>
      <c r="BV56" s="106">
        <v>6.1602847285495628</v>
      </c>
      <c r="BW56" s="106">
        <v>7089.2556656148363</v>
      </c>
      <c r="BX56" s="106">
        <v>6.0109274135389841</v>
      </c>
      <c r="BY56" s="106">
        <v>6917.3752675006626</v>
      </c>
      <c r="BZ56" s="106">
        <v>6.1002262423380769</v>
      </c>
      <c r="CA56" s="106">
        <v>7020.1403596826585</v>
      </c>
      <c r="CB56" s="106">
        <v>9.3190690255292328</v>
      </c>
      <c r="CC56" s="106">
        <v>10724.384634579041</v>
      </c>
      <c r="CD56" s="106">
        <v>3.8049866774120322</v>
      </c>
      <c r="CE56" s="106">
        <v>4378.7786683657669</v>
      </c>
      <c r="CF56" s="106">
        <v>6.5568300029921254</v>
      </c>
      <c r="CG56" s="106">
        <v>7545.5999674433378</v>
      </c>
      <c r="CH56" s="106">
        <v>8.4045331946247739</v>
      </c>
      <c r="CI56" s="106">
        <v>9671.9368003741893</v>
      </c>
      <c r="CJ56" s="106">
        <v>8.9964017294575047</v>
      </c>
      <c r="CK56" s="106">
        <v>10353.059110259695</v>
      </c>
      <c r="CL56" s="106">
        <v>0</v>
      </c>
      <c r="CM56" s="106">
        <v>0</v>
      </c>
      <c r="CN56" s="106">
        <v>10.526809344792682</v>
      </c>
      <c r="CO56" s="106">
        <v>12114.252193987417</v>
      </c>
      <c r="CP56" s="106">
        <v>5.6821857077211977</v>
      </c>
      <c r="CQ56" s="106">
        <v>6539.0593124455536</v>
      </c>
      <c r="CR56" s="106">
        <v>3.6560621385632217</v>
      </c>
      <c r="CS56" s="106">
        <v>4207.3963090585557</v>
      </c>
      <c r="CT56" s="106">
        <v>6.5294610047685442</v>
      </c>
      <c r="CU56" s="106">
        <v>7514.10372428764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34.558672596367153</v>
      </c>
      <c r="I57" s="106">
        <v>48769.19876799333</v>
      </c>
      <c r="J57" s="106">
        <v>31.497610296501655</v>
      </c>
      <c r="K57" s="106">
        <v>44449.427650423138</v>
      </c>
      <c r="L57" s="106">
        <v>10</v>
      </c>
      <c r="M57" s="106">
        <v>14112</v>
      </c>
      <c r="N57" s="106">
        <v>11</v>
      </c>
      <c r="O57" s="106">
        <v>15523.2</v>
      </c>
      <c r="P57" s="106">
        <v>7</v>
      </c>
      <c r="Q57" s="106">
        <v>9878.4</v>
      </c>
      <c r="R57" s="106">
        <v>8</v>
      </c>
      <c r="S57" s="106">
        <v>11289.6</v>
      </c>
      <c r="T57" s="106">
        <v>5</v>
      </c>
      <c r="U57" s="106">
        <v>7056</v>
      </c>
      <c r="V57" s="106">
        <v>6</v>
      </c>
      <c r="W57" s="106">
        <v>8467.2000000000007</v>
      </c>
      <c r="X57" s="106">
        <v>7</v>
      </c>
      <c r="Y57" s="106">
        <v>9878.4</v>
      </c>
      <c r="Z57" s="106">
        <v>8</v>
      </c>
      <c r="AA57" s="106">
        <v>11289.6</v>
      </c>
      <c r="AB57" s="106">
        <v>6</v>
      </c>
      <c r="AC57" s="106">
        <v>8467.2000000000007</v>
      </c>
      <c r="AD57" s="106">
        <v>6</v>
      </c>
      <c r="AE57" s="106">
        <v>8467.2000000000007</v>
      </c>
      <c r="AF57" s="106">
        <v>6</v>
      </c>
      <c r="AG57" s="106">
        <v>8467.2000000000007</v>
      </c>
      <c r="AH57" s="106">
        <v>5</v>
      </c>
      <c r="AI57" s="106">
        <v>7056</v>
      </c>
      <c r="AJ57" s="106">
        <v>26</v>
      </c>
      <c r="AK57" s="106">
        <v>36691.200000000004</v>
      </c>
      <c r="AL57" s="106">
        <v>24</v>
      </c>
      <c r="AM57" s="106">
        <v>33868.800000000003</v>
      </c>
      <c r="AN57" s="106">
        <v>19</v>
      </c>
      <c r="AO57" s="106">
        <v>26812.799999999999</v>
      </c>
      <c r="AP57" s="106">
        <v>16</v>
      </c>
      <c r="AQ57" s="106">
        <v>22579.200000000001</v>
      </c>
      <c r="AR57" s="106">
        <v>13</v>
      </c>
      <c r="AS57" s="106">
        <v>18345.600000000002</v>
      </c>
      <c r="AT57" s="106">
        <v>20</v>
      </c>
      <c r="AU57" s="106">
        <v>28224</v>
      </c>
      <c r="AV57" s="106">
        <v>15</v>
      </c>
      <c r="AW57" s="106">
        <v>21168</v>
      </c>
      <c r="AX57" s="106">
        <v>18</v>
      </c>
      <c r="AY57" s="106">
        <v>25401.600000000002</v>
      </c>
      <c r="AZ57" s="106">
        <v>12</v>
      </c>
      <c r="BA57" s="106">
        <v>16934.400000000001</v>
      </c>
      <c r="BB57" s="106">
        <v>10</v>
      </c>
      <c r="BC57" s="106">
        <v>14112</v>
      </c>
      <c r="BD57" s="106">
        <v>15</v>
      </c>
      <c r="BE57" s="106">
        <v>21168</v>
      </c>
      <c r="BF57" s="106">
        <v>9</v>
      </c>
      <c r="BG57" s="106">
        <v>12700.800000000001</v>
      </c>
      <c r="BH57" s="106">
        <v>17</v>
      </c>
      <c r="BI57" s="106">
        <v>23990.400000000001</v>
      </c>
      <c r="BJ57" s="106">
        <v>15</v>
      </c>
      <c r="BK57" s="106">
        <v>21168</v>
      </c>
      <c r="BL57" s="106">
        <v>12</v>
      </c>
      <c r="BM57" s="106">
        <v>16934.400000000001</v>
      </c>
      <c r="BN57" s="106">
        <v>19</v>
      </c>
      <c r="BO57" s="106">
        <v>26812.799999999999</v>
      </c>
      <c r="BP57" s="106">
        <v>15</v>
      </c>
      <c r="BQ57" s="106">
        <v>21168</v>
      </c>
      <c r="BR57" s="106">
        <v>14</v>
      </c>
      <c r="BS57" s="106">
        <v>19756.8</v>
      </c>
      <c r="BT57" s="106">
        <v>20</v>
      </c>
      <c r="BU57" s="106">
        <v>28224</v>
      </c>
      <c r="BV57" s="106">
        <v>16</v>
      </c>
      <c r="BW57" s="106">
        <v>22579.200000000001</v>
      </c>
      <c r="BX57" s="106">
        <v>24</v>
      </c>
      <c r="BY57" s="106">
        <v>33868.800000000003</v>
      </c>
      <c r="BZ57" s="106">
        <v>26</v>
      </c>
      <c r="CA57" s="106">
        <v>36691.200000000004</v>
      </c>
      <c r="CB57" s="106">
        <v>31</v>
      </c>
      <c r="CC57" s="106">
        <v>43747.200000000004</v>
      </c>
      <c r="CD57" s="106">
        <v>19</v>
      </c>
      <c r="CE57" s="106">
        <v>26812.799999999999</v>
      </c>
      <c r="CF57" s="106">
        <v>17</v>
      </c>
      <c r="CG57" s="106">
        <v>23990.400000000001</v>
      </c>
      <c r="CH57" s="106">
        <v>12</v>
      </c>
      <c r="CI57" s="106">
        <v>16934.400000000001</v>
      </c>
      <c r="CJ57" s="106">
        <v>20</v>
      </c>
      <c r="CK57" s="106">
        <v>28224</v>
      </c>
      <c r="CL57" s="106">
        <v>23</v>
      </c>
      <c r="CM57" s="106">
        <v>32457.600000000002</v>
      </c>
      <c r="CN57" s="106">
        <v>13</v>
      </c>
      <c r="CO57" s="106">
        <v>18345.600000000002</v>
      </c>
      <c r="CP57" s="106">
        <v>17</v>
      </c>
      <c r="CQ57" s="106">
        <v>23990.400000000001</v>
      </c>
      <c r="CR57" s="106">
        <v>8</v>
      </c>
      <c r="CS57" s="106">
        <v>11289.6</v>
      </c>
      <c r="CT57" s="106">
        <v>17</v>
      </c>
      <c r="CU57" s="106">
        <v>23990.400000000001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15.453496519148779</v>
      </c>
      <c r="I58" s="106">
        <v>18191.856102341942</v>
      </c>
      <c r="J58" s="106">
        <v>10.838739545555255</v>
      </c>
      <c r="K58" s="106">
        <v>12759.364193027646</v>
      </c>
      <c r="L58" s="106">
        <v>3.4973567698886567</v>
      </c>
      <c r="M58" s="106">
        <v>4117.0883895129273</v>
      </c>
      <c r="N58" s="106">
        <v>4.0394091760771573</v>
      </c>
      <c r="O58" s="106">
        <v>4755.1924820780296</v>
      </c>
      <c r="P58" s="106">
        <v>2.0886802298515685</v>
      </c>
      <c r="Q58" s="106">
        <v>2458.7943665812668</v>
      </c>
      <c r="R58" s="106">
        <v>1.9683012883939961</v>
      </c>
      <c r="S58" s="106">
        <v>2317.0842766974124</v>
      </c>
      <c r="T58" s="106">
        <v>0.7302858546749933</v>
      </c>
      <c r="U58" s="106">
        <v>859.69250812340215</v>
      </c>
      <c r="V58" s="106">
        <v>0.97788846662173234</v>
      </c>
      <c r="W58" s="106">
        <v>1151.1703029071034</v>
      </c>
      <c r="X58" s="106">
        <v>1.1845053737440572</v>
      </c>
      <c r="Y58" s="106">
        <v>1394.3997259715043</v>
      </c>
      <c r="Z58" s="106">
        <v>1.1250453946129158</v>
      </c>
      <c r="AA58" s="106">
        <v>1324.4034385383245</v>
      </c>
      <c r="AB58" s="106">
        <v>3.2300607979341738</v>
      </c>
      <c r="AC58" s="106">
        <v>3802.4275713281095</v>
      </c>
      <c r="AD58" s="106">
        <v>2.9979209048588227</v>
      </c>
      <c r="AE58" s="106">
        <v>3529.152489199806</v>
      </c>
      <c r="AF58" s="106">
        <v>3.8790153205960496</v>
      </c>
      <c r="AG58" s="106">
        <v>4566.3768354056701</v>
      </c>
      <c r="AH58" s="106">
        <v>2.8221407487105279</v>
      </c>
      <c r="AI58" s="106">
        <v>3322.2240893820335</v>
      </c>
      <c r="AJ58" s="106">
        <v>6.7622933402313565</v>
      </c>
      <c r="AK58" s="106">
        <v>7960.5717201203533</v>
      </c>
      <c r="AL58" s="106">
        <v>6.307549599652563</v>
      </c>
      <c r="AM58" s="106">
        <v>7425.2473887109973</v>
      </c>
      <c r="AN58" s="106">
        <v>5.2217005746289216</v>
      </c>
      <c r="AO58" s="106">
        <v>6146.9859164531663</v>
      </c>
      <c r="AP58" s="106">
        <v>4.2689692417141707</v>
      </c>
      <c r="AQ58" s="106">
        <v>5025.430591345922</v>
      </c>
      <c r="AR58" s="106">
        <v>1.6091816036315107</v>
      </c>
      <c r="AS58" s="106">
        <v>1894.3285837950145</v>
      </c>
      <c r="AT58" s="106">
        <v>3.1907746156711965</v>
      </c>
      <c r="AU58" s="106">
        <v>3756.1798775681327</v>
      </c>
      <c r="AV58" s="106">
        <v>2.187949553556781</v>
      </c>
      <c r="AW58" s="106">
        <v>2575.6542144470427</v>
      </c>
      <c r="AX58" s="106">
        <v>3.2191682453081958</v>
      </c>
      <c r="AY58" s="106">
        <v>3789.6048583768084</v>
      </c>
      <c r="AZ58" s="106">
        <v>5.9480971434550787</v>
      </c>
      <c r="BA58" s="106">
        <v>7002.099957275319</v>
      </c>
      <c r="BB58" s="106">
        <v>4.6397907224562918</v>
      </c>
      <c r="BC58" s="106">
        <v>5461.9616384755473</v>
      </c>
      <c r="BD58" s="106">
        <v>8.8102692798825224</v>
      </c>
      <c r="BE58" s="106">
        <v>10371.448996277706</v>
      </c>
      <c r="BF58" s="106">
        <v>6.6587266854710574</v>
      </c>
      <c r="BG58" s="106">
        <v>7838.6530541365291</v>
      </c>
      <c r="BH58" s="106">
        <v>4.3072183105319777</v>
      </c>
      <c r="BI58" s="106">
        <v>5070.4573951582443</v>
      </c>
      <c r="BJ58" s="106">
        <v>4.2115023480757117</v>
      </c>
      <c r="BK58" s="106">
        <v>4957.7805641547284</v>
      </c>
      <c r="BL58" s="106">
        <v>3.4197904952542713</v>
      </c>
      <c r="BM58" s="106">
        <v>4025.7773710133283</v>
      </c>
      <c r="BN58" s="106">
        <v>4.5825093555123866</v>
      </c>
      <c r="BO58" s="106">
        <v>5394.5300133091814</v>
      </c>
      <c r="BP58" s="106">
        <v>4.6002922276382554</v>
      </c>
      <c r="BQ58" s="106">
        <v>5415.4640103757547</v>
      </c>
      <c r="BR58" s="106">
        <v>3.9937133117091546</v>
      </c>
      <c r="BS58" s="106">
        <v>4701.3993105440168</v>
      </c>
      <c r="BT58" s="106">
        <v>6.6122621406985802</v>
      </c>
      <c r="BU58" s="106">
        <v>7783.9549920303689</v>
      </c>
      <c r="BV58" s="106">
        <v>5.4758086475996119</v>
      </c>
      <c r="BW58" s="106">
        <v>6446.1219399542633</v>
      </c>
      <c r="BX58" s="106">
        <v>5.5656735310546148</v>
      </c>
      <c r="BY58" s="106">
        <v>6551.910880757493</v>
      </c>
      <c r="BZ58" s="106">
        <v>6.3261605476098577</v>
      </c>
      <c r="CA58" s="106">
        <v>7447.156196646325</v>
      </c>
      <c r="CB58" s="106">
        <v>9.0278481184814439</v>
      </c>
      <c r="CC58" s="106">
        <v>10627.582805076356</v>
      </c>
      <c r="CD58" s="106">
        <v>4.0163748261571453</v>
      </c>
      <c r="CE58" s="106">
        <v>4728.0764453521915</v>
      </c>
      <c r="CF58" s="106">
        <v>6.1470281278051173</v>
      </c>
      <c r="CG58" s="106">
        <v>7236.2815120521846</v>
      </c>
      <c r="CH58" s="106">
        <v>7.8042093950087184</v>
      </c>
      <c r="CI58" s="106">
        <v>9187.1152998042635</v>
      </c>
      <c r="CJ58" s="106">
        <v>9.4248018118126229</v>
      </c>
      <c r="CK58" s="106">
        <v>11094.876692865821</v>
      </c>
      <c r="CL58" s="106">
        <v>0</v>
      </c>
      <c r="CM58" s="106">
        <v>0</v>
      </c>
      <c r="CN58" s="106">
        <v>9.7170547798086293</v>
      </c>
      <c r="CO58" s="106">
        <v>11438.916886790719</v>
      </c>
      <c r="CP58" s="106">
        <v>5.0136932715187035</v>
      </c>
      <c r="CQ58" s="106">
        <v>5902.1197192318177</v>
      </c>
      <c r="CR58" s="106">
        <v>3.2498330120561971</v>
      </c>
      <c r="CS58" s="106">
        <v>3825.7034217925552</v>
      </c>
      <c r="CT58" s="106">
        <v>6.5294610047685442</v>
      </c>
      <c r="CU58" s="106">
        <v>7686.4814948135308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37.946777752873743</v>
      </c>
      <c r="I59" s="106">
        <v>11520.641725772468</v>
      </c>
      <c r="J59" s="106">
        <v>36.470917185422962</v>
      </c>
      <c r="K59" s="106">
        <v>11072.57045749441</v>
      </c>
      <c r="L59" s="106">
        <v>13</v>
      </c>
      <c r="M59" s="106">
        <v>3946.7999999999997</v>
      </c>
      <c r="N59" s="106">
        <v>12</v>
      </c>
      <c r="O59" s="106">
        <v>3643.2</v>
      </c>
      <c r="P59" s="106">
        <v>8</v>
      </c>
      <c r="Q59" s="106">
        <v>2428.7999999999997</v>
      </c>
      <c r="R59" s="106">
        <v>9</v>
      </c>
      <c r="S59" s="106">
        <v>2732.3999999999996</v>
      </c>
      <c r="T59" s="106">
        <v>6</v>
      </c>
      <c r="U59" s="106">
        <v>1821.6</v>
      </c>
      <c r="V59" s="106">
        <v>6</v>
      </c>
      <c r="W59" s="106">
        <v>1821.6</v>
      </c>
      <c r="X59" s="106">
        <v>8</v>
      </c>
      <c r="Y59" s="106">
        <v>2428.7999999999997</v>
      </c>
      <c r="Z59" s="106">
        <v>8</v>
      </c>
      <c r="AA59" s="106">
        <v>2428.7999999999997</v>
      </c>
      <c r="AB59" s="106">
        <v>5</v>
      </c>
      <c r="AC59" s="106">
        <v>1517.9999999999998</v>
      </c>
      <c r="AD59" s="106">
        <v>6</v>
      </c>
      <c r="AE59" s="106">
        <v>1821.6</v>
      </c>
      <c r="AF59" s="106">
        <v>8</v>
      </c>
      <c r="AG59" s="106">
        <v>2428.7999999999997</v>
      </c>
      <c r="AH59" s="106">
        <v>5</v>
      </c>
      <c r="AI59" s="106">
        <v>1517.9999999999998</v>
      </c>
      <c r="AJ59" s="106">
        <v>28</v>
      </c>
      <c r="AK59" s="106">
        <v>8500.7999999999993</v>
      </c>
      <c r="AL59" s="106">
        <v>28</v>
      </c>
      <c r="AM59" s="106">
        <v>8500.7999999999993</v>
      </c>
      <c r="AN59" s="106">
        <v>22</v>
      </c>
      <c r="AO59" s="106">
        <v>6679.1999999999989</v>
      </c>
      <c r="AP59" s="106">
        <v>19</v>
      </c>
      <c r="AQ59" s="106">
        <v>5768.4</v>
      </c>
      <c r="AR59" s="106">
        <v>15</v>
      </c>
      <c r="AS59" s="106">
        <v>4553.9999999999991</v>
      </c>
      <c r="AT59" s="106">
        <v>24</v>
      </c>
      <c r="AU59" s="106">
        <v>7286.4</v>
      </c>
      <c r="AV59" s="106">
        <v>17</v>
      </c>
      <c r="AW59" s="106">
        <v>5161.2</v>
      </c>
      <c r="AX59" s="106">
        <v>20</v>
      </c>
      <c r="AY59" s="106">
        <v>6071.9999999999991</v>
      </c>
      <c r="AZ59" s="106">
        <v>11</v>
      </c>
      <c r="BA59" s="106">
        <v>3339.5999999999995</v>
      </c>
      <c r="BB59" s="106">
        <v>11</v>
      </c>
      <c r="BC59" s="106">
        <v>3339.5999999999995</v>
      </c>
      <c r="BD59" s="106">
        <v>15</v>
      </c>
      <c r="BE59" s="106">
        <v>4553.9999999999991</v>
      </c>
      <c r="BF59" s="106">
        <v>10</v>
      </c>
      <c r="BG59" s="106">
        <v>3035.9999999999995</v>
      </c>
      <c r="BH59" s="106">
        <v>19</v>
      </c>
      <c r="BI59" s="106">
        <v>5768.4</v>
      </c>
      <c r="BJ59" s="106">
        <v>18</v>
      </c>
      <c r="BK59" s="106">
        <v>5464.7999999999993</v>
      </c>
      <c r="BL59" s="106">
        <v>14</v>
      </c>
      <c r="BM59" s="106">
        <v>4250.3999999999996</v>
      </c>
      <c r="BN59" s="106">
        <v>24</v>
      </c>
      <c r="BO59" s="106">
        <v>7286.4</v>
      </c>
      <c r="BP59" s="106">
        <v>18</v>
      </c>
      <c r="BQ59" s="106">
        <v>5464.7999999999993</v>
      </c>
      <c r="BR59" s="106">
        <v>16</v>
      </c>
      <c r="BS59" s="106">
        <v>4857.5999999999995</v>
      </c>
      <c r="BT59" s="106">
        <v>20</v>
      </c>
      <c r="BU59" s="106">
        <v>6071.9999999999991</v>
      </c>
      <c r="BV59" s="106">
        <v>16</v>
      </c>
      <c r="BW59" s="106">
        <v>4857.5999999999995</v>
      </c>
      <c r="BX59" s="106">
        <v>28</v>
      </c>
      <c r="BY59" s="106">
        <v>8500.7999999999993</v>
      </c>
      <c r="BZ59" s="106">
        <v>35</v>
      </c>
      <c r="CA59" s="106">
        <v>10625.999999999998</v>
      </c>
      <c r="CB59" s="106">
        <v>38</v>
      </c>
      <c r="CC59" s="106">
        <v>11536.8</v>
      </c>
      <c r="CD59" s="106">
        <v>21</v>
      </c>
      <c r="CE59" s="106">
        <v>6375.5999999999995</v>
      </c>
      <c r="CF59" s="106">
        <v>16</v>
      </c>
      <c r="CG59" s="106">
        <v>4857.5999999999995</v>
      </c>
      <c r="CH59" s="106">
        <v>13</v>
      </c>
      <c r="CI59" s="106">
        <v>3946.7999999999997</v>
      </c>
      <c r="CJ59" s="106">
        <v>22</v>
      </c>
      <c r="CK59" s="106">
        <v>6679.1999999999989</v>
      </c>
      <c r="CL59" s="106">
        <v>27</v>
      </c>
      <c r="CM59" s="106">
        <v>8197.1999999999989</v>
      </c>
      <c r="CN59" s="106">
        <v>14</v>
      </c>
      <c r="CO59" s="106">
        <v>4250.3999999999996</v>
      </c>
      <c r="CP59" s="106">
        <v>15</v>
      </c>
      <c r="CQ59" s="106">
        <v>4553.9999999999991</v>
      </c>
      <c r="CR59" s="106">
        <v>10</v>
      </c>
      <c r="CS59" s="106">
        <v>3035.9999999999995</v>
      </c>
      <c r="CT59" s="106">
        <v>18</v>
      </c>
      <c r="CU59" s="106">
        <v>5464.7999999999993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39.979640846777684</v>
      </c>
      <c r="I60" s="106">
        <v>26050.73397576034</v>
      </c>
      <c r="J60" s="106">
        <v>34.8131482224492</v>
      </c>
      <c r="K60" s="106">
        <v>22684.2473817479</v>
      </c>
      <c r="L60" s="106">
        <v>11</v>
      </c>
      <c r="M60" s="106">
        <v>7167.6</v>
      </c>
      <c r="N60" s="106">
        <v>13</v>
      </c>
      <c r="O60" s="106">
        <v>8470.8000000000011</v>
      </c>
      <c r="P60" s="106">
        <v>7</v>
      </c>
      <c r="Q60" s="106">
        <v>4561.2</v>
      </c>
      <c r="R60" s="106">
        <v>8</v>
      </c>
      <c r="S60" s="106">
        <v>5212.8</v>
      </c>
      <c r="T60" s="106">
        <v>6</v>
      </c>
      <c r="U60" s="106">
        <v>3909.6000000000004</v>
      </c>
      <c r="V60" s="106">
        <v>6</v>
      </c>
      <c r="W60" s="106">
        <v>3909.6000000000004</v>
      </c>
      <c r="X60" s="106">
        <v>7</v>
      </c>
      <c r="Y60" s="106">
        <v>4561.2</v>
      </c>
      <c r="Z60" s="106">
        <v>8</v>
      </c>
      <c r="AA60" s="106">
        <v>5212.8</v>
      </c>
      <c r="AB60" s="106">
        <v>6</v>
      </c>
      <c r="AC60" s="106">
        <v>3909.6000000000004</v>
      </c>
      <c r="AD60" s="106">
        <v>6</v>
      </c>
      <c r="AE60" s="106">
        <v>3909.6000000000004</v>
      </c>
      <c r="AF60" s="106">
        <v>7</v>
      </c>
      <c r="AG60" s="106">
        <v>4561.2</v>
      </c>
      <c r="AH60" s="106">
        <v>5</v>
      </c>
      <c r="AI60" s="106">
        <v>3258</v>
      </c>
      <c r="AJ60" s="106">
        <v>25</v>
      </c>
      <c r="AK60" s="106">
        <v>16290</v>
      </c>
      <c r="AL60" s="106">
        <v>25</v>
      </c>
      <c r="AM60" s="106">
        <v>16290</v>
      </c>
      <c r="AN60" s="106">
        <v>18</v>
      </c>
      <c r="AO60" s="106">
        <v>11728.800000000001</v>
      </c>
      <c r="AP60" s="106">
        <v>16</v>
      </c>
      <c r="AQ60" s="106">
        <v>10425.6</v>
      </c>
      <c r="AR60" s="106">
        <v>15</v>
      </c>
      <c r="AS60" s="106">
        <v>9774</v>
      </c>
      <c r="AT60" s="106">
        <v>22</v>
      </c>
      <c r="AU60" s="106">
        <v>14335.2</v>
      </c>
      <c r="AV60" s="106">
        <v>16</v>
      </c>
      <c r="AW60" s="106">
        <v>10425.6</v>
      </c>
      <c r="AX60" s="106">
        <v>18</v>
      </c>
      <c r="AY60" s="106">
        <v>11728.800000000001</v>
      </c>
      <c r="AZ60" s="106">
        <v>10</v>
      </c>
      <c r="BA60" s="106">
        <v>6516</v>
      </c>
      <c r="BB60" s="106">
        <v>10</v>
      </c>
      <c r="BC60" s="106">
        <v>6516</v>
      </c>
      <c r="BD60" s="106">
        <v>15</v>
      </c>
      <c r="BE60" s="106">
        <v>9774</v>
      </c>
      <c r="BF60" s="106">
        <v>10</v>
      </c>
      <c r="BG60" s="106">
        <v>6516</v>
      </c>
      <c r="BH60" s="106">
        <v>21</v>
      </c>
      <c r="BI60" s="106">
        <v>13683.6</v>
      </c>
      <c r="BJ60" s="106">
        <v>19</v>
      </c>
      <c r="BK60" s="106">
        <v>12380.4</v>
      </c>
      <c r="BL60" s="106">
        <v>14</v>
      </c>
      <c r="BM60" s="106">
        <v>9122.4</v>
      </c>
      <c r="BN60" s="106">
        <v>20</v>
      </c>
      <c r="BO60" s="106">
        <v>13032</v>
      </c>
      <c r="BP60" s="106">
        <v>19</v>
      </c>
      <c r="BQ60" s="106">
        <v>12380.4</v>
      </c>
      <c r="BR60" s="106">
        <v>14</v>
      </c>
      <c r="BS60" s="106">
        <v>9122.4</v>
      </c>
      <c r="BT60" s="106">
        <v>21</v>
      </c>
      <c r="BU60" s="106">
        <v>13683.6</v>
      </c>
      <c r="BV60" s="106">
        <v>18</v>
      </c>
      <c r="BW60" s="106">
        <v>11728.800000000001</v>
      </c>
      <c r="BX60" s="106">
        <v>24</v>
      </c>
      <c r="BY60" s="106">
        <v>15638.400000000001</v>
      </c>
      <c r="BZ60" s="106">
        <v>29</v>
      </c>
      <c r="CA60" s="106">
        <v>18896.400000000001</v>
      </c>
      <c r="CB60" s="106">
        <v>36</v>
      </c>
      <c r="CC60" s="106">
        <v>23457.600000000002</v>
      </c>
      <c r="CD60" s="106">
        <v>21</v>
      </c>
      <c r="CE60" s="106">
        <v>13683.6</v>
      </c>
      <c r="CF60" s="106">
        <v>16</v>
      </c>
      <c r="CG60" s="106">
        <v>10425.6</v>
      </c>
      <c r="CH60" s="106">
        <v>12</v>
      </c>
      <c r="CI60" s="106">
        <v>7819.2000000000007</v>
      </c>
      <c r="CJ60" s="106">
        <v>25</v>
      </c>
      <c r="CK60" s="106">
        <v>16290</v>
      </c>
      <c r="CL60" s="106">
        <v>22</v>
      </c>
      <c r="CM60" s="106">
        <v>14335.2</v>
      </c>
      <c r="CN60" s="106">
        <v>14</v>
      </c>
      <c r="CO60" s="106">
        <v>9122.4</v>
      </c>
      <c r="CP60" s="106">
        <v>16</v>
      </c>
      <c r="CQ60" s="106">
        <v>10425.6</v>
      </c>
      <c r="CR60" s="106">
        <v>9</v>
      </c>
      <c r="CS60" s="106">
        <v>5864.4000000000005</v>
      </c>
      <c r="CT60" s="106">
        <v>16</v>
      </c>
      <c r="CU60" s="106">
        <v>10425.6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33.203430533764518</v>
      </c>
      <c r="I61" s="106">
        <v>31596.384495930313</v>
      </c>
      <c r="J61" s="106">
        <v>37.29980166690985</v>
      </c>
      <c r="K61" s="106">
        <v>35494.491266231409</v>
      </c>
      <c r="L61" s="106">
        <v>11</v>
      </c>
      <c r="M61" s="106">
        <v>10467.599999999999</v>
      </c>
      <c r="N61" s="106">
        <v>13</v>
      </c>
      <c r="O61" s="106">
        <v>12370.8</v>
      </c>
      <c r="P61" s="106">
        <v>7</v>
      </c>
      <c r="Q61" s="106">
        <v>6661.1999999999989</v>
      </c>
      <c r="R61" s="106">
        <v>8</v>
      </c>
      <c r="S61" s="106">
        <v>7612.7999999999993</v>
      </c>
      <c r="T61" s="106">
        <v>5</v>
      </c>
      <c r="U61" s="106">
        <v>4758</v>
      </c>
      <c r="V61" s="106">
        <v>6</v>
      </c>
      <c r="W61" s="106">
        <v>5709.5999999999995</v>
      </c>
      <c r="X61" s="106">
        <v>7</v>
      </c>
      <c r="Y61" s="106">
        <v>6661.1999999999989</v>
      </c>
      <c r="Z61" s="106">
        <v>7</v>
      </c>
      <c r="AA61" s="106">
        <v>6661.1999999999989</v>
      </c>
      <c r="AB61" s="106">
        <v>5</v>
      </c>
      <c r="AC61" s="106">
        <v>4758</v>
      </c>
      <c r="AD61" s="106">
        <v>6</v>
      </c>
      <c r="AE61" s="106">
        <v>5709.5999999999995</v>
      </c>
      <c r="AF61" s="106">
        <v>7</v>
      </c>
      <c r="AG61" s="106">
        <v>6661.1999999999989</v>
      </c>
      <c r="AH61" s="106">
        <v>5</v>
      </c>
      <c r="AI61" s="106">
        <v>4758</v>
      </c>
      <c r="AJ61" s="106">
        <v>24</v>
      </c>
      <c r="AK61" s="106">
        <v>22838.399999999998</v>
      </c>
      <c r="AL61" s="106">
        <v>28</v>
      </c>
      <c r="AM61" s="106">
        <v>26644.799999999996</v>
      </c>
      <c r="AN61" s="106">
        <v>21</v>
      </c>
      <c r="AO61" s="106">
        <v>19983.599999999999</v>
      </c>
      <c r="AP61" s="106">
        <v>16</v>
      </c>
      <c r="AQ61" s="106">
        <v>15225.599999999999</v>
      </c>
      <c r="AR61" s="106">
        <v>16</v>
      </c>
      <c r="AS61" s="106">
        <v>15225.599999999999</v>
      </c>
      <c r="AT61" s="106">
        <v>21</v>
      </c>
      <c r="AU61" s="106">
        <v>19983.599999999999</v>
      </c>
      <c r="AV61" s="106">
        <v>17</v>
      </c>
      <c r="AW61" s="106">
        <v>16177.199999999999</v>
      </c>
      <c r="AX61" s="106">
        <v>18</v>
      </c>
      <c r="AY61" s="106">
        <v>17128.8</v>
      </c>
      <c r="AZ61" s="106">
        <v>12</v>
      </c>
      <c r="BA61" s="106">
        <v>11419.199999999999</v>
      </c>
      <c r="BB61" s="106">
        <v>10</v>
      </c>
      <c r="BC61" s="106">
        <v>9516</v>
      </c>
      <c r="BD61" s="106">
        <v>17</v>
      </c>
      <c r="BE61" s="106">
        <v>16177.199999999999</v>
      </c>
      <c r="BF61" s="106">
        <v>8</v>
      </c>
      <c r="BG61" s="106">
        <v>7612.7999999999993</v>
      </c>
      <c r="BH61" s="106">
        <v>21</v>
      </c>
      <c r="BI61" s="106">
        <v>19983.599999999999</v>
      </c>
      <c r="BJ61" s="106">
        <v>18</v>
      </c>
      <c r="BK61" s="106">
        <v>17128.8</v>
      </c>
      <c r="BL61" s="106">
        <v>13</v>
      </c>
      <c r="BM61" s="106">
        <v>12370.8</v>
      </c>
      <c r="BN61" s="106">
        <v>21</v>
      </c>
      <c r="BO61" s="106">
        <v>19983.599999999999</v>
      </c>
      <c r="BP61" s="106">
        <v>16</v>
      </c>
      <c r="BQ61" s="106">
        <v>15225.599999999999</v>
      </c>
      <c r="BR61" s="106">
        <v>14</v>
      </c>
      <c r="BS61" s="106">
        <v>13322.399999999998</v>
      </c>
      <c r="BT61" s="106">
        <v>17</v>
      </c>
      <c r="BU61" s="106">
        <v>16177.199999999999</v>
      </c>
      <c r="BV61" s="106">
        <v>16</v>
      </c>
      <c r="BW61" s="106">
        <v>15225.599999999999</v>
      </c>
      <c r="BX61" s="106">
        <v>25</v>
      </c>
      <c r="BY61" s="106">
        <v>23789.999999999996</v>
      </c>
      <c r="BZ61" s="106">
        <v>28</v>
      </c>
      <c r="CA61" s="106">
        <v>26644.799999999996</v>
      </c>
      <c r="CB61" s="106">
        <v>34</v>
      </c>
      <c r="CC61" s="106">
        <v>32354.399999999998</v>
      </c>
      <c r="CD61" s="106">
        <v>21</v>
      </c>
      <c r="CE61" s="106">
        <v>19983.599999999999</v>
      </c>
      <c r="CF61" s="106">
        <v>16</v>
      </c>
      <c r="CG61" s="106">
        <v>15225.599999999999</v>
      </c>
      <c r="CH61" s="106">
        <v>14</v>
      </c>
      <c r="CI61" s="106">
        <v>13322.399999999998</v>
      </c>
      <c r="CJ61" s="106">
        <v>23</v>
      </c>
      <c r="CK61" s="106">
        <v>21886.799999999999</v>
      </c>
      <c r="CL61" s="106">
        <v>26</v>
      </c>
      <c r="CM61" s="106">
        <v>24741.599999999999</v>
      </c>
      <c r="CN61" s="106">
        <v>14</v>
      </c>
      <c r="CO61" s="106">
        <v>13322.399999999998</v>
      </c>
      <c r="CP61" s="106">
        <v>17</v>
      </c>
      <c r="CQ61" s="106">
        <v>16177.199999999999</v>
      </c>
      <c r="CR61" s="106">
        <v>9</v>
      </c>
      <c r="CS61" s="106">
        <v>8564.4</v>
      </c>
      <c r="CT61" s="106">
        <v>15</v>
      </c>
      <c r="CU61" s="106">
        <v>14273.999999999998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33.881051565065839</v>
      </c>
      <c r="I62" s="106">
        <v>57773.969128750272</v>
      </c>
      <c r="J62" s="106">
        <v>30.668725815014771</v>
      </c>
      <c r="K62" s="106">
        <v>52296.311259763192</v>
      </c>
      <c r="L62" s="106">
        <v>11</v>
      </c>
      <c r="M62" s="106">
        <v>18757.2</v>
      </c>
      <c r="N62" s="106">
        <v>12</v>
      </c>
      <c r="O62" s="106">
        <v>20462.400000000001</v>
      </c>
      <c r="P62" s="106">
        <v>7</v>
      </c>
      <c r="Q62" s="106">
        <v>11936.4</v>
      </c>
      <c r="R62" s="106">
        <v>7</v>
      </c>
      <c r="S62" s="106">
        <v>11936.4</v>
      </c>
      <c r="T62" s="106">
        <v>5</v>
      </c>
      <c r="U62" s="106">
        <v>8526</v>
      </c>
      <c r="V62" s="106">
        <v>6</v>
      </c>
      <c r="W62" s="106">
        <v>10231.200000000001</v>
      </c>
      <c r="X62" s="106">
        <v>7</v>
      </c>
      <c r="Y62" s="106">
        <v>11936.4</v>
      </c>
      <c r="Z62" s="106">
        <v>7</v>
      </c>
      <c r="AA62" s="106">
        <v>11936.4</v>
      </c>
      <c r="AB62" s="106">
        <v>5</v>
      </c>
      <c r="AC62" s="106">
        <v>8526</v>
      </c>
      <c r="AD62" s="106">
        <v>6</v>
      </c>
      <c r="AE62" s="106">
        <v>10231.200000000001</v>
      </c>
      <c r="AF62" s="106">
        <v>7</v>
      </c>
      <c r="AG62" s="106">
        <v>11936.4</v>
      </c>
      <c r="AH62" s="106">
        <v>4</v>
      </c>
      <c r="AI62" s="106">
        <v>6820.8</v>
      </c>
      <c r="AJ62" s="106">
        <v>23</v>
      </c>
      <c r="AK62" s="106">
        <v>39219.599999999999</v>
      </c>
      <c r="AL62" s="106">
        <v>22</v>
      </c>
      <c r="AM62" s="106">
        <v>37514.400000000001</v>
      </c>
      <c r="AN62" s="106">
        <v>20</v>
      </c>
      <c r="AO62" s="106">
        <v>34104</v>
      </c>
      <c r="AP62" s="106">
        <v>16</v>
      </c>
      <c r="AQ62" s="106">
        <v>27283.200000000001</v>
      </c>
      <c r="AR62" s="106">
        <v>13</v>
      </c>
      <c r="AS62" s="106">
        <v>22167.600000000002</v>
      </c>
      <c r="AT62" s="106">
        <v>21</v>
      </c>
      <c r="AU62" s="106">
        <v>35809.200000000004</v>
      </c>
      <c r="AV62" s="106">
        <v>14</v>
      </c>
      <c r="AW62" s="106">
        <v>23872.799999999999</v>
      </c>
      <c r="AX62" s="106">
        <v>17</v>
      </c>
      <c r="AY62" s="106">
        <v>28988.400000000001</v>
      </c>
      <c r="AZ62" s="106">
        <v>10</v>
      </c>
      <c r="BA62" s="106">
        <v>17052</v>
      </c>
      <c r="BB62" s="106">
        <v>9</v>
      </c>
      <c r="BC62" s="106">
        <v>15346.800000000001</v>
      </c>
      <c r="BD62" s="106">
        <v>16</v>
      </c>
      <c r="BE62" s="106">
        <v>27283.200000000001</v>
      </c>
      <c r="BF62" s="106">
        <v>9</v>
      </c>
      <c r="BG62" s="106">
        <v>15346.800000000001</v>
      </c>
      <c r="BH62" s="106">
        <v>18</v>
      </c>
      <c r="BI62" s="106">
        <v>30693.600000000002</v>
      </c>
      <c r="BJ62" s="106">
        <v>15</v>
      </c>
      <c r="BK62" s="106">
        <v>25578</v>
      </c>
      <c r="BL62" s="106">
        <v>12</v>
      </c>
      <c r="BM62" s="106">
        <v>20462.400000000001</v>
      </c>
      <c r="BN62" s="106">
        <v>17</v>
      </c>
      <c r="BO62" s="106">
        <v>28988.400000000001</v>
      </c>
      <c r="BP62" s="106">
        <v>16</v>
      </c>
      <c r="BQ62" s="106">
        <v>27283.200000000001</v>
      </c>
      <c r="BR62" s="106">
        <v>13</v>
      </c>
      <c r="BS62" s="106">
        <v>22167.600000000002</v>
      </c>
      <c r="BT62" s="106">
        <v>20</v>
      </c>
      <c r="BU62" s="106">
        <v>34104</v>
      </c>
      <c r="BV62" s="106">
        <v>15</v>
      </c>
      <c r="BW62" s="106">
        <v>25578</v>
      </c>
      <c r="BX62" s="106">
        <v>25</v>
      </c>
      <c r="BY62" s="106">
        <v>42630</v>
      </c>
      <c r="BZ62" s="106">
        <v>26</v>
      </c>
      <c r="CA62" s="106">
        <v>44335.200000000004</v>
      </c>
      <c r="CB62" s="106">
        <v>30</v>
      </c>
      <c r="CC62" s="106">
        <v>51156</v>
      </c>
      <c r="CD62" s="106">
        <v>17</v>
      </c>
      <c r="CE62" s="106">
        <v>28988.400000000001</v>
      </c>
      <c r="CF62" s="106">
        <v>17</v>
      </c>
      <c r="CG62" s="106">
        <v>28988.400000000001</v>
      </c>
      <c r="CH62" s="106">
        <v>13</v>
      </c>
      <c r="CI62" s="106">
        <v>22167.600000000002</v>
      </c>
      <c r="CJ62" s="106">
        <v>22</v>
      </c>
      <c r="CK62" s="106">
        <v>37514.400000000001</v>
      </c>
      <c r="CL62" s="106">
        <v>23</v>
      </c>
      <c r="CM62" s="106">
        <v>39219.599999999999</v>
      </c>
      <c r="CN62" s="106">
        <v>11</v>
      </c>
      <c r="CO62" s="106">
        <v>18757.2</v>
      </c>
      <c r="CP62" s="106">
        <v>15</v>
      </c>
      <c r="CQ62" s="106">
        <v>25578</v>
      </c>
      <c r="CR62" s="106">
        <v>8</v>
      </c>
      <c r="CS62" s="106">
        <v>13641.6</v>
      </c>
      <c r="CT62" s="106">
        <v>15</v>
      </c>
      <c r="CU62" s="106">
        <v>25578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38.62439878417505</v>
      </c>
      <c r="I63" s="106">
        <v>30729.571672689672</v>
      </c>
      <c r="J63" s="106">
        <v>35.642032703936081</v>
      </c>
      <c r="K63" s="106">
        <v>28356.801219251549</v>
      </c>
      <c r="L63" s="106">
        <v>11</v>
      </c>
      <c r="M63" s="106">
        <v>8751.6</v>
      </c>
      <c r="N63" s="106">
        <v>13</v>
      </c>
      <c r="O63" s="106">
        <v>10342.800000000001</v>
      </c>
      <c r="P63" s="106">
        <v>8</v>
      </c>
      <c r="Q63" s="106">
        <v>6364.8</v>
      </c>
      <c r="R63" s="106">
        <v>8</v>
      </c>
      <c r="S63" s="106">
        <v>6364.8</v>
      </c>
      <c r="T63" s="106">
        <v>6</v>
      </c>
      <c r="U63" s="106">
        <v>4773.6000000000004</v>
      </c>
      <c r="V63" s="106">
        <v>6</v>
      </c>
      <c r="W63" s="106">
        <v>4773.6000000000004</v>
      </c>
      <c r="X63" s="106">
        <v>8</v>
      </c>
      <c r="Y63" s="106">
        <v>6364.8</v>
      </c>
      <c r="Z63" s="106">
        <v>8</v>
      </c>
      <c r="AA63" s="106">
        <v>6364.8</v>
      </c>
      <c r="AB63" s="106">
        <v>6</v>
      </c>
      <c r="AC63" s="106">
        <v>4773.6000000000004</v>
      </c>
      <c r="AD63" s="106">
        <v>5</v>
      </c>
      <c r="AE63" s="106">
        <v>3978</v>
      </c>
      <c r="AF63" s="106">
        <v>7</v>
      </c>
      <c r="AG63" s="106">
        <v>5569.2</v>
      </c>
      <c r="AH63" s="106">
        <v>5</v>
      </c>
      <c r="AI63" s="106">
        <v>3978</v>
      </c>
      <c r="AJ63" s="106">
        <v>24</v>
      </c>
      <c r="AK63" s="106">
        <v>19094.400000000001</v>
      </c>
      <c r="AL63" s="106">
        <v>25</v>
      </c>
      <c r="AM63" s="106">
        <v>19890</v>
      </c>
      <c r="AN63" s="106">
        <v>20</v>
      </c>
      <c r="AO63" s="106">
        <v>15912</v>
      </c>
      <c r="AP63" s="106">
        <v>18</v>
      </c>
      <c r="AQ63" s="106">
        <v>14320.800000000001</v>
      </c>
      <c r="AR63" s="106">
        <v>16</v>
      </c>
      <c r="AS63" s="106">
        <v>12729.6</v>
      </c>
      <c r="AT63" s="106">
        <v>22</v>
      </c>
      <c r="AU63" s="106">
        <v>17503.2</v>
      </c>
      <c r="AV63" s="106">
        <v>17</v>
      </c>
      <c r="AW63" s="106">
        <v>13525.2</v>
      </c>
      <c r="AX63" s="106">
        <v>20</v>
      </c>
      <c r="AY63" s="106">
        <v>15912</v>
      </c>
      <c r="AZ63" s="106">
        <v>11</v>
      </c>
      <c r="BA63" s="106">
        <v>8751.6</v>
      </c>
      <c r="BB63" s="106">
        <v>10</v>
      </c>
      <c r="BC63" s="106">
        <v>7956</v>
      </c>
      <c r="BD63" s="106">
        <v>15</v>
      </c>
      <c r="BE63" s="106">
        <v>11934</v>
      </c>
      <c r="BF63" s="106">
        <v>10</v>
      </c>
      <c r="BG63" s="106">
        <v>7956</v>
      </c>
      <c r="BH63" s="106">
        <v>18</v>
      </c>
      <c r="BI63" s="106">
        <v>14320.800000000001</v>
      </c>
      <c r="BJ63" s="106">
        <v>17</v>
      </c>
      <c r="BK63" s="106">
        <v>13525.2</v>
      </c>
      <c r="BL63" s="106">
        <v>13</v>
      </c>
      <c r="BM63" s="106">
        <v>10342.800000000001</v>
      </c>
      <c r="BN63" s="106">
        <v>22</v>
      </c>
      <c r="BO63" s="106">
        <v>17503.2</v>
      </c>
      <c r="BP63" s="106">
        <v>17</v>
      </c>
      <c r="BQ63" s="106">
        <v>13525.2</v>
      </c>
      <c r="BR63" s="106">
        <v>15</v>
      </c>
      <c r="BS63" s="106">
        <v>11934</v>
      </c>
      <c r="BT63" s="106">
        <v>21</v>
      </c>
      <c r="BU63" s="106">
        <v>16707.600000000002</v>
      </c>
      <c r="BV63" s="106">
        <v>16</v>
      </c>
      <c r="BW63" s="106">
        <v>12729.6</v>
      </c>
      <c r="BX63" s="106">
        <v>25</v>
      </c>
      <c r="BY63" s="106">
        <v>19890</v>
      </c>
      <c r="BZ63" s="106">
        <v>31</v>
      </c>
      <c r="CA63" s="106">
        <v>24663.600000000002</v>
      </c>
      <c r="CB63" s="106">
        <v>33</v>
      </c>
      <c r="CC63" s="106">
        <v>26254.799999999999</v>
      </c>
      <c r="CD63" s="106">
        <v>19</v>
      </c>
      <c r="CE63" s="106">
        <v>15116.4</v>
      </c>
      <c r="CF63" s="106">
        <v>17</v>
      </c>
      <c r="CG63" s="106">
        <v>13525.2</v>
      </c>
      <c r="CH63" s="106">
        <v>14</v>
      </c>
      <c r="CI63" s="106">
        <v>11138.4</v>
      </c>
      <c r="CJ63" s="106">
        <v>23</v>
      </c>
      <c r="CK63" s="106">
        <v>18298.8</v>
      </c>
      <c r="CL63" s="106">
        <v>25</v>
      </c>
      <c r="CM63" s="106">
        <v>19890</v>
      </c>
      <c r="CN63" s="106">
        <v>14</v>
      </c>
      <c r="CO63" s="106">
        <v>11138.4</v>
      </c>
      <c r="CP63" s="106">
        <v>15</v>
      </c>
      <c r="CQ63" s="106">
        <v>11934</v>
      </c>
      <c r="CR63" s="106">
        <v>8</v>
      </c>
      <c r="CS63" s="106">
        <v>6364.8</v>
      </c>
      <c r="CT63" s="106">
        <v>15</v>
      </c>
      <c r="CU63" s="106">
        <v>11934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39.30201981547637</v>
      </c>
      <c r="I64" s="106">
        <v>39663.598397778747</v>
      </c>
      <c r="J64" s="106">
        <v>34.8131482224492</v>
      </c>
      <c r="K64" s="106">
        <v>35133.429186095724</v>
      </c>
      <c r="L64" s="106">
        <v>11</v>
      </c>
      <c r="M64" s="106">
        <v>11101.199999999997</v>
      </c>
      <c r="N64" s="106">
        <v>11</v>
      </c>
      <c r="O64" s="106">
        <v>11101.199999999997</v>
      </c>
      <c r="P64" s="106">
        <v>8</v>
      </c>
      <c r="Q64" s="106">
        <v>8073.5999999999985</v>
      </c>
      <c r="R64" s="106">
        <v>9</v>
      </c>
      <c r="S64" s="106">
        <v>9082.7999999999993</v>
      </c>
      <c r="T64" s="106">
        <v>6</v>
      </c>
      <c r="U64" s="106">
        <v>6055.1999999999989</v>
      </c>
      <c r="V64" s="106">
        <v>6</v>
      </c>
      <c r="W64" s="106">
        <v>6055.1999999999989</v>
      </c>
      <c r="X64" s="106">
        <v>7</v>
      </c>
      <c r="Y64" s="106">
        <v>7064.3999999999987</v>
      </c>
      <c r="Z64" s="106">
        <v>8</v>
      </c>
      <c r="AA64" s="106">
        <v>8073.5999999999985</v>
      </c>
      <c r="AB64" s="106">
        <v>6</v>
      </c>
      <c r="AC64" s="106">
        <v>6055.1999999999989</v>
      </c>
      <c r="AD64" s="106">
        <v>5</v>
      </c>
      <c r="AE64" s="106">
        <v>5045.9999999999991</v>
      </c>
      <c r="AF64" s="106">
        <v>6</v>
      </c>
      <c r="AG64" s="106">
        <v>6055.1999999999989</v>
      </c>
      <c r="AH64" s="106">
        <v>5</v>
      </c>
      <c r="AI64" s="106">
        <v>5045.9999999999991</v>
      </c>
      <c r="AJ64" s="106">
        <v>25</v>
      </c>
      <c r="AK64" s="106">
        <v>25229.999999999996</v>
      </c>
      <c r="AL64" s="106">
        <v>26</v>
      </c>
      <c r="AM64" s="106">
        <v>26239.199999999997</v>
      </c>
      <c r="AN64" s="106">
        <v>20</v>
      </c>
      <c r="AO64" s="106">
        <v>20183.999999999996</v>
      </c>
      <c r="AP64" s="106">
        <v>17</v>
      </c>
      <c r="AQ64" s="106">
        <v>17156.399999999998</v>
      </c>
      <c r="AR64" s="106">
        <v>13</v>
      </c>
      <c r="AS64" s="106">
        <v>13119.599999999999</v>
      </c>
      <c r="AT64" s="106">
        <v>21</v>
      </c>
      <c r="AU64" s="106">
        <v>21193.199999999997</v>
      </c>
      <c r="AV64" s="106">
        <v>16</v>
      </c>
      <c r="AW64" s="106">
        <v>16147.199999999997</v>
      </c>
      <c r="AX64" s="106">
        <v>17</v>
      </c>
      <c r="AY64" s="106">
        <v>17156.399999999998</v>
      </c>
      <c r="AZ64" s="106">
        <v>11</v>
      </c>
      <c r="BA64" s="106">
        <v>11101.199999999997</v>
      </c>
      <c r="BB64" s="106">
        <v>10</v>
      </c>
      <c r="BC64" s="106">
        <v>10091.999999999998</v>
      </c>
      <c r="BD64" s="106">
        <v>15</v>
      </c>
      <c r="BE64" s="106">
        <v>15137.999999999996</v>
      </c>
      <c r="BF64" s="106">
        <v>9</v>
      </c>
      <c r="BG64" s="106">
        <v>9082.7999999999993</v>
      </c>
      <c r="BH64" s="106">
        <v>20</v>
      </c>
      <c r="BI64" s="106">
        <v>20183.999999999996</v>
      </c>
      <c r="BJ64" s="106">
        <v>16</v>
      </c>
      <c r="BK64" s="106">
        <v>16147.199999999997</v>
      </c>
      <c r="BL64" s="106">
        <v>13</v>
      </c>
      <c r="BM64" s="106">
        <v>13119.599999999999</v>
      </c>
      <c r="BN64" s="106">
        <v>21</v>
      </c>
      <c r="BO64" s="106">
        <v>21193.199999999997</v>
      </c>
      <c r="BP64" s="106">
        <v>19</v>
      </c>
      <c r="BQ64" s="106">
        <v>19174.799999999996</v>
      </c>
      <c r="BR64" s="106">
        <v>15</v>
      </c>
      <c r="BS64" s="106">
        <v>15137.999999999996</v>
      </c>
      <c r="BT64" s="106">
        <v>20</v>
      </c>
      <c r="BU64" s="106">
        <v>20183.999999999996</v>
      </c>
      <c r="BV64" s="106">
        <v>16</v>
      </c>
      <c r="BW64" s="106">
        <v>16147.199999999997</v>
      </c>
      <c r="BX64" s="106">
        <v>25</v>
      </c>
      <c r="BY64" s="106">
        <v>25229.999999999996</v>
      </c>
      <c r="BZ64" s="106">
        <v>29</v>
      </c>
      <c r="CA64" s="106">
        <v>29266.799999999996</v>
      </c>
      <c r="CB64" s="106">
        <v>30</v>
      </c>
      <c r="CC64" s="106">
        <v>30275.999999999993</v>
      </c>
      <c r="CD64" s="106">
        <v>18</v>
      </c>
      <c r="CE64" s="106">
        <v>18165.599999999999</v>
      </c>
      <c r="CF64" s="106">
        <v>18</v>
      </c>
      <c r="CG64" s="106">
        <v>18165.599999999999</v>
      </c>
      <c r="CH64" s="106">
        <v>12</v>
      </c>
      <c r="CI64" s="106">
        <v>12110.399999999998</v>
      </c>
      <c r="CJ64" s="106">
        <v>21</v>
      </c>
      <c r="CK64" s="106">
        <v>21193.199999999997</v>
      </c>
      <c r="CL64" s="106">
        <v>23</v>
      </c>
      <c r="CM64" s="106">
        <v>23211.599999999995</v>
      </c>
      <c r="CN64" s="106">
        <v>14</v>
      </c>
      <c r="CO64" s="106">
        <v>14128.799999999997</v>
      </c>
      <c r="CP64" s="106">
        <v>14</v>
      </c>
      <c r="CQ64" s="106">
        <v>14128.799999999997</v>
      </c>
      <c r="CR64" s="106">
        <v>8</v>
      </c>
      <c r="CS64" s="106">
        <v>8073.5999999999985</v>
      </c>
      <c r="CT64" s="106">
        <v>15</v>
      </c>
      <c r="CU64" s="106">
        <v>15137.999999999996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39.30201981547637</v>
      </c>
      <c r="I65" s="106">
        <v>40323.872330678758</v>
      </c>
      <c r="J65" s="106">
        <v>34.8131482224492</v>
      </c>
      <c r="K65" s="106">
        <v>35718.290076232879</v>
      </c>
      <c r="L65" s="106">
        <v>11</v>
      </c>
      <c r="M65" s="106">
        <v>11286</v>
      </c>
      <c r="N65" s="106">
        <v>12</v>
      </c>
      <c r="O65" s="106">
        <v>12312</v>
      </c>
      <c r="P65" s="106">
        <v>8</v>
      </c>
      <c r="Q65" s="106">
        <v>8208</v>
      </c>
      <c r="R65" s="106">
        <v>8</v>
      </c>
      <c r="S65" s="106">
        <v>8208</v>
      </c>
      <c r="T65" s="106">
        <v>5</v>
      </c>
      <c r="U65" s="106">
        <v>5130</v>
      </c>
      <c r="V65" s="106">
        <v>6</v>
      </c>
      <c r="W65" s="106">
        <v>6156</v>
      </c>
      <c r="X65" s="106">
        <v>7</v>
      </c>
      <c r="Y65" s="106">
        <v>7182</v>
      </c>
      <c r="Z65" s="106">
        <v>8</v>
      </c>
      <c r="AA65" s="106">
        <v>8208</v>
      </c>
      <c r="AB65" s="106">
        <v>6</v>
      </c>
      <c r="AC65" s="106">
        <v>6156</v>
      </c>
      <c r="AD65" s="106">
        <v>6</v>
      </c>
      <c r="AE65" s="106">
        <v>6156</v>
      </c>
      <c r="AF65" s="106">
        <v>7</v>
      </c>
      <c r="AG65" s="106">
        <v>7182</v>
      </c>
      <c r="AH65" s="106">
        <v>5</v>
      </c>
      <c r="AI65" s="106">
        <v>5130</v>
      </c>
      <c r="AJ65" s="106">
        <v>26</v>
      </c>
      <c r="AK65" s="106">
        <v>26676</v>
      </c>
      <c r="AL65" s="106">
        <v>28</v>
      </c>
      <c r="AM65" s="106">
        <v>28728</v>
      </c>
      <c r="AN65" s="106">
        <v>19</v>
      </c>
      <c r="AO65" s="106">
        <v>19494</v>
      </c>
      <c r="AP65" s="106">
        <v>17</v>
      </c>
      <c r="AQ65" s="106">
        <v>17442</v>
      </c>
      <c r="AR65" s="106">
        <v>14</v>
      </c>
      <c r="AS65" s="106">
        <v>14364</v>
      </c>
      <c r="AT65" s="106">
        <v>24</v>
      </c>
      <c r="AU65" s="106">
        <v>24624</v>
      </c>
      <c r="AV65" s="106">
        <v>14</v>
      </c>
      <c r="AW65" s="106">
        <v>14364</v>
      </c>
      <c r="AX65" s="106">
        <v>18</v>
      </c>
      <c r="AY65" s="106">
        <v>18468</v>
      </c>
      <c r="AZ65" s="106">
        <v>11</v>
      </c>
      <c r="BA65" s="106">
        <v>11286</v>
      </c>
      <c r="BB65" s="106">
        <v>9</v>
      </c>
      <c r="BC65" s="106">
        <v>9234</v>
      </c>
      <c r="BD65" s="106">
        <v>17</v>
      </c>
      <c r="BE65" s="106">
        <v>17442</v>
      </c>
      <c r="BF65" s="106">
        <v>9</v>
      </c>
      <c r="BG65" s="106">
        <v>9234</v>
      </c>
      <c r="BH65" s="106">
        <v>20</v>
      </c>
      <c r="BI65" s="106">
        <v>20520</v>
      </c>
      <c r="BJ65" s="106">
        <v>17</v>
      </c>
      <c r="BK65" s="106">
        <v>17442</v>
      </c>
      <c r="BL65" s="106">
        <v>14</v>
      </c>
      <c r="BM65" s="106">
        <v>14364</v>
      </c>
      <c r="BN65" s="106">
        <v>22</v>
      </c>
      <c r="BO65" s="106">
        <v>22572</v>
      </c>
      <c r="BP65" s="106">
        <v>19</v>
      </c>
      <c r="BQ65" s="106">
        <v>19494</v>
      </c>
      <c r="BR65" s="106">
        <v>15</v>
      </c>
      <c r="BS65" s="106">
        <v>15390</v>
      </c>
      <c r="BT65" s="106">
        <v>18</v>
      </c>
      <c r="BU65" s="106">
        <v>18468</v>
      </c>
      <c r="BV65" s="106">
        <v>19</v>
      </c>
      <c r="BW65" s="106">
        <v>19494</v>
      </c>
      <c r="BX65" s="106">
        <v>26</v>
      </c>
      <c r="BY65" s="106">
        <v>26676</v>
      </c>
      <c r="BZ65" s="106">
        <v>30</v>
      </c>
      <c r="CA65" s="106">
        <v>30780</v>
      </c>
      <c r="CB65" s="106">
        <v>29</v>
      </c>
      <c r="CC65" s="106">
        <v>29754</v>
      </c>
      <c r="CD65" s="106">
        <v>17</v>
      </c>
      <c r="CE65" s="106">
        <v>17442</v>
      </c>
      <c r="CF65" s="106">
        <v>15</v>
      </c>
      <c r="CG65" s="106">
        <v>15390</v>
      </c>
      <c r="CH65" s="106">
        <v>12</v>
      </c>
      <c r="CI65" s="106">
        <v>12312</v>
      </c>
      <c r="CJ65" s="106">
        <v>21</v>
      </c>
      <c r="CK65" s="106">
        <v>21546</v>
      </c>
      <c r="CL65" s="106">
        <v>22</v>
      </c>
      <c r="CM65" s="106">
        <v>22572</v>
      </c>
      <c r="CN65" s="106">
        <v>12</v>
      </c>
      <c r="CO65" s="106">
        <v>12312</v>
      </c>
      <c r="CP65" s="106">
        <v>17</v>
      </c>
      <c r="CQ65" s="106">
        <v>17442</v>
      </c>
      <c r="CR65" s="106">
        <v>9</v>
      </c>
      <c r="CS65" s="106">
        <v>9234</v>
      </c>
      <c r="CT65" s="106">
        <v>17</v>
      </c>
      <c r="CU65" s="106">
        <v>17442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35.913914658969787</v>
      </c>
      <c r="I66" s="106">
        <v>42751.924010037626</v>
      </c>
      <c r="J66" s="106">
        <v>36.470917185422962</v>
      </c>
      <c r="K66" s="106">
        <v>43414.979817527492</v>
      </c>
      <c r="L66" s="106">
        <v>12</v>
      </c>
      <c r="M66" s="106">
        <v>14284.8</v>
      </c>
      <c r="N66" s="106">
        <v>11</v>
      </c>
      <c r="O66" s="106">
        <v>13094.399999999998</v>
      </c>
      <c r="P66" s="106">
        <v>7</v>
      </c>
      <c r="Q66" s="106">
        <v>8332.7999999999993</v>
      </c>
      <c r="R66" s="106">
        <v>8</v>
      </c>
      <c r="S66" s="106">
        <v>9523.1999999999989</v>
      </c>
      <c r="T66" s="106">
        <v>5</v>
      </c>
      <c r="U66" s="106">
        <v>5951.9999999999991</v>
      </c>
      <c r="V66" s="106">
        <v>6</v>
      </c>
      <c r="W66" s="106">
        <v>7142.4</v>
      </c>
      <c r="X66" s="106">
        <v>7</v>
      </c>
      <c r="Y66" s="106">
        <v>8332.7999999999993</v>
      </c>
      <c r="Z66" s="106">
        <v>7</v>
      </c>
      <c r="AA66" s="106">
        <v>8332.7999999999993</v>
      </c>
      <c r="AB66" s="106">
        <v>6</v>
      </c>
      <c r="AC66" s="106">
        <v>7142.4</v>
      </c>
      <c r="AD66" s="106">
        <v>6</v>
      </c>
      <c r="AE66" s="106">
        <v>7142.4</v>
      </c>
      <c r="AF66" s="106">
        <v>7</v>
      </c>
      <c r="AG66" s="106">
        <v>8332.7999999999993</v>
      </c>
      <c r="AH66" s="106">
        <v>5</v>
      </c>
      <c r="AI66" s="106">
        <v>5951.9999999999991</v>
      </c>
      <c r="AJ66" s="106">
        <v>24</v>
      </c>
      <c r="AK66" s="106">
        <v>28569.599999999999</v>
      </c>
      <c r="AL66" s="106">
        <v>26</v>
      </c>
      <c r="AM66" s="106">
        <v>30950.399999999998</v>
      </c>
      <c r="AN66" s="106">
        <v>19</v>
      </c>
      <c r="AO66" s="106">
        <v>22617.599999999999</v>
      </c>
      <c r="AP66" s="106">
        <v>17</v>
      </c>
      <c r="AQ66" s="106">
        <v>20236.8</v>
      </c>
      <c r="AR66" s="106">
        <v>16</v>
      </c>
      <c r="AS66" s="106">
        <v>19046.399999999998</v>
      </c>
      <c r="AT66" s="106">
        <v>21</v>
      </c>
      <c r="AU66" s="106">
        <v>24998.399999999998</v>
      </c>
      <c r="AV66" s="106">
        <v>15</v>
      </c>
      <c r="AW66" s="106">
        <v>17855.999999999996</v>
      </c>
      <c r="AX66" s="106">
        <v>19</v>
      </c>
      <c r="AY66" s="106">
        <v>22617.599999999999</v>
      </c>
      <c r="AZ66" s="106">
        <v>11</v>
      </c>
      <c r="BA66" s="106">
        <v>13094.399999999998</v>
      </c>
      <c r="BB66" s="106">
        <v>9</v>
      </c>
      <c r="BC66" s="106">
        <v>10713.599999999999</v>
      </c>
      <c r="BD66" s="106">
        <v>15</v>
      </c>
      <c r="BE66" s="106">
        <v>17855.999999999996</v>
      </c>
      <c r="BF66" s="106">
        <v>8</v>
      </c>
      <c r="BG66" s="106">
        <v>9523.1999999999989</v>
      </c>
      <c r="BH66" s="106">
        <v>20</v>
      </c>
      <c r="BI66" s="106">
        <v>23807.999999999996</v>
      </c>
      <c r="BJ66" s="106">
        <v>16</v>
      </c>
      <c r="BK66" s="106">
        <v>19046.399999999998</v>
      </c>
      <c r="BL66" s="106">
        <v>12</v>
      </c>
      <c r="BM66" s="106">
        <v>14284.8</v>
      </c>
      <c r="BN66" s="106">
        <v>20</v>
      </c>
      <c r="BO66" s="106">
        <v>23807.999999999996</v>
      </c>
      <c r="BP66" s="106">
        <v>18</v>
      </c>
      <c r="BQ66" s="106">
        <v>21427.199999999997</v>
      </c>
      <c r="BR66" s="106">
        <v>14</v>
      </c>
      <c r="BS66" s="106">
        <v>16665.599999999999</v>
      </c>
      <c r="BT66" s="106">
        <v>19</v>
      </c>
      <c r="BU66" s="106">
        <v>22617.599999999999</v>
      </c>
      <c r="BV66" s="106">
        <v>18</v>
      </c>
      <c r="BW66" s="106">
        <v>21427.199999999997</v>
      </c>
      <c r="BX66" s="106">
        <v>24</v>
      </c>
      <c r="BY66" s="106">
        <v>28569.599999999999</v>
      </c>
      <c r="BZ66" s="106">
        <v>26</v>
      </c>
      <c r="CA66" s="106">
        <v>30950.399999999998</v>
      </c>
      <c r="CB66" s="106">
        <v>33</v>
      </c>
      <c r="CC66" s="106">
        <v>39283.199999999997</v>
      </c>
      <c r="CD66" s="106">
        <v>19</v>
      </c>
      <c r="CE66" s="106">
        <v>22617.599999999999</v>
      </c>
      <c r="CF66" s="106">
        <v>17</v>
      </c>
      <c r="CG66" s="106">
        <v>20236.8</v>
      </c>
      <c r="CH66" s="106">
        <v>13</v>
      </c>
      <c r="CI66" s="106">
        <v>15475.199999999999</v>
      </c>
      <c r="CJ66" s="106">
        <v>22</v>
      </c>
      <c r="CK66" s="106">
        <v>26188.799999999996</v>
      </c>
      <c r="CL66" s="106">
        <v>23</v>
      </c>
      <c r="CM66" s="106">
        <v>27379.199999999997</v>
      </c>
      <c r="CN66" s="106">
        <v>13</v>
      </c>
      <c r="CO66" s="106">
        <v>15475.199999999999</v>
      </c>
      <c r="CP66" s="106">
        <v>16</v>
      </c>
      <c r="CQ66" s="106">
        <v>19046.399999999998</v>
      </c>
      <c r="CR66" s="106">
        <v>9</v>
      </c>
      <c r="CS66" s="106">
        <v>10713.599999999999</v>
      </c>
      <c r="CT66" s="106">
        <v>17</v>
      </c>
      <c r="CU66" s="106">
        <v>20236.8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35.236293627668474</v>
      </c>
      <c r="I67" s="106">
        <v>39577.405002597232</v>
      </c>
      <c r="J67" s="106">
        <v>38.957570629883627</v>
      </c>
      <c r="K67" s="106">
        <v>43757.143331485291</v>
      </c>
      <c r="L67" s="106">
        <v>12</v>
      </c>
      <c r="M67" s="106">
        <v>13478.400000000001</v>
      </c>
      <c r="N67" s="106">
        <v>13</v>
      </c>
      <c r="O67" s="106">
        <v>14601.6</v>
      </c>
      <c r="P67" s="106">
        <v>8</v>
      </c>
      <c r="Q67" s="106">
        <v>8985.6</v>
      </c>
      <c r="R67" s="106">
        <v>8</v>
      </c>
      <c r="S67" s="106">
        <v>8985.6</v>
      </c>
      <c r="T67" s="106">
        <v>6</v>
      </c>
      <c r="U67" s="106">
        <v>6739.2000000000007</v>
      </c>
      <c r="V67" s="106">
        <v>6</v>
      </c>
      <c r="W67" s="106">
        <v>6739.2000000000007</v>
      </c>
      <c r="X67" s="106">
        <v>7</v>
      </c>
      <c r="Y67" s="106">
        <v>7862.4000000000005</v>
      </c>
      <c r="Z67" s="106">
        <v>7</v>
      </c>
      <c r="AA67" s="106">
        <v>7862.4000000000005</v>
      </c>
      <c r="AB67" s="106">
        <v>5</v>
      </c>
      <c r="AC67" s="106">
        <v>5616</v>
      </c>
      <c r="AD67" s="106">
        <v>6</v>
      </c>
      <c r="AE67" s="106">
        <v>6739.2000000000007</v>
      </c>
      <c r="AF67" s="106">
        <v>7</v>
      </c>
      <c r="AG67" s="106">
        <v>7862.4000000000005</v>
      </c>
      <c r="AH67" s="106">
        <v>5</v>
      </c>
      <c r="AI67" s="106">
        <v>5616</v>
      </c>
      <c r="AJ67" s="106">
        <v>23</v>
      </c>
      <c r="AK67" s="106">
        <v>25833.600000000002</v>
      </c>
      <c r="AL67" s="106">
        <v>24</v>
      </c>
      <c r="AM67" s="106">
        <v>26956.800000000003</v>
      </c>
      <c r="AN67" s="106">
        <v>18</v>
      </c>
      <c r="AO67" s="106">
        <v>20217.600000000002</v>
      </c>
      <c r="AP67" s="106">
        <v>17</v>
      </c>
      <c r="AQ67" s="106">
        <v>19094.400000000001</v>
      </c>
      <c r="AR67" s="106">
        <v>15</v>
      </c>
      <c r="AS67" s="106">
        <v>16848</v>
      </c>
      <c r="AT67" s="106">
        <v>20</v>
      </c>
      <c r="AU67" s="106">
        <v>22464</v>
      </c>
      <c r="AV67" s="106">
        <v>15</v>
      </c>
      <c r="AW67" s="106">
        <v>16848</v>
      </c>
      <c r="AX67" s="106">
        <v>18</v>
      </c>
      <c r="AY67" s="106">
        <v>20217.600000000002</v>
      </c>
      <c r="AZ67" s="106">
        <v>10</v>
      </c>
      <c r="BA67" s="106">
        <v>11232</v>
      </c>
      <c r="BB67" s="106">
        <v>10</v>
      </c>
      <c r="BC67" s="106">
        <v>11232</v>
      </c>
      <c r="BD67" s="106">
        <v>15</v>
      </c>
      <c r="BE67" s="106">
        <v>16848</v>
      </c>
      <c r="BF67" s="106">
        <v>9</v>
      </c>
      <c r="BG67" s="106">
        <v>10108.800000000001</v>
      </c>
      <c r="BH67" s="106">
        <v>19</v>
      </c>
      <c r="BI67" s="106">
        <v>21340.799999999999</v>
      </c>
      <c r="BJ67" s="106">
        <v>16</v>
      </c>
      <c r="BK67" s="106">
        <v>17971.2</v>
      </c>
      <c r="BL67" s="106">
        <v>13</v>
      </c>
      <c r="BM67" s="106">
        <v>14601.6</v>
      </c>
      <c r="BN67" s="106">
        <v>21</v>
      </c>
      <c r="BO67" s="106">
        <v>23587.200000000001</v>
      </c>
      <c r="BP67" s="106">
        <v>16</v>
      </c>
      <c r="BQ67" s="106">
        <v>17971.2</v>
      </c>
      <c r="BR67" s="106">
        <v>13</v>
      </c>
      <c r="BS67" s="106">
        <v>14601.6</v>
      </c>
      <c r="BT67" s="106">
        <v>18</v>
      </c>
      <c r="BU67" s="106">
        <v>20217.600000000002</v>
      </c>
      <c r="BV67" s="106">
        <v>17</v>
      </c>
      <c r="BW67" s="106">
        <v>19094.400000000001</v>
      </c>
      <c r="BX67" s="106">
        <v>24</v>
      </c>
      <c r="BY67" s="106">
        <v>26956.800000000003</v>
      </c>
      <c r="BZ67" s="106">
        <v>28</v>
      </c>
      <c r="CA67" s="106">
        <v>31449.600000000002</v>
      </c>
      <c r="CB67" s="106">
        <v>30</v>
      </c>
      <c r="CC67" s="106">
        <v>33696</v>
      </c>
      <c r="CD67" s="106">
        <v>21</v>
      </c>
      <c r="CE67" s="106">
        <v>23587.200000000001</v>
      </c>
      <c r="CF67" s="106">
        <v>15</v>
      </c>
      <c r="CG67" s="106">
        <v>16848</v>
      </c>
      <c r="CH67" s="106">
        <v>12</v>
      </c>
      <c r="CI67" s="106">
        <v>13478.400000000001</v>
      </c>
      <c r="CJ67" s="106">
        <v>23</v>
      </c>
      <c r="CK67" s="106">
        <v>25833.600000000002</v>
      </c>
      <c r="CL67" s="106">
        <v>24</v>
      </c>
      <c r="CM67" s="106">
        <v>26956.800000000003</v>
      </c>
      <c r="CN67" s="106">
        <v>12</v>
      </c>
      <c r="CO67" s="106">
        <v>13478.400000000001</v>
      </c>
      <c r="CP67" s="106">
        <v>15</v>
      </c>
      <c r="CQ67" s="106">
        <v>16848</v>
      </c>
      <c r="CR67" s="106">
        <v>9</v>
      </c>
      <c r="CS67" s="106">
        <v>10108.800000000001</v>
      </c>
      <c r="CT67" s="106">
        <v>14</v>
      </c>
      <c r="CU67" s="106">
        <v>15724.800000000001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33.203430533764518</v>
      </c>
      <c r="I68" s="106">
        <v>34305.784427485502</v>
      </c>
      <c r="J68" s="106">
        <v>38.128686148396739</v>
      </c>
      <c r="K68" s="106">
        <v>39394.558528523514</v>
      </c>
      <c r="L68" s="106">
        <v>12</v>
      </c>
      <c r="M68" s="106">
        <v>12398.400000000001</v>
      </c>
      <c r="N68" s="106">
        <v>13</v>
      </c>
      <c r="O68" s="106">
        <v>13431.6</v>
      </c>
      <c r="P68" s="106">
        <v>8</v>
      </c>
      <c r="Q68" s="106">
        <v>8265.6</v>
      </c>
      <c r="R68" s="106">
        <v>9</v>
      </c>
      <c r="S68" s="106">
        <v>9298.8000000000011</v>
      </c>
      <c r="T68" s="106">
        <v>6</v>
      </c>
      <c r="U68" s="106">
        <v>6199.2000000000007</v>
      </c>
      <c r="V68" s="106">
        <v>6</v>
      </c>
      <c r="W68" s="106">
        <v>6199.2000000000007</v>
      </c>
      <c r="X68" s="106">
        <v>7</v>
      </c>
      <c r="Y68" s="106">
        <v>7232.4000000000005</v>
      </c>
      <c r="Z68" s="106">
        <v>8</v>
      </c>
      <c r="AA68" s="106">
        <v>8265.6</v>
      </c>
      <c r="AB68" s="106">
        <v>5</v>
      </c>
      <c r="AC68" s="106">
        <v>5166</v>
      </c>
      <c r="AD68" s="106">
        <v>6</v>
      </c>
      <c r="AE68" s="106">
        <v>6199.2000000000007</v>
      </c>
      <c r="AF68" s="106">
        <v>6</v>
      </c>
      <c r="AG68" s="106">
        <v>6199.2000000000007</v>
      </c>
      <c r="AH68" s="106">
        <v>5</v>
      </c>
      <c r="AI68" s="106">
        <v>5166</v>
      </c>
      <c r="AJ68" s="106">
        <v>27</v>
      </c>
      <c r="AK68" s="106">
        <v>27896.400000000001</v>
      </c>
      <c r="AL68" s="106">
        <v>26</v>
      </c>
      <c r="AM68" s="106">
        <v>26863.200000000001</v>
      </c>
      <c r="AN68" s="106">
        <v>17</v>
      </c>
      <c r="AO68" s="106">
        <v>17564.400000000001</v>
      </c>
      <c r="AP68" s="106">
        <v>15</v>
      </c>
      <c r="AQ68" s="106">
        <v>15498</v>
      </c>
      <c r="AR68" s="106">
        <v>14</v>
      </c>
      <c r="AS68" s="106">
        <v>14464.800000000001</v>
      </c>
      <c r="AT68" s="106">
        <v>20</v>
      </c>
      <c r="AU68" s="106">
        <v>20664</v>
      </c>
      <c r="AV68" s="106">
        <v>16</v>
      </c>
      <c r="AW68" s="106">
        <v>16531.2</v>
      </c>
      <c r="AX68" s="106">
        <v>18</v>
      </c>
      <c r="AY68" s="106">
        <v>18597.600000000002</v>
      </c>
      <c r="AZ68" s="106">
        <v>10</v>
      </c>
      <c r="BA68" s="106">
        <v>10332</v>
      </c>
      <c r="BB68" s="106">
        <v>9</v>
      </c>
      <c r="BC68" s="106">
        <v>9298.8000000000011</v>
      </c>
      <c r="BD68" s="106">
        <v>17</v>
      </c>
      <c r="BE68" s="106">
        <v>17564.400000000001</v>
      </c>
      <c r="BF68" s="106">
        <v>10</v>
      </c>
      <c r="BG68" s="106">
        <v>10332</v>
      </c>
      <c r="BH68" s="106">
        <v>20</v>
      </c>
      <c r="BI68" s="106">
        <v>20664</v>
      </c>
      <c r="BJ68" s="106">
        <v>15</v>
      </c>
      <c r="BK68" s="106">
        <v>15498</v>
      </c>
      <c r="BL68" s="106">
        <v>12</v>
      </c>
      <c r="BM68" s="106">
        <v>12398.400000000001</v>
      </c>
      <c r="BN68" s="106">
        <v>18</v>
      </c>
      <c r="BO68" s="106">
        <v>18597.600000000002</v>
      </c>
      <c r="BP68" s="106">
        <v>17</v>
      </c>
      <c r="BQ68" s="106">
        <v>17564.400000000001</v>
      </c>
      <c r="BR68" s="106">
        <v>14</v>
      </c>
      <c r="BS68" s="106">
        <v>14464.800000000001</v>
      </c>
      <c r="BT68" s="106">
        <v>20</v>
      </c>
      <c r="BU68" s="106">
        <v>20664</v>
      </c>
      <c r="BV68" s="106">
        <v>16</v>
      </c>
      <c r="BW68" s="106">
        <v>16531.2</v>
      </c>
      <c r="BX68" s="106">
        <v>25</v>
      </c>
      <c r="BY68" s="106">
        <v>25830</v>
      </c>
      <c r="BZ68" s="106">
        <v>28</v>
      </c>
      <c r="CA68" s="106">
        <v>28929.600000000002</v>
      </c>
      <c r="CB68" s="106">
        <v>33</v>
      </c>
      <c r="CC68" s="106">
        <v>34095.599999999999</v>
      </c>
      <c r="CD68" s="106">
        <v>17</v>
      </c>
      <c r="CE68" s="106">
        <v>17564.400000000001</v>
      </c>
      <c r="CF68" s="106">
        <v>17</v>
      </c>
      <c r="CG68" s="106">
        <v>17564.400000000001</v>
      </c>
      <c r="CH68" s="106">
        <v>12</v>
      </c>
      <c r="CI68" s="106">
        <v>12398.400000000001</v>
      </c>
      <c r="CJ68" s="106">
        <v>23</v>
      </c>
      <c r="CK68" s="106">
        <v>23763.600000000002</v>
      </c>
      <c r="CL68" s="106">
        <v>25</v>
      </c>
      <c r="CM68" s="106">
        <v>25830</v>
      </c>
      <c r="CN68" s="106">
        <v>14</v>
      </c>
      <c r="CO68" s="106">
        <v>14464.800000000001</v>
      </c>
      <c r="CP68" s="106">
        <v>16</v>
      </c>
      <c r="CQ68" s="106">
        <v>16531.2</v>
      </c>
      <c r="CR68" s="106">
        <v>9</v>
      </c>
      <c r="CS68" s="106">
        <v>9298.8000000000011</v>
      </c>
      <c r="CT68" s="106">
        <v>15</v>
      </c>
      <c r="CU68" s="106">
        <v>15498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41.334882909380326</v>
      </c>
      <c r="I69" s="106">
        <v>31348.375198474037</v>
      </c>
      <c r="J69" s="106">
        <v>39.786455111370515</v>
      </c>
      <c r="K69" s="106">
        <v>30174.047556463396</v>
      </c>
      <c r="L69" s="106">
        <v>12</v>
      </c>
      <c r="M69" s="106">
        <v>9100.7999999999993</v>
      </c>
      <c r="N69" s="106">
        <v>12</v>
      </c>
      <c r="O69" s="106">
        <v>9100.7999999999993</v>
      </c>
      <c r="P69" s="106">
        <v>8</v>
      </c>
      <c r="Q69" s="106">
        <v>6067.2</v>
      </c>
      <c r="R69" s="106">
        <v>9</v>
      </c>
      <c r="S69" s="106">
        <v>6825.5999999999995</v>
      </c>
      <c r="T69" s="106">
        <v>5</v>
      </c>
      <c r="U69" s="106">
        <v>3792</v>
      </c>
      <c r="V69" s="106">
        <v>6</v>
      </c>
      <c r="W69" s="106">
        <v>4550.3999999999996</v>
      </c>
      <c r="X69" s="106">
        <v>7</v>
      </c>
      <c r="Y69" s="106">
        <v>5308.8</v>
      </c>
      <c r="Z69" s="106">
        <v>8</v>
      </c>
      <c r="AA69" s="106">
        <v>6067.2</v>
      </c>
      <c r="AB69" s="106">
        <v>5</v>
      </c>
      <c r="AC69" s="106">
        <v>3792</v>
      </c>
      <c r="AD69" s="106">
        <v>6</v>
      </c>
      <c r="AE69" s="106">
        <v>4550.3999999999996</v>
      </c>
      <c r="AF69" s="106">
        <v>7</v>
      </c>
      <c r="AG69" s="106">
        <v>5308.8</v>
      </c>
      <c r="AH69" s="106">
        <v>5</v>
      </c>
      <c r="AI69" s="106">
        <v>3792</v>
      </c>
      <c r="AJ69" s="106">
        <v>26</v>
      </c>
      <c r="AK69" s="106">
        <v>19718.399999999998</v>
      </c>
      <c r="AL69" s="106">
        <v>24</v>
      </c>
      <c r="AM69" s="106">
        <v>18201.599999999999</v>
      </c>
      <c r="AN69" s="106">
        <v>18</v>
      </c>
      <c r="AO69" s="106">
        <v>13651.199999999999</v>
      </c>
      <c r="AP69" s="106">
        <v>19</v>
      </c>
      <c r="AQ69" s="106">
        <v>14409.6</v>
      </c>
      <c r="AR69" s="106">
        <v>15</v>
      </c>
      <c r="AS69" s="106">
        <v>11376</v>
      </c>
      <c r="AT69" s="106">
        <v>23</v>
      </c>
      <c r="AU69" s="106">
        <v>17443.2</v>
      </c>
      <c r="AV69" s="106">
        <v>15</v>
      </c>
      <c r="AW69" s="106">
        <v>11376</v>
      </c>
      <c r="AX69" s="106">
        <v>18</v>
      </c>
      <c r="AY69" s="106">
        <v>13651.199999999999</v>
      </c>
      <c r="AZ69" s="106">
        <v>12</v>
      </c>
      <c r="BA69" s="106">
        <v>9100.7999999999993</v>
      </c>
      <c r="BB69" s="106">
        <v>9</v>
      </c>
      <c r="BC69" s="106">
        <v>6825.5999999999995</v>
      </c>
      <c r="BD69" s="106">
        <v>15</v>
      </c>
      <c r="BE69" s="106">
        <v>11376</v>
      </c>
      <c r="BF69" s="106">
        <v>10</v>
      </c>
      <c r="BG69" s="106">
        <v>7584</v>
      </c>
      <c r="BH69" s="106">
        <v>20</v>
      </c>
      <c r="BI69" s="106">
        <v>15168</v>
      </c>
      <c r="BJ69" s="106">
        <v>18</v>
      </c>
      <c r="BK69" s="106">
        <v>13651.199999999999</v>
      </c>
      <c r="BL69" s="106">
        <v>14</v>
      </c>
      <c r="BM69" s="106">
        <v>10617.6</v>
      </c>
      <c r="BN69" s="106">
        <v>21</v>
      </c>
      <c r="BO69" s="106">
        <v>15926.4</v>
      </c>
      <c r="BP69" s="106">
        <v>18</v>
      </c>
      <c r="BQ69" s="106">
        <v>13651.199999999999</v>
      </c>
      <c r="BR69" s="106">
        <v>14</v>
      </c>
      <c r="BS69" s="106">
        <v>10617.6</v>
      </c>
      <c r="BT69" s="106">
        <v>19</v>
      </c>
      <c r="BU69" s="106">
        <v>14409.6</v>
      </c>
      <c r="BV69" s="106">
        <v>18</v>
      </c>
      <c r="BW69" s="106">
        <v>13651.199999999999</v>
      </c>
      <c r="BX69" s="106">
        <v>26</v>
      </c>
      <c r="BY69" s="106">
        <v>19718.399999999998</v>
      </c>
      <c r="BZ69" s="106">
        <v>29</v>
      </c>
      <c r="CA69" s="106">
        <v>21993.599999999999</v>
      </c>
      <c r="CB69" s="106">
        <v>35</v>
      </c>
      <c r="CC69" s="106">
        <v>26544</v>
      </c>
      <c r="CD69" s="106">
        <v>21</v>
      </c>
      <c r="CE69" s="106">
        <v>15926.4</v>
      </c>
      <c r="CF69" s="106">
        <v>18</v>
      </c>
      <c r="CG69" s="106">
        <v>13651.199999999999</v>
      </c>
      <c r="CH69" s="106">
        <v>13</v>
      </c>
      <c r="CI69" s="106">
        <v>9859.1999999999989</v>
      </c>
      <c r="CJ69" s="106">
        <v>23</v>
      </c>
      <c r="CK69" s="106">
        <v>17443.2</v>
      </c>
      <c r="CL69" s="106">
        <v>26</v>
      </c>
      <c r="CM69" s="106">
        <v>19718.399999999998</v>
      </c>
      <c r="CN69" s="106">
        <v>12</v>
      </c>
      <c r="CO69" s="106">
        <v>9100.7999999999993</v>
      </c>
      <c r="CP69" s="106">
        <v>16</v>
      </c>
      <c r="CQ69" s="106">
        <v>12134.4</v>
      </c>
      <c r="CR69" s="106">
        <v>9</v>
      </c>
      <c r="CS69" s="106">
        <v>6825.5999999999995</v>
      </c>
      <c r="CT69" s="106">
        <v>15</v>
      </c>
      <c r="CU69" s="106">
        <v>11376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36.591535690271101</v>
      </c>
      <c r="I70" s="106">
        <v>19583.789901433091</v>
      </c>
      <c r="J70" s="106">
        <v>37.29980166690985</v>
      </c>
      <c r="K70" s="106">
        <v>19962.853852130149</v>
      </c>
      <c r="L70" s="106">
        <v>13</v>
      </c>
      <c r="M70" s="106">
        <v>6957.5999999999995</v>
      </c>
      <c r="N70" s="106">
        <v>12</v>
      </c>
      <c r="O70" s="106">
        <v>6422.4</v>
      </c>
      <c r="P70" s="106">
        <v>7</v>
      </c>
      <c r="Q70" s="106">
        <v>3746.3999999999996</v>
      </c>
      <c r="R70" s="106">
        <v>8</v>
      </c>
      <c r="S70" s="106">
        <v>4281.5999999999995</v>
      </c>
      <c r="T70" s="106">
        <v>6</v>
      </c>
      <c r="U70" s="106">
        <v>3211.2</v>
      </c>
      <c r="V70" s="106">
        <v>6</v>
      </c>
      <c r="W70" s="106">
        <v>3211.2</v>
      </c>
      <c r="X70" s="106">
        <v>7</v>
      </c>
      <c r="Y70" s="106">
        <v>3746.3999999999996</v>
      </c>
      <c r="Z70" s="106">
        <v>8</v>
      </c>
      <c r="AA70" s="106">
        <v>4281.5999999999995</v>
      </c>
      <c r="AB70" s="106">
        <v>5</v>
      </c>
      <c r="AC70" s="106">
        <v>2675.9999999999995</v>
      </c>
      <c r="AD70" s="106">
        <v>6</v>
      </c>
      <c r="AE70" s="106">
        <v>3211.2</v>
      </c>
      <c r="AF70" s="106">
        <v>7</v>
      </c>
      <c r="AG70" s="106">
        <v>3746.3999999999996</v>
      </c>
      <c r="AH70" s="106">
        <v>5</v>
      </c>
      <c r="AI70" s="106">
        <v>2675.9999999999995</v>
      </c>
      <c r="AJ70" s="106">
        <v>28</v>
      </c>
      <c r="AK70" s="106">
        <v>14985.599999999999</v>
      </c>
      <c r="AL70" s="106">
        <v>26</v>
      </c>
      <c r="AM70" s="106">
        <v>13915.199999999999</v>
      </c>
      <c r="AN70" s="106">
        <v>20</v>
      </c>
      <c r="AO70" s="106">
        <v>10703.999999999998</v>
      </c>
      <c r="AP70" s="106">
        <v>19</v>
      </c>
      <c r="AQ70" s="106">
        <v>10168.799999999999</v>
      </c>
      <c r="AR70" s="106">
        <v>15</v>
      </c>
      <c r="AS70" s="106">
        <v>8027.9999999999991</v>
      </c>
      <c r="AT70" s="106">
        <v>22</v>
      </c>
      <c r="AU70" s="106">
        <v>11774.399999999998</v>
      </c>
      <c r="AV70" s="106">
        <v>17</v>
      </c>
      <c r="AW70" s="106">
        <v>9098.4</v>
      </c>
      <c r="AX70" s="106">
        <v>18</v>
      </c>
      <c r="AY70" s="106">
        <v>9633.5999999999985</v>
      </c>
      <c r="AZ70" s="106">
        <v>12</v>
      </c>
      <c r="BA70" s="106">
        <v>6422.4</v>
      </c>
      <c r="BB70" s="106">
        <v>10</v>
      </c>
      <c r="BC70" s="106">
        <v>5351.9999999999991</v>
      </c>
      <c r="BD70" s="106">
        <v>18</v>
      </c>
      <c r="BE70" s="106">
        <v>9633.5999999999985</v>
      </c>
      <c r="BF70" s="106">
        <v>10</v>
      </c>
      <c r="BG70" s="106">
        <v>5351.9999999999991</v>
      </c>
      <c r="BH70" s="106">
        <v>18</v>
      </c>
      <c r="BI70" s="106">
        <v>9633.5999999999985</v>
      </c>
      <c r="BJ70" s="106">
        <v>18</v>
      </c>
      <c r="BK70" s="106">
        <v>9633.5999999999985</v>
      </c>
      <c r="BL70" s="106">
        <v>14</v>
      </c>
      <c r="BM70" s="106">
        <v>7492.7999999999993</v>
      </c>
      <c r="BN70" s="106">
        <v>21</v>
      </c>
      <c r="BO70" s="106">
        <v>11239.199999999999</v>
      </c>
      <c r="BP70" s="106">
        <v>17</v>
      </c>
      <c r="BQ70" s="106">
        <v>9098.4</v>
      </c>
      <c r="BR70" s="106">
        <v>17</v>
      </c>
      <c r="BS70" s="106">
        <v>9098.4</v>
      </c>
      <c r="BT70" s="106">
        <v>20</v>
      </c>
      <c r="BU70" s="106">
        <v>10703.999999999998</v>
      </c>
      <c r="BV70" s="106">
        <v>19</v>
      </c>
      <c r="BW70" s="106">
        <v>10168.799999999999</v>
      </c>
      <c r="BX70" s="106">
        <v>26</v>
      </c>
      <c r="BY70" s="106">
        <v>13915.199999999999</v>
      </c>
      <c r="BZ70" s="106">
        <v>31</v>
      </c>
      <c r="CA70" s="106">
        <v>16591.199999999997</v>
      </c>
      <c r="CB70" s="106">
        <v>36</v>
      </c>
      <c r="CC70" s="106">
        <v>19267.199999999997</v>
      </c>
      <c r="CD70" s="106">
        <v>19</v>
      </c>
      <c r="CE70" s="106">
        <v>10168.799999999999</v>
      </c>
      <c r="CF70" s="106">
        <v>17</v>
      </c>
      <c r="CG70" s="106">
        <v>9098.4</v>
      </c>
      <c r="CH70" s="106">
        <v>14</v>
      </c>
      <c r="CI70" s="106">
        <v>7492.7999999999993</v>
      </c>
      <c r="CJ70" s="106">
        <v>25</v>
      </c>
      <c r="CK70" s="106">
        <v>13379.999999999998</v>
      </c>
      <c r="CL70" s="106">
        <v>26</v>
      </c>
      <c r="CM70" s="106">
        <v>13915.199999999999</v>
      </c>
      <c r="CN70" s="106">
        <v>13</v>
      </c>
      <c r="CO70" s="106">
        <v>6957.5999999999995</v>
      </c>
      <c r="CP70" s="106">
        <v>16</v>
      </c>
      <c r="CQ70" s="106">
        <v>8563.1999999999989</v>
      </c>
      <c r="CR70" s="106">
        <v>8</v>
      </c>
      <c r="CS70" s="106">
        <v>4281.5999999999995</v>
      </c>
      <c r="CT70" s="106">
        <v>16</v>
      </c>
      <c r="CU70" s="106">
        <v>8563.1999999999989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4.4152847197567935</v>
      </c>
      <c r="I71" s="106">
        <v>2490.2205819428314</v>
      </c>
      <c r="J71" s="106">
        <v>6.1141607692875803</v>
      </c>
      <c r="K71" s="106">
        <v>3448.3866738781953</v>
      </c>
      <c r="L71" s="106">
        <v>6.6767720152419807</v>
      </c>
      <c r="M71" s="106">
        <v>3765.699416596477</v>
      </c>
      <c r="N71" s="106">
        <v>6.2144756555033194</v>
      </c>
      <c r="O71" s="106">
        <v>3504.9642697038721</v>
      </c>
      <c r="P71" s="106">
        <v>4.6995305171660302</v>
      </c>
      <c r="Q71" s="106">
        <v>2650.5352116816412</v>
      </c>
      <c r="R71" s="106">
        <v>4.1826402378372407</v>
      </c>
      <c r="S71" s="106">
        <v>2359.0090941402036</v>
      </c>
      <c r="T71" s="106">
        <v>2.6290290768299758</v>
      </c>
      <c r="U71" s="106">
        <v>1482.7723993321063</v>
      </c>
      <c r="V71" s="106">
        <v>2.9336653998651974</v>
      </c>
      <c r="W71" s="106">
        <v>1654.5872855239713</v>
      </c>
      <c r="X71" s="106">
        <v>3.215086014448155</v>
      </c>
      <c r="Y71" s="106">
        <v>1813.3085121487595</v>
      </c>
      <c r="Z71" s="106">
        <v>2.7322531012027951</v>
      </c>
      <c r="AA71" s="106">
        <v>1540.9907490783764</v>
      </c>
      <c r="AB71" s="106">
        <v>5.383434663223623</v>
      </c>
      <c r="AC71" s="106">
        <v>3036.2571500581234</v>
      </c>
      <c r="AD71" s="106">
        <v>5.4961883255745079</v>
      </c>
      <c r="AE71" s="106">
        <v>3099.8502156240224</v>
      </c>
      <c r="AF71" s="106">
        <v>6.6497405495932282</v>
      </c>
      <c r="AG71" s="106">
        <v>3750.4536699705809</v>
      </c>
      <c r="AH71" s="106">
        <v>5.6442814974210558</v>
      </c>
      <c r="AI71" s="106">
        <v>3183.3747645454755</v>
      </c>
      <c r="AJ71" s="106">
        <v>2.7550083978720341</v>
      </c>
      <c r="AK71" s="106">
        <v>1553.8247363998273</v>
      </c>
      <c r="AL71" s="106">
        <v>3.5322277758054352</v>
      </c>
      <c r="AM71" s="106">
        <v>1992.1764655542654</v>
      </c>
      <c r="AN71" s="106">
        <v>2.6108502873144608</v>
      </c>
      <c r="AO71" s="106">
        <v>1472.5195620453558</v>
      </c>
      <c r="AP71" s="106">
        <v>3.201726931285628</v>
      </c>
      <c r="AQ71" s="106">
        <v>1805.7739892450943</v>
      </c>
      <c r="AR71" s="106">
        <v>10.344738880488284</v>
      </c>
      <c r="AS71" s="106">
        <v>5834.4327285953923</v>
      </c>
      <c r="AT71" s="106">
        <v>10.820887827058838</v>
      </c>
      <c r="AU71" s="106">
        <v>6102.9807344611845</v>
      </c>
      <c r="AV71" s="106">
        <v>9.3769266581004906</v>
      </c>
      <c r="AW71" s="106">
        <v>5288.5866351686764</v>
      </c>
      <c r="AX71" s="106">
        <v>11.361770277558339</v>
      </c>
      <c r="AY71" s="106">
        <v>6408.0384365429036</v>
      </c>
      <c r="AZ71" s="106">
        <v>5.4073610395046172</v>
      </c>
      <c r="BA71" s="106">
        <v>3049.7516262806039</v>
      </c>
      <c r="BB71" s="106">
        <v>3.6087261174660048</v>
      </c>
      <c r="BC71" s="106">
        <v>2035.3215302508268</v>
      </c>
      <c r="BD71" s="106">
        <v>5.0344395885042985</v>
      </c>
      <c r="BE71" s="106">
        <v>2839.4239279164244</v>
      </c>
      <c r="BF71" s="106">
        <v>5.1790096442552667</v>
      </c>
      <c r="BG71" s="106">
        <v>2920.9614393599704</v>
      </c>
      <c r="BH71" s="106">
        <v>10.768045776329943</v>
      </c>
      <c r="BI71" s="106">
        <v>6073.1778178500881</v>
      </c>
      <c r="BJ71" s="106">
        <v>11.230672928201896</v>
      </c>
      <c r="BK71" s="106">
        <v>6334.099531505869</v>
      </c>
      <c r="BL71" s="106">
        <v>7.1026417978357941</v>
      </c>
      <c r="BM71" s="106">
        <v>4005.8899739793878</v>
      </c>
      <c r="BN71" s="106">
        <v>9.6232696465760128</v>
      </c>
      <c r="BO71" s="106">
        <v>5427.5240806688716</v>
      </c>
      <c r="BP71" s="106">
        <v>2.9054477227188986</v>
      </c>
      <c r="BQ71" s="106">
        <v>1638.6725156134589</v>
      </c>
      <c r="BR71" s="106">
        <v>2.5673871289558847</v>
      </c>
      <c r="BS71" s="106">
        <v>1448.0063407311191</v>
      </c>
      <c r="BT71" s="106">
        <v>1.983678642209574</v>
      </c>
      <c r="BU71" s="106">
        <v>1118.7947542061997</v>
      </c>
      <c r="BV71" s="106">
        <v>3.0801423642747814</v>
      </c>
      <c r="BW71" s="106">
        <v>1737.2002934509767</v>
      </c>
      <c r="BX71" s="106">
        <v>2.4488963536640305</v>
      </c>
      <c r="BY71" s="106">
        <v>1381.1775434665133</v>
      </c>
      <c r="BZ71" s="106">
        <v>3.1630802738049288</v>
      </c>
      <c r="CA71" s="106">
        <v>1783.9772744259799</v>
      </c>
      <c r="CB71" s="106">
        <v>2.9122090704778851</v>
      </c>
      <c r="CC71" s="106">
        <v>1642.4859157495273</v>
      </c>
      <c r="CD71" s="106">
        <v>2.536657784941355</v>
      </c>
      <c r="CE71" s="106">
        <v>1430.6749907069243</v>
      </c>
      <c r="CF71" s="106">
        <v>4.507820627057086</v>
      </c>
      <c r="CG71" s="106">
        <v>2542.4108336601967</v>
      </c>
      <c r="CH71" s="106">
        <v>3.6019427976963314</v>
      </c>
      <c r="CI71" s="106">
        <v>2031.495737900731</v>
      </c>
      <c r="CJ71" s="106">
        <v>2.9988005764858348</v>
      </c>
      <c r="CK71" s="106">
        <v>1691.3235251380108</v>
      </c>
      <c r="CL71" s="106">
        <v>0</v>
      </c>
      <c r="CM71" s="106">
        <v>0</v>
      </c>
      <c r="CN71" s="106">
        <v>6.4780365198724192</v>
      </c>
      <c r="CO71" s="106">
        <v>3653.6125972080445</v>
      </c>
      <c r="CP71" s="106">
        <v>4.3452008353162093</v>
      </c>
      <c r="CQ71" s="106">
        <v>2450.6932711183422</v>
      </c>
      <c r="CR71" s="106">
        <v>5.28097864459132</v>
      </c>
      <c r="CS71" s="106">
        <v>2978.4719555495044</v>
      </c>
      <c r="CT71" s="106">
        <v>4.7882714034969327</v>
      </c>
      <c r="CU71" s="106">
        <v>2700.58507157227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4.4152847197567935</v>
      </c>
      <c r="I72" s="106">
        <v>328.49718314990542</v>
      </c>
      <c r="J72" s="106">
        <v>6.9479099650995231</v>
      </c>
      <c r="K72" s="106">
        <v>516.92450140340441</v>
      </c>
      <c r="L72" s="106">
        <v>6.3588304907066489</v>
      </c>
      <c r="M72" s="106">
        <v>473.09698850857461</v>
      </c>
      <c r="N72" s="106">
        <v>7.146647003828817</v>
      </c>
      <c r="O72" s="106">
        <v>531.71053708486397</v>
      </c>
      <c r="P72" s="106">
        <v>4.4384454884345832</v>
      </c>
      <c r="Q72" s="106">
        <v>330.22034433953297</v>
      </c>
      <c r="R72" s="106">
        <v>4.9207532209849898</v>
      </c>
      <c r="S72" s="106">
        <v>366.10403964128318</v>
      </c>
      <c r="T72" s="106">
        <v>2.7750862477649743</v>
      </c>
      <c r="U72" s="106">
        <v>206.46641683371405</v>
      </c>
      <c r="V72" s="106">
        <v>3.4226096331760631</v>
      </c>
      <c r="W72" s="106">
        <v>254.64215670829907</v>
      </c>
      <c r="X72" s="106">
        <v>3.3843010678401635</v>
      </c>
      <c r="Y72" s="106">
        <v>251.79199944730814</v>
      </c>
      <c r="Z72" s="106">
        <v>3.2144154131797591</v>
      </c>
      <c r="AA72" s="106">
        <v>239.15250674057404</v>
      </c>
      <c r="AB72" s="106">
        <v>6.4601215958683476</v>
      </c>
      <c r="AC72" s="106">
        <v>480.63304673260501</v>
      </c>
      <c r="AD72" s="106">
        <v>5.4961883255745079</v>
      </c>
      <c r="AE72" s="106">
        <v>408.91641142274335</v>
      </c>
      <c r="AF72" s="106">
        <v>7.2038855953926628</v>
      </c>
      <c r="AG72" s="106">
        <v>535.96908829721406</v>
      </c>
      <c r="AH72" s="106">
        <v>6.7731377969052673</v>
      </c>
      <c r="AI72" s="106">
        <v>503.92145208975182</v>
      </c>
      <c r="AJ72" s="106">
        <v>3.2559190156669495</v>
      </c>
      <c r="AK72" s="106">
        <v>242.24037476562103</v>
      </c>
      <c r="AL72" s="106">
        <v>3.5322277758054352</v>
      </c>
      <c r="AM72" s="106">
        <v>262.79774651992437</v>
      </c>
      <c r="AN72" s="106">
        <v>2.6108502873144608</v>
      </c>
      <c r="AO72" s="106">
        <v>194.24726137619587</v>
      </c>
      <c r="AP72" s="106">
        <v>3.201726931285628</v>
      </c>
      <c r="AQ72" s="106">
        <v>238.2084836876507</v>
      </c>
      <c r="AR72" s="106">
        <v>12.643569742819015</v>
      </c>
      <c r="AS72" s="106">
        <v>940.68158886573462</v>
      </c>
      <c r="AT72" s="106">
        <v>13.595474449381618</v>
      </c>
      <c r="AU72" s="106">
        <v>1011.5032990339922</v>
      </c>
      <c r="AV72" s="106">
        <v>9.5332087690688336</v>
      </c>
      <c r="AW72" s="106">
        <v>709.2707324187212</v>
      </c>
      <c r="AX72" s="106">
        <v>11.172407439599034</v>
      </c>
      <c r="AY72" s="106">
        <v>831.22711350616805</v>
      </c>
      <c r="AZ72" s="106">
        <v>5.4073610395046172</v>
      </c>
      <c r="BA72" s="106">
        <v>402.30766133914346</v>
      </c>
      <c r="BB72" s="106">
        <v>3.6087261174660048</v>
      </c>
      <c r="BC72" s="106">
        <v>268.48922313947071</v>
      </c>
      <c r="BD72" s="106">
        <v>5.0344395885042985</v>
      </c>
      <c r="BE72" s="106">
        <v>374.56230538471976</v>
      </c>
      <c r="BF72" s="106">
        <v>5.1790096442552667</v>
      </c>
      <c r="BG72" s="106">
        <v>385.31831753259178</v>
      </c>
      <c r="BH72" s="106">
        <v>11.725205400892605</v>
      </c>
      <c r="BI72" s="106">
        <v>872.35528182640974</v>
      </c>
      <c r="BJ72" s="106">
        <v>11.511439751406943</v>
      </c>
      <c r="BK72" s="106">
        <v>856.45111750467652</v>
      </c>
      <c r="BL72" s="106">
        <v>7.3657026051630456</v>
      </c>
      <c r="BM72" s="106">
        <v>548.00827382413058</v>
      </c>
      <c r="BN72" s="106">
        <v>10.081520582127252</v>
      </c>
      <c r="BO72" s="106">
        <v>750.06513131026747</v>
      </c>
      <c r="BP72" s="106">
        <v>2.6633270791589903</v>
      </c>
      <c r="BQ72" s="106">
        <v>198.15153468942884</v>
      </c>
      <c r="BR72" s="106">
        <v>2.5673871289558847</v>
      </c>
      <c r="BS72" s="106">
        <v>191.01360239431781</v>
      </c>
      <c r="BT72" s="106">
        <v>2.3142917492445032</v>
      </c>
      <c r="BU72" s="106">
        <v>172.18330614379101</v>
      </c>
      <c r="BV72" s="106">
        <v>2.737904323799806</v>
      </c>
      <c r="BW72" s="106">
        <v>203.70008169070553</v>
      </c>
      <c r="BX72" s="106">
        <v>2.6715232949062151</v>
      </c>
      <c r="BY72" s="106">
        <v>198.76133314102239</v>
      </c>
      <c r="BZ72" s="106">
        <v>3.1630802738049288</v>
      </c>
      <c r="CA72" s="106">
        <v>235.33317237108668</v>
      </c>
      <c r="CB72" s="106">
        <v>3.4946508845734621</v>
      </c>
      <c r="CC72" s="106">
        <v>260.00202581226557</v>
      </c>
      <c r="CD72" s="106">
        <v>2.536657784941355</v>
      </c>
      <c r="CE72" s="106">
        <v>188.72733919963679</v>
      </c>
      <c r="CF72" s="106">
        <v>4.507820627057086</v>
      </c>
      <c r="CG72" s="106">
        <v>335.38185465304718</v>
      </c>
      <c r="CH72" s="106">
        <v>4.2022665973123869</v>
      </c>
      <c r="CI72" s="106">
        <v>312.64863484004155</v>
      </c>
      <c r="CJ72" s="106">
        <v>3.4272006588409543</v>
      </c>
      <c r="CK72" s="106">
        <v>254.98372901776696</v>
      </c>
      <c r="CL72" s="106">
        <v>0</v>
      </c>
      <c r="CM72" s="106">
        <v>0</v>
      </c>
      <c r="CN72" s="106">
        <v>8.0975456498405229</v>
      </c>
      <c r="CO72" s="106">
        <v>602.45739634813481</v>
      </c>
      <c r="CP72" s="106">
        <v>5.347939489619951</v>
      </c>
      <c r="CQ72" s="106">
        <v>397.88669802772432</v>
      </c>
      <c r="CR72" s="106">
        <v>4.874749518084295</v>
      </c>
      <c r="CS72" s="106">
        <v>362.68136414547149</v>
      </c>
      <c r="CT72" s="106">
        <v>5.658866204132738</v>
      </c>
      <c r="CU72" s="106">
        <v>421.01964558747568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4.4152847197567935</v>
      </c>
      <c r="I73" s="106">
        <v>2469.0272152879988</v>
      </c>
      <c r="J73" s="106">
        <v>6.1141607692875803</v>
      </c>
      <c r="K73" s="106">
        <v>3419.0387021856145</v>
      </c>
      <c r="L73" s="106">
        <v>6.0408889661713161</v>
      </c>
      <c r="M73" s="106">
        <v>3378.0651098829994</v>
      </c>
      <c r="N73" s="106">
        <v>6.5251994382784853</v>
      </c>
      <c r="O73" s="106">
        <v>3648.8915258853285</v>
      </c>
      <c r="P73" s="106">
        <v>4.1773604597031371</v>
      </c>
      <c r="Q73" s="106">
        <v>2335.9799690659938</v>
      </c>
      <c r="R73" s="106">
        <v>4.428677898886491</v>
      </c>
      <c r="S73" s="106">
        <v>2476.5166810573255</v>
      </c>
      <c r="T73" s="106">
        <v>2.6290290768299758</v>
      </c>
      <c r="U73" s="106">
        <v>1470.1530597633223</v>
      </c>
      <c r="V73" s="106">
        <v>2.9336653998651974</v>
      </c>
      <c r="W73" s="106">
        <v>1640.5056916046183</v>
      </c>
      <c r="X73" s="106">
        <v>2.8766559076641389</v>
      </c>
      <c r="Y73" s="106">
        <v>1608.6259835657863</v>
      </c>
      <c r="Z73" s="106">
        <v>3.0536946425207709</v>
      </c>
      <c r="AA73" s="106">
        <v>1707.6260440976148</v>
      </c>
      <c r="AB73" s="106">
        <v>6.4601215958683476</v>
      </c>
      <c r="AC73" s="106">
        <v>3612.4999964095796</v>
      </c>
      <c r="AD73" s="106">
        <v>5.4961883255745079</v>
      </c>
      <c r="AE73" s="106">
        <v>3073.4685116612645</v>
      </c>
      <c r="AF73" s="106">
        <v>7.7580306411920992</v>
      </c>
      <c r="AG73" s="106">
        <v>4338.2907345546209</v>
      </c>
      <c r="AH73" s="106">
        <v>6.2087096471631611</v>
      </c>
      <c r="AI73" s="106">
        <v>3471.9104346936392</v>
      </c>
      <c r="AJ73" s="106">
        <v>2.7550083978720341</v>
      </c>
      <c r="AK73" s="106">
        <v>1540.6006960900413</v>
      </c>
      <c r="AL73" s="106">
        <v>3.0276238078332298</v>
      </c>
      <c r="AM73" s="106">
        <v>1693.047233340342</v>
      </c>
      <c r="AN73" s="106">
        <v>2.8719353160459069</v>
      </c>
      <c r="AO73" s="106">
        <v>1605.986228732871</v>
      </c>
      <c r="AP73" s="106">
        <v>3.4685375088927639</v>
      </c>
      <c r="AQ73" s="106">
        <v>1939.6061749728333</v>
      </c>
      <c r="AR73" s="106">
        <v>11.494154311653649</v>
      </c>
      <c r="AS73" s="106">
        <v>6427.5310910767193</v>
      </c>
      <c r="AT73" s="106">
        <v>11.930722475987951</v>
      </c>
      <c r="AU73" s="106">
        <v>6671.6600085724613</v>
      </c>
      <c r="AV73" s="106">
        <v>9.5332087690688336</v>
      </c>
      <c r="AW73" s="106">
        <v>5330.9703436632908</v>
      </c>
      <c r="AX73" s="106">
        <v>9.6575047359245865</v>
      </c>
      <c r="AY73" s="106">
        <v>5400.4766483290277</v>
      </c>
      <c r="AZ73" s="106">
        <v>5.9480971434550787</v>
      </c>
      <c r="BA73" s="106">
        <v>3326.1759226200797</v>
      </c>
      <c r="BB73" s="106">
        <v>3.6087261174660048</v>
      </c>
      <c r="BC73" s="106">
        <v>2017.9996448869897</v>
      </c>
      <c r="BD73" s="106">
        <v>5.0344395885042985</v>
      </c>
      <c r="BE73" s="106">
        <v>2815.2586178916035</v>
      </c>
      <c r="BF73" s="106">
        <v>5.1790096442552667</v>
      </c>
      <c r="BG73" s="106">
        <v>2896.1021930675447</v>
      </c>
      <c r="BH73" s="106">
        <v>9.8108861517672814</v>
      </c>
      <c r="BI73" s="106">
        <v>5486.2475360682629</v>
      </c>
      <c r="BJ73" s="106">
        <v>9.8268388121766588</v>
      </c>
      <c r="BK73" s="106">
        <v>5495.1682637691865</v>
      </c>
      <c r="BL73" s="106">
        <v>7.3657026051630456</v>
      </c>
      <c r="BM73" s="106">
        <v>4118.9008968071748</v>
      </c>
      <c r="BN73" s="106">
        <v>10.998022453229728</v>
      </c>
      <c r="BO73" s="106">
        <v>6150.0941558460636</v>
      </c>
      <c r="BP73" s="106">
        <v>2.9054477227188986</v>
      </c>
      <c r="BQ73" s="106">
        <v>1624.7263665444079</v>
      </c>
      <c r="BR73" s="106">
        <v>2.2821218924052307</v>
      </c>
      <c r="BS73" s="106">
        <v>1276.1625622330048</v>
      </c>
      <c r="BT73" s="106">
        <v>1.983678642209574</v>
      </c>
      <c r="BU73" s="106">
        <v>1109.2730967235937</v>
      </c>
      <c r="BV73" s="106">
        <v>2.737904323799806</v>
      </c>
      <c r="BW73" s="106">
        <v>1531.0360978688514</v>
      </c>
      <c r="BX73" s="106">
        <v>2.4488963536640305</v>
      </c>
      <c r="BY73" s="106">
        <v>1369.4228409689256</v>
      </c>
      <c r="BZ73" s="106">
        <v>3.1630802738049288</v>
      </c>
      <c r="CA73" s="106">
        <v>1768.7944891117161</v>
      </c>
      <c r="CB73" s="106">
        <v>2.9122090704778851</v>
      </c>
      <c r="CC73" s="106">
        <v>1628.5073122112331</v>
      </c>
      <c r="CD73" s="106">
        <v>2.3252696361962424</v>
      </c>
      <c r="CE73" s="106">
        <v>1300.2907805609386</v>
      </c>
      <c r="CF73" s="106">
        <v>4.507820627057086</v>
      </c>
      <c r="CG73" s="106">
        <v>2520.773294650322</v>
      </c>
      <c r="CH73" s="106">
        <v>3.6019427976963314</v>
      </c>
      <c r="CI73" s="106">
        <v>2014.2064124717883</v>
      </c>
      <c r="CJ73" s="106">
        <v>2.9988005764858348</v>
      </c>
      <c r="CK73" s="106">
        <v>1676.9292823708786</v>
      </c>
      <c r="CL73" s="106">
        <v>0</v>
      </c>
      <c r="CM73" s="106">
        <v>0</v>
      </c>
      <c r="CN73" s="106">
        <v>7.2877910848564715</v>
      </c>
      <c r="CO73" s="106">
        <v>4075.3327746517384</v>
      </c>
      <c r="CP73" s="106">
        <v>5.0136932715187035</v>
      </c>
      <c r="CQ73" s="106">
        <v>2803.6572774332585</v>
      </c>
      <c r="CR73" s="106">
        <v>4.4685203915772709</v>
      </c>
      <c r="CS73" s="106">
        <v>2498.7966029700096</v>
      </c>
      <c r="CT73" s="106">
        <v>5.2235688038148353</v>
      </c>
      <c r="CU73" s="106">
        <v>2921.0196750932555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4.4152847197567935</v>
      </c>
      <c r="I74" s="106">
        <v>1780.2427990059391</v>
      </c>
      <c r="J74" s="106">
        <v>6.1141607692875803</v>
      </c>
      <c r="K74" s="106">
        <v>2465.2296221767524</v>
      </c>
      <c r="L74" s="106">
        <v>5.7229474416359842</v>
      </c>
      <c r="M74" s="106">
        <v>2307.4924084676286</v>
      </c>
      <c r="N74" s="106">
        <v>6.8359232210536511</v>
      </c>
      <c r="O74" s="106">
        <v>2756.244242728832</v>
      </c>
      <c r="P74" s="106">
        <v>4.6995305171660302</v>
      </c>
      <c r="Q74" s="106">
        <v>1894.8507045213432</v>
      </c>
      <c r="R74" s="106">
        <v>4.9207532209849898</v>
      </c>
      <c r="S74" s="106">
        <v>1984.0476987011477</v>
      </c>
      <c r="T74" s="106">
        <v>2.7750862477649743</v>
      </c>
      <c r="U74" s="106">
        <v>1118.9147750988375</v>
      </c>
      <c r="V74" s="106">
        <v>2.9336653998651974</v>
      </c>
      <c r="W74" s="106">
        <v>1182.8538892256474</v>
      </c>
      <c r="X74" s="106">
        <v>3.5535161212321715</v>
      </c>
      <c r="Y74" s="106">
        <v>1432.7777000808114</v>
      </c>
      <c r="Z74" s="106">
        <v>2.7322531012027951</v>
      </c>
      <c r="AA74" s="106">
        <v>1101.6444504049668</v>
      </c>
      <c r="AB74" s="106">
        <v>5.383434663223623</v>
      </c>
      <c r="AC74" s="106">
        <v>2170.6008562117645</v>
      </c>
      <c r="AD74" s="106">
        <v>5.4961883255745079</v>
      </c>
      <c r="AE74" s="106">
        <v>2216.0631328716413</v>
      </c>
      <c r="AF74" s="106">
        <v>7.2038855953926628</v>
      </c>
      <c r="AG74" s="106">
        <v>2904.6066720623216</v>
      </c>
      <c r="AH74" s="106">
        <v>6.2087096471631611</v>
      </c>
      <c r="AI74" s="106">
        <v>2503.3517297361864</v>
      </c>
      <c r="AJ74" s="106">
        <v>3.005463706769492</v>
      </c>
      <c r="AK74" s="106">
        <v>1211.8029665694592</v>
      </c>
      <c r="AL74" s="106">
        <v>3.5322277758054352</v>
      </c>
      <c r="AM74" s="106">
        <v>1424.1942392047515</v>
      </c>
      <c r="AN74" s="106">
        <v>2.8719353160459069</v>
      </c>
      <c r="AO74" s="106">
        <v>1157.9643194297096</v>
      </c>
      <c r="AP74" s="106">
        <v>3.4685375088927639</v>
      </c>
      <c r="AQ74" s="106">
        <v>1398.5143235855624</v>
      </c>
      <c r="AR74" s="106">
        <v>10.689563509837894</v>
      </c>
      <c r="AS74" s="106">
        <v>4310.0320071666392</v>
      </c>
      <c r="AT74" s="106">
        <v>11.930722475987951</v>
      </c>
      <c r="AU74" s="106">
        <v>4810.4673023183414</v>
      </c>
      <c r="AV74" s="106">
        <v>10.158337212942198</v>
      </c>
      <c r="AW74" s="106">
        <v>4095.8415642582945</v>
      </c>
      <c r="AX74" s="106">
        <v>11.172407439599034</v>
      </c>
      <c r="AY74" s="106">
        <v>4504.7146796463303</v>
      </c>
      <c r="AZ74" s="106">
        <v>4.8666249355541549</v>
      </c>
      <c r="BA74" s="106">
        <v>1962.2231740154352</v>
      </c>
      <c r="BB74" s="106">
        <v>3.0931938149708613</v>
      </c>
      <c r="BC74" s="106">
        <v>1247.1757461962513</v>
      </c>
      <c r="BD74" s="106">
        <v>5.0344395885042985</v>
      </c>
      <c r="BE74" s="106">
        <v>2029.886042084933</v>
      </c>
      <c r="BF74" s="106">
        <v>5.1790096442552667</v>
      </c>
      <c r="BG74" s="106">
        <v>2088.1766885637235</v>
      </c>
      <c r="BH74" s="106">
        <v>9.8108861517672814</v>
      </c>
      <c r="BI74" s="106">
        <v>3955.7492963925679</v>
      </c>
      <c r="BJ74" s="106">
        <v>11.79220657461199</v>
      </c>
      <c r="BK74" s="106">
        <v>4754.6176908835541</v>
      </c>
      <c r="BL74" s="106">
        <v>6.8395809905085425</v>
      </c>
      <c r="BM74" s="106">
        <v>2757.7190553730443</v>
      </c>
      <c r="BN74" s="106">
        <v>9.8523951143516317</v>
      </c>
      <c r="BO74" s="106">
        <v>3972.4857101065777</v>
      </c>
      <c r="BP74" s="106">
        <v>2.6633270791589903</v>
      </c>
      <c r="BQ74" s="106">
        <v>1073.8534783169048</v>
      </c>
      <c r="BR74" s="106">
        <v>2.8526523655065388</v>
      </c>
      <c r="BS74" s="106">
        <v>1150.1894337722365</v>
      </c>
      <c r="BT74" s="106">
        <v>1.983678642209574</v>
      </c>
      <c r="BU74" s="106">
        <v>799.81922853890023</v>
      </c>
      <c r="BV74" s="106">
        <v>3.0801423642747814</v>
      </c>
      <c r="BW74" s="106">
        <v>1241.9134012755919</v>
      </c>
      <c r="BX74" s="106">
        <v>2.4488963536640305</v>
      </c>
      <c r="BY74" s="106">
        <v>987.39500979733702</v>
      </c>
      <c r="BZ74" s="106">
        <v>3.1630802738049288</v>
      </c>
      <c r="CA74" s="106">
        <v>1275.3539663981473</v>
      </c>
      <c r="CB74" s="106">
        <v>2.9122090704778851</v>
      </c>
      <c r="CC74" s="106">
        <v>1174.2026972166832</v>
      </c>
      <c r="CD74" s="106">
        <v>2.536657784941355</v>
      </c>
      <c r="CE74" s="106">
        <v>1022.7804188883543</v>
      </c>
      <c r="CF74" s="106">
        <v>4.507820627057086</v>
      </c>
      <c r="CG74" s="106">
        <v>1817.553276829417</v>
      </c>
      <c r="CH74" s="106">
        <v>4.2022665973123869</v>
      </c>
      <c r="CI74" s="106">
        <v>1694.3538920363544</v>
      </c>
      <c r="CJ74" s="106">
        <v>2.9988005764858348</v>
      </c>
      <c r="CK74" s="106">
        <v>1209.1163924390885</v>
      </c>
      <c r="CL74" s="106">
        <v>0</v>
      </c>
      <c r="CM74" s="106">
        <v>0</v>
      </c>
      <c r="CN74" s="106">
        <v>7.2877910848564715</v>
      </c>
      <c r="CO74" s="106">
        <v>2938.4373654141291</v>
      </c>
      <c r="CP74" s="106">
        <v>5.0136932715187035</v>
      </c>
      <c r="CQ74" s="106">
        <v>2021.5211270763411</v>
      </c>
      <c r="CR74" s="106">
        <v>4.4685203915772709</v>
      </c>
      <c r="CS74" s="106">
        <v>1801.7074218839555</v>
      </c>
      <c r="CT74" s="106">
        <v>5.658866204132738</v>
      </c>
      <c r="CU74" s="106">
        <v>2281.6548535063198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4.9671953097263932</v>
      </c>
      <c r="I75" s="106">
        <v>3194.9000232160156</v>
      </c>
      <c r="J75" s="106">
        <v>5.8362443706835991</v>
      </c>
      <c r="K75" s="106">
        <v>3753.8723792236906</v>
      </c>
      <c r="L75" s="106">
        <v>5.4050059171006515</v>
      </c>
      <c r="M75" s="106">
        <v>3476.4998058791389</v>
      </c>
      <c r="N75" s="106">
        <v>6.8359232210536511</v>
      </c>
      <c r="O75" s="106">
        <v>4396.8658157817081</v>
      </c>
      <c r="P75" s="106">
        <v>4.9606155458974754</v>
      </c>
      <c r="Q75" s="106">
        <v>3190.6679191212561</v>
      </c>
      <c r="R75" s="106">
        <v>4.428677898886491</v>
      </c>
      <c r="S75" s="106">
        <v>2848.5256245637906</v>
      </c>
      <c r="T75" s="106">
        <v>2.6290290768299758</v>
      </c>
      <c r="U75" s="106">
        <v>1690.9915022170403</v>
      </c>
      <c r="V75" s="106">
        <v>3.2596282220724415</v>
      </c>
      <c r="W75" s="106">
        <v>2096.5928724369942</v>
      </c>
      <c r="X75" s="106">
        <v>3.215086014448155</v>
      </c>
      <c r="Y75" s="106">
        <v>2067.9433244930533</v>
      </c>
      <c r="Z75" s="106">
        <v>2.8929738718617828</v>
      </c>
      <c r="AA75" s="106">
        <v>1860.7607943814985</v>
      </c>
      <c r="AB75" s="106">
        <v>5.383434663223623</v>
      </c>
      <c r="AC75" s="106">
        <v>3462.625175385434</v>
      </c>
      <c r="AD75" s="106">
        <v>5.4961883255745079</v>
      </c>
      <c r="AE75" s="106">
        <v>3535.1483310095232</v>
      </c>
      <c r="AF75" s="106">
        <v>7.2038855953926628</v>
      </c>
      <c r="AG75" s="106">
        <v>4633.5392149565605</v>
      </c>
      <c r="AH75" s="106">
        <v>6.2087096471631611</v>
      </c>
      <c r="AI75" s="106">
        <v>3993.4420450553448</v>
      </c>
      <c r="AJ75" s="106">
        <v>2.5045530889745766</v>
      </c>
      <c r="AK75" s="106">
        <v>1610.9285468284475</v>
      </c>
      <c r="AL75" s="106">
        <v>3.5322277758054352</v>
      </c>
      <c r="AM75" s="106">
        <v>2271.9289053980556</v>
      </c>
      <c r="AN75" s="106">
        <v>2.6108502873144608</v>
      </c>
      <c r="AO75" s="106">
        <v>1679.2989048006609</v>
      </c>
      <c r="AP75" s="106">
        <v>3.201726931285628</v>
      </c>
      <c r="AQ75" s="106">
        <v>2059.3507622029156</v>
      </c>
      <c r="AR75" s="106">
        <v>11.379212768537112</v>
      </c>
      <c r="AS75" s="106">
        <v>7319.1096527230693</v>
      </c>
      <c r="AT75" s="106">
        <v>10.820887827058838</v>
      </c>
      <c r="AU75" s="106">
        <v>6959.995050364244</v>
      </c>
      <c r="AV75" s="106">
        <v>8.908080325195467</v>
      </c>
      <c r="AW75" s="106">
        <v>5729.6772651657238</v>
      </c>
      <c r="AX75" s="106">
        <v>9.8468675738838929</v>
      </c>
      <c r="AY75" s="106">
        <v>6333.5052235221192</v>
      </c>
      <c r="AZ75" s="106">
        <v>5.4073610395046172</v>
      </c>
      <c r="BA75" s="106">
        <v>3478.0146206093696</v>
      </c>
      <c r="BB75" s="106">
        <v>3.0931938149708613</v>
      </c>
      <c r="BC75" s="106">
        <v>1989.5422617892577</v>
      </c>
      <c r="BD75" s="106">
        <v>5.0344395885042985</v>
      </c>
      <c r="BE75" s="106">
        <v>3238.1515433259647</v>
      </c>
      <c r="BF75" s="106">
        <v>5.1790096442552667</v>
      </c>
      <c r="BG75" s="106">
        <v>3331.1390031849874</v>
      </c>
      <c r="BH75" s="106">
        <v>11.007335682470607</v>
      </c>
      <c r="BI75" s="106">
        <v>7079.918310965094</v>
      </c>
      <c r="BJ75" s="106">
        <v>11.230672928201896</v>
      </c>
      <c r="BK75" s="106">
        <v>7223.568827419459</v>
      </c>
      <c r="BL75" s="106">
        <v>7.1026417978357941</v>
      </c>
      <c r="BM75" s="106">
        <v>4568.4192043679823</v>
      </c>
      <c r="BN75" s="106">
        <v>9.1650187110247732</v>
      </c>
      <c r="BO75" s="106">
        <v>5894.9400349311336</v>
      </c>
      <c r="BP75" s="106">
        <v>2.6633270791589903</v>
      </c>
      <c r="BQ75" s="106">
        <v>1713.0519773150625</v>
      </c>
      <c r="BR75" s="106">
        <v>2.2821218924052307</v>
      </c>
      <c r="BS75" s="106">
        <v>1467.8608011950441</v>
      </c>
      <c r="BT75" s="106">
        <v>2.3142917492445032</v>
      </c>
      <c r="BU75" s="106">
        <v>1488.5524531140643</v>
      </c>
      <c r="BV75" s="106">
        <v>2.737904323799806</v>
      </c>
      <c r="BW75" s="106">
        <v>1761.0200610680349</v>
      </c>
      <c r="BX75" s="106">
        <v>2.4488963536640305</v>
      </c>
      <c r="BY75" s="106">
        <v>1575.1301346767043</v>
      </c>
      <c r="BZ75" s="106">
        <v>3.3890145790767097</v>
      </c>
      <c r="CA75" s="106">
        <v>2179.8141772621393</v>
      </c>
      <c r="CB75" s="106">
        <v>3.4946508845734621</v>
      </c>
      <c r="CC75" s="106">
        <v>2247.7594489576504</v>
      </c>
      <c r="CD75" s="106">
        <v>2.3252696361962424</v>
      </c>
      <c r="CE75" s="106">
        <v>1495.613430001423</v>
      </c>
      <c r="CF75" s="106">
        <v>4.9176225022440931</v>
      </c>
      <c r="CG75" s="106">
        <v>3163.0147934434003</v>
      </c>
      <c r="CH75" s="106">
        <v>4.2022665973123869</v>
      </c>
      <c r="CI75" s="106">
        <v>2702.897875391327</v>
      </c>
      <c r="CJ75" s="106">
        <v>2.9988005764858348</v>
      </c>
      <c r="CK75" s="106">
        <v>1928.8285307956887</v>
      </c>
      <c r="CL75" s="106">
        <v>0</v>
      </c>
      <c r="CM75" s="106">
        <v>0</v>
      </c>
      <c r="CN75" s="106">
        <v>6.4780365198724192</v>
      </c>
      <c r="CO75" s="106">
        <v>4166.6730895819392</v>
      </c>
      <c r="CP75" s="106">
        <v>4.3452008353162093</v>
      </c>
      <c r="CQ75" s="106">
        <v>2794.8331772753854</v>
      </c>
      <c r="CR75" s="106">
        <v>4.4685203915772709</v>
      </c>
      <c r="CS75" s="106">
        <v>2874.1523158625005</v>
      </c>
      <c r="CT75" s="106">
        <v>5.2235688038148353</v>
      </c>
      <c r="CU75" s="106">
        <v>3359.7994546137015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4.4152847197567935</v>
      </c>
      <c r="I76" s="106">
        <v>3438.6237397465907</v>
      </c>
      <c r="J76" s="106">
        <v>5.8362443706835991</v>
      </c>
      <c r="K76" s="106">
        <v>4545.2671158883868</v>
      </c>
      <c r="L76" s="106">
        <v>5.7229474416359842</v>
      </c>
      <c r="M76" s="106">
        <v>4457.0314675461041</v>
      </c>
      <c r="N76" s="106">
        <v>5.9037518727281535</v>
      </c>
      <c r="O76" s="106">
        <v>4597.8419584806861</v>
      </c>
      <c r="P76" s="106">
        <v>4.4384454884345832</v>
      </c>
      <c r="Q76" s="106">
        <v>3456.6613463928534</v>
      </c>
      <c r="R76" s="106">
        <v>4.1826402378372407</v>
      </c>
      <c r="S76" s="106">
        <v>3257.4402172276427</v>
      </c>
      <c r="T76" s="106">
        <v>2.6290290768299758</v>
      </c>
      <c r="U76" s="106">
        <v>2047.487845035185</v>
      </c>
      <c r="V76" s="106">
        <v>2.7706839887615748</v>
      </c>
      <c r="W76" s="106">
        <v>2157.8086904475144</v>
      </c>
      <c r="X76" s="106">
        <v>3.215086014448155</v>
      </c>
      <c r="Y76" s="106">
        <v>2503.9089880522229</v>
      </c>
      <c r="Z76" s="106">
        <v>2.7322531012027951</v>
      </c>
      <c r="AA76" s="106">
        <v>2127.8787152167365</v>
      </c>
      <c r="AB76" s="106">
        <v>5.383434663223623</v>
      </c>
      <c r="AC76" s="106">
        <v>4192.6189157185572</v>
      </c>
      <c r="AD76" s="106">
        <v>5.4961883255745079</v>
      </c>
      <c r="AE76" s="106">
        <v>4280.4314679574263</v>
      </c>
      <c r="AF76" s="106">
        <v>6.0955955037937919</v>
      </c>
      <c r="AG76" s="106">
        <v>4747.249778354605</v>
      </c>
      <c r="AH76" s="106">
        <v>6.7731377969052673</v>
      </c>
      <c r="AI76" s="106">
        <v>5274.9197162298215</v>
      </c>
      <c r="AJ76" s="106">
        <v>2.5045530889745766</v>
      </c>
      <c r="AK76" s="106">
        <v>1950.5459456934002</v>
      </c>
      <c r="AL76" s="106">
        <v>3.5322277758054352</v>
      </c>
      <c r="AM76" s="106">
        <v>2750.8989917972726</v>
      </c>
      <c r="AN76" s="106">
        <v>2.6108502873144608</v>
      </c>
      <c r="AO76" s="106">
        <v>2033.3302037605019</v>
      </c>
      <c r="AP76" s="106">
        <v>3.4685375088927639</v>
      </c>
      <c r="AQ76" s="106">
        <v>2701.2970119256843</v>
      </c>
      <c r="AR76" s="106">
        <v>10.344738880488284</v>
      </c>
      <c r="AS76" s="106">
        <v>8056.4826401242753</v>
      </c>
      <c r="AT76" s="106">
        <v>10.404699833710422</v>
      </c>
      <c r="AU76" s="106">
        <v>8103.1802304936764</v>
      </c>
      <c r="AV76" s="106">
        <v>8.751798214227124</v>
      </c>
      <c r="AW76" s="106">
        <v>6815.9004492400836</v>
      </c>
      <c r="AX76" s="106">
        <v>10.983044601639726</v>
      </c>
      <c r="AY76" s="106">
        <v>8553.5951357570175</v>
      </c>
      <c r="AZ76" s="106">
        <v>4.8666249355541549</v>
      </c>
      <c r="BA76" s="106">
        <v>3790.1274998095755</v>
      </c>
      <c r="BB76" s="106">
        <v>3.6087261174660048</v>
      </c>
      <c r="BC76" s="106">
        <v>2810.4759002825244</v>
      </c>
      <c r="BD76" s="106">
        <v>5.0344395885042985</v>
      </c>
      <c r="BE76" s="106">
        <v>3920.8215515271477</v>
      </c>
      <c r="BF76" s="106">
        <v>5.1790096442552667</v>
      </c>
      <c r="BG76" s="106">
        <v>4033.4127109460014</v>
      </c>
      <c r="BH76" s="106">
        <v>9.0930164333452854</v>
      </c>
      <c r="BI76" s="106">
        <v>7081.6411982893078</v>
      </c>
      <c r="BJ76" s="106">
        <v>10.388372458586755</v>
      </c>
      <c r="BK76" s="106">
        <v>8090.4644707473644</v>
      </c>
      <c r="BL76" s="106">
        <v>6.3134593758540385</v>
      </c>
      <c r="BM76" s="106">
        <v>4916.9221619151249</v>
      </c>
      <c r="BN76" s="106">
        <v>9.6232696465760128</v>
      </c>
      <c r="BO76" s="106">
        <v>7494.6024007533979</v>
      </c>
      <c r="BP76" s="106">
        <v>2.6633270791589903</v>
      </c>
      <c r="BQ76" s="106">
        <v>2074.1991292490216</v>
      </c>
      <c r="BR76" s="106">
        <v>2.2821218924052307</v>
      </c>
      <c r="BS76" s="106">
        <v>1777.3165298051936</v>
      </c>
      <c r="BT76" s="106">
        <v>2.3142917492445032</v>
      </c>
      <c r="BU76" s="106">
        <v>1802.370414311619</v>
      </c>
      <c r="BV76" s="106">
        <v>2.737904323799806</v>
      </c>
      <c r="BW76" s="106">
        <v>2132.2798873752886</v>
      </c>
      <c r="BX76" s="106">
        <v>2.4488963536640305</v>
      </c>
      <c r="BY76" s="106">
        <v>1907.2004802335468</v>
      </c>
      <c r="BZ76" s="106">
        <v>3.1630802738049288</v>
      </c>
      <c r="CA76" s="106">
        <v>2463.4069172392783</v>
      </c>
      <c r="CB76" s="106">
        <v>3.2034299775256736</v>
      </c>
      <c r="CC76" s="106">
        <v>2494.8312664969944</v>
      </c>
      <c r="CD76" s="106">
        <v>2.3252696361962424</v>
      </c>
      <c r="CE76" s="106">
        <v>1810.9199926696335</v>
      </c>
      <c r="CF76" s="106">
        <v>4.507820627057086</v>
      </c>
      <c r="CG76" s="106">
        <v>3510.6907043520582</v>
      </c>
      <c r="CH76" s="106">
        <v>4.2022665973123869</v>
      </c>
      <c r="CI76" s="106">
        <v>3272.7252259868869</v>
      </c>
      <c r="CJ76" s="106">
        <v>3.4272006588409543</v>
      </c>
      <c r="CK76" s="106">
        <v>2669.103873105335</v>
      </c>
      <c r="CL76" s="106">
        <v>0</v>
      </c>
      <c r="CM76" s="106">
        <v>0</v>
      </c>
      <c r="CN76" s="106">
        <v>6.4780365198724192</v>
      </c>
      <c r="CO76" s="106">
        <v>5045.0948416766396</v>
      </c>
      <c r="CP76" s="106">
        <v>5.0136932715187035</v>
      </c>
      <c r="CQ76" s="106">
        <v>3904.6643198587662</v>
      </c>
      <c r="CR76" s="106">
        <v>5.28097864459132</v>
      </c>
      <c r="CS76" s="106">
        <v>4112.8261684077197</v>
      </c>
      <c r="CT76" s="106">
        <v>4.7882714034969327</v>
      </c>
      <c r="CU76" s="106">
        <v>3729.1057690434109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4.6912400147415934</v>
      </c>
      <c r="I77" s="106">
        <v>1306.0412201040594</v>
      </c>
      <c r="J77" s="106">
        <v>6.1141607692875803</v>
      </c>
      <c r="K77" s="106">
        <v>1702.1823581696622</v>
      </c>
      <c r="L77" s="106">
        <v>6.9947135397773135</v>
      </c>
      <c r="M77" s="106">
        <v>1947.328249474004</v>
      </c>
      <c r="N77" s="106">
        <v>6.2144756555033194</v>
      </c>
      <c r="O77" s="106">
        <v>1730.110022492124</v>
      </c>
      <c r="P77" s="106">
        <v>4.9606155458974754</v>
      </c>
      <c r="Q77" s="106">
        <v>1381.035367977857</v>
      </c>
      <c r="R77" s="106">
        <v>4.428677898886491</v>
      </c>
      <c r="S77" s="106">
        <v>1232.943927049999</v>
      </c>
      <c r="T77" s="106">
        <v>3.0672005896349717</v>
      </c>
      <c r="U77" s="106">
        <v>853.90864415437602</v>
      </c>
      <c r="V77" s="106">
        <v>3.2596282220724415</v>
      </c>
      <c r="W77" s="106">
        <v>907.48049702496769</v>
      </c>
      <c r="X77" s="106">
        <v>3.045870961056147</v>
      </c>
      <c r="Y77" s="106">
        <v>847.97047555803124</v>
      </c>
      <c r="Z77" s="106">
        <v>3.2144154131797591</v>
      </c>
      <c r="AA77" s="106">
        <v>894.89325102924488</v>
      </c>
      <c r="AB77" s="106">
        <v>6.4601215958683476</v>
      </c>
      <c r="AC77" s="106">
        <v>1798.4978522897479</v>
      </c>
      <c r="AD77" s="106">
        <v>5.4961883255745079</v>
      </c>
      <c r="AE77" s="106">
        <v>1530.1388298399429</v>
      </c>
      <c r="AF77" s="106">
        <v>7.2038855953926628</v>
      </c>
      <c r="AG77" s="106">
        <v>2005.5617497573171</v>
      </c>
      <c r="AH77" s="106">
        <v>6.7731377969052673</v>
      </c>
      <c r="AI77" s="106">
        <v>1885.6415626584262</v>
      </c>
      <c r="AJ77" s="106">
        <v>3.005463706769492</v>
      </c>
      <c r="AK77" s="106">
        <v>836.72109596462656</v>
      </c>
      <c r="AL77" s="106">
        <v>3.2799257918193327</v>
      </c>
      <c r="AM77" s="106">
        <v>913.13134044250216</v>
      </c>
      <c r="AN77" s="106">
        <v>2.6108502873144608</v>
      </c>
      <c r="AO77" s="106">
        <v>726.86071998834586</v>
      </c>
      <c r="AP77" s="106">
        <v>3.4685375088927639</v>
      </c>
      <c r="AQ77" s="106">
        <v>965.64084247574544</v>
      </c>
      <c r="AR77" s="106">
        <v>11.494154311653649</v>
      </c>
      <c r="AS77" s="106">
        <v>3199.9725603643756</v>
      </c>
      <c r="AT77" s="106">
        <v>12.485639800452507</v>
      </c>
      <c r="AU77" s="106">
        <v>3476.0021204459777</v>
      </c>
      <c r="AV77" s="106">
        <v>9.8457729910055161</v>
      </c>
      <c r="AW77" s="106">
        <v>2741.0632006959354</v>
      </c>
      <c r="AX77" s="106">
        <v>10.983044601639726</v>
      </c>
      <c r="AY77" s="106">
        <v>3057.6796170964994</v>
      </c>
      <c r="AZ77" s="106">
        <v>5.9480971434550787</v>
      </c>
      <c r="BA77" s="106">
        <v>1655.9502447378939</v>
      </c>
      <c r="BB77" s="106">
        <v>3.6087261174660048</v>
      </c>
      <c r="BC77" s="106">
        <v>1004.6693511025356</v>
      </c>
      <c r="BD77" s="106">
        <v>5.6637445370673358</v>
      </c>
      <c r="BE77" s="106">
        <v>1576.7864791195461</v>
      </c>
      <c r="BF77" s="106">
        <v>5.1790096442552667</v>
      </c>
      <c r="BG77" s="106">
        <v>1441.836284960666</v>
      </c>
      <c r="BH77" s="106">
        <v>9.8108861517672814</v>
      </c>
      <c r="BI77" s="106">
        <v>2731.3507046520108</v>
      </c>
      <c r="BJ77" s="106">
        <v>10.107605635381708</v>
      </c>
      <c r="BK77" s="106">
        <v>2813.9574088902673</v>
      </c>
      <c r="BL77" s="106">
        <v>7.6287634124902963</v>
      </c>
      <c r="BM77" s="106">
        <v>2123.8477340372983</v>
      </c>
      <c r="BN77" s="106">
        <v>10.31064604990287</v>
      </c>
      <c r="BO77" s="106">
        <v>2870.4838602929585</v>
      </c>
      <c r="BP77" s="106">
        <v>2.9054477227188986</v>
      </c>
      <c r="BQ77" s="106">
        <v>808.87664600494134</v>
      </c>
      <c r="BR77" s="106">
        <v>2.2821218924052307</v>
      </c>
      <c r="BS77" s="106">
        <v>635.34273484561618</v>
      </c>
      <c r="BT77" s="106">
        <v>2.3142917492445032</v>
      </c>
      <c r="BU77" s="106">
        <v>644.29882298966959</v>
      </c>
      <c r="BV77" s="106">
        <v>3.0801423642747814</v>
      </c>
      <c r="BW77" s="106">
        <v>857.5116342140991</v>
      </c>
      <c r="BX77" s="106">
        <v>2.6715232949062151</v>
      </c>
      <c r="BY77" s="106">
        <v>743.75208530189025</v>
      </c>
      <c r="BZ77" s="106">
        <v>3.1630802738049288</v>
      </c>
      <c r="CA77" s="106">
        <v>880.60154822729214</v>
      </c>
      <c r="CB77" s="106">
        <v>3.4946508845734621</v>
      </c>
      <c r="CC77" s="106">
        <v>972.91080626525172</v>
      </c>
      <c r="CD77" s="106">
        <v>2.3252696361962424</v>
      </c>
      <c r="CE77" s="106">
        <v>647.35506671703388</v>
      </c>
      <c r="CF77" s="106">
        <v>4.507820627057086</v>
      </c>
      <c r="CG77" s="106">
        <v>1254.9772625726926</v>
      </c>
      <c r="CH77" s="106">
        <v>4.2022665973123869</v>
      </c>
      <c r="CI77" s="106">
        <v>1169.9110206917685</v>
      </c>
      <c r="CJ77" s="106">
        <v>2.9988005764858348</v>
      </c>
      <c r="CK77" s="106">
        <v>834.86608049365634</v>
      </c>
      <c r="CL77" s="106">
        <v>0</v>
      </c>
      <c r="CM77" s="106">
        <v>0</v>
      </c>
      <c r="CN77" s="106">
        <v>7.2877910848564715</v>
      </c>
      <c r="CO77" s="106">
        <v>2028.9210380240415</v>
      </c>
      <c r="CP77" s="106">
        <v>4.6794470534174568</v>
      </c>
      <c r="CQ77" s="106">
        <v>1302.7580596714199</v>
      </c>
      <c r="CR77" s="106">
        <v>5.28097864459132</v>
      </c>
      <c r="CS77" s="106">
        <v>1470.2244546542233</v>
      </c>
      <c r="CT77" s="106">
        <v>5.658866204132738</v>
      </c>
      <c r="CU77" s="106">
        <v>1575.4283512305542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4.1393294247719945</v>
      </c>
      <c r="I78" s="106">
        <v>2284.909842474141</v>
      </c>
      <c r="J78" s="106">
        <v>6.6699935664955419</v>
      </c>
      <c r="K78" s="106">
        <v>3681.8364487055392</v>
      </c>
      <c r="L78" s="106">
        <v>6.3588304907066489</v>
      </c>
      <c r="M78" s="106">
        <v>3510.07443087007</v>
      </c>
      <c r="N78" s="106">
        <v>6.5251994382784853</v>
      </c>
      <c r="O78" s="106">
        <v>3601.9100899297237</v>
      </c>
      <c r="P78" s="106">
        <v>4.1773604597031371</v>
      </c>
      <c r="Q78" s="106">
        <v>2305.9029737561318</v>
      </c>
      <c r="R78" s="106">
        <v>4.6747155599357404</v>
      </c>
      <c r="S78" s="106">
        <v>2580.4429890845286</v>
      </c>
      <c r="T78" s="106">
        <v>2.6290290768299758</v>
      </c>
      <c r="U78" s="106">
        <v>1451.2240504101467</v>
      </c>
      <c r="V78" s="106">
        <v>2.7706839887615748</v>
      </c>
      <c r="W78" s="106">
        <v>1529.4175617963892</v>
      </c>
      <c r="X78" s="106">
        <v>3.3843010678401635</v>
      </c>
      <c r="Y78" s="106">
        <v>1868.1341894477703</v>
      </c>
      <c r="Z78" s="106">
        <v>2.7322531012027951</v>
      </c>
      <c r="AA78" s="106">
        <v>1508.2037118639428</v>
      </c>
      <c r="AB78" s="106">
        <v>5.383434663223623</v>
      </c>
      <c r="AC78" s="106">
        <v>2971.6559340994399</v>
      </c>
      <c r="AD78" s="106">
        <v>5.9958418097176454</v>
      </c>
      <c r="AE78" s="106">
        <v>3309.7046789641404</v>
      </c>
      <c r="AF78" s="106">
        <v>6.6497405495932282</v>
      </c>
      <c r="AG78" s="106">
        <v>3670.6567833754621</v>
      </c>
      <c r="AH78" s="106">
        <v>6.7731377969052673</v>
      </c>
      <c r="AI78" s="106">
        <v>3738.7720638917076</v>
      </c>
      <c r="AJ78" s="106">
        <v>2.7550083978720341</v>
      </c>
      <c r="AK78" s="106">
        <v>1520.7646356253629</v>
      </c>
      <c r="AL78" s="106">
        <v>3.0276238078332298</v>
      </c>
      <c r="AM78" s="106">
        <v>1671.2483419239429</v>
      </c>
      <c r="AN78" s="106">
        <v>2.8719353160459069</v>
      </c>
      <c r="AO78" s="106">
        <v>1585.3082944573407</v>
      </c>
      <c r="AP78" s="106">
        <v>2.9349163536784926</v>
      </c>
      <c r="AQ78" s="106">
        <v>1620.073827230528</v>
      </c>
      <c r="AR78" s="106">
        <v>10.459680423604821</v>
      </c>
      <c r="AS78" s="106">
        <v>5773.7435938298613</v>
      </c>
      <c r="AT78" s="106">
        <v>12.763098462684786</v>
      </c>
      <c r="AU78" s="106">
        <v>7045.2303514020014</v>
      </c>
      <c r="AV78" s="106">
        <v>10.158337212942198</v>
      </c>
      <c r="AW78" s="106">
        <v>5607.4021415440939</v>
      </c>
      <c r="AX78" s="106">
        <v>10.41495608776181</v>
      </c>
      <c r="AY78" s="106">
        <v>5749.0557604445194</v>
      </c>
      <c r="AZ78" s="106">
        <v>4.8666249355541549</v>
      </c>
      <c r="BA78" s="106">
        <v>2686.3769644258937</v>
      </c>
      <c r="BB78" s="106">
        <v>3.6087261174660048</v>
      </c>
      <c r="BC78" s="106">
        <v>1992.0168168412347</v>
      </c>
      <c r="BD78" s="106">
        <v>5.0344395885042985</v>
      </c>
      <c r="BE78" s="106">
        <v>2779.0106528543729</v>
      </c>
      <c r="BF78" s="106">
        <v>5.1790096442552667</v>
      </c>
      <c r="BG78" s="106">
        <v>2858.8133236289073</v>
      </c>
      <c r="BH78" s="106">
        <v>11.246625588611273</v>
      </c>
      <c r="BI78" s="106">
        <v>6208.1373249134231</v>
      </c>
      <c r="BJ78" s="106">
        <v>10.949906104996849</v>
      </c>
      <c r="BK78" s="106">
        <v>6044.3481699582608</v>
      </c>
      <c r="BL78" s="106">
        <v>7.3657026051630456</v>
      </c>
      <c r="BM78" s="106">
        <v>4065.8678380500014</v>
      </c>
      <c r="BN78" s="106">
        <v>10.768896985454109</v>
      </c>
      <c r="BO78" s="106">
        <v>5944.431135970668</v>
      </c>
      <c r="BP78" s="106">
        <v>2.6633270791589903</v>
      </c>
      <c r="BQ78" s="106">
        <v>1470.1565476957626</v>
      </c>
      <c r="BR78" s="106">
        <v>2.8526523655065388</v>
      </c>
      <c r="BS78" s="106">
        <v>1574.6641057596094</v>
      </c>
      <c r="BT78" s="106">
        <v>1.983678642209574</v>
      </c>
      <c r="BU78" s="106">
        <v>1094.9906104996849</v>
      </c>
      <c r="BV78" s="106">
        <v>2.737904323799806</v>
      </c>
      <c r="BW78" s="106">
        <v>1511.323186737493</v>
      </c>
      <c r="BX78" s="106">
        <v>2.6715232949062151</v>
      </c>
      <c r="BY78" s="106">
        <v>1474.6808587882308</v>
      </c>
      <c r="BZ78" s="106">
        <v>2.9371459685331485</v>
      </c>
      <c r="CA78" s="106">
        <v>1621.304574630298</v>
      </c>
      <c r="CB78" s="106">
        <v>3.4946508845734621</v>
      </c>
      <c r="CC78" s="106">
        <v>1929.0472882845511</v>
      </c>
      <c r="CD78" s="106">
        <v>2.536657784941355</v>
      </c>
      <c r="CE78" s="106">
        <v>1400.2350972876279</v>
      </c>
      <c r="CF78" s="106">
        <v>4.507820627057086</v>
      </c>
      <c r="CG78" s="106">
        <v>2488.3169861355113</v>
      </c>
      <c r="CH78" s="106">
        <v>3.6019427976963314</v>
      </c>
      <c r="CI78" s="106">
        <v>1988.2724243283749</v>
      </c>
      <c r="CJ78" s="106">
        <v>3.4272006588409543</v>
      </c>
      <c r="CK78" s="106">
        <v>1891.8147636802069</v>
      </c>
      <c r="CL78" s="106">
        <v>0</v>
      </c>
      <c r="CM78" s="106">
        <v>0</v>
      </c>
      <c r="CN78" s="106">
        <v>7.2877910848564715</v>
      </c>
      <c r="CO78" s="106">
        <v>4022.8606788407724</v>
      </c>
      <c r="CP78" s="106">
        <v>4.3452008353162093</v>
      </c>
      <c r="CQ78" s="106">
        <v>2398.5508610945476</v>
      </c>
      <c r="CR78" s="106">
        <v>4.874749518084295</v>
      </c>
      <c r="CS78" s="106">
        <v>2690.861733982531</v>
      </c>
      <c r="CT78" s="106">
        <v>4.7882714034969327</v>
      </c>
      <c r="CU78" s="106">
        <v>2643.125814730307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4.4152847197567935</v>
      </c>
      <c r="I79" s="106">
        <v>3343.2535897998437</v>
      </c>
      <c r="J79" s="106">
        <v>6.3920771678915616</v>
      </c>
      <c r="K79" s="106">
        <v>4840.0808315274899</v>
      </c>
      <c r="L79" s="106">
        <v>6.3588304907066489</v>
      </c>
      <c r="M79" s="106">
        <v>4814.9064475630739</v>
      </c>
      <c r="N79" s="106">
        <v>5.5930280899529876</v>
      </c>
      <c r="O79" s="106">
        <v>4235.0408697124021</v>
      </c>
      <c r="P79" s="106">
        <v>4.4384454884345832</v>
      </c>
      <c r="Q79" s="106">
        <v>3360.790923842666</v>
      </c>
      <c r="R79" s="106">
        <v>4.6747155599357404</v>
      </c>
      <c r="S79" s="106">
        <v>3539.6946219833421</v>
      </c>
      <c r="T79" s="106">
        <v>2.6290290768299758</v>
      </c>
      <c r="U79" s="106">
        <v>1990.7008169756575</v>
      </c>
      <c r="V79" s="106">
        <v>2.7706839887615748</v>
      </c>
      <c r="W79" s="106">
        <v>2097.9619162902641</v>
      </c>
      <c r="X79" s="106">
        <v>3.3843010678401635</v>
      </c>
      <c r="Y79" s="106">
        <v>2562.5927685685715</v>
      </c>
      <c r="Z79" s="106">
        <v>3.0536946425207709</v>
      </c>
      <c r="AA79" s="106">
        <v>2312.2575833167275</v>
      </c>
      <c r="AB79" s="106">
        <v>5.9217781295459853</v>
      </c>
      <c r="AC79" s="106">
        <v>4483.9703996922199</v>
      </c>
      <c r="AD79" s="106">
        <v>4.9965348414313704</v>
      </c>
      <c r="AE79" s="106">
        <v>3783.3761819318333</v>
      </c>
      <c r="AF79" s="106">
        <v>6.0955955037937919</v>
      </c>
      <c r="AG79" s="106">
        <v>4615.5849154726584</v>
      </c>
      <c r="AH79" s="106">
        <v>6.7731377969052673</v>
      </c>
      <c r="AI79" s="106">
        <v>5128.6199398166682</v>
      </c>
      <c r="AJ79" s="106">
        <v>2.5045530889745766</v>
      </c>
      <c r="AK79" s="106">
        <v>1896.4475989715493</v>
      </c>
      <c r="AL79" s="106">
        <v>3.0276238078332298</v>
      </c>
      <c r="AM79" s="106">
        <v>2292.5167472913213</v>
      </c>
      <c r="AN79" s="106">
        <v>2.6108502873144608</v>
      </c>
      <c r="AO79" s="106">
        <v>1976.9358375545096</v>
      </c>
      <c r="AP79" s="106">
        <v>3.201726931285628</v>
      </c>
      <c r="AQ79" s="106">
        <v>2424.3476323694772</v>
      </c>
      <c r="AR79" s="106">
        <v>11.953920484119795</v>
      </c>
      <c r="AS79" s="106">
        <v>9051.5085905755077</v>
      </c>
      <c r="AT79" s="106">
        <v>10.959617158174979</v>
      </c>
      <c r="AU79" s="106">
        <v>8298.6221121700928</v>
      </c>
      <c r="AV79" s="106">
        <v>8.5955161032587828</v>
      </c>
      <c r="AW79" s="106">
        <v>6508.5247933875498</v>
      </c>
      <c r="AX79" s="106">
        <v>9.4681418979652818</v>
      </c>
      <c r="AY79" s="106">
        <v>7169.2770451393108</v>
      </c>
      <c r="AZ79" s="106">
        <v>5.4073610395046172</v>
      </c>
      <c r="BA79" s="106">
        <v>4094.453779112896</v>
      </c>
      <c r="BB79" s="106">
        <v>3.6087261174660048</v>
      </c>
      <c r="BC79" s="106">
        <v>2732.5274161452585</v>
      </c>
      <c r="BD79" s="106">
        <v>5.0344395885042985</v>
      </c>
      <c r="BE79" s="106">
        <v>3812.0776564154544</v>
      </c>
      <c r="BF79" s="106">
        <v>5.918868164863162</v>
      </c>
      <c r="BG79" s="106">
        <v>4481.7669744343857</v>
      </c>
      <c r="BH79" s="106">
        <v>10.768045776329943</v>
      </c>
      <c r="BI79" s="106">
        <v>8153.5642618370321</v>
      </c>
      <c r="BJ79" s="106">
        <v>9.8268388121766588</v>
      </c>
      <c r="BK79" s="106">
        <v>7440.8823485801649</v>
      </c>
      <c r="BL79" s="106">
        <v>7.3657026051630456</v>
      </c>
      <c r="BM79" s="106">
        <v>5577.3100126294576</v>
      </c>
      <c r="BN79" s="106">
        <v>10.768896985454109</v>
      </c>
      <c r="BO79" s="106">
        <v>8154.2087973858506</v>
      </c>
      <c r="BP79" s="106">
        <v>2.6633270791589903</v>
      </c>
      <c r="BQ79" s="106">
        <v>2016.6712643391872</v>
      </c>
      <c r="BR79" s="106">
        <v>2.5673871289558847</v>
      </c>
      <c r="BS79" s="106">
        <v>1944.0255340453957</v>
      </c>
      <c r="BT79" s="106">
        <v>2.3142917492445032</v>
      </c>
      <c r="BU79" s="106">
        <v>1752.3817125279377</v>
      </c>
      <c r="BV79" s="106">
        <v>2.737904323799806</v>
      </c>
      <c r="BW79" s="106">
        <v>2073.1411539812129</v>
      </c>
      <c r="BX79" s="106">
        <v>2.4488963536640305</v>
      </c>
      <c r="BY79" s="106">
        <v>1854.3043189944037</v>
      </c>
      <c r="BZ79" s="106">
        <v>3.3890145790767097</v>
      </c>
      <c r="CA79" s="106">
        <v>2566.1618392768842</v>
      </c>
      <c r="CB79" s="106">
        <v>3.2034299775256736</v>
      </c>
      <c r="CC79" s="106">
        <v>2425.6371789824398</v>
      </c>
      <c r="CD79" s="106">
        <v>2.536657784941355</v>
      </c>
      <c r="CE79" s="106">
        <v>1920.7572747575939</v>
      </c>
      <c r="CF79" s="106">
        <v>4.0980187518700779</v>
      </c>
      <c r="CG79" s="106">
        <v>3103.0197989160229</v>
      </c>
      <c r="CH79" s="106">
        <v>4.2022665973123869</v>
      </c>
      <c r="CI79" s="106">
        <v>3181.956267484939</v>
      </c>
      <c r="CJ79" s="106">
        <v>2.9988005764858348</v>
      </c>
      <c r="CK79" s="106">
        <v>2270.6917965150737</v>
      </c>
      <c r="CL79" s="106">
        <v>0</v>
      </c>
      <c r="CM79" s="106">
        <v>0</v>
      </c>
      <c r="CN79" s="106">
        <v>7.2877910848564715</v>
      </c>
      <c r="CO79" s="106">
        <v>5518.3154094533202</v>
      </c>
      <c r="CP79" s="106">
        <v>4.6794470534174568</v>
      </c>
      <c r="CQ79" s="106">
        <v>3543.2773088476979</v>
      </c>
      <c r="CR79" s="106">
        <v>4.874749518084295</v>
      </c>
      <c r="CS79" s="106">
        <v>3691.1603350934279</v>
      </c>
      <c r="CT79" s="106">
        <v>5.2235688038148353</v>
      </c>
      <c r="CU79" s="106">
        <v>3955.2862982485931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4.1393294247719945</v>
      </c>
      <c r="I80" s="106">
        <v>3332.9880528264098</v>
      </c>
      <c r="J80" s="106">
        <v>6.3920771678915616</v>
      </c>
      <c r="K80" s="106">
        <v>5146.9005355862846</v>
      </c>
      <c r="L80" s="106">
        <v>6.0408889661713161</v>
      </c>
      <c r="M80" s="106">
        <v>4864.1237955611432</v>
      </c>
      <c r="N80" s="106">
        <v>5.9037518727281535</v>
      </c>
      <c r="O80" s="106">
        <v>4753.7010079207084</v>
      </c>
      <c r="P80" s="106">
        <v>4.1773604597031371</v>
      </c>
      <c r="Q80" s="106">
        <v>3363.6106421529657</v>
      </c>
      <c r="R80" s="106">
        <v>4.1826402378372407</v>
      </c>
      <c r="S80" s="106">
        <v>3367.8619195065457</v>
      </c>
      <c r="T80" s="106">
        <v>2.4829719058949768</v>
      </c>
      <c r="U80" s="106">
        <v>1999.2889786266353</v>
      </c>
      <c r="V80" s="106">
        <v>2.9336653998651974</v>
      </c>
      <c r="W80" s="106">
        <v>2362.1873799714567</v>
      </c>
      <c r="X80" s="106">
        <v>3.3843010678401635</v>
      </c>
      <c r="Y80" s="106">
        <v>2725.0392198248992</v>
      </c>
      <c r="Z80" s="106">
        <v>2.7322531012027951</v>
      </c>
      <c r="AA80" s="106">
        <v>2200.0101970884903</v>
      </c>
      <c r="AB80" s="106">
        <v>5.383434663223623</v>
      </c>
      <c r="AC80" s="106">
        <v>4334.7415908276607</v>
      </c>
      <c r="AD80" s="106">
        <v>5.9958418097176454</v>
      </c>
      <c r="AE80" s="106">
        <v>4827.8518251846481</v>
      </c>
      <c r="AF80" s="106">
        <v>6.6497405495932282</v>
      </c>
      <c r="AG80" s="106">
        <v>5354.371090532467</v>
      </c>
      <c r="AH80" s="106">
        <v>6.2087096471631611</v>
      </c>
      <c r="AI80" s="106">
        <v>4999.253007895777</v>
      </c>
      <c r="AJ80" s="106">
        <v>2.7550083978720341</v>
      </c>
      <c r="AK80" s="106">
        <v>2218.3327619665615</v>
      </c>
      <c r="AL80" s="106">
        <v>3.5322277758054352</v>
      </c>
      <c r="AM80" s="106">
        <v>2844.1498050785362</v>
      </c>
      <c r="AN80" s="106">
        <v>2.3497652585830151</v>
      </c>
      <c r="AO80" s="106">
        <v>1892.0309862110437</v>
      </c>
      <c r="AP80" s="106">
        <v>2.9349163536784926</v>
      </c>
      <c r="AQ80" s="106">
        <v>2363.1946479819221</v>
      </c>
      <c r="AR80" s="106">
        <v>10.229797337371748</v>
      </c>
      <c r="AS80" s="106">
        <v>8237.0328160517311</v>
      </c>
      <c r="AT80" s="106">
        <v>10.404699833710422</v>
      </c>
      <c r="AU80" s="106">
        <v>8377.864306103631</v>
      </c>
      <c r="AV80" s="106">
        <v>8.4392339922904416</v>
      </c>
      <c r="AW80" s="106">
        <v>6795.2712105922628</v>
      </c>
      <c r="AX80" s="106">
        <v>10.793681763680421</v>
      </c>
      <c r="AY80" s="106">
        <v>8691.0725561154741</v>
      </c>
      <c r="AZ80" s="106">
        <v>5.4073610395046172</v>
      </c>
      <c r="BA80" s="106">
        <v>4354.0071090091178</v>
      </c>
      <c r="BB80" s="106">
        <v>3.6087261174660048</v>
      </c>
      <c r="BC80" s="106">
        <v>2905.7462697836268</v>
      </c>
      <c r="BD80" s="106">
        <v>5.0344395885042985</v>
      </c>
      <c r="BE80" s="106">
        <v>4053.7307566636609</v>
      </c>
      <c r="BF80" s="106">
        <v>5.1790096442552667</v>
      </c>
      <c r="BG80" s="106">
        <v>4170.1385655543399</v>
      </c>
      <c r="BH80" s="106">
        <v>9.5715962456266173</v>
      </c>
      <c r="BI80" s="106">
        <v>7707.0492969785519</v>
      </c>
      <c r="BJ80" s="106">
        <v>9.5460719889716117</v>
      </c>
      <c r="BK80" s="106">
        <v>7686.4971655199415</v>
      </c>
      <c r="BL80" s="106">
        <v>6.8395809905085425</v>
      </c>
      <c r="BM80" s="106">
        <v>5507.2306135574781</v>
      </c>
      <c r="BN80" s="106">
        <v>10.53977151767849</v>
      </c>
      <c r="BO80" s="106">
        <v>8486.6240260347204</v>
      </c>
      <c r="BP80" s="106">
        <v>2.6633270791589903</v>
      </c>
      <c r="BQ80" s="106">
        <v>2144.510964138819</v>
      </c>
      <c r="BR80" s="106">
        <v>2.8526523655065388</v>
      </c>
      <c r="BS80" s="106">
        <v>2296.9556847058648</v>
      </c>
      <c r="BT80" s="106">
        <v>1.983678642209574</v>
      </c>
      <c r="BU80" s="106">
        <v>1597.2580427071489</v>
      </c>
      <c r="BV80" s="106">
        <v>2.737904323799806</v>
      </c>
      <c r="BW80" s="106">
        <v>2204.5605615236036</v>
      </c>
      <c r="BX80" s="106">
        <v>2.6715232949062151</v>
      </c>
      <c r="BY80" s="106">
        <v>2151.1105570584841</v>
      </c>
      <c r="BZ80" s="106">
        <v>3.1630802738049288</v>
      </c>
      <c r="CA80" s="106">
        <v>2546.9122364677287</v>
      </c>
      <c r="CB80" s="106">
        <v>3.2034299775256736</v>
      </c>
      <c r="CC80" s="106">
        <v>2579.4018179036721</v>
      </c>
      <c r="CD80" s="106">
        <v>2.536657784941355</v>
      </c>
      <c r="CE80" s="106">
        <v>2042.5168484347789</v>
      </c>
      <c r="CF80" s="106">
        <v>4.9176225022440931</v>
      </c>
      <c r="CG80" s="106">
        <v>3959.6696388069436</v>
      </c>
      <c r="CH80" s="106">
        <v>3.6019427976963314</v>
      </c>
      <c r="CI80" s="106">
        <v>2900.2843407050859</v>
      </c>
      <c r="CJ80" s="106">
        <v>2.9988005764858348</v>
      </c>
      <c r="CK80" s="106">
        <v>2414.634224186394</v>
      </c>
      <c r="CL80" s="106">
        <v>0</v>
      </c>
      <c r="CM80" s="106">
        <v>0</v>
      </c>
      <c r="CN80" s="106">
        <v>6.4780365198724192</v>
      </c>
      <c r="CO80" s="106">
        <v>5216.1150058012718</v>
      </c>
      <c r="CP80" s="106">
        <v>4.6794470534174568</v>
      </c>
      <c r="CQ80" s="106">
        <v>3767.8907674117359</v>
      </c>
      <c r="CR80" s="106">
        <v>4.874749518084295</v>
      </c>
      <c r="CS80" s="106">
        <v>3925.1483119614741</v>
      </c>
      <c r="CT80" s="106">
        <v>5.2235688038148353</v>
      </c>
      <c r="CU80" s="106">
        <v>4206.0176008317048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4.1393294247719945</v>
      </c>
      <c r="I81" s="106">
        <v>3119.3986545081752</v>
      </c>
      <c r="J81" s="106">
        <v>6.6699935664955419</v>
      </c>
      <c r="K81" s="106">
        <v>5026.5071517110409</v>
      </c>
      <c r="L81" s="106">
        <v>5.7229474416359842</v>
      </c>
      <c r="M81" s="106">
        <v>4312.813192016878</v>
      </c>
      <c r="N81" s="106">
        <v>5.5930280899529876</v>
      </c>
      <c r="O81" s="106">
        <v>4214.9059685885713</v>
      </c>
      <c r="P81" s="106">
        <v>4.6995305171660302</v>
      </c>
      <c r="Q81" s="106">
        <v>3541.5661977363206</v>
      </c>
      <c r="R81" s="106">
        <v>4.6747155599357404</v>
      </c>
      <c r="S81" s="106">
        <v>3522.865645967574</v>
      </c>
      <c r="T81" s="106">
        <v>2.9211434186999732</v>
      </c>
      <c r="U81" s="106">
        <v>2201.3736803323</v>
      </c>
      <c r="V81" s="106">
        <v>3.2596282220724415</v>
      </c>
      <c r="W81" s="106">
        <v>2456.455828153792</v>
      </c>
      <c r="X81" s="106">
        <v>3.215086014448155</v>
      </c>
      <c r="Y81" s="106">
        <v>2422.8888204881296</v>
      </c>
      <c r="Z81" s="106">
        <v>2.8929738718617828</v>
      </c>
      <c r="AA81" s="106">
        <v>2180.1451098350394</v>
      </c>
      <c r="AB81" s="106">
        <v>5.9217781295459853</v>
      </c>
      <c r="AC81" s="106">
        <v>4462.6519984258548</v>
      </c>
      <c r="AD81" s="106">
        <v>4.9965348414313704</v>
      </c>
      <c r="AE81" s="106">
        <v>3765.388656502681</v>
      </c>
      <c r="AF81" s="106">
        <v>6.6497405495932282</v>
      </c>
      <c r="AG81" s="106">
        <v>5011.2444781734566</v>
      </c>
      <c r="AH81" s="106">
        <v>6.2087096471631611</v>
      </c>
      <c r="AI81" s="106">
        <v>4678.8835901021585</v>
      </c>
      <c r="AJ81" s="106">
        <v>2.7550083978720341</v>
      </c>
      <c r="AK81" s="106">
        <v>2076.1743286363649</v>
      </c>
      <c r="AL81" s="106">
        <v>3.0276238078332298</v>
      </c>
      <c r="AM81" s="106">
        <v>2281.6173015831218</v>
      </c>
      <c r="AN81" s="106">
        <v>2.3497652585830151</v>
      </c>
      <c r="AO81" s="106">
        <v>1770.7830988681603</v>
      </c>
      <c r="AP81" s="106">
        <v>3.201726931285628</v>
      </c>
      <c r="AQ81" s="106">
        <v>2412.8214154168495</v>
      </c>
      <c r="AR81" s="106">
        <v>11.953920484119795</v>
      </c>
      <c r="AS81" s="106">
        <v>9008.4744768326782</v>
      </c>
      <c r="AT81" s="106">
        <v>10.265970502594284</v>
      </c>
      <c r="AU81" s="106">
        <v>7736.4353707550526</v>
      </c>
      <c r="AV81" s="106">
        <v>8.1266697703537591</v>
      </c>
      <c r="AW81" s="106">
        <v>6124.2583389385927</v>
      </c>
      <c r="AX81" s="106">
        <v>9.6575047359245865</v>
      </c>
      <c r="AY81" s="106">
        <v>7277.8955689927689</v>
      </c>
      <c r="AZ81" s="106">
        <v>5.4073610395046172</v>
      </c>
      <c r="BA81" s="106">
        <v>4074.9872793706795</v>
      </c>
      <c r="BB81" s="106">
        <v>3.0931938149708613</v>
      </c>
      <c r="BC81" s="106">
        <v>2331.0308589620413</v>
      </c>
      <c r="BD81" s="106">
        <v>4.4051346399412612</v>
      </c>
      <c r="BE81" s="106">
        <v>3319.7094646597347</v>
      </c>
      <c r="BF81" s="106">
        <v>5.1790096442552667</v>
      </c>
      <c r="BG81" s="106">
        <v>3902.901667910769</v>
      </c>
      <c r="BH81" s="106">
        <v>9.5715962456266173</v>
      </c>
      <c r="BI81" s="106">
        <v>7213.1549307042187</v>
      </c>
      <c r="BJ81" s="106">
        <v>10.949906104996849</v>
      </c>
      <c r="BK81" s="106">
        <v>8251.8492407256254</v>
      </c>
      <c r="BL81" s="106">
        <v>7.1026417978357941</v>
      </c>
      <c r="BM81" s="106">
        <v>5352.5508588490547</v>
      </c>
      <c r="BN81" s="106">
        <v>10.081520582127252</v>
      </c>
      <c r="BO81" s="106">
        <v>7597.4339106910975</v>
      </c>
      <c r="BP81" s="106">
        <v>2.4212064355990819</v>
      </c>
      <c r="BQ81" s="106">
        <v>1824.6211698674681</v>
      </c>
      <c r="BR81" s="106">
        <v>2.5673871289558847</v>
      </c>
      <c r="BS81" s="106">
        <v>1934.7829403811547</v>
      </c>
      <c r="BT81" s="106">
        <v>2.3142917492445032</v>
      </c>
      <c r="BU81" s="106">
        <v>1744.0502622306576</v>
      </c>
      <c r="BV81" s="106">
        <v>3.0801423642747814</v>
      </c>
      <c r="BW81" s="106">
        <v>2321.1952857174751</v>
      </c>
      <c r="BX81" s="106">
        <v>2.4488963536640305</v>
      </c>
      <c r="BY81" s="106">
        <v>1845.4882921212134</v>
      </c>
      <c r="BZ81" s="106">
        <v>3.3890145790767097</v>
      </c>
      <c r="CA81" s="106">
        <v>2553.9613867922085</v>
      </c>
      <c r="CB81" s="106">
        <v>3.2034299775256736</v>
      </c>
      <c r="CC81" s="106">
        <v>2414.1048310633478</v>
      </c>
      <c r="CD81" s="106">
        <v>2.3252696361962424</v>
      </c>
      <c r="CE81" s="106">
        <v>1752.3231978374884</v>
      </c>
      <c r="CF81" s="106">
        <v>4.0980187518700779</v>
      </c>
      <c r="CG81" s="106">
        <v>3088.2669314092909</v>
      </c>
      <c r="CH81" s="106">
        <v>3.6019427976963314</v>
      </c>
      <c r="CI81" s="106">
        <v>2714.4240923439556</v>
      </c>
      <c r="CJ81" s="106">
        <v>2.9988005764858348</v>
      </c>
      <c r="CK81" s="106">
        <v>2259.8961144397254</v>
      </c>
      <c r="CL81" s="106">
        <v>0</v>
      </c>
      <c r="CM81" s="106">
        <v>0</v>
      </c>
      <c r="CN81" s="106">
        <v>6.4780365198724192</v>
      </c>
      <c r="CO81" s="106">
        <v>4881.8483213758554</v>
      </c>
      <c r="CP81" s="106">
        <v>4.6794470534174568</v>
      </c>
      <c r="CQ81" s="106">
        <v>3526.4312994553957</v>
      </c>
      <c r="CR81" s="106">
        <v>4.4685203915772709</v>
      </c>
      <c r="CS81" s="106">
        <v>3367.4769670926316</v>
      </c>
      <c r="CT81" s="106">
        <v>4.7882714034969327</v>
      </c>
      <c r="CU81" s="106">
        <v>3608.4413296752887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4.1393294247719945</v>
      </c>
      <c r="I82" s="106">
        <v>2106.0908113239902</v>
      </c>
      <c r="J82" s="106">
        <v>5.5583279720796179</v>
      </c>
      <c r="K82" s="106">
        <v>2828.0772721941089</v>
      </c>
      <c r="L82" s="106">
        <v>6.0408889661713161</v>
      </c>
      <c r="M82" s="106">
        <v>3073.6043059879648</v>
      </c>
      <c r="N82" s="106">
        <v>5.9037518727281535</v>
      </c>
      <c r="O82" s="106">
        <v>3003.8289528440837</v>
      </c>
      <c r="P82" s="106">
        <v>4.4384454884345832</v>
      </c>
      <c r="Q82" s="106">
        <v>2258.2810645155155</v>
      </c>
      <c r="R82" s="106">
        <v>4.9207532209849898</v>
      </c>
      <c r="S82" s="106">
        <v>2503.6792388371623</v>
      </c>
      <c r="T82" s="106">
        <v>2.6290290768299758</v>
      </c>
      <c r="U82" s="106">
        <v>1337.6499942910914</v>
      </c>
      <c r="V82" s="106">
        <v>3.2596282220724415</v>
      </c>
      <c r="W82" s="106">
        <v>1658.498839390458</v>
      </c>
      <c r="X82" s="106">
        <v>3.5535161212321715</v>
      </c>
      <c r="Y82" s="106">
        <v>1808.0290024829285</v>
      </c>
      <c r="Z82" s="106">
        <v>2.8929738718617828</v>
      </c>
      <c r="AA82" s="106">
        <v>1471.9451060032748</v>
      </c>
      <c r="AB82" s="106">
        <v>5.383434663223623</v>
      </c>
      <c r="AC82" s="106">
        <v>2739.091556648179</v>
      </c>
      <c r="AD82" s="106">
        <v>4.9965348414313704</v>
      </c>
      <c r="AE82" s="106">
        <v>2542.2369273202808</v>
      </c>
      <c r="AF82" s="106">
        <v>7.2038855953926628</v>
      </c>
      <c r="AG82" s="106">
        <v>3665.3369909357862</v>
      </c>
      <c r="AH82" s="106">
        <v>6.7731377969052673</v>
      </c>
      <c r="AI82" s="106">
        <v>3446.1725110653992</v>
      </c>
      <c r="AJ82" s="106">
        <v>3.005463706769492</v>
      </c>
      <c r="AK82" s="106">
        <v>1529.1799340043171</v>
      </c>
      <c r="AL82" s="106">
        <v>3.0276238078332298</v>
      </c>
      <c r="AM82" s="106">
        <v>1540.4549934255469</v>
      </c>
      <c r="AN82" s="106">
        <v>2.6108502873144608</v>
      </c>
      <c r="AO82" s="106">
        <v>1328.4006261855973</v>
      </c>
      <c r="AP82" s="106">
        <v>3.4685375088927639</v>
      </c>
      <c r="AQ82" s="106">
        <v>1764.7918845246379</v>
      </c>
      <c r="AR82" s="106">
        <v>12.413686656585941</v>
      </c>
      <c r="AS82" s="106">
        <v>6316.0837708709259</v>
      </c>
      <c r="AT82" s="106">
        <v>11.098346489291117</v>
      </c>
      <c r="AU82" s="106">
        <v>5646.8386937513196</v>
      </c>
      <c r="AV82" s="106">
        <v>10.158337212942198</v>
      </c>
      <c r="AW82" s="106">
        <v>5168.5619739449894</v>
      </c>
      <c r="AX82" s="106">
        <v>10.983044601639726</v>
      </c>
      <c r="AY82" s="106">
        <v>5588.1730933142917</v>
      </c>
      <c r="AZ82" s="106">
        <v>5.9480971434550787</v>
      </c>
      <c r="BA82" s="106">
        <v>3026.3918265899433</v>
      </c>
      <c r="BB82" s="106">
        <v>3.6087261174660048</v>
      </c>
      <c r="BC82" s="106">
        <v>1836.1198485667028</v>
      </c>
      <c r="BD82" s="106">
        <v>4.4051346399412612</v>
      </c>
      <c r="BE82" s="106">
        <v>2241.3325048021134</v>
      </c>
      <c r="BF82" s="106">
        <v>5.1790096442552667</v>
      </c>
      <c r="BG82" s="106">
        <v>2635.0801069970789</v>
      </c>
      <c r="BH82" s="106">
        <v>10.050176057907946</v>
      </c>
      <c r="BI82" s="106">
        <v>5113.5295782635612</v>
      </c>
      <c r="BJ82" s="106">
        <v>11.230672928201896</v>
      </c>
      <c r="BK82" s="106">
        <v>5714.1663858691236</v>
      </c>
      <c r="BL82" s="106">
        <v>7.1026417978357941</v>
      </c>
      <c r="BM82" s="106">
        <v>3613.8241467388511</v>
      </c>
      <c r="BN82" s="106">
        <v>9.1650187110247732</v>
      </c>
      <c r="BO82" s="106">
        <v>4663.161520169404</v>
      </c>
      <c r="BP82" s="106">
        <v>2.4212064355990819</v>
      </c>
      <c r="BQ82" s="106">
        <v>1231.9098344328127</v>
      </c>
      <c r="BR82" s="106">
        <v>2.5673871289558847</v>
      </c>
      <c r="BS82" s="106">
        <v>1306.2865712127539</v>
      </c>
      <c r="BT82" s="106">
        <v>1.983678642209574</v>
      </c>
      <c r="BU82" s="106">
        <v>1009.2956931562311</v>
      </c>
      <c r="BV82" s="106">
        <v>3.0801423642747814</v>
      </c>
      <c r="BW82" s="106">
        <v>1567.1764349430084</v>
      </c>
      <c r="BX82" s="106">
        <v>2.4488963536640305</v>
      </c>
      <c r="BY82" s="106">
        <v>1245.9984647442584</v>
      </c>
      <c r="BZ82" s="106">
        <v>3.1630802738049288</v>
      </c>
      <c r="CA82" s="106">
        <v>1609.3752433119475</v>
      </c>
      <c r="CB82" s="106">
        <v>3.2034299775256736</v>
      </c>
      <c r="CC82" s="106">
        <v>1629.9051725650625</v>
      </c>
      <c r="CD82" s="106">
        <v>2.536657784941355</v>
      </c>
      <c r="CE82" s="106">
        <v>1290.6514809781611</v>
      </c>
      <c r="CF82" s="106">
        <v>4.9176225022440931</v>
      </c>
      <c r="CG82" s="106">
        <v>2502.0863291417941</v>
      </c>
      <c r="CH82" s="106">
        <v>3.6019427976963314</v>
      </c>
      <c r="CI82" s="106">
        <v>1832.6684954678931</v>
      </c>
      <c r="CJ82" s="106">
        <v>3.4272006588409543</v>
      </c>
      <c r="CK82" s="106">
        <v>1743.7596952182771</v>
      </c>
      <c r="CL82" s="106">
        <v>0</v>
      </c>
      <c r="CM82" s="106">
        <v>0</v>
      </c>
      <c r="CN82" s="106">
        <v>7.2877910848564715</v>
      </c>
      <c r="CO82" s="106">
        <v>3708.0281039749721</v>
      </c>
      <c r="CP82" s="106">
        <v>4.3452008353162093</v>
      </c>
      <c r="CQ82" s="106">
        <v>2210.8381850088867</v>
      </c>
      <c r="CR82" s="106">
        <v>5.28097864459132</v>
      </c>
      <c r="CS82" s="106">
        <v>2686.9619343680629</v>
      </c>
      <c r="CT82" s="106">
        <v>5.658866204132738</v>
      </c>
      <c r="CU82" s="106">
        <v>2879.2311246627364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4.6912400147415934</v>
      </c>
      <c r="I83" s="106">
        <v>4036.3429086836668</v>
      </c>
      <c r="J83" s="106">
        <v>6.1141607692875803</v>
      </c>
      <c r="K83" s="106">
        <v>5260.6239258950336</v>
      </c>
      <c r="L83" s="106">
        <v>6.3588304907066489</v>
      </c>
      <c r="M83" s="106">
        <v>5471.1377542040009</v>
      </c>
      <c r="N83" s="106">
        <v>6.5251994382784853</v>
      </c>
      <c r="O83" s="106">
        <v>5614.2815966948083</v>
      </c>
      <c r="P83" s="106">
        <v>4.6995305171660302</v>
      </c>
      <c r="Q83" s="106">
        <v>4043.4760569696523</v>
      </c>
      <c r="R83" s="106">
        <v>4.428677898886491</v>
      </c>
      <c r="S83" s="106">
        <v>3810.4344642019369</v>
      </c>
      <c r="T83" s="106">
        <v>2.7750862477649743</v>
      </c>
      <c r="U83" s="106">
        <v>2387.6842075769837</v>
      </c>
      <c r="V83" s="106">
        <v>2.6077025776579532</v>
      </c>
      <c r="W83" s="106">
        <v>2243.6672978169031</v>
      </c>
      <c r="X83" s="106">
        <v>3.045870961056147</v>
      </c>
      <c r="Y83" s="106">
        <v>2620.6673748927087</v>
      </c>
      <c r="Z83" s="106">
        <v>2.8929738718617828</v>
      </c>
      <c r="AA83" s="106">
        <v>2489.1147193498778</v>
      </c>
      <c r="AB83" s="106">
        <v>5.383434663223623</v>
      </c>
      <c r="AC83" s="106">
        <v>4631.9071842376052</v>
      </c>
      <c r="AD83" s="106">
        <v>5.9958418097176454</v>
      </c>
      <c r="AE83" s="106">
        <v>5158.8222930810616</v>
      </c>
      <c r="AF83" s="106">
        <v>6.6497405495932282</v>
      </c>
      <c r="AG83" s="106">
        <v>5721.4367688700131</v>
      </c>
      <c r="AH83" s="106">
        <v>5.6442814974210558</v>
      </c>
      <c r="AI83" s="106">
        <v>4856.3398003810762</v>
      </c>
      <c r="AJ83" s="106">
        <v>2.7550083978720341</v>
      </c>
      <c r="AK83" s="106">
        <v>2370.409225529098</v>
      </c>
      <c r="AL83" s="106">
        <v>3.5322277758054352</v>
      </c>
      <c r="AM83" s="106">
        <v>3039.1287783029966</v>
      </c>
      <c r="AN83" s="106">
        <v>2.6108502873144608</v>
      </c>
      <c r="AO83" s="106">
        <v>2246.3755872053621</v>
      </c>
      <c r="AP83" s="106">
        <v>3.201726931285628</v>
      </c>
      <c r="AQ83" s="106">
        <v>2754.7658516781544</v>
      </c>
      <c r="AR83" s="106">
        <v>10.689563509837894</v>
      </c>
      <c r="AS83" s="106">
        <v>9197.3004438645239</v>
      </c>
      <c r="AT83" s="106">
        <v>12.069451807104091</v>
      </c>
      <c r="AU83" s="106">
        <v>10384.556334832359</v>
      </c>
      <c r="AV83" s="106">
        <v>8.5955161032587828</v>
      </c>
      <c r="AW83" s="106">
        <v>7395.5820552438563</v>
      </c>
      <c r="AX83" s="106">
        <v>9.4681418979652818</v>
      </c>
      <c r="AY83" s="106">
        <v>8146.3892890093284</v>
      </c>
      <c r="AZ83" s="106">
        <v>4.8666249355541549</v>
      </c>
      <c r="BA83" s="106">
        <v>4187.2440945507951</v>
      </c>
      <c r="BB83" s="106">
        <v>3.6087261174660048</v>
      </c>
      <c r="BC83" s="106">
        <v>3104.9479514677505</v>
      </c>
      <c r="BD83" s="106">
        <v>5.0344395885042985</v>
      </c>
      <c r="BE83" s="106">
        <v>4331.6318219490986</v>
      </c>
      <c r="BF83" s="106">
        <v>5.1790096442552667</v>
      </c>
      <c r="BG83" s="106">
        <v>4456.019897917231</v>
      </c>
      <c r="BH83" s="106">
        <v>10.768045776329943</v>
      </c>
      <c r="BI83" s="106">
        <v>9264.8265859542826</v>
      </c>
      <c r="BJ83" s="106">
        <v>10.949906104996849</v>
      </c>
      <c r="BK83" s="106">
        <v>9421.2992127392881</v>
      </c>
      <c r="BL83" s="106">
        <v>6.8395809905085425</v>
      </c>
      <c r="BM83" s="106">
        <v>5884.7754842335498</v>
      </c>
      <c r="BN83" s="106">
        <v>9.3941441788003939</v>
      </c>
      <c r="BO83" s="106">
        <v>8082.7216514398588</v>
      </c>
      <c r="BP83" s="106">
        <v>2.9054477227188986</v>
      </c>
      <c r="BQ83" s="106">
        <v>2499.8472206273404</v>
      </c>
      <c r="BR83" s="106">
        <v>2.2821218924052307</v>
      </c>
      <c r="BS83" s="106">
        <v>1963.5376762254605</v>
      </c>
      <c r="BT83" s="106">
        <v>2.3142917492445032</v>
      </c>
      <c r="BU83" s="106">
        <v>1991.2166210499704</v>
      </c>
      <c r="BV83" s="106">
        <v>2.737904323799806</v>
      </c>
      <c r="BW83" s="106">
        <v>2355.6928801973531</v>
      </c>
      <c r="BX83" s="106">
        <v>2.6715232949062151</v>
      </c>
      <c r="BY83" s="106">
        <v>2298.5786429373074</v>
      </c>
      <c r="BZ83" s="106">
        <v>3.1630802738049288</v>
      </c>
      <c r="CA83" s="106">
        <v>2721.5142675817606</v>
      </c>
      <c r="CB83" s="106">
        <v>2.9122090704778851</v>
      </c>
      <c r="CC83" s="106">
        <v>2505.6646842391724</v>
      </c>
      <c r="CD83" s="106">
        <v>2.3252696361962424</v>
      </c>
      <c r="CE83" s="106">
        <v>2000.6619949832468</v>
      </c>
      <c r="CF83" s="106">
        <v>4.507820627057086</v>
      </c>
      <c r="CG83" s="106">
        <v>3878.5288675199167</v>
      </c>
      <c r="CH83" s="106">
        <v>3.6019427976963314</v>
      </c>
      <c r="CI83" s="106">
        <v>3099.1115831379234</v>
      </c>
      <c r="CJ83" s="106">
        <v>2.9988005764858348</v>
      </c>
      <c r="CK83" s="106">
        <v>2580.168016008412</v>
      </c>
      <c r="CL83" s="106">
        <v>0</v>
      </c>
      <c r="CM83" s="106">
        <v>0</v>
      </c>
      <c r="CN83" s="106">
        <v>6.4780365198724192</v>
      </c>
      <c r="CO83" s="106">
        <v>5573.7026216982294</v>
      </c>
      <c r="CP83" s="106">
        <v>4.6794470534174568</v>
      </c>
      <c r="CQ83" s="106">
        <v>4026.1962447603796</v>
      </c>
      <c r="CR83" s="106">
        <v>5.28097864459132</v>
      </c>
      <c r="CS83" s="106">
        <v>4543.7540258063718</v>
      </c>
      <c r="CT83" s="106">
        <v>5.2235688038148353</v>
      </c>
      <c r="CU83" s="106">
        <v>4494.3585988022842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4.4152847197567935</v>
      </c>
      <c r="I84" s="106">
        <v>3449.2204230740067</v>
      </c>
      <c r="J84" s="106">
        <v>5.8362443706835991</v>
      </c>
      <c r="K84" s="106">
        <v>4559.2741023780272</v>
      </c>
      <c r="L84" s="106">
        <v>6.6767720152419807</v>
      </c>
      <c r="M84" s="106">
        <v>5215.8942983070347</v>
      </c>
      <c r="N84" s="106">
        <v>5.9037518727281535</v>
      </c>
      <c r="O84" s="106">
        <v>4612.0109629752333</v>
      </c>
      <c r="P84" s="106">
        <v>4.1773604597031371</v>
      </c>
      <c r="Q84" s="106">
        <v>3263.3539911200905</v>
      </c>
      <c r="R84" s="106">
        <v>4.9207532209849898</v>
      </c>
      <c r="S84" s="106">
        <v>3844.0924162334736</v>
      </c>
      <c r="T84" s="106">
        <v>2.4829719058949768</v>
      </c>
      <c r="U84" s="106">
        <v>1939.6976528851558</v>
      </c>
      <c r="V84" s="106">
        <v>2.7706839887615748</v>
      </c>
      <c r="W84" s="106">
        <v>2164.458332020542</v>
      </c>
      <c r="X84" s="106">
        <v>3.215086014448155</v>
      </c>
      <c r="Y84" s="106">
        <v>2511.6251944868986</v>
      </c>
      <c r="Z84" s="106">
        <v>2.7322531012027951</v>
      </c>
      <c r="AA84" s="106">
        <v>2134.4361226596234</v>
      </c>
      <c r="AB84" s="106">
        <v>5.383434663223623</v>
      </c>
      <c r="AC84" s="106">
        <v>4205.5391589102937</v>
      </c>
      <c r="AD84" s="106">
        <v>5.4961883255745079</v>
      </c>
      <c r="AE84" s="106">
        <v>4293.622319938805</v>
      </c>
      <c r="AF84" s="106">
        <v>7.2038855953926628</v>
      </c>
      <c r="AG84" s="106">
        <v>5627.6754271207474</v>
      </c>
      <c r="AH84" s="106">
        <v>5.6442814974210558</v>
      </c>
      <c r="AI84" s="106">
        <v>4409.312705785328</v>
      </c>
      <c r="AJ84" s="106">
        <v>3.005463706769492</v>
      </c>
      <c r="AK84" s="106">
        <v>2347.8682477283269</v>
      </c>
      <c r="AL84" s="106">
        <v>3.0276238078332298</v>
      </c>
      <c r="AM84" s="106">
        <v>2365.1797186793187</v>
      </c>
      <c r="AN84" s="106">
        <v>2.8719353160459069</v>
      </c>
      <c r="AO84" s="106">
        <v>2243.5558688950623</v>
      </c>
      <c r="AP84" s="106">
        <v>3.201726931285628</v>
      </c>
      <c r="AQ84" s="106">
        <v>2501.1890787203324</v>
      </c>
      <c r="AR84" s="106">
        <v>9.9999142511386747</v>
      </c>
      <c r="AS84" s="106">
        <v>7811.9330129895316</v>
      </c>
      <c r="AT84" s="106">
        <v>10.404699833710422</v>
      </c>
      <c r="AU84" s="106">
        <v>8128.1515100945817</v>
      </c>
      <c r="AV84" s="106">
        <v>8.2829518813221004</v>
      </c>
      <c r="AW84" s="106">
        <v>6470.6420096888241</v>
      </c>
      <c r="AX84" s="106">
        <v>10.036230411843199</v>
      </c>
      <c r="AY84" s="106">
        <v>7840.3031977319069</v>
      </c>
      <c r="AZ84" s="106">
        <v>4.8666249355541549</v>
      </c>
      <c r="BA84" s="106">
        <v>3801.8073996549056</v>
      </c>
      <c r="BB84" s="106">
        <v>3.6087261174660048</v>
      </c>
      <c r="BC84" s="106">
        <v>2819.1368429644426</v>
      </c>
      <c r="BD84" s="106">
        <v>5.0344395885042985</v>
      </c>
      <c r="BE84" s="106">
        <v>3932.9042065395574</v>
      </c>
      <c r="BF84" s="106">
        <v>5.918868164863162</v>
      </c>
      <c r="BG84" s="106">
        <v>4623.8198103911018</v>
      </c>
      <c r="BH84" s="106">
        <v>10.050176057907946</v>
      </c>
      <c r="BI84" s="106">
        <v>7851.1975364376867</v>
      </c>
      <c r="BJ84" s="106">
        <v>10.388372458586755</v>
      </c>
      <c r="BK84" s="106">
        <v>8115.3965646479719</v>
      </c>
      <c r="BL84" s="106">
        <v>6.5765201831812909</v>
      </c>
      <c r="BM84" s="106">
        <v>5137.5775671012243</v>
      </c>
      <c r="BN84" s="106">
        <v>9.1650187110247732</v>
      </c>
      <c r="BO84" s="106">
        <v>7159.7126170525526</v>
      </c>
      <c r="BP84" s="106">
        <v>2.6633270791589903</v>
      </c>
      <c r="BQ84" s="106">
        <v>2080.5911142390032</v>
      </c>
      <c r="BR84" s="106">
        <v>2.2821218924052307</v>
      </c>
      <c r="BS84" s="106">
        <v>1782.793622346966</v>
      </c>
      <c r="BT84" s="106">
        <v>2.3142917492445032</v>
      </c>
      <c r="BU84" s="106">
        <v>1807.9247145098057</v>
      </c>
      <c r="BV84" s="106">
        <v>2.3956662833248301</v>
      </c>
      <c r="BW84" s="106">
        <v>1871.494500533357</v>
      </c>
      <c r="BX84" s="106">
        <v>2.2262694124218458</v>
      </c>
      <c r="BY84" s="106">
        <v>1739.1616649839459</v>
      </c>
      <c r="BZ84" s="106">
        <v>2.9371459685331485</v>
      </c>
      <c r="CA84" s="106">
        <v>2294.4984306180954</v>
      </c>
      <c r="CB84" s="106">
        <v>2.9122090704778851</v>
      </c>
      <c r="CC84" s="106">
        <v>2275.0177258573235</v>
      </c>
      <c r="CD84" s="106">
        <v>2.3252696361962424</v>
      </c>
      <c r="CE84" s="106">
        <v>1816.5006397965044</v>
      </c>
      <c r="CF84" s="106">
        <v>4.9176225022440931</v>
      </c>
      <c r="CG84" s="106">
        <v>3841.6466987530853</v>
      </c>
      <c r="CH84" s="106">
        <v>3.6019427976963314</v>
      </c>
      <c r="CI84" s="106">
        <v>2813.8377135603737</v>
      </c>
      <c r="CJ84" s="106">
        <v>2.9988005764858348</v>
      </c>
      <c r="CK84" s="106">
        <v>2342.6630103507341</v>
      </c>
      <c r="CL84" s="106">
        <v>0</v>
      </c>
      <c r="CM84" s="106">
        <v>0</v>
      </c>
      <c r="CN84" s="106">
        <v>7.2877910848564715</v>
      </c>
      <c r="CO84" s="106">
        <v>5693.2223954898755</v>
      </c>
      <c r="CP84" s="106">
        <v>4.3452008353162093</v>
      </c>
      <c r="CQ84" s="106">
        <v>3394.4708925490222</v>
      </c>
      <c r="CR84" s="106">
        <v>4.874749518084295</v>
      </c>
      <c r="CS84" s="106">
        <v>3808.1543235274507</v>
      </c>
      <c r="CT84" s="106">
        <v>5.2235688038148353</v>
      </c>
      <c r="CU84" s="106">
        <v>4080.651949540149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4.6912400147415934</v>
      </c>
      <c r="I85" s="106">
        <v>703.68600221123904</v>
      </c>
      <c r="J85" s="106">
        <v>6.3920771678915616</v>
      </c>
      <c r="K85" s="106">
        <v>958.81157518373425</v>
      </c>
      <c r="L85" s="106">
        <v>6.3588304907066489</v>
      </c>
      <c r="M85" s="106">
        <v>953.82457360599733</v>
      </c>
      <c r="N85" s="106">
        <v>6.8359232210536511</v>
      </c>
      <c r="O85" s="106">
        <v>1025.3884831580476</v>
      </c>
      <c r="P85" s="106">
        <v>4.6995305171660302</v>
      </c>
      <c r="Q85" s="106">
        <v>704.92957757490456</v>
      </c>
      <c r="R85" s="106">
        <v>5.1667908820342392</v>
      </c>
      <c r="S85" s="106">
        <v>775.01863230513584</v>
      </c>
      <c r="T85" s="106">
        <v>2.7750862477649743</v>
      </c>
      <c r="U85" s="106">
        <v>416.26293716474612</v>
      </c>
      <c r="V85" s="106">
        <v>2.7706839887615748</v>
      </c>
      <c r="W85" s="106">
        <v>415.60259831423622</v>
      </c>
      <c r="X85" s="106">
        <v>3.045870961056147</v>
      </c>
      <c r="Y85" s="106">
        <v>456.88064415842206</v>
      </c>
      <c r="Z85" s="106">
        <v>3.2144154131797591</v>
      </c>
      <c r="AA85" s="106">
        <v>482.16231197696385</v>
      </c>
      <c r="AB85" s="106">
        <v>6.4601215958683476</v>
      </c>
      <c r="AC85" s="106">
        <v>969.01823938025211</v>
      </c>
      <c r="AD85" s="106">
        <v>5.4961883255745079</v>
      </c>
      <c r="AE85" s="106">
        <v>824.42824883617618</v>
      </c>
      <c r="AF85" s="106">
        <v>6.6497405495932282</v>
      </c>
      <c r="AG85" s="106">
        <v>997.46108243898425</v>
      </c>
      <c r="AH85" s="106">
        <v>6.7731377969052673</v>
      </c>
      <c r="AI85" s="106">
        <v>1015.9706695357901</v>
      </c>
      <c r="AJ85" s="106">
        <v>2.7550083978720341</v>
      </c>
      <c r="AK85" s="106">
        <v>413.25125968080511</v>
      </c>
      <c r="AL85" s="106">
        <v>3.7845297597915377</v>
      </c>
      <c r="AM85" s="106">
        <v>567.6794639687306</v>
      </c>
      <c r="AN85" s="106">
        <v>2.8719353160459069</v>
      </c>
      <c r="AO85" s="106">
        <v>430.79029740688605</v>
      </c>
      <c r="AP85" s="106">
        <v>3.4685375088927639</v>
      </c>
      <c r="AQ85" s="106">
        <v>520.2806263339146</v>
      </c>
      <c r="AR85" s="106">
        <v>11.609095854770185</v>
      </c>
      <c r="AS85" s="106">
        <v>1741.3643782155277</v>
      </c>
      <c r="AT85" s="106">
        <v>11.791993144871812</v>
      </c>
      <c r="AU85" s="106">
        <v>1768.7989717307719</v>
      </c>
      <c r="AV85" s="106">
        <v>10.158337212942198</v>
      </c>
      <c r="AW85" s="106">
        <v>1523.7505819413298</v>
      </c>
      <c r="AX85" s="106">
        <v>11.929858791436255</v>
      </c>
      <c r="AY85" s="106">
        <v>1789.4788187154381</v>
      </c>
      <c r="AZ85" s="106">
        <v>5.4073610395046172</v>
      </c>
      <c r="BA85" s="106">
        <v>811.10415592569257</v>
      </c>
      <c r="BB85" s="106">
        <v>3.6087261174660048</v>
      </c>
      <c r="BC85" s="106">
        <v>541.30891761990074</v>
      </c>
      <c r="BD85" s="106">
        <v>5.0344395885042985</v>
      </c>
      <c r="BE85" s="106">
        <v>755.16593827564475</v>
      </c>
      <c r="BF85" s="106">
        <v>5.1790096442552667</v>
      </c>
      <c r="BG85" s="106">
        <v>776.85144663828999</v>
      </c>
      <c r="BH85" s="106">
        <v>10.289465964048611</v>
      </c>
      <c r="BI85" s="106">
        <v>1543.4198946072918</v>
      </c>
      <c r="BJ85" s="106">
        <v>10.669139281791802</v>
      </c>
      <c r="BK85" s="106">
        <v>1600.3708922687704</v>
      </c>
      <c r="BL85" s="106">
        <v>7.8918242198175488</v>
      </c>
      <c r="BM85" s="106">
        <v>1183.7736329726324</v>
      </c>
      <c r="BN85" s="106">
        <v>10.998022453229728</v>
      </c>
      <c r="BO85" s="106">
        <v>1649.7033679844592</v>
      </c>
      <c r="BP85" s="106">
        <v>2.9054477227188986</v>
      </c>
      <c r="BQ85" s="106">
        <v>435.81715840783477</v>
      </c>
      <c r="BR85" s="106">
        <v>2.8526523655065388</v>
      </c>
      <c r="BS85" s="106">
        <v>427.8978548259808</v>
      </c>
      <c r="BT85" s="106">
        <v>1.983678642209574</v>
      </c>
      <c r="BU85" s="106">
        <v>297.55179633143609</v>
      </c>
      <c r="BV85" s="106">
        <v>2.737904323799806</v>
      </c>
      <c r="BW85" s="106">
        <v>410.68564856997091</v>
      </c>
      <c r="BX85" s="106">
        <v>2.4488963536640305</v>
      </c>
      <c r="BY85" s="106">
        <v>367.33445304960458</v>
      </c>
      <c r="BZ85" s="106">
        <v>3.3890145790767097</v>
      </c>
      <c r="CA85" s="106">
        <v>508.35218686150642</v>
      </c>
      <c r="CB85" s="106">
        <v>3.4946508845734621</v>
      </c>
      <c r="CC85" s="106">
        <v>524.19763268601935</v>
      </c>
      <c r="CD85" s="106">
        <v>2.3252696361962424</v>
      </c>
      <c r="CE85" s="106">
        <v>348.79044542943637</v>
      </c>
      <c r="CF85" s="106">
        <v>4.9176225022440931</v>
      </c>
      <c r="CG85" s="106">
        <v>737.64337533661399</v>
      </c>
      <c r="CH85" s="106">
        <v>4.8025903969284425</v>
      </c>
      <c r="CI85" s="106">
        <v>720.38855953926634</v>
      </c>
      <c r="CJ85" s="106">
        <v>2.9988005764858348</v>
      </c>
      <c r="CK85" s="106">
        <v>449.82008647287523</v>
      </c>
      <c r="CL85" s="106">
        <v>0</v>
      </c>
      <c r="CM85" s="106">
        <v>0</v>
      </c>
      <c r="CN85" s="106">
        <v>7.2877910848564715</v>
      </c>
      <c r="CO85" s="106">
        <v>1093.1686627284707</v>
      </c>
      <c r="CP85" s="106">
        <v>4.6794470534174568</v>
      </c>
      <c r="CQ85" s="106">
        <v>701.91705801261855</v>
      </c>
      <c r="CR85" s="106">
        <v>4.874749518084295</v>
      </c>
      <c r="CS85" s="106">
        <v>731.21242771264428</v>
      </c>
      <c r="CT85" s="106">
        <v>5.658866204132738</v>
      </c>
      <c r="CU85" s="106">
        <v>848.82993061991067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4.6912400147415934</v>
      </c>
      <c r="I86" s="106">
        <v>2533.2696079604602</v>
      </c>
      <c r="J86" s="106">
        <v>6.3920771678915616</v>
      </c>
      <c r="K86" s="106">
        <v>3451.7216706614431</v>
      </c>
      <c r="L86" s="106">
        <v>6.6767720152419807</v>
      </c>
      <c r="M86" s="106">
        <v>3605.4568882306694</v>
      </c>
      <c r="N86" s="106">
        <v>5.5930280899529876</v>
      </c>
      <c r="O86" s="106">
        <v>3020.2351685746135</v>
      </c>
      <c r="P86" s="106">
        <v>4.4384454884345832</v>
      </c>
      <c r="Q86" s="106">
        <v>2396.7605637546749</v>
      </c>
      <c r="R86" s="106">
        <v>4.9207532209849898</v>
      </c>
      <c r="S86" s="106">
        <v>2657.2067393318944</v>
      </c>
      <c r="T86" s="106">
        <v>2.6290290768299758</v>
      </c>
      <c r="U86" s="106">
        <v>1419.6757014881869</v>
      </c>
      <c r="V86" s="106">
        <v>3.0966468109688194</v>
      </c>
      <c r="W86" s="106">
        <v>1672.1892779231625</v>
      </c>
      <c r="X86" s="106">
        <v>3.045870961056147</v>
      </c>
      <c r="Y86" s="106">
        <v>1644.7703189703193</v>
      </c>
      <c r="Z86" s="106">
        <v>3.2144154131797591</v>
      </c>
      <c r="AA86" s="106">
        <v>1735.78432311707</v>
      </c>
      <c r="AB86" s="106">
        <v>5.9217781295459853</v>
      </c>
      <c r="AC86" s="106">
        <v>3197.7601899548322</v>
      </c>
      <c r="AD86" s="106">
        <v>5.4961883255745079</v>
      </c>
      <c r="AE86" s="106">
        <v>2967.9416958102343</v>
      </c>
      <c r="AF86" s="106">
        <v>6.0955955037937919</v>
      </c>
      <c r="AG86" s="106">
        <v>3291.6215720486475</v>
      </c>
      <c r="AH86" s="106">
        <v>6.7731377969052673</v>
      </c>
      <c r="AI86" s="106">
        <v>3657.4944103288444</v>
      </c>
      <c r="AJ86" s="106">
        <v>3.005463706769492</v>
      </c>
      <c r="AK86" s="106">
        <v>1622.9504016555256</v>
      </c>
      <c r="AL86" s="106">
        <v>3.0276238078332298</v>
      </c>
      <c r="AM86" s="106">
        <v>1634.9168562299442</v>
      </c>
      <c r="AN86" s="106">
        <v>2.6108502873144608</v>
      </c>
      <c r="AO86" s="106">
        <v>1409.8591551498089</v>
      </c>
      <c r="AP86" s="106">
        <v>3.4685375088927639</v>
      </c>
      <c r="AQ86" s="106">
        <v>1873.0102548020925</v>
      </c>
      <c r="AR86" s="106">
        <v>11.724037397886722</v>
      </c>
      <c r="AS86" s="106">
        <v>6330.9801948588301</v>
      </c>
      <c r="AT86" s="106">
        <v>12.763098462684786</v>
      </c>
      <c r="AU86" s="106">
        <v>6892.0731698497848</v>
      </c>
      <c r="AV86" s="106">
        <v>8.751798214227124</v>
      </c>
      <c r="AW86" s="106">
        <v>4725.9710356826472</v>
      </c>
      <c r="AX86" s="106">
        <v>9.8468675738838929</v>
      </c>
      <c r="AY86" s="106">
        <v>5317.308489897302</v>
      </c>
      <c r="AZ86" s="106">
        <v>5.4073610395046172</v>
      </c>
      <c r="BA86" s="106">
        <v>2919.9749613324934</v>
      </c>
      <c r="BB86" s="106">
        <v>3.6087261174660048</v>
      </c>
      <c r="BC86" s="106">
        <v>1948.7121034316426</v>
      </c>
      <c r="BD86" s="106">
        <v>4.4051346399412612</v>
      </c>
      <c r="BE86" s="106">
        <v>2378.7727055682813</v>
      </c>
      <c r="BF86" s="106">
        <v>5.918868164863162</v>
      </c>
      <c r="BG86" s="106">
        <v>3196.1888090261077</v>
      </c>
      <c r="BH86" s="106">
        <v>10.768045776329943</v>
      </c>
      <c r="BI86" s="106">
        <v>5814.7447192181689</v>
      </c>
      <c r="BJ86" s="106">
        <v>10.388372458586755</v>
      </c>
      <c r="BK86" s="106">
        <v>5609.721127636848</v>
      </c>
      <c r="BL86" s="106">
        <v>6.8395809905085425</v>
      </c>
      <c r="BM86" s="106">
        <v>3693.3737348746131</v>
      </c>
      <c r="BN86" s="106">
        <v>9.8523951143516317</v>
      </c>
      <c r="BO86" s="106">
        <v>5320.2933617498811</v>
      </c>
      <c r="BP86" s="106">
        <v>2.9054477227188986</v>
      </c>
      <c r="BQ86" s="106">
        <v>1568.9417702682053</v>
      </c>
      <c r="BR86" s="106">
        <v>2.8526523655065388</v>
      </c>
      <c r="BS86" s="106">
        <v>1540.432277373531</v>
      </c>
      <c r="BT86" s="106">
        <v>2.3142917492445032</v>
      </c>
      <c r="BU86" s="106">
        <v>1249.7175445920318</v>
      </c>
      <c r="BV86" s="106">
        <v>2.737904323799806</v>
      </c>
      <c r="BW86" s="106">
        <v>1478.4683348518952</v>
      </c>
      <c r="BX86" s="106">
        <v>2.2262694124218458</v>
      </c>
      <c r="BY86" s="106">
        <v>1202.1854827077968</v>
      </c>
      <c r="BZ86" s="106">
        <v>2.9371459685331485</v>
      </c>
      <c r="CA86" s="106">
        <v>1586.0588230079002</v>
      </c>
      <c r="CB86" s="106">
        <v>3.4946508845734621</v>
      </c>
      <c r="CC86" s="106">
        <v>1887.1114776696695</v>
      </c>
      <c r="CD86" s="106">
        <v>2.536657784941355</v>
      </c>
      <c r="CE86" s="106">
        <v>1369.7952038683318</v>
      </c>
      <c r="CF86" s="106">
        <v>4.9176225022440931</v>
      </c>
      <c r="CG86" s="106">
        <v>2655.5161512118102</v>
      </c>
      <c r="CH86" s="106">
        <v>3.6019427976963314</v>
      </c>
      <c r="CI86" s="106">
        <v>1945.049110756019</v>
      </c>
      <c r="CJ86" s="106">
        <v>3.4272006588409543</v>
      </c>
      <c r="CK86" s="106">
        <v>1850.6883557741153</v>
      </c>
      <c r="CL86" s="106">
        <v>0</v>
      </c>
      <c r="CM86" s="106">
        <v>0</v>
      </c>
      <c r="CN86" s="106">
        <v>7.2877910848564715</v>
      </c>
      <c r="CO86" s="106">
        <v>3935.4071858224947</v>
      </c>
      <c r="CP86" s="106">
        <v>5.0136932715187035</v>
      </c>
      <c r="CQ86" s="106">
        <v>2707.3943666200998</v>
      </c>
      <c r="CR86" s="106">
        <v>4.874749518084295</v>
      </c>
      <c r="CS86" s="106">
        <v>2632.3647397655195</v>
      </c>
      <c r="CT86" s="106">
        <v>4.7882714034969327</v>
      </c>
      <c r="CU86" s="106">
        <v>2585.6665578883435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2.759552949847996</v>
      </c>
      <c r="I87" s="106">
        <v>5394.3741063628622</v>
      </c>
      <c r="J87" s="106">
        <v>3.0570803846437902</v>
      </c>
      <c r="K87" s="106">
        <v>5975.9807359016813</v>
      </c>
      <c r="L87" s="106">
        <v>6.9947135397773135</v>
      </c>
      <c r="M87" s="106">
        <v>13673.266027556692</v>
      </c>
      <c r="N87" s="106">
        <v>8.7002659177046464</v>
      </c>
      <c r="O87" s="106">
        <v>17007.279815929043</v>
      </c>
      <c r="P87" s="106">
        <v>8.6158059481377212</v>
      </c>
      <c r="Q87" s="106">
        <v>16842.177467419617</v>
      </c>
      <c r="R87" s="106">
        <v>11.071694747216227</v>
      </c>
      <c r="S87" s="106">
        <v>21642.948891858279</v>
      </c>
      <c r="T87" s="106">
        <v>8.3252587432949223</v>
      </c>
      <c r="U87" s="106">
        <v>16274.215791392913</v>
      </c>
      <c r="V87" s="106">
        <v>10.919754543942679</v>
      </c>
      <c r="W87" s="106">
        <v>21345.936182499147</v>
      </c>
      <c r="X87" s="106">
        <v>10.660548363696515</v>
      </c>
      <c r="Y87" s="106">
        <v>20839.239941353946</v>
      </c>
      <c r="Z87" s="106">
        <v>9.8039670101982654</v>
      </c>
      <c r="AA87" s="106">
        <v>19164.794711535567</v>
      </c>
      <c r="AB87" s="106">
        <v>13.458586658059058</v>
      </c>
      <c r="AC87" s="106">
        <v>26308.845199173848</v>
      </c>
      <c r="AD87" s="106">
        <v>10.992376651149016</v>
      </c>
      <c r="AE87" s="106">
        <v>21487.897877666095</v>
      </c>
      <c r="AF87" s="106">
        <v>11.637045961788148</v>
      </c>
      <c r="AG87" s="106">
        <v>22748.097446103471</v>
      </c>
      <c r="AH87" s="106">
        <v>12.417419294326322</v>
      </c>
      <c r="AI87" s="106">
        <v>24273.571236549094</v>
      </c>
      <c r="AJ87" s="106">
        <v>16.780505696129662</v>
      </c>
      <c r="AK87" s="106">
        <v>32802.532534794263</v>
      </c>
      <c r="AL87" s="106">
        <v>19.174950782943789</v>
      </c>
      <c r="AM87" s="106">
        <v>37483.193790498517</v>
      </c>
      <c r="AN87" s="106">
        <v>13.054251436572304</v>
      </c>
      <c r="AO87" s="106">
        <v>25518.450708211541</v>
      </c>
      <c r="AP87" s="106">
        <v>12.006475992321105</v>
      </c>
      <c r="AQ87" s="106">
        <v>23470.259269789298</v>
      </c>
      <c r="AR87" s="106">
        <v>1.4942400605149744</v>
      </c>
      <c r="AS87" s="106">
        <v>2920.9404702946717</v>
      </c>
      <c r="AT87" s="106">
        <v>1.5260226422775287</v>
      </c>
      <c r="AU87" s="106">
        <v>2983.069061124113</v>
      </c>
      <c r="AV87" s="106">
        <v>1.2502568877467322</v>
      </c>
      <c r="AW87" s="106">
        <v>2444.002164167312</v>
      </c>
      <c r="AX87" s="106">
        <v>1.3255398657151394</v>
      </c>
      <c r="AY87" s="106">
        <v>2591.1653294999542</v>
      </c>
      <c r="AZ87" s="106">
        <v>9.1925137671578483</v>
      </c>
      <c r="BA87" s="106">
        <v>17969.525912040161</v>
      </c>
      <c r="BB87" s="106">
        <v>9.7951137474077257</v>
      </c>
      <c r="BC87" s="106">
        <v>19147.488353432622</v>
      </c>
      <c r="BD87" s="106">
        <v>11.327489074134672</v>
      </c>
      <c r="BE87" s="106">
        <v>22142.975642118454</v>
      </c>
      <c r="BF87" s="106">
        <v>11.837736329726324</v>
      </c>
      <c r="BG87" s="106">
        <v>23140.406977349019</v>
      </c>
      <c r="BH87" s="106">
        <v>3.5893485921099808</v>
      </c>
      <c r="BI87" s="106">
        <v>7016.4586278565903</v>
      </c>
      <c r="BJ87" s="106">
        <v>4.7730359944858058</v>
      </c>
      <c r="BK87" s="106">
        <v>9330.3307620208525</v>
      </c>
      <c r="BL87" s="106">
        <v>6.0503985685267869</v>
      </c>
      <c r="BM87" s="106">
        <v>11827.319121756163</v>
      </c>
      <c r="BN87" s="106">
        <v>3.8951329521855289</v>
      </c>
      <c r="BO87" s="106">
        <v>7614.2058949322718</v>
      </c>
      <c r="BP87" s="106">
        <v>13.316635395794952</v>
      </c>
      <c r="BQ87" s="106">
        <v>26031.358871699973</v>
      </c>
      <c r="BR87" s="106">
        <v>11.695874698576809</v>
      </c>
      <c r="BS87" s="106">
        <v>22863.095860777947</v>
      </c>
      <c r="BT87" s="106">
        <v>12.232684960292373</v>
      </c>
      <c r="BU87" s="106">
        <v>23912.45256037953</v>
      </c>
      <c r="BV87" s="106">
        <v>11.636093376149175</v>
      </c>
      <c r="BW87" s="106">
        <v>22746.235331696407</v>
      </c>
      <c r="BX87" s="106">
        <v>2.4488963536640305</v>
      </c>
      <c r="BY87" s="106">
        <v>4787.1025921424471</v>
      </c>
      <c r="BZ87" s="106">
        <v>2.9371459685331485</v>
      </c>
      <c r="CA87" s="106">
        <v>5741.5329392885988</v>
      </c>
      <c r="CB87" s="106">
        <v>2.9122090704778851</v>
      </c>
      <c r="CC87" s="106">
        <v>5692.7862909701698</v>
      </c>
      <c r="CD87" s="106">
        <v>4.0163748261571453</v>
      </c>
      <c r="CE87" s="106">
        <v>7851.2095101719869</v>
      </c>
      <c r="CF87" s="106">
        <v>14.752867506732281</v>
      </c>
      <c r="CG87" s="106">
        <v>28838.905402160264</v>
      </c>
      <c r="CH87" s="106">
        <v>15.608418790017437</v>
      </c>
      <c r="CI87" s="106">
        <v>30511.337050726084</v>
      </c>
      <c r="CJ87" s="106">
        <v>13.280402553008697</v>
      </c>
      <c r="CK87" s="106">
        <v>25960.530910621401</v>
      </c>
      <c r="CL87" s="106">
        <v>0</v>
      </c>
      <c r="CM87" s="106">
        <v>0</v>
      </c>
      <c r="CN87" s="106">
        <v>4.8585273899043147</v>
      </c>
      <c r="CO87" s="106">
        <v>9497.4493417849535</v>
      </c>
      <c r="CP87" s="106">
        <v>2.0054773086074813</v>
      </c>
      <c r="CQ87" s="106">
        <v>3920.3070428659044</v>
      </c>
      <c r="CR87" s="106">
        <v>3.2498330120561971</v>
      </c>
      <c r="CS87" s="106">
        <v>6352.7735719674538</v>
      </c>
      <c r="CT87" s="106">
        <v>2.6117844019074177</v>
      </c>
      <c r="CU87" s="106">
        <v>5105.5161488486201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3.0355082448327959</v>
      </c>
      <c r="I88" s="106">
        <v>5744.3958025215825</v>
      </c>
      <c r="J88" s="106">
        <v>3.3349967832477709</v>
      </c>
      <c r="K88" s="106">
        <v>6311.1479126180811</v>
      </c>
      <c r="L88" s="106">
        <v>6.9947135397773135</v>
      </c>
      <c r="M88" s="106">
        <v>13236.795902674587</v>
      </c>
      <c r="N88" s="106">
        <v>9.3217134832549782</v>
      </c>
      <c r="O88" s="106">
        <v>17640.410595711721</v>
      </c>
      <c r="P88" s="106">
        <v>8.0936358906748289</v>
      </c>
      <c r="Q88" s="106">
        <v>15316.396559513045</v>
      </c>
      <c r="R88" s="106">
        <v>10.333581764068478</v>
      </c>
      <c r="S88" s="106">
        <v>19555.270130323188</v>
      </c>
      <c r="T88" s="106">
        <v>9.9318876235799074</v>
      </c>
      <c r="U88" s="106">
        <v>18795.104138862614</v>
      </c>
      <c r="V88" s="106">
        <v>9.7788846662173246</v>
      </c>
      <c r="W88" s="106">
        <v>18505.561342349665</v>
      </c>
      <c r="X88" s="106">
        <v>11.675838684048564</v>
      </c>
      <c r="Y88" s="106">
        <v>22095.357125693503</v>
      </c>
      <c r="Z88" s="106">
        <v>11.571895487447131</v>
      </c>
      <c r="AA88" s="106">
        <v>21898.655020444949</v>
      </c>
      <c r="AB88" s="106">
        <v>13.99693012438142</v>
      </c>
      <c r="AC88" s="106">
        <v>26487.790567379398</v>
      </c>
      <c r="AD88" s="106">
        <v>11.492030135292152</v>
      </c>
      <c r="AE88" s="106">
        <v>21747.517828026866</v>
      </c>
      <c r="AF88" s="106">
        <v>11.082900915988713</v>
      </c>
      <c r="AG88" s="106">
        <v>20973.281693417037</v>
      </c>
      <c r="AH88" s="106">
        <v>11.288562994842112</v>
      </c>
      <c r="AI88" s="106">
        <v>21362.476611439211</v>
      </c>
      <c r="AJ88" s="106">
        <v>17.531871622822038</v>
      </c>
      <c r="AK88" s="106">
        <v>33177.313859028422</v>
      </c>
      <c r="AL88" s="106">
        <v>16.904232927068868</v>
      </c>
      <c r="AM88" s="106">
        <v>31989.570391185123</v>
      </c>
      <c r="AN88" s="106">
        <v>13.576421494035197</v>
      </c>
      <c r="AO88" s="106">
        <v>25692.020035312205</v>
      </c>
      <c r="AP88" s="106">
        <v>12.006475992321105</v>
      </c>
      <c r="AQ88" s="106">
        <v>22721.055167868457</v>
      </c>
      <c r="AR88" s="106">
        <v>1.4942400605149744</v>
      </c>
      <c r="AS88" s="106">
        <v>2827.6998905185374</v>
      </c>
      <c r="AT88" s="106">
        <v>1.5260226422775287</v>
      </c>
      <c r="AU88" s="106">
        <v>2887.8452482459952</v>
      </c>
      <c r="AV88" s="106">
        <v>1.2502568877467322</v>
      </c>
      <c r="AW88" s="106">
        <v>2365.9861343719158</v>
      </c>
      <c r="AX88" s="106">
        <v>1.5149027036744451</v>
      </c>
      <c r="AY88" s="106">
        <v>2866.8018764335197</v>
      </c>
      <c r="AZ88" s="106">
        <v>9.1925137671578483</v>
      </c>
      <c r="BA88" s="106">
        <v>17395.91305296951</v>
      </c>
      <c r="BB88" s="106">
        <v>10.826178352398014</v>
      </c>
      <c r="BC88" s="106">
        <v>20487.459914078001</v>
      </c>
      <c r="BD88" s="106">
        <v>10.698184125571634</v>
      </c>
      <c r="BE88" s="106">
        <v>20245.243639231758</v>
      </c>
      <c r="BF88" s="106">
        <v>11.837736329726324</v>
      </c>
      <c r="BG88" s="106">
        <v>22401.732230374095</v>
      </c>
      <c r="BH88" s="106">
        <v>3.5893485921099808</v>
      </c>
      <c r="BI88" s="106">
        <v>6792.4832757089271</v>
      </c>
      <c r="BJ88" s="106">
        <v>4.7730359944858058</v>
      </c>
      <c r="BK88" s="106">
        <v>9032.493315964939</v>
      </c>
      <c r="BL88" s="106">
        <v>6.3134593758540385</v>
      </c>
      <c r="BM88" s="106">
        <v>11947.590522866181</v>
      </c>
      <c r="BN88" s="106">
        <v>3.8951329521855289</v>
      </c>
      <c r="BO88" s="106">
        <v>7371.1495987158942</v>
      </c>
      <c r="BP88" s="106">
        <v>11.137549603755778</v>
      </c>
      <c r="BQ88" s="106">
        <v>21076.698870147433</v>
      </c>
      <c r="BR88" s="106">
        <v>11.410609462026155</v>
      </c>
      <c r="BS88" s="106">
        <v>21593.437345938295</v>
      </c>
      <c r="BT88" s="106">
        <v>13.555137388432088</v>
      </c>
      <c r="BU88" s="106">
        <v>25651.741993868884</v>
      </c>
      <c r="BV88" s="106">
        <v>12.662807497574102</v>
      </c>
      <c r="BW88" s="106">
        <v>23963.096908409228</v>
      </c>
      <c r="BX88" s="106">
        <v>2.6715232949062151</v>
      </c>
      <c r="BY88" s="106">
        <v>5055.5906832805213</v>
      </c>
      <c r="BZ88" s="106">
        <v>2.7112116632613676</v>
      </c>
      <c r="CA88" s="106">
        <v>5130.6969515558121</v>
      </c>
      <c r="CB88" s="106">
        <v>3.2034299775256736</v>
      </c>
      <c r="CC88" s="106">
        <v>6062.1708894695839</v>
      </c>
      <c r="CD88" s="106">
        <v>4.2277629749022578</v>
      </c>
      <c r="CE88" s="106">
        <v>8000.6186537050326</v>
      </c>
      <c r="CF88" s="106">
        <v>15.572471257106296</v>
      </c>
      <c r="CG88" s="106">
        <v>29469.344606947951</v>
      </c>
      <c r="CH88" s="106">
        <v>16.809066389249548</v>
      </c>
      <c r="CI88" s="106">
        <v>31809.477235015842</v>
      </c>
      <c r="CJ88" s="106">
        <v>13.708802635363817</v>
      </c>
      <c r="CK88" s="106">
        <v>25942.538107162487</v>
      </c>
      <c r="CL88" s="106">
        <v>0</v>
      </c>
      <c r="CM88" s="106">
        <v>0</v>
      </c>
      <c r="CN88" s="106">
        <v>4.8585273899043147</v>
      </c>
      <c r="CO88" s="106">
        <v>9194.2772326549239</v>
      </c>
      <c r="CP88" s="106">
        <v>2.0054773086074813</v>
      </c>
      <c r="CQ88" s="106">
        <v>3795.1652588087973</v>
      </c>
      <c r="CR88" s="106">
        <v>3.6560621385632217</v>
      </c>
      <c r="CS88" s="106">
        <v>6918.7319910170399</v>
      </c>
      <c r="CT88" s="106">
        <v>2.6117844019074177</v>
      </c>
      <c r="CU88" s="106">
        <v>4942.5408021695966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2.759552949847996</v>
      </c>
      <c r="I89" s="106">
        <v>6616.3041525555554</v>
      </c>
      <c r="J89" s="106">
        <v>3.0570803846437902</v>
      </c>
      <c r="K89" s="106">
        <v>7329.6559302219512</v>
      </c>
      <c r="L89" s="106">
        <v>6.9947135397773135</v>
      </c>
      <c r="M89" s="106">
        <v>16770.525182970086</v>
      </c>
      <c r="N89" s="106">
        <v>9.0109897004798132</v>
      </c>
      <c r="O89" s="106">
        <v>21604.748905870398</v>
      </c>
      <c r="P89" s="106">
        <v>7.5714658332119367</v>
      </c>
      <c r="Q89" s="106">
        <v>18153.346481708937</v>
      </c>
      <c r="R89" s="106">
        <v>11.317732408265476</v>
      </c>
      <c r="S89" s="106">
        <v>27135.395222057305</v>
      </c>
      <c r="T89" s="106">
        <v>7.8870872304899269</v>
      </c>
      <c r="U89" s="106">
        <v>18910.080343822647</v>
      </c>
      <c r="V89" s="106">
        <v>10.756773132839056</v>
      </c>
      <c r="W89" s="106">
        <v>25790.43926329492</v>
      </c>
      <c r="X89" s="106">
        <v>11.506623630656556</v>
      </c>
      <c r="Y89" s="106">
        <v>27588.280816862156</v>
      </c>
      <c r="Z89" s="106">
        <v>9.48252546888029</v>
      </c>
      <c r="AA89" s="106">
        <v>22735.303064187381</v>
      </c>
      <c r="AB89" s="106">
        <v>11.305212792769609</v>
      </c>
      <c r="AC89" s="106">
        <v>27105.378191944415</v>
      </c>
      <c r="AD89" s="106">
        <v>12.491337103578426</v>
      </c>
      <c r="AE89" s="106">
        <v>29949.229839539632</v>
      </c>
      <c r="AF89" s="106">
        <v>11.637045961788148</v>
      </c>
      <c r="AG89" s="106">
        <v>27900.981397983262</v>
      </c>
      <c r="AH89" s="106">
        <v>12.417419294326322</v>
      </c>
      <c r="AI89" s="106">
        <v>29772.00450007679</v>
      </c>
      <c r="AJ89" s="106">
        <v>15.528229151642375</v>
      </c>
      <c r="AK89" s="106">
        <v>37230.482213977753</v>
      </c>
      <c r="AL89" s="106">
        <v>16.399628959096663</v>
      </c>
      <c r="AM89" s="106">
        <v>39319.750392330156</v>
      </c>
      <c r="AN89" s="106">
        <v>11.487741264183628</v>
      </c>
      <c r="AO89" s="106">
        <v>27543.008455006664</v>
      </c>
      <c r="AP89" s="106">
        <v>10.138801949071155</v>
      </c>
      <c r="AQ89" s="106">
        <v>24308.791553093</v>
      </c>
      <c r="AR89" s="106">
        <v>1.379298517398438</v>
      </c>
      <c r="AS89" s="106">
        <v>3307.006125314495</v>
      </c>
      <c r="AT89" s="106">
        <v>1.5260226422775287</v>
      </c>
      <c r="AU89" s="106">
        <v>3658.7918871246029</v>
      </c>
      <c r="AV89" s="106">
        <v>1.0939747767783905</v>
      </c>
      <c r="AW89" s="106">
        <v>2622.9139248038691</v>
      </c>
      <c r="AX89" s="106">
        <v>1.3255398657151394</v>
      </c>
      <c r="AY89" s="106">
        <v>3178.1143820386183</v>
      </c>
      <c r="AZ89" s="106">
        <v>8.1110415592569254</v>
      </c>
      <c r="BA89" s="106">
        <v>19447.033242474405</v>
      </c>
      <c r="BB89" s="106">
        <v>8.7640491424174396</v>
      </c>
      <c r="BC89" s="106">
        <v>21012.684223860051</v>
      </c>
      <c r="BD89" s="106">
        <v>10.698184125571634</v>
      </c>
      <c r="BE89" s="106">
        <v>25649.966259470548</v>
      </c>
      <c r="BF89" s="106">
        <v>10.358019288510533</v>
      </c>
      <c r="BG89" s="106">
        <v>24834.387046132855</v>
      </c>
      <c r="BH89" s="106">
        <v>3.3500586859693158</v>
      </c>
      <c r="BI89" s="106">
        <v>8032.1007054800311</v>
      </c>
      <c r="BJ89" s="106">
        <v>4.2115023480757117</v>
      </c>
      <c r="BK89" s="106">
        <v>10097.498029746326</v>
      </c>
      <c r="BL89" s="106">
        <v>6.0503985685267869</v>
      </c>
      <c r="BM89" s="106">
        <v>14506.435607899824</v>
      </c>
      <c r="BN89" s="106">
        <v>3.4368820166342902</v>
      </c>
      <c r="BO89" s="106">
        <v>8240.2683230823732</v>
      </c>
      <c r="BP89" s="106">
        <v>11.621790890875594</v>
      </c>
      <c r="BQ89" s="106">
        <v>27864.405839963325</v>
      </c>
      <c r="BR89" s="106">
        <v>10.554813752374193</v>
      </c>
      <c r="BS89" s="106">
        <v>25306.221452692364</v>
      </c>
      <c r="BT89" s="106">
        <v>11.571458746222516</v>
      </c>
      <c r="BU89" s="106">
        <v>27743.729489943104</v>
      </c>
      <c r="BV89" s="106">
        <v>11.636093376149175</v>
      </c>
      <c r="BW89" s="106">
        <v>27898.69747865526</v>
      </c>
      <c r="BX89" s="106">
        <v>2.6715232949062151</v>
      </c>
      <c r="BY89" s="106">
        <v>6405.2442518671414</v>
      </c>
      <c r="BZ89" s="106">
        <v>2.7112116632613676</v>
      </c>
      <c r="CA89" s="106">
        <v>6500.4010838354552</v>
      </c>
      <c r="CB89" s="106">
        <v>2.9122090704778851</v>
      </c>
      <c r="CC89" s="106">
        <v>6982.3124673777775</v>
      </c>
      <c r="CD89" s="106">
        <v>4.0163748261571453</v>
      </c>
      <c r="CE89" s="106">
        <v>9629.660283194371</v>
      </c>
      <c r="CF89" s="106">
        <v>15.162669381919288</v>
      </c>
      <c r="CG89" s="106">
        <v>36354.016110089688</v>
      </c>
      <c r="CH89" s="106">
        <v>14.407771190785326</v>
      </c>
      <c r="CI89" s="106">
        <v>34544.072207026897</v>
      </c>
      <c r="CJ89" s="106">
        <v>12.423602388298459</v>
      </c>
      <c r="CK89" s="106">
        <v>29786.829086184385</v>
      </c>
      <c r="CL89" s="106">
        <v>0</v>
      </c>
      <c r="CM89" s="106">
        <v>0</v>
      </c>
      <c r="CN89" s="106">
        <v>4.8585273899043147</v>
      </c>
      <c r="CO89" s="106">
        <v>11648.805270034585</v>
      </c>
      <c r="CP89" s="106">
        <v>2.0054773086074813</v>
      </c>
      <c r="CQ89" s="106">
        <v>4808.332395117297</v>
      </c>
      <c r="CR89" s="106">
        <v>3.6560621385632217</v>
      </c>
      <c r="CS89" s="106">
        <v>8765.7745834191792</v>
      </c>
      <c r="CT89" s="106">
        <v>3.0470818022253208</v>
      </c>
      <c r="CU89" s="106">
        <v>7305.6833290154291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3.0355082448327959</v>
      </c>
      <c r="I90" s="106">
        <v>6669.6187155466187</v>
      </c>
      <c r="J90" s="106">
        <v>3.0570803846437902</v>
      </c>
      <c r="K90" s="106">
        <v>6717.0170211393352</v>
      </c>
      <c r="L90" s="106">
        <v>7.3126550643126453</v>
      </c>
      <c r="M90" s="106">
        <v>16067.365707307743</v>
      </c>
      <c r="N90" s="106">
        <v>9.3217134832549782</v>
      </c>
      <c r="O90" s="106">
        <v>20481.668865407835</v>
      </c>
      <c r="P90" s="106">
        <v>7.3103808044804905</v>
      </c>
      <c r="Q90" s="106">
        <v>16062.368703604532</v>
      </c>
      <c r="R90" s="106">
        <v>11.563770069314726</v>
      </c>
      <c r="S90" s="106">
        <v>25407.915596298313</v>
      </c>
      <c r="T90" s="106">
        <v>8.3252587432949223</v>
      </c>
      <c r="U90" s="106">
        <v>18292.258510767602</v>
      </c>
      <c r="V90" s="106">
        <v>11.245717366149922</v>
      </c>
      <c r="W90" s="106">
        <v>24709.090196904606</v>
      </c>
      <c r="X90" s="106">
        <v>10.660548363696515</v>
      </c>
      <c r="Y90" s="106">
        <v>23423.35686471398</v>
      </c>
      <c r="Z90" s="106">
        <v>9.8039670101982654</v>
      </c>
      <c r="AA90" s="106">
        <v>21541.276314807626</v>
      </c>
      <c r="AB90" s="106">
        <v>13.99693012438142</v>
      </c>
      <c r="AC90" s="106">
        <v>30754.054869290852</v>
      </c>
      <c r="AD90" s="106">
        <v>12.990990587721564</v>
      </c>
      <c r="AE90" s="106">
        <v>28543.804519341818</v>
      </c>
      <c r="AF90" s="106">
        <v>11.082900915988713</v>
      </c>
      <c r="AG90" s="106">
        <v>24351.349892610397</v>
      </c>
      <c r="AH90" s="106">
        <v>11.288562994842112</v>
      </c>
      <c r="AI90" s="106">
        <v>24803.230612267085</v>
      </c>
      <c r="AJ90" s="106">
        <v>15.528229151642375</v>
      </c>
      <c r="AK90" s="106">
        <v>34118.625091988622</v>
      </c>
      <c r="AL90" s="106">
        <v>18.418044830985483</v>
      </c>
      <c r="AM90" s="106">
        <v>40468.128102641298</v>
      </c>
      <c r="AN90" s="106">
        <v>13.054251436572304</v>
      </c>
      <c r="AO90" s="106">
        <v>28682.801256436665</v>
      </c>
      <c r="AP90" s="106">
        <v>11.73966541471397</v>
      </c>
      <c r="AQ90" s="106">
        <v>25794.392849209533</v>
      </c>
      <c r="AR90" s="106">
        <v>1.4942400605149744</v>
      </c>
      <c r="AS90" s="106">
        <v>3283.1442609635014</v>
      </c>
      <c r="AT90" s="106">
        <v>1.6647519733936678</v>
      </c>
      <c r="AU90" s="106">
        <v>3657.7930359405664</v>
      </c>
      <c r="AV90" s="106">
        <v>1.0939747767783905</v>
      </c>
      <c r="AW90" s="106">
        <v>2403.6813795374792</v>
      </c>
      <c r="AX90" s="106">
        <v>1.5149027036744451</v>
      </c>
      <c r="AY90" s="106">
        <v>3328.5442205134905</v>
      </c>
      <c r="AZ90" s="106">
        <v>8.1110415592569254</v>
      </c>
      <c r="BA90" s="106">
        <v>17821.580513999314</v>
      </c>
      <c r="BB90" s="106">
        <v>9.7951137474077257</v>
      </c>
      <c r="BC90" s="106">
        <v>21521.823925804252</v>
      </c>
      <c r="BD90" s="106">
        <v>10.698184125571634</v>
      </c>
      <c r="BE90" s="106">
        <v>23506.050160705992</v>
      </c>
      <c r="BF90" s="106">
        <v>11.097877809118428</v>
      </c>
      <c r="BG90" s="106">
        <v>24384.257122195009</v>
      </c>
      <c r="BH90" s="106">
        <v>3.3500586859693158</v>
      </c>
      <c r="BI90" s="106">
        <v>7360.7489448117803</v>
      </c>
      <c r="BJ90" s="106">
        <v>4.4922691712807588</v>
      </c>
      <c r="BK90" s="106">
        <v>9870.4138231380821</v>
      </c>
      <c r="BL90" s="106">
        <v>5.7873377611995354</v>
      </c>
      <c r="BM90" s="106">
        <v>12715.938528907618</v>
      </c>
      <c r="BN90" s="106">
        <v>3.6660074844099095</v>
      </c>
      <c r="BO90" s="106">
        <v>8054.9516447454525</v>
      </c>
      <c r="BP90" s="106">
        <v>12.348152821555317</v>
      </c>
      <c r="BQ90" s="106">
        <v>27131.361379521339</v>
      </c>
      <c r="BR90" s="106">
        <v>11.695874698576809</v>
      </c>
      <c r="BS90" s="106">
        <v>25698.175887712961</v>
      </c>
      <c r="BT90" s="106">
        <v>11.902071853257445</v>
      </c>
      <c r="BU90" s="106">
        <v>26151.232275977254</v>
      </c>
      <c r="BV90" s="106">
        <v>10.951617295199224</v>
      </c>
      <c r="BW90" s="106">
        <v>24062.893521011734</v>
      </c>
      <c r="BX90" s="106">
        <v>2.6715232949062151</v>
      </c>
      <c r="BY90" s="106">
        <v>5869.8709835679356</v>
      </c>
      <c r="BZ90" s="106">
        <v>2.7112116632613676</v>
      </c>
      <c r="CA90" s="106">
        <v>5957.0742665178768</v>
      </c>
      <c r="CB90" s="106">
        <v>3.2034299775256736</v>
      </c>
      <c r="CC90" s="106">
        <v>7038.5763466194094</v>
      </c>
      <c r="CD90" s="106">
        <v>3.8049866774120322</v>
      </c>
      <c r="CE90" s="106">
        <v>8360.3167276097174</v>
      </c>
      <c r="CF90" s="106">
        <v>16.392075007480312</v>
      </c>
      <c r="CG90" s="106">
        <v>36016.667206435741</v>
      </c>
      <c r="CH90" s="106">
        <v>16.208742589633491</v>
      </c>
      <c r="CI90" s="106">
        <v>35613.849217942705</v>
      </c>
      <c r="CJ90" s="106">
        <v>13.280402553008697</v>
      </c>
      <c r="CK90" s="106">
        <v>29179.700489470706</v>
      </c>
      <c r="CL90" s="106">
        <v>0</v>
      </c>
      <c r="CM90" s="106">
        <v>0</v>
      </c>
      <c r="CN90" s="106">
        <v>4.0487728249202615</v>
      </c>
      <c r="CO90" s="106">
        <v>8895.9636509147986</v>
      </c>
      <c r="CP90" s="106">
        <v>1.6712310905062344</v>
      </c>
      <c r="CQ90" s="106">
        <v>3672.0289520602978</v>
      </c>
      <c r="CR90" s="106">
        <v>3.6560621385632217</v>
      </c>
      <c r="CS90" s="106">
        <v>8033.0997308511105</v>
      </c>
      <c r="CT90" s="106">
        <v>2.6117844019074177</v>
      </c>
      <c r="CU90" s="106">
        <v>5738.6126878709774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2.4835976548631966</v>
      </c>
      <c r="I91" s="106">
        <v>5704.3270936897889</v>
      </c>
      <c r="J91" s="106">
        <v>3.3349967832477709</v>
      </c>
      <c r="K91" s="106">
        <v>7659.8206117634791</v>
      </c>
      <c r="L91" s="106">
        <v>6.3588304907066489</v>
      </c>
      <c r="M91" s="106">
        <v>14604.961871055029</v>
      </c>
      <c r="N91" s="106">
        <v>9.0109897004798132</v>
      </c>
      <c r="O91" s="106">
        <v>20696.441144062032</v>
      </c>
      <c r="P91" s="106">
        <v>7.8325508619433819</v>
      </c>
      <c r="Q91" s="106">
        <v>17989.802819711556</v>
      </c>
      <c r="R91" s="106">
        <v>11.317732408265476</v>
      </c>
      <c r="S91" s="106">
        <v>25994.567795304141</v>
      </c>
      <c r="T91" s="106">
        <v>9.0555445979699147</v>
      </c>
      <c r="U91" s="106">
        <v>20798.774832617299</v>
      </c>
      <c r="V91" s="106">
        <v>10.919754543942679</v>
      </c>
      <c r="W91" s="106">
        <v>25080.492236527542</v>
      </c>
      <c r="X91" s="106">
        <v>10.152903203520491</v>
      </c>
      <c r="Y91" s="106">
        <v>23319.188077845862</v>
      </c>
      <c r="Z91" s="106">
        <v>9.1610839275623128</v>
      </c>
      <c r="AA91" s="106">
        <v>21041.177564825117</v>
      </c>
      <c r="AB91" s="106">
        <v>11.843556259091971</v>
      </c>
      <c r="AC91" s="106">
        <v>27202.280015882436</v>
      </c>
      <c r="AD91" s="106">
        <v>11.991683619435291</v>
      </c>
      <c r="AE91" s="106">
        <v>27542.498937118973</v>
      </c>
      <c r="AF91" s="106">
        <v>12.191191007587584</v>
      </c>
      <c r="AG91" s="106">
        <v>28000.727506227158</v>
      </c>
      <c r="AH91" s="106">
        <v>12.417419294326322</v>
      </c>
      <c r="AI91" s="106">
        <v>28520.328635208694</v>
      </c>
      <c r="AJ91" s="106">
        <v>18.03278224061695</v>
      </c>
      <c r="AK91" s="106">
        <v>41417.694250249006</v>
      </c>
      <c r="AL91" s="106">
        <v>17.40883689504107</v>
      </c>
      <c r="AM91" s="106">
        <v>39984.616580530324</v>
      </c>
      <c r="AN91" s="106">
        <v>10.965571206720735</v>
      </c>
      <c r="AO91" s="106">
        <v>25185.723947596183</v>
      </c>
      <c r="AP91" s="106">
        <v>10.405612526678292</v>
      </c>
      <c r="AQ91" s="106">
        <v>23899.610851274698</v>
      </c>
      <c r="AR91" s="106">
        <v>1.4942400605149744</v>
      </c>
      <c r="AS91" s="106">
        <v>3431.9705709907926</v>
      </c>
      <c r="AT91" s="106">
        <v>1.6647519733936678</v>
      </c>
      <c r="AU91" s="106">
        <v>3823.6023324905755</v>
      </c>
      <c r="AV91" s="106">
        <v>1.2502568877467322</v>
      </c>
      <c r="AW91" s="106">
        <v>2871.5900197766941</v>
      </c>
      <c r="AX91" s="106">
        <v>1.5149027036744451</v>
      </c>
      <c r="AY91" s="106">
        <v>3479.4285297994652</v>
      </c>
      <c r="AZ91" s="106">
        <v>8.6517776632073868</v>
      </c>
      <c r="BA91" s="106">
        <v>19871.402936854724</v>
      </c>
      <c r="BB91" s="106">
        <v>10.826178352398014</v>
      </c>
      <c r="BC91" s="106">
        <v>24865.566439787755</v>
      </c>
      <c r="BD91" s="106">
        <v>10.068879177008597</v>
      </c>
      <c r="BE91" s="106">
        <v>23126.201693753344</v>
      </c>
      <c r="BF91" s="106">
        <v>10.358019288510533</v>
      </c>
      <c r="BG91" s="106">
        <v>23790.298701850988</v>
      </c>
      <c r="BH91" s="106">
        <v>2.8714788736879848</v>
      </c>
      <c r="BI91" s="106">
        <v>6595.2126770865625</v>
      </c>
      <c r="BJ91" s="106">
        <v>3.9307355248706637</v>
      </c>
      <c r="BK91" s="106">
        <v>9028.1133535229401</v>
      </c>
      <c r="BL91" s="106">
        <v>6.0503985685267869</v>
      </c>
      <c r="BM91" s="106">
        <v>13896.555432192323</v>
      </c>
      <c r="BN91" s="106">
        <v>3.8951329521855289</v>
      </c>
      <c r="BO91" s="106">
        <v>8946.3413645797209</v>
      </c>
      <c r="BP91" s="106">
        <v>11.621790890875594</v>
      </c>
      <c r="BQ91" s="106">
        <v>26692.929318163064</v>
      </c>
      <c r="BR91" s="106">
        <v>11.981139935127462</v>
      </c>
      <c r="BS91" s="106">
        <v>27518.282203000752</v>
      </c>
      <c r="BT91" s="106">
        <v>11.240845639187585</v>
      </c>
      <c r="BU91" s="106">
        <v>25817.974264086042</v>
      </c>
      <c r="BV91" s="106">
        <v>9.924903173774295</v>
      </c>
      <c r="BW91" s="106">
        <v>22795.517609524799</v>
      </c>
      <c r="BX91" s="106">
        <v>2.8941502361483997</v>
      </c>
      <c r="BY91" s="106">
        <v>6647.2842623856441</v>
      </c>
      <c r="BZ91" s="106">
        <v>2.9371459685331485</v>
      </c>
      <c r="CA91" s="106">
        <v>6746.036860526935</v>
      </c>
      <c r="CB91" s="106">
        <v>3.2034299775256736</v>
      </c>
      <c r="CC91" s="106">
        <v>7357.6379723809659</v>
      </c>
      <c r="CD91" s="106">
        <v>3.5935985286669196</v>
      </c>
      <c r="CE91" s="106">
        <v>8253.7771006421808</v>
      </c>
      <c r="CF91" s="106">
        <v>15.982273132293304</v>
      </c>
      <c r="CG91" s="106">
        <v>36708.084930251258</v>
      </c>
      <c r="CH91" s="106">
        <v>16.809066389249548</v>
      </c>
      <c r="CI91" s="106">
        <v>38607.063682828353</v>
      </c>
      <c r="CJ91" s="106">
        <v>14.565602800074055</v>
      </c>
      <c r="CK91" s="106">
        <v>33454.276511210082</v>
      </c>
      <c r="CL91" s="106">
        <v>0</v>
      </c>
      <c r="CM91" s="106">
        <v>0</v>
      </c>
      <c r="CN91" s="106">
        <v>4.8585273899043147</v>
      </c>
      <c r="CO91" s="106">
        <v>11159.065709132228</v>
      </c>
      <c r="CP91" s="106">
        <v>2.0054773086074813</v>
      </c>
      <c r="CQ91" s="106">
        <v>4606.1802824096621</v>
      </c>
      <c r="CR91" s="106">
        <v>3.6560621385632217</v>
      </c>
      <c r="CS91" s="106">
        <v>8397.243519852007</v>
      </c>
      <c r="CT91" s="106">
        <v>2.6117844019074177</v>
      </c>
      <c r="CU91" s="106">
        <v>5998.7464143009565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3.0355082448327959</v>
      </c>
      <c r="I92" s="106">
        <v>4312.8501142584364</v>
      </c>
      <c r="J92" s="106">
        <v>3.8908295804557329</v>
      </c>
      <c r="K92" s="106">
        <v>5528.0906679115051</v>
      </c>
      <c r="L92" s="106">
        <v>8.5844211624539746</v>
      </c>
      <c r="M92" s="106">
        <v>12196.745587614607</v>
      </c>
      <c r="N92" s="106">
        <v>9.9431610488053099</v>
      </c>
      <c r="O92" s="106">
        <v>14127.243218142585</v>
      </c>
      <c r="P92" s="106">
        <v>8.3547209194062741</v>
      </c>
      <c r="Q92" s="106">
        <v>11870.387482292434</v>
      </c>
      <c r="R92" s="106">
        <v>12.793958374560974</v>
      </c>
      <c r="S92" s="106">
        <v>18177.656058576231</v>
      </c>
      <c r="T92" s="106">
        <v>9.9318876235799074</v>
      </c>
      <c r="U92" s="106">
        <v>14111.225935582332</v>
      </c>
      <c r="V92" s="106">
        <v>11.408698777253546</v>
      </c>
      <c r="W92" s="106">
        <v>16209.479222721839</v>
      </c>
      <c r="X92" s="106">
        <v>12.183483844224588</v>
      </c>
      <c r="Y92" s="106">
        <v>17310.293845874294</v>
      </c>
      <c r="Z92" s="106">
        <v>11.411174716788144</v>
      </c>
      <c r="AA92" s="106">
        <v>16212.997037612595</v>
      </c>
      <c r="AB92" s="106">
        <v>13.99693012438142</v>
      </c>
      <c r="AC92" s="106">
        <v>19886.838320721119</v>
      </c>
      <c r="AD92" s="106">
        <v>13.990297556007837</v>
      </c>
      <c r="AE92" s="106">
        <v>19877.414767575934</v>
      </c>
      <c r="AF92" s="106">
        <v>12.745336053387021</v>
      </c>
      <c r="AG92" s="106">
        <v>18108.57346465228</v>
      </c>
      <c r="AH92" s="106">
        <v>12.417419294326322</v>
      </c>
      <c r="AI92" s="106">
        <v>17642.669333378839</v>
      </c>
      <c r="AJ92" s="106">
        <v>18.03278224061695</v>
      </c>
      <c r="AK92" s="106">
        <v>25620.977007468562</v>
      </c>
      <c r="AL92" s="106">
        <v>19.679554750915997</v>
      </c>
      <c r="AM92" s="106">
        <v>27960.711390101449</v>
      </c>
      <c r="AN92" s="106">
        <v>12.793166407840857</v>
      </c>
      <c r="AO92" s="106">
        <v>18176.53083226029</v>
      </c>
      <c r="AP92" s="106">
        <v>13.073718302749649</v>
      </c>
      <c r="AQ92" s="106">
        <v>18575.138964546699</v>
      </c>
      <c r="AR92" s="106">
        <v>1.6091816036315107</v>
      </c>
      <c r="AS92" s="106">
        <v>2286.3252224396506</v>
      </c>
      <c r="AT92" s="106">
        <v>1.8034813045098066</v>
      </c>
      <c r="AU92" s="106">
        <v>2562.3862374475329</v>
      </c>
      <c r="AV92" s="106">
        <v>1.2502568877467322</v>
      </c>
      <c r="AW92" s="106">
        <v>1776.3649861105571</v>
      </c>
      <c r="AX92" s="106">
        <v>1.7042655416337509</v>
      </c>
      <c r="AY92" s="106">
        <v>2421.420481553233</v>
      </c>
      <c r="AZ92" s="106">
        <v>10.814722079009234</v>
      </c>
      <c r="BA92" s="106">
        <v>15365.557129856319</v>
      </c>
      <c r="BB92" s="106">
        <v>11.341710654893157</v>
      </c>
      <c r="BC92" s="106">
        <v>16114.302498472198</v>
      </c>
      <c r="BD92" s="106">
        <v>11.956794022697709</v>
      </c>
      <c r="BE92" s="106">
        <v>16988.212947448905</v>
      </c>
      <c r="BF92" s="106">
        <v>11.097877809118428</v>
      </c>
      <c r="BG92" s="106">
        <v>15767.864791195461</v>
      </c>
      <c r="BH92" s="106">
        <v>3.3500586859693158</v>
      </c>
      <c r="BI92" s="106">
        <v>4759.7633810252037</v>
      </c>
      <c r="BJ92" s="106">
        <v>4.4922691712807588</v>
      </c>
      <c r="BK92" s="106">
        <v>6382.6160385557023</v>
      </c>
      <c r="BL92" s="106">
        <v>5.5242769538722838</v>
      </c>
      <c r="BM92" s="106">
        <v>7848.8926960617409</v>
      </c>
      <c r="BN92" s="106">
        <v>3.8951329521855289</v>
      </c>
      <c r="BO92" s="106">
        <v>5534.2048984651992</v>
      </c>
      <c r="BP92" s="106">
        <v>12.590273465115226</v>
      </c>
      <c r="BQ92" s="106">
        <v>17888.260539235715</v>
      </c>
      <c r="BR92" s="106">
        <v>13.40746611788073</v>
      </c>
      <c r="BS92" s="106">
        <v>19049.327860284942</v>
      </c>
      <c r="BT92" s="106">
        <v>13.555137388432088</v>
      </c>
      <c r="BU92" s="106">
        <v>19259.139201484311</v>
      </c>
      <c r="BV92" s="106">
        <v>12.662807497574102</v>
      </c>
      <c r="BW92" s="106">
        <v>17991.316892553285</v>
      </c>
      <c r="BX92" s="106">
        <v>2.6715232949062151</v>
      </c>
      <c r="BY92" s="106">
        <v>3795.7002974027505</v>
      </c>
      <c r="BZ92" s="106">
        <v>3.1630802738049288</v>
      </c>
      <c r="CA92" s="106">
        <v>4494.1044530220424</v>
      </c>
      <c r="CB92" s="106">
        <v>3.2034299775256736</v>
      </c>
      <c r="CC92" s="106">
        <v>4551.4333120684769</v>
      </c>
      <c r="CD92" s="106">
        <v>4.2277629749022578</v>
      </c>
      <c r="CE92" s="106">
        <v>6006.8056347411275</v>
      </c>
      <c r="CF92" s="106">
        <v>15.572471257106296</v>
      </c>
      <c r="CG92" s="106">
        <v>22125.367162096623</v>
      </c>
      <c r="CH92" s="106">
        <v>18.610037788097713</v>
      </c>
      <c r="CI92" s="106">
        <v>26441.14168932923</v>
      </c>
      <c r="CJ92" s="106">
        <v>14.994002882429175</v>
      </c>
      <c r="CK92" s="106">
        <v>21303.47929535537</v>
      </c>
      <c r="CL92" s="106">
        <v>0</v>
      </c>
      <c r="CM92" s="106">
        <v>0</v>
      </c>
      <c r="CN92" s="106">
        <v>4.0487728249202615</v>
      </c>
      <c r="CO92" s="106">
        <v>5752.4964296467069</v>
      </c>
      <c r="CP92" s="106">
        <v>2.0054773086074813</v>
      </c>
      <c r="CQ92" s="106">
        <v>2849.3821600695092</v>
      </c>
      <c r="CR92" s="106">
        <v>4.0622912650702458</v>
      </c>
      <c r="CS92" s="106">
        <v>5771.7034294118048</v>
      </c>
      <c r="CT92" s="106">
        <v>3.0470818022253208</v>
      </c>
      <c r="CU92" s="106">
        <v>4329.2938246017357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2.759552949847996</v>
      </c>
      <c r="I93" s="106">
        <v>4891.031648310588</v>
      </c>
      <c r="J93" s="106">
        <v>3.3349967832477709</v>
      </c>
      <c r="K93" s="106">
        <v>5910.9482986283483</v>
      </c>
      <c r="L93" s="106">
        <v>7.6305965888479781</v>
      </c>
      <c r="M93" s="106">
        <v>13524.469394074154</v>
      </c>
      <c r="N93" s="106">
        <v>8.7002659177046464</v>
      </c>
      <c r="O93" s="106">
        <v>15420.351312539715</v>
      </c>
      <c r="P93" s="106">
        <v>8.6158059481377212</v>
      </c>
      <c r="Q93" s="106">
        <v>15270.654462479295</v>
      </c>
      <c r="R93" s="106">
        <v>12.547920713511724</v>
      </c>
      <c r="S93" s="106">
        <v>22239.934672628176</v>
      </c>
      <c r="T93" s="106">
        <v>8.4713159142299208</v>
      </c>
      <c r="U93" s="106">
        <v>15014.56032638111</v>
      </c>
      <c r="V93" s="106">
        <v>12.060624421668033</v>
      </c>
      <c r="W93" s="106">
        <v>21376.250724964419</v>
      </c>
      <c r="X93" s="106">
        <v>11.506623630656556</v>
      </c>
      <c r="Y93" s="106">
        <v>20394.339722975677</v>
      </c>
      <c r="Z93" s="106">
        <v>10.286129322175228</v>
      </c>
      <c r="AA93" s="106">
        <v>18231.135610623372</v>
      </c>
      <c r="AB93" s="106">
        <v>14.535273590703783</v>
      </c>
      <c r="AC93" s="106">
        <v>25762.318912163384</v>
      </c>
      <c r="AD93" s="106">
        <v>11.991683619435291</v>
      </c>
      <c r="AE93" s="106">
        <v>21254.060047087107</v>
      </c>
      <c r="AF93" s="106">
        <v>12.745336053387021</v>
      </c>
      <c r="AG93" s="106">
        <v>22589.833621023154</v>
      </c>
      <c r="AH93" s="106">
        <v>12.417419294326322</v>
      </c>
      <c r="AI93" s="106">
        <v>22008.63395726397</v>
      </c>
      <c r="AJ93" s="106">
        <v>16.279595078334747</v>
      </c>
      <c r="AK93" s="106">
        <v>28853.954316840503</v>
      </c>
      <c r="AL93" s="106">
        <v>19.931856734902098</v>
      </c>
      <c r="AM93" s="106">
        <v>35327.222876940476</v>
      </c>
      <c r="AN93" s="106">
        <v>13.837506522766642</v>
      </c>
      <c r="AO93" s="106">
        <v>24525.596560951595</v>
      </c>
      <c r="AP93" s="106">
        <v>12.806907725142512</v>
      </c>
      <c r="AQ93" s="106">
        <v>22698.963252042588</v>
      </c>
      <c r="AR93" s="106">
        <v>1.6091816036315107</v>
      </c>
      <c r="AS93" s="106">
        <v>2852.1134742764893</v>
      </c>
      <c r="AT93" s="106">
        <v>1.6647519733936678</v>
      </c>
      <c r="AU93" s="106">
        <v>2950.6063976429364</v>
      </c>
      <c r="AV93" s="106">
        <v>1.2502568877467322</v>
      </c>
      <c r="AW93" s="106">
        <v>2215.9553078423078</v>
      </c>
      <c r="AX93" s="106">
        <v>1.7042655416337509</v>
      </c>
      <c r="AY93" s="106">
        <v>3020.6402459916599</v>
      </c>
      <c r="AZ93" s="106">
        <v>8.6517776632073868</v>
      </c>
      <c r="BA93" s="106">
        <v>15334.410730268772</v>
      </c>
      <c r="BB93" s="106">
        <v>9.7951137474077257</v>
      </c>
      <c r="BC93" s="106">
        <v>17360.859605905451</v>
      </c>
      <c r="BD93" s="106">
        <v>12.586098971260745</v>
      </c>
      <c r="BE93" s="106">
        <v>22307.601816662544</v>
      </c>
      <c r="BF93" s="106">
        <v>12.577594850334219</v>
      </c>
      <c r="BG93" s="106">
        <v>22292.529112732369</v>
      </c>
      <c r="BH93" s="106">
        <v>3.3500586859693158</v>
      </c>
      <c r="BI93" s="106">
        <v>5937.6440150120152</v>
      </c>
      <c r="BJ93" s="106">
        <v>4.2115023480757117</v>
      </c>
      <c r="BK93" s="106">
        <v>7464.4667617293908</v>
      </c>
      <c r="BL93" s="106">
        <v>6.0503985685267869</v>
      </c>
      <c r="BM93" s="106">
        <v>10723.726422856877</v>
      </c>
      <c r="BN93" s="106">
        <v>4.1242584199611478</v>
      </c>
      <c r="BO93" s="106">
        <v>7309.8356235391375</v>
      </c>
      <c r="BP93" s="106">
        <v>11.379670247315685</v>
      </c>
      <c r="BQ93" s="106">
        <v>20169.32754634232</v>
      </c>
      <c r="BR93" s="106">
        <v>11.981139935127462</v>
      </c>
      <c r="BS93" s="106">
        <v>21235.372421019914</v>
      </c>
      <c r="BT93" s="106">
        <v>13.22452428139716</v>
      </c>
      <c r="BU93" s="106">
        <v>23439.146836348325</v>
      </c>
      <c r="BV93" s="106">
        <v>11.978331416624151</v>
      </c>
      <c r="BW93" s="106">
        <v>21230.394602824643</v>
      </c>
      <c r="BX93" s="106">
        <v>2.6715232949062151</v>
      </c>
      <c r="BY93" s="106">
        <v>4735.0078878917757</v>
      </c>
      <c r="BZ93" s="106">
        <v>2.7112116632613676</v>
      </c>
      <c r="CA93" s="106">
        <v>4805.3515519644479</v>
      </c>
      <c r="CB93" s="106">
        <v>3.2034299775256736</v>
      </c>
      <c r="CC93" s="106">
        <v>5677.7592921665037</v>
      </c>
      <c r="CD93" s="106">
        <v>4.4391511236473713</v>
      </c>
      <c r="CE93" s="106">
        <v>7867.9514515526007</v>
      </c>
      <c r="CF93" s="106">
        <v>18.031282508228344</v>
      </c>
      <c r="CG93" s="106">
        <v>31958.645117583914</v>
      </c>
      <c r="CH93" s="106">
        <v>16.208742589633491</v>
      </c>
      <c r="CI93" s="106">
        <v>28728.375365866399</v>
      </c>
      <c r="CJ93" s="106">
        <v>15.422402964784293</v>
      </c>
      <c r="CK93" s="106">
        <v>27334.667014783678</v>
      </c>
      <c r="CL93" s="106">
        <v>0</v>
      </c>
      <c r="CM93" s="106">
        <v>0</v>
      </c>
      <c r="CN93" s="106">
        <v>4.0487728249202615</v>
      </c>
      <c r="CO93" s="106">
        <v>7176.0449548886709</v>
      </c>
      <c r="CP93" s="106">
        <v>2.0054773086074813</v>
      </c>
      <c r="CQ93" s="106">
        <v>3554.5079817758997</v>
      </c>
      <c r="CR93" s="106">
        <v>4.0622912650702458</v>
      </c>
      <c r="CS93" s="106">
        <v>7200.0050382105028</v>
      </c>
      <c r="CT93" s="106">
        <v>3.0470818022253208</v>
      </c>
      <c r="CU93" s="106">
        <v>5400.6477862641577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2.4835976548631966</v>
      </c>
      <c r="I94" s="106">
        <v>5948.7131029283282</v>
      </c>
      <c r="J94" s="106">
        <v>3.0570803846437902</v>
      </c>
      <c r="K94" s="106">
        <v>7322.3189372988054</v>
      </c>
      <c r="L94" s="106">
        <v>6.6767720152419807</v>
      </c>
      <c r="M94" s="106">
        <v>15992.204330907591</v>
      </c>
      <c r="N94" s="106">
        <v>8.7002659177046464</v>
      </c>
      <c r="O94" s="106">
        <v>20838.876926086166</v>
      </c>
      <c r="P94" s="106">
        <v>7.8325508619433819</v>
      </c>
      <c r="Q94" s="106">
        <v>18760.525824526787</v>
      </c>
      <c r="R94" s="106">
        <v>11.563770069314726</v>
      </c>
      <c r="S94" s="106">
        <v>27697.542070022631</v>
      </c>
      <c r="T94" s="106">
        <v>8.4713159142299208</v>
      </c>
      <c r="U94" s="106">
        <v>20290.495877763504</v>
      </c>
      <c r="V94" s="106">
        <v>10.593791721735434</v>
      </c>
      <c r="W94" s="106">
        <v>25374.249931900707</v>
      </c>
      <c r="X94" s="106">
        <v>10.660548363696515</v>
      </c>
      <c r="Y94" s="106">
        <v>25534.14544072589</v>
      </c>
      <c r="Z94" s="106">
        <v>9.964687780857254</v>
      </c>
      <c r="AA94" s="106">
        <v>23867.420172709291</v>
      </c>
      <c r="AB94" s="106">
        <v>12.920243191736695</v>
      </c>
      <c r="AC94" s="106">
        <v>30946.566492847731</v>
      </c>
      <c r="AD94" s="106">
        <v>11.492030135292152</v>
      </c>
      <c r="AE94" s="106">
        <v>27525.71058005176</v>
      </c>
      <c r="AF94" s="106">
        <v>11.082900915988713</v>
      </c>
      <c r="AG94" s="106">
        <v>26545.764273976161</v>
      </c>
      <c r="AH94" s="106">
        <v>12.417419294326322</v>
      </c>
      <c r="AI94" s="106">
        <v>29742.202693770403</v>
      </c>
      <c r="AJ94" s="106">
        <v>17.03096100502712</v>
      </c>
      <c r="AK94" s="106">
        <v>40792.557799240953</v>
      </c>
      <c r="AL94" s="106">
        <v>17.40883689504107</v>
      </c>
      <c r="AM94" s="106">
        <v>41697.646131002366</v>
      </c>
      <c r="AN94" s="106">
        <v>11.748826292915073</v>
      </c>
      <c r="AO94" s="106">
        <v>28140.788736790182</v>
      </c>
      <c r="AP94" s="106">
        <v>11.472854837106835</v>
      </c>
      <c r="AQ94" s="106">
        <v>27479.781905838288</v>
      </c>
      <c r="AR94" s="106">
        <v>1.4942400605149744</v>
      </c>
      <c r="AS94" s="106">
        <v>3579.0037929454666</v>
      </c>
      <c r="AT94" s="106">
        <v>1.6647519733936678</v>
      </c>
      <c r="AU94" s="106">
        <v>3987.4139266725128</v>
      </c>
      <c r="AV94" s="106">
        <v>1.0939747767783905</v>
      </c>
      <c r="AW94" s="106">
        <v>2620.2883853396006</v>
      </c>
      <c r="AX94" s="106">
        <v>1.5149027036744451</v>
      </c>
      <c r="AY94" s="106">
        <v>3628.4949558410308</v>
      </c>
      <c r="AZ94" s="106">
        <v>8.6517776632073868</v>
      </c>
      <c r="BA94" s="106">
        <v>20722.73785891433</v>
      </c>
      <c r="BB94" s="106">
        <v>9.2795814449125835</v>
      </c>
      <c r="BC94" s="106">
        <v>22226.453476854618</v>
      </c>
      <c r="BD94" s="106">
        <v>10.068879177008597</v>
      </c>
      <c r="BE94" s="106">
        <v>24116.979404770991</v>
      </c>
      <c r="BF94" s="106">
        <v>10.358019288510533</v>
      </c>
      <c r="BG94" s="106">
        <v>24809.527799840427</v>
      </c>
      <c r="BH94" s="106">
        <v>3.3500586859693158</v>
      </c>
      <c r="BI94" s="106">
        <v>8024.0605646337044</v>
      </c>
      <c r="BJ94" s="106">
        <v>3.9307355248706637</v>
      </c>
      <c r="BK94" s="106">
        <v>9414.8977291702122</v>
      </c>
      <c r="BL94" s="106">
        <v>6.0503985685267869</v>
      </c>
      <c r="BM94" s="106">
        <v>14491.914651335359</v>
      </c>
      <c r="BN94" s="106">
        <v>3.6660074844099095</v>
      </c>
      <c r="BO94" s="106">
        <v>8780.821126658615</v>
      </c>
      <c r="BP94" s="106">
        <v>10.411187673076054</v>
      </c>
      <c r="BQ94" s="106">
        <v>24936.876714551763</v>
      </c>
      <c r="BR94" s="106">
        <v>11.125344225475502</v>
      </c>
      <c r="BS94" s="106">
        <v>26647.42448885892</v>
      </c>
      <c r="BT94" s="106">
        <v>11.571458746222516</v>
      </c>
      <c r="BU94" s="106">
        <v>27715.95798895217</v>
      </c>
      <c r="BV94" s="106">
        <v>10.951617295199224</v>
      </c>
      <c r="BW94" s="106">
        <v>26231.313745461179</v>
      </c>
      <c r="BX94" s="106">
        <v>2.2262694124218458</v>
      </c>
      <c r="BY94" s="106">
        <v>5332.3604966328048</v>
      </c>
      <c r="BZ94" s="106">
        <v>2.9371459685331485</v>
      </c>
      <c r="CA94" s="106">
        <v>7035.0520238305962</v>
      </c>
      <c r="CB94" s="106">
        <v>3.2034299775256736</v>
      </c>
      <c r="CC94" s="106">
        <v>7672.8554821694925</v>
      </c>
      <c r="CD94" s="106">
        <v>3.8049866774120322</v>
      </c>
      <c r="CE94" s="106">
        <v>9113.704089737299</v>
      </c>
      <c r="CF94" s="106">
        <v>16.392075007480312</v>
      </c>
      <c r="CG94" s="106">
        <v>39262.298057916836</v>
      </c>
      <c r="CH94" s="106">
        <v>16.809066389249548</v>
      </c>
      <c r="CI94" s="106">
        <v>40261.075815530516</v>
      </c>
      <c r="CJ94" s="106">
        <v>11.995202305943339</v>
      </c>
      <c r="CK94" s="106">
        <v>28730.908563195484</v>
      </c>
      <c r="CL94" s="106">
        <v>0</v>
      </c>
      <c r="CM94" s="106">
        <v>0</v>
      </c>
      <c r="CN94" s="106">
        <v>4.0487728249202615</v>
      </c>
      <c r="CO94" s="106">
        <v>9697.620670249009</v>
      </c>
      <c r="CP94" s="106">
        <v>1.6712310905062344</v>
      </c>
      <c r="CQ94" s="106">
        <v>4002.9327079805325</v>
      </c>
      <c r="CR94" s="106">
        <v>3.6560621385632217</v>
      </c>
      <c r="CS94" s="106">
        <v>8757.0000342866279</v>
      </c>
      <c r="CT94" s="106">
        <v>2.6117844019074177</v>
      </c>
      <c r="CU94" s="106">
        <v>6255.7459994486462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13.245854159270381</v>
      </c>
      <c r="I95" s="106">
        <v>22952.416087183716</v>
      </c>
      <c r="J95" s="106">
        <v>9.4491575525353522</v>
      </c>
      <c r="K95" s="106">
        <v>16373.500207033258</v>
      </c>
      <c r="L95" s="106">
        <v>9.2203042115246401</v>
      </c>
      <c r="M95" s="106">
        <v>15976.943137729895</v>
      </c>
      <c r="N95" s="106">
        <v>7.7680945693791488</v>
      </c>
      <c r="O95" s="106">
        <v>13460.554269820188</v>
      </c>
      <c r="P95" s="106">
        <v>8.8768909768691664</v>
      </c>
      <c r="Q95" s="106">
        <v>15381.876684718891</v>
      </c>
      <c r="R95" s="106">
        <v>6.1509415262312368</v>
      </c>
      <c r="S95" s="106">
        <v>10658.351476653486</v>
      </c>
      <c r="T95" s="106">
        <v>11.830630845734891</v>
      </c>
      <c r="U95" s="106">
        <v>20500.117129489419</v>
      </c>
      <c r="V95" s="106">
        <v>8.9639776106992137</v>
      </c>
      <c r="W95" s="106">
        <v>15532.780403819597</v>
      </c>
      <c r="X95" s="106">
        <v>8.2915376162084016</v>
      </c>
      <c r="Y95" s="106">
        <v>14367.576381365918</v>
      </c>
      <c r="Z95" s="106">
        <v>11.411174716788144</v>
      </c>
      <c r="AA95" s="106">
        <v>19773.283549250496</v>
      </c>
      <c r="AB95" s="106">
        <v>3.2300607979341738</v>
      </c>
      <c r="AC95" s="106">
        <v>5597.0493506603361</v>
      </c>
      <c r="AD95" s="106">
        <v>4.4968813572882338</v>
      </c>
      <c r="AE95" s="106">
        <v>7792.1960159090513</v>
      </c>
      <c r="AF95" s="106">
        <v>5.5414504579943564</v>
      </c>
      <c r="AG95" s="106">
        <v>9602.2253536126209</v>
      </c>
      <c r="AH95" s="106">
        <v>6.2087096471631611</v>
      </c>
      <c r="AI95" s="106">
        <v>10758.452076604326</v>
      </c>
      <c r="AJ95" s="106">
        <v>7.7641145758211874</v>
      </c>
      <c r="AK95" s="106">
        <v>13453.657736982954</v>
      </c>
      <c r="AL95" s="106">
        <v>5.0460396797220497</v>
      </c>
      <c r="AM95" s="106">
        <v>8743.7775570223675</v>
      </c>
      <c r="AN95" s="106">
        <v>8.0936358906748289</v>
      </c>
      <c r="AO95" s="106">
        <v>14024.652271361343</v>
      </c>
      <c r="AP95" s="106">
        <v>7.2038855953926628</v>
      </c>
      <c r="AQ95" s="106">
        <v>12482.892959696406</v>
      </c>
      <c r="AR95" s="106">
        <v>4.8275448108945325</v>
      </c>
      <c r="AS95" s="106">
        <v>8365.1696483180458</v>
      </c>
      <c r="AT95" s="106">
        <v>3.4682332779034741</v>
      </c>
      <c r="AU95" s="106">
        <v>6009.7546239511394</v>
      </c>
      <c r="AV95" s="106">
        <v>6.7201307716386856</v>
      </c>
      <c r="AW95" s="106">
        <v>11644.642601095515</v>
      </c>
      <c r="AX95" s="106">
        <v>4.7340709489826409</v>
      </c>
      <c r="AY95" s="106">
        <v>8203.1981403971204</v>
      </c>
      <c r="AZ95" s="106">
        <v>6.4888332474055401</v>
      </c>
      <c r="BA95" s="106">
        <v>11243.850251104319</v>
      </c>
      <c r="BB95" s="106">
        <v>7.7329845374271526</v>
      </c>
      <c r="BC95" s="106">
        <v>13399.71560645377</v>
      </c>
      <c r="BD95" s="106">
        <v>7.5516593827564469</v>
      </c>
      <c r="BE95" s="106">
        <v>13085.51537844037</v>
      </c>
      <c r="BF95" s="106">
        <v>7.3985852060789519</v>
      </c>
      <c r="BG95" s="106">
        <v>12820.268445093607</v>
      </c>
      <c r="BH95" s="106">
        <v>6.2215375596573006</v>
      </c>
      <c r="BI95" s="106">
        <v>10780.680283374169</v>
      </c>
      <c r="BJ95" s="106">
        <v>5.0538028176908538</v>
      </c>
      <c r="BK95" s="106">
        <v>8757.229522494712</v>
      </c>
      <c r="BL95" s="106">
        <v>7.3657026051630456</v>
      </c>
      <c r="BM95" s="106">
        <v>12763.289474226525</v>
      </c>
      <c r="BN95" s="106">
        <v>3.2077565488586708</v>
      </c>
      <c r="BO95" s="106">
        <v>5558.4005478623048</v>
      </c>
      <c r="BP95" s="106">
        <v>7.9899812374769708</v>
      </c>
      <c r="BQ95" s="106">
        <v>13845.039488300095</v>
      </c>
      <c r="BR95" s="106">
        <v>8.5579570965196154</v>
      </c>
      <c r="BS95" s="106">
        <v>14829.22805684919</v>
      </c>
      <c r="BT95" s="106">
        <v>8.5959407829081531</v>
      </c>
      <c r="BU95" s="106">
        <v>14895.046188623248</v>
      </c>
      <c r="BV95" s="106">
        <v>8.213712971399417</v>
      </c>
      <c r="BW95" s="106">
        <v>14232.72183684091</v>
      </c>
      <c r="BX95" s="106">
        <v>16.474393651921659</v>
      </c>
      <c r="BY95" s="106">
        <v>28546.829320049848</v>
      </c>
      <c r="BZ95" s="106">
        <v>15.363532758481082</v>
      </c>
      <c r="CA95" s="106">
        <v>26621.929563896017</v>
      </c>
      <c r="CB95" s="106">
        <v>14.561045352389426</v>
      </c>
      <c r="CC95" s="106">
        <v>25231.379386620396</v>
      </c>
      <c r="CD95" s="106">
        <v>19.236321535805274</v>
      </c>
      <c r="CE95" s="106">
        <v>33332.697957243377</v>
      </c>
      <c r="CF95" s="106">
        <v>4.9176225022440931</v>
      </c>
      <c r="CG95" s="106">
        <v>8521.2562718885638</v>
      </c>
      <c r="CH95" s="106">
        <v>4.8025903969284425</v>
      </c>
      <c r="CI95" s="106">
        <v>8321.9286397976048</v>
      </c>
      <c r="CJ95" s="106">
        <v>5.5692010706165505</v>
      </c>
      <c r="CK95" s="106">
        <v>9650.311615164359</v>
      </c>
      <c r="CL95" s="106">
        <v>0</v>
      </c>
      <c r="CM95" s="106">
        <v>0</v>
      </c>
      <c r="CN95" s="106">
        <v>26.721900644473727</v>
      </c>
      <c r="CO95" s="106">
        <v>46303.709436744073</v>
      </c>
      <c r="CP95" s="106">
        <v>12.701356287847382</v>
      </c>
      <c r="CQ95" s="106">
        <v>22008.910175581943</v>
      </c>
      <c r="CR95" s="106">
        <v>10.56195728918264</v>
      </c>
      <c r="CS95" s="106">
        <v>18301.759590695678</v>
      </c>
      <c r="CT95" s="106">
        <v>10.447137607629671</v>
      </c>
      <c r="CU95" s="106">
        <v>18102.800046500692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12.693943569300782</v>
      </c>
      <c r="I96" s="106">
        <v>10449.654346248402</v>
      </c>
      <c r="J96" s="106">
        <v>12.506237937179142</v>
      </c>
      <c r="K96" s="106">
        <v>10295.13506988587</v>
      </c>
      <c r="L96" s="106">
        <v>11.127953358736635</v>
      </c>
      <c r="M96" s="106">
        <v>9160.5312049119966</v>
      </c>
      <c r="N96" s="106">
        <v>9.3217134832549782</v>
      </c>
      <c r="O96" s="106">
        <v>7673.6345394154978</v>
      </c>
      <c r="P96" s="106">
        <v>10.70448617798929</v>
      </c>
      <c r="Q96" s="106">
        <v>8811.9330217207826</v>
      </c>
      <c r="R96" s="106">
        <v>7.6271674925267332</v>
      </c>
      <c r="S96" s="106">
        <v>6278.6842798480066</v>
      </c>
      <c r="T96" s="106">
        <v>14.459659922564866</v>
      </c>
      <c r="U96" s="106">
        <v>11903.192048255396</v>
      </c>
      <c r="V96" s="106">
        <v>11.734661599460789</v>
      </c>
      <c r="W96" s="106">
        <v>9659.9734286761213</v>
      </c>
      <c r="X96" s="106">
        <v>9.9836881501284811</v>
      </c>
      <c r="Y96" s="106">
        <v>8218.5720851857641</v>
      </c>
      <c r="Z96" s="106">
        <v>11.411174716788144</v>
      </c>
      <c r="AA96" s="106">
        <v>9393.6790268599998</v>
      </c>
      <c r="AB96" s="106">
        <v>3.7684042642565361</v>
      </c>
      <c r="AC96" s="106">
        <v>3102.1503903359803</v>
      </c>
      <c r="AD96" s="106">
        <v>4.4968813572882338</v>
      </c>
      <c r="AE96" s="106">
        <v>3701.8327333196739</v>
      </c>
      <c r="AF96" s="106">
        <v>6.0955955037937919</v>
      </c>
      <c r="AG96" s="106">
        <v>5017.8942187230487</v>
      </c>
      <c r="AH96" s="106">
        <v>6.2087096471631611</v>
      </c>
      <c r="AI96" s="106">
        <v>5111.0097815447134</v>
      </c>
      <c r="AJ96" s="106">
        <v>7.2632039580262724</v>
      </c>
      <c r="AK96" s="106">
        <v>5979.0694982472269</v>
      </c>
      <c r="AL96" s="106">
        <v>5.5506436476942556</v>
      </c>
      <c r="AM96" s="106">
        <v>4569.2898507819109</v>
      </c>
      <c r="AN96" s="106">
        <v>9.1379760056006134</v>
      </c>
      <c r="AO96" s="106">
        <v>7522.381847810424</v>
      </c>
      <c r="AP96" s="106">
        <v>8.5379384834283414</v>
      </c>
      <c r="AQ96" s="106">
        <v>7028.4309595582099</v>
      </c>
      <c r="AR96" s="106">
        <v>4.4827201815449227</v>
      </c>
      <c r="AS96" s="106">
        <v>3690.1752534477801</v>
      </c>
      <c r="AT96" s="106">
        <v>3.8844212712518913</v>
      </c>
      <c r="AU96" s="106">
        <v>3197.6555904945567</v>
      </c>
      <c r="AV96" s="106">
        <v>8.751798214227124</v>
      </c>
      <c r="AW96" s="106">
        <v>7204.4802899517681</v>
      </c>
      <c r="AX96" s="106">
        <v>5.870247976738475</v>
      </c>
      <c r="AY96" s="106">
        <v>4832.3881344511119</v>
      </c>
      <c r="AZ96" s="106">
        <v>6.4888332474055401</v>
      </c>
      <c r="BA96" s="106">
        <v>5341.6075292642399</v>
      </c>
      <c r="BB96" s="106">
        <v>10.31064604990287</v>
      </c>
      <c r="BC96" s="106">
        <v>8487.7238282800408</v>
      </c>
      <c r="BD96" s="106">
        <v>7.5516593827564469</v>
      </c>
      <c r="BE96" s="106">
        <v>6216.5260038851065</v>
      </c>
      <c r="BF96" s="106">
        <v>7.3985852060789519</v>
      </c>
      <c r="BG96" s="106">
        <v>6090.5153416441926</v>
      </c>
      <c r="BH96" s="106">
        <v>6.9394072780792966</v>
      </c>
      <c r="BI96" s="106">
        <v>5712.5200713148761</v>
      </c>
      <c r="BJ96" s="106">
        <v>5.8961032873059951</v>
      </c>
      <c r="BK96" s="106">
        <v>4853.672226110295</v>
      </c>
      <c r="BL96" s="106">
        <v>6.8395809905085425</v>
      </c>
      <c r="BM96" s="106">
        <v>5630.3430713866319</v>
      </c>
      <c r="BN96" s="106">
        <v>4.1242584199611478</v>
      </c>
      <c r="BO96" s="106">
        <v>3395.0895313120168</v>
      </c>
      <c r="BP96" s="106">
        <v>9.6848257423963275</v>
      </c>
      <c r="BQ96" s="106">
        <v>7972.5485511406559</v>
      </c>
      <c r="BR96" s="106">
        <v>10.554813752374193</v>
      </c>
      <c r="BS96" s="106">
        <v>8688.7226809544354</v>
      </c>
      <c r="BT96" s="106">
        <v>8.9265538899430847</v>
      </c>
      <c r="BU96" s="106">
        <v>7348.3391622011468</v>
      </c>
      <c r="BV96" s="106">
        <v>9.924903173774295</v>
      </c>
      <c r="BW96" s="106">
        <v>8170.180292650999</v>
      </c>
      <c r="BX96" s="106">
        <v>16.697020593163845</v>
      </c>
      <c r="BY96" s="106">
        <v>13744.987352292477</v>
      </c>
      <c r="BZ96" s="106">
        <v>14.911664147937522</v>
      </c>
      <c r="CA96" s="106">
        <v>12275.281926582167</v>
      </c>
      <c r="CB96" s="106">
        <v>18.346917144010678</v>
      </c>
      <c r="CC96" s="106">
        <v>15103.182192949589</v>
      </c>
      <c r="CD96" s="106">
        <v>19.659097833295501</v>
      </c>
      <c r="CE96" s="106">
        <v>16183.369336368854</v>
      </c>
      <c r="CF96" s="106">
        <v>4.9176225022440931</v>
      </c>
      <c r="CG96" s="106">
        <v>4048.1868438473371</v>
      </c>
      <c r="CH96" s="106">
        <v>6.0032379961605526</v>
      </c>
      <c r="CI96" s="106">
        <v>4941.8655184393665</v>
      </c>
      <c r="CJ96" s="106">
        <v>5.5692010706165505</v>
      </c>
      <c r="CK96" s="106">
        <v>4584.5663213315438</v>
      </c>
      <c r="CL96" s="106">
        <v>0</v>
      </c>
      <c r="CM96" s="106">
        <v>0</v>
      </c>
      <c r="CN96" s="106">
        <v>32.390182599362092</v>
      </c>
      <c r="CO96" s="106">
        <v>26663.598315794872</v>
      </c>
      <c r="CP96" s="106">
        <v>15.041079814556111</v>
      </c>
      <c r="CQ96" s="106">
        <v>12381.816903342589</v>
      </c>
      <c r="CR96" s="106">
        <v>13.405561174731814</v>
      </c>
      <c r="CS96" s="106">
        <v>11035.457959039228</v>
      </c>
      <c r="CT96" s="106">
        <v>12.188327208901283</v>
      </c>
      <c r="CU96" s="106">
        <v>10033.430958367535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13.245854159270381</v>
      </c>
      <c r="I97" s="106">
        <v>24224.018086473672</v>
      </c>
      <c r="J97" s="106">
        <v>9.4491575525353522</v>
      </c>
      <c r="K97" s="106">
        <v>17280.619332076651</v>
      </c>
      <c r="L97" s="106">
        <v>9.8561872605953056</v>
      </c>
      <c r="M97" s="106">
        <v>18024.995262176693</v>
      </c>
      <c r="N97" s="106">
        <v>7.7680945693791488</v>
      </c>
      <c r="O97" s="106">
        <v>14206.291348480587</v>
      </c>
      <c r="P97" s="106">
        <v>9.1379760056006134</v>
      </c>
      <c r="Q97" s="106">
        <v>16711.530519042401</v>
      </c>
      <c r="R97" s="106">
        <v>6.3969791872804871</v>
      </c>
      <c r="S97" s="106">
        <v>11698.795537698554</v>
      </c>
      <c r="T97" s="106">
        <v>10.516116307319903</v>
      </c>
      <c r="U97" s="106">
        <v>19231.873502826638</v>
      </c>
      <c r="V97" s="106">
        <v>10.430810310631813</v>
      </c>
      <c r="W97" s="106">
        <v>19075.865896083458</v>
      </c>
      <c r="X97" s="106">
        <v>8.968397829776432</v>
      </c>
      <c r="Y97" s="106">
        <v>16401.405951095137</v>
      </c>
      <c r="Z97" s="106">
        <v>10.125408551516241</v>
      </c>
      <c r="AA97" s="106">
        <v>18517.347159012901</v>
      </c>
      <c r="AB97" s="106">
        <v>3.2300607979341738</v>
      </c>
      <c r="AC97" s="106">
        <v>5907.1351872620171</v>
      </c>
      <c r="AD97" s="106">
        <v>4.4968813572882338</v>
      </c>
      <c r="AE97" s="106">
        <v>8223.8966262087215</v>
      </c>
      <c r="AF97" s="106">
        <v>6.0955955037937919</v>
      </c>
      <c r="AG97" s="106">
        <v>11147.625057338086</v>
      </c>
      <c r="AH97" s="106">
        <v>6.7731377969052673</v>
      </c>
      <c r="AI97" s="106">
        <v>12386.714402980353</v>
      </c>
      <c r="AJ97" s="106">
        <v>6.511838031333899</v>
      </c>
      <c r="AK97" s="106">
        <v>11908.849391703434</v>
      </c>
      <c r="AL97" s="106">
        <v>5.0460396797220497</v>
      </c>
      <c r="AM97" s="106">
        <v>9228.1973662756845</v>
      </c>
      <c r="AN97" s="106">
        <v>7.5714658332119367</v>
      </c>
      <c r="AO97" s="106">
        <v>13846.696715777989</v>
      </c>
      <c r="AP97" s="106">
        <v>7.4706961729997987</v>
      </c>
      <c r="AQ97" s="106">
        <v>13662.409161182031</v>
      </c>
      <c r="AR97" s="106">
        <v>4.367778638428387</v>
      </c>
      <c r="AS97" s="106">
        <v>7987.7935739578343</v>
      </c>
      <c r="AT97" s="106">
        <v>3.4682332779034741</v>
      </c>
      <c r="AU97" s="106">
        <v>6342.7050186298729</v>
      </c>
      <c r="AV97" s="106">
        <v>7.1889771045437101</v>
      </c>
      <c r="AW97" s="106">
        <v>13147.201328789537</v>
      </c>
      <c r="AX97" s="106">
        <v>4.3553452730640299</v>
      </c>
      <c r="AY97" s="106">
        <v>7965.0554353794978</v>
      </c>
      <c r="AZ97" s="106">
        <v>7.0295693513560016</v>
      </c>
      <c r="BA97" s="106">
        <v>12855.676429759855</v>
      </c>
      <c r="BB97" s="106">
        <v>7.7329845374271526</v>
      </c>
      <c r="BC97" s="106">
        <v>14142.082122046777</v>
      </c>
      <c r="BD97" s="106">
        <v>7.5516593827564469</v>
      </c>
      <c r="BE97" s="106">
        <v>13810.47467918499</v>
      </c>
      <c r="BF97" s="106">
        <v>7.3985852060789519</v>
      </c>
      <c r="BG97" s="106">
        <v>13530.532624877187</v>
      </c>
      <c r="BH97" s="106">
        <v>6.2215375596573006</v>
      </c>
      <c r="BI97" s="106">
        <v>11377.947889101271</v>
      </c>
      <c r="BJ97" s="106">
        <v>4.7730359944858058</v>
      </c>
      <c r="BK97" s="106">
        <v>8728.9282267156414</v>
      </c>
      <c r="BL97" s="106">
        <v>6.8395809905085425</v>
      </c>
      <c r="BM97" s="106">
        <v>12508.225715442022</v>
      </c>
      <c r="BN97" s="106">
        <v>3.6660074844099095</v>
      </c>
      <c r="BO97" s="106">
        <v>6704.3944874888421</v>
      </c>
      <c r="BP97" s="106">
        <v>7.9899812374769708</v>
      </c>
      <c r="BQ97" s="106">
        <v>14612.077687097884</v>
      </c>
      <c r="BR97" s="106">
        <v>8.8432223330702691</v>
      </c>
      <c r="BS97" s="106">
        <v>16172.485002718908</v>
      </c>
      <c r="BT97" s="106">
        <v>7.6041014618033671</v>
      </c>
      <c r="BU97" s="106">
        <v>13906.380753345997</v>
      </c>
      <c r="BV97" s="106">
        <v>8.213712971399417</v>
      </c>
      <c r="BW97" s="106">
        <v>15021.238282095253</v>
      </c>
      <c r="BX97" s="106">
        <v>14.248124239499814</v>
      </c>
      <c r="BY97" s="106">
        <v>26056.969609197258</v>
      </c>
      <c r="BZ97" s="106">
        <v>15.137598453209304</v>
      </c>
      <c r="CA97" s="106">
        <v>27683.640051229173</v>
      </c>
      <c r="CB97" s="106">
        <v>14.269824445341637</v>
      </c>
      <c r="CC97" s="106">
        <v>26096.654945640785</v>
      </c>
      <c r="CD97" s="106">
        <v>18.813545238315047</v>
      </c>
      <c r="CE97" s="106">
        <v>34406.211531830559</v>
      </c>
      <c r="CF97" s="106">
        <v>4.507820627057086</v>
      </c>
      <c r="CG97" s="106">
        <v>8243.902362761999</v>
      </c>
      <c r="CH97" s="106">
        <v>5.4029141965444971</v>
      </c>
      <c r="CI97" s="106">
        <v>9880.8494826405768</v>
      </c>
      <c r="CJ97" s="106">
        <v>4.7124009059063114</v>
      </c>
      <c r="CK97" s="106">
        <v>8618.0387767214615</v>
      </c>
      <c r="CL97" s="106">
        <v>0</v>
      </c>
      <c r="CM97" s="106">
        <v>0</v>
      </c>
      <c r="CN97" s="106">
        <v>26.721900644473727</v>
      </c>
      <c r="CO97" s="106">
        <v>48869.011898613549</v>
      </c>
      <c r="CP97" s="106">
        <v>12.701356287847382</v>
      </c>
      <c r="CQ97" s="106">
        <v>23228.240379215291</v>
      </c>
      <c r="CR97" s="106">
        <v>12.186873795210738</v>
      </c>
      <c r="CS97" s="106">
        <v>22287.354796681397</v>
      </c>
      <c r="CT97" s="106">
        <v>11.317732408265476</v>
      </c>
      <c r="CU97" s="106">
        <v>20697.869028235902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14.073720044224782</v>
      </c>
      <c r="I98" s="106">
        <v>17783.552647882432</v>
      </c>
      <c r="J98" s="106">
        <v>11.116655944159236</v>
      </c>
      <c r="K98" s="106">
        <v>14047.00645103961</v>
      </c>
      <c r="L98" s="106">
        <v>10.492070309665969</v>
      </c>
      <c r="M98" s="106">
        <v>13257.780043293918</v>
      </c>
      <c r="N98" s="106">
        <v>9.0109897004798132</v>
      </c>
      <c r="O98" s="106">
        <v>11386.286585526292</v>
      </c>
      <c r="P98" s="106">
        <v>10.70448617798929</v>
      </c>
      <c r="Q98" s="106">
        <v>13526.188734507266</v>
      </c>
      <c r="R98" s="106">
        <v>6.6430168483297365</v>
      </c>
      <c r="S98" s="106">
        <v>8394.116089549454</v>
      </c>
      <c r="T98" s="106">
        <v>11.538516503864894</v>
      </c>
      <c r="U98" s="106">
        <v>14580.069454283679</v>
      </c>
      <c r="V98" s="106">
        <v>10.104847488424568</v>
      </c>
      <c r="W98" s="106">
        <v>12768.485286373283</v>
      </c>
      <c r="X98" s="106">
        <v>10.829763417088522</v>
      </c>
      <c r="Y98" s="106">
        <v>13684.489053833055</v>
      </c>
      <c r="Z98" s="106">
        <v>11.893337028765108</v>
      </c>
      <c r="AA98" s="106">
        <v>15028.42066954759</v>
      </c>
      <c r="AB98" s="106">
        <v>3.7684042642565361</v>
      </c>
      <c r="AC98" s="106">
        <v>4761.7556283145586</v>
      </c>
      <c r="AD98" s="106">
        <v>4.4968813572882338</v>
      </c>
      <c r="AE98" s="106">
        <v>5682.259283069412</v>
      </c>
      <c r="AF98" s="106">
        <v>6.0955955037937919</v>
      </c>
      <c r="AG98" s="106">
        <v>7702.3944785938347</v>
      </c>
      <c r="AH98" s="106">
        <v>6.2087096471631611</v>
      </c>
      <c r="AI98" s="106">
        <v>7845.3255101553696</v>
      </c>
      <c r="AJ98" s="106">
        <v>7.7641145758211874</v>
      </c>
      <c r="AK98" s="106">
        <v>9810.7351780076515</v>
      </c>
      <c r="AL98" s="106">
        <v>5.0460396797220497</v>
      </c>
      <c r="AM98" s="106">
        <v>6376.1757392967811</v>
      </c>
      <c r="AN98" s="106">
        <v>7.5714658332119367</v>
      </c>
      <c r="AO98" s="106">
        <v>9567.3042268466033</v>
      </c>
      <c r="AP98" s="106">
        <v>8.8047490610354782</v>
      </c>
      <c r="AQ98" s="106">
        <v>11125.680913524429</v>
      </c>
      <c r="AR98" s="106">
        <v>4.1378955521953129</v>
      </c>
      <c r="AS98" s="106">
        <v>5228.6448197539967</v>
      </c>
      <c r="AT98" s="106">
        <v>3.3295039467873355</v>
      </c>
      <c r="AU98" s="106">
        <v>4207.1611871604773</v>
      </c>
      <c r="AV98" s="106">
        <v>8.1266697703537591</v>
      </c>
      <c r="AW98" s="106">
        <v>10268.85992181901</v>
      </c>
      <c r="AX98" s="106">
        <v>5.1127966249012529</v>
      </c>
      <c r="AY98" s="106">
        <v>6460.5298152252226</v>
      </c>
      <c r="AZ98" s="106">
        <v>7.0295693513560016</v>
      </c>
      <c r="BA98" s="106">
        <v>8882.5638323734438</v>
      </c>
      <c r="BB98" s="106">
        <v>8.2485168399222957</v>
      </c>
      <c r="BC98" s="106">
        <v>10422.825878925813</v>
      </c>
      <c r="BD98" s="106">
        <v>6.9223544341934096</v>
      </c>
      <c r="BE98" s="106">
        <v>8747.0870630467925</v>
      </c>
      <c r="BF98" s="106">
        <v>8.1384437266868481</v>
      </c>
      <c r="BG98" s="106">
        <v>10283.737493041501</v>
      </c>
      <c r="BH98" s="106">
        <v>6.9394072780792966</v>
      </c>
      <c r="BI98" s="106">
        <v>8768.6350365809976</v>
      </c>
      <c r="BJ98" s="106">
        <v>5.3345696408959009</v>
      </c>
      <c r="BK98" s="106">
        <v>6740.7621982360597</v>
      </c>
      <c r="BL98" s="106">
        <v>6.5765201831812909</v>
      </c>
      <c r="BM98" s="106">
        <v>8310.0909034678789</v>
      </c>
      <c r="BN98" s="106">
        <v>3.4368820166342902</v>
      </c>
      <c r="BO98" s="106">
        <v>4342.8441162190884</v>
      </c>
      <c r="BP98" s="106">
        <v>9.9269463859562368</v>
      </c>
      <c r="BQ98" s="106">
        <v>12543.689453294301</v>
      </c>
      <c r="BR98" s="106">
        <v>8.5579570965196154</v>
      </c>
      <c r="BS98" s="106">
        <v>10813.834587162186</v>
      </c>
      <c r="BT98" s="106">
        <v>8.9265538899430847</v>
      </c>
      <c r="BU98" s="106">
        <v>11279.593495332081</v>
      </c>
      <c r="BV98" s="106">
        <v>8.8981890523493696</v>
      </c>
      <c r="BW98" s="106">
        <v>11243.751686548663</v>
      </c>
      <c r="BX98" s="106">
        <v>18.03278224061695</v>
      </c>
      <c r="BY98" s="106">
        <v>22786.223639243577</v>
      </c>
      <c r="BZ98" s="106">
        <v>15.363532758481082</v>
      </c>
      <c r="CA98" s="106">
        <v>19413.359993616694</v>
      </c>
      <c r="CB98" s="106">
        <v>18.638138051058466</v>
      </c>
      <c r="CC98" s="106">
        <v>23551.151241317475</v>
      </c>
      <c r="CD98" s="106">
        <v>18.813545238315047</v>
      </c>
      <c r="CE98" s="106">
        <v>23772.795763134891</v>
      </c>
      <c r="CF98" s="106">
        <v>4.9176225022440931</v>
      </c>
      <c r="CG98" s="106">
        <v>6213.9077938356359</v>
      </c>
      <c r="CH98" s="106">
        <v>5.4029141965444971</v>
      </c>
      <c r="CI98" s="106">
        <v>6827.1223787536264</v>
      </c>
      <c r="CJ98" s="106">
        <v>5.1408009882614314</v>
      </c>
      <c r="CK98" s="106">
        <v>6495.9161287671441</v>
      </c>
      <c r="CL98" s="106">
        <v>0</v>
      </c>
      <c r="CM98" s="106">
        <v>0</v>
      </c>
      <c r="CN98" s="106">
        <v>33.199937164346146</v>
      </c>
      <c r="CO98" s="106">
        <v>41951.440600867783</v>
      </c>
      <c r="CP98" s="106">
        <v>13.704094942151123</v>
      </c>
      <c r="CQ98" s="106">
        <v>17316.494368902157</v>
      </c>
      <c r="CR98" s="106">
        <v>12.593102921717763</v>
      </c>
      <c r="CS98" s="106">
        <v>15912.644851882565</v>
      </c>
      <c r="CT98" s="106">
        <v>12.188327208901283</v>
      </c>
      <c r="CU98" s="106">
        <v>15401.170261167661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7.1748376696047904</v>
      </c>
      <c r="I99" s="106">
        <v>39329.590169705618</v>
      </c>
      <c r="J99" s="106">
        <v>6.9479099650995231</v>
      </c>
      <c r="K99" s="106">
        <v>38085.663264689545</v>
      </c>
      <c r="L99" s="106">
        <v>6.3588304907066489</v>
      </c>
      <c r="M99" s="106">
        <v>34856.565217857562</v>
      </c>
      <c r="N99" s="106">
        <v>5.5930280899529876</v>
      </c>
      <c r="O99" s="106">
        <v>30658.742777886295</v>
      </c>
      <c r="P99" s="106">
        <v>6.2660406895547061</v>
      </c>
      <c r="Q99" s="106">
        <v>34347.928643863073</v>
      </c>
      <c r="R99" s="106">
        <v>3.9366025767879922</v>
      </c>
      <c r="S99" s="106">
        <v>21578.880684921056</v>
      </c>
      <c r="T99" s="106">
        <v>6.1344011792699433</v>
      </c>
      <c r="U99" s="106">
        <v>33626.333504286114</v>
      </c>
      <c r="V99" s="106">
        <v>5.3783865664195281</v>
      </c>
      <c r="W99" s="106">
        <v>29482.163802485284</v>
      </c>
      <c r="X99" s="106">
        <v>5.4148817085442609</v>
      </c>
      <c r="Y99" s="106">
        <v>29682.215573556219</v>
      </c>
      <c r="Z99" s="106">
        <v>5.4645062024055902</v>
      </c>
      <c r="AA99" s="106">
        <v>29954.237199106479</v>
      </c>
      <c r="AB99" s="106">
        <v>2.6917173316118115</v>
      </c>
      <c r="AC99" s="106">
        <v>14754.917724963305</v>
      </c>
      <c r="AD99" s="106">
        <v>3.4975743890019593</v>
      </c>
      <c r="AE99" s="106">
        <v>19172.303770753137</v>
      </c>
      <c r="AF99" s="106">
        <v>3.8790153205960496</v>
      </c>
      <c r="AG99" s="106">
        <v>21263.210381379304</v>
      </c>
      <c r="AH99" s="106">
        <v>5.0798533476789505</v>
      </c>
      <c r="AI99" s="106">
        <v>27845.724110636933</v>
      </c>
      <c r="AJ99" s="106">
        <v>5.0091061779491532</v>
      </c>
      <c r="AK99" s="106">
        <v>27457.916425046074</v>
      </c>
      <c r="AL99" s="106">
        <v>3.7845297597915377</v>
      </c>
      <c r="AM99" s="106">
        <v>20745.27833127329</v>
      </c>
      <c r="AN99" s="106">
        <v>5.2217005746289216</v>
      </c>
      <c r="AO99" s="106">
        <v>28623.273869885892</v>
      </c>
      <c r="AP99" s="106">
        <v>5.0694009745355775</v>
      </c>
      <c r="AQ99" s="106">
        <v>27788.428382014219</v>
      </c>
      <c r="AR99" s="106">
        <v>3.1034216641464853</v>
      </c>
      <c r="AS99" s="106">
        <v>17011.716194185374</v>
      </c>
      <c r="AT99" s="106">
        <v>2.0809399667420845</v>
      </c>
      <c r="AU99" s="106">
        <v>11406.880521693409</v>
      </c>
      <c r="AV99" s="106">
        <v>5.0010275509869286</v>
      </c>
      <c r="AW99" s="106">
        <v>27413.632623489946</v>
      </c>
      <c r="AX99" s="106">
        <v>3.0298054073488903</v>
      </c>
      <c r="AY99" s="106">
        <v>16608.181320923675</v>
      </c>
      <c r="AZ99" s="106">
        <v>4.3258888316036934</v>
      </c>
      <c r="BA99" s="106">
        <v>23712.792219318802</v>
      </c>
      <c r="BB99" s="106">
        <v>5.6708553274465787</v>
      </c>
      <c r="BC99" s="106">
        <v>31085.360562931164</v>
      </c>
      <c r="BD99" s="106">
        <v>5.0344395885042985</v>
      </c>
      <c r="BE99" s="106">
        <v>27596.784048345158</v>
      </c>
      <c r="BF99" s="106">
        <v>5.1790096442552667</v>
      </c>
      <c r="BG99" s="106">
        <v>28389.259265949666</v>
      </c>
      <c r="BH99" s="106">
        <v>4.3072183105319777</v>
      </c>
      <c r="BI99" s="106">
        <v>23610.447891012085</v>
      </c>
      <c r="BJ99" s="106">
        <v>3.3692018784605686</v>
      </c>
      <c r="BK99" s="106">
        <v>18468.617016969452</v>
      </c>
      <c r="BL99" s="106">
        <v>4.7350945318905291</v>
      </c>
      <c r="BM99" s="106">
        <v>25955.894186011123</v>
      </c>
      <c r="BN99" s="106">
        <v>2.5203801455318131</v>
      </c>
      <c r="BO99" s="106">
        <v>13815.715805747186</v>
      </c>
      <c r="BP99" s="106">
        <v>6.0530160889977056</v>
      </c>
      <c r="BQ99" s="106">
        <v>33180.212993449823</v>
      </c>
      <c r="BR99" s="106">
        <v>5.4200394944624239</v>
      </c>
      <c r="BS99" s="106">
        <v>29710.488492845219</v>
      </c>
      <c r="BT99" s="106">
        <v>5.9510359266287223</v>
      </c>
      <c r="BU99" s="106">
        <v>32621.198535408002</v>
      </c>
      <c r="BV99" s="106">
        <v>5.4758086475996119</v>
      </c>
      <c r="BW99" s="106">
        <v>30016.192682682031</v>
      </c>
      <c r="BX99" s="106">
        <v>8.4598237672030141</v>
      </c>
      <c r="BY99" s="106">
        <v>46373.369962300036</v>
      </c>
      <c r="BZ99" s="106">
        <v>7.2298977686969801</v>
      </c>
      <c r="CA99" s="106">
        <v>39631.407608889363</v>
      </c>
      <c r="CB99" s="106">
        <v>8.1541853973380789</v>
      </c>
      <c r="CC99" s="106">
        <v>44697.982674048406</v>
      </c>
      <c r="CD99" s="106">
        <v>9.7238548422751929</v>
      </c>
      <c r="CE99" s="106">
        <v>53302.282703415694</v>
      </c>
      <c r="CF99" s="106">
        <v>4.0980187518700779</v>
      </c>
      <c r="CG99" s="106">
        <v>22463.699590251017</v>
      </c>
      <c r="CH99" s="106">
        <v>4.2022665973123869</v>
      </c>
      <c r="CI99" s="106">
        <v>23035.144579827578</v>
      </c>
      <c r="CJ99" s="106">
        <v>3.8556007411960733</v>
      </c>
      <c r="CK99" s="106">
        <v>21134.861022940393</v>
      </c>
      <c r="CL99" s="106">
        <v>0</v>
      </c>
      <c r="CM99" s="106">
        <v>0</v>
      </c>
      <c r="CN99" s="106">
        <v>17.814600429649154</v>
      </c>
      <c r="CO99" s="106">
        <v>97652.513715164794</v>
      </c>
      <c r="CP99" s="106">
        <v>8.0219092344299252</v>
      </c>
      <c r="CQ99" s="106">
        <v>43972.897659451075</v>
      </c>
      <c r="CR99" s="106">
        <v>7.7183534036334676</v>
      </c>
      <c r="CS99" s="106">
        <v>42308.926017357211</v>
      </c>
      <c r="CT99" s="106">
        <v>7.8353532057222539</v>
      </c>
      <c r="CU99" s="106">
        <v>42950.272132487102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12.969898864285582</v>
      </c>
      <c r="I100" s="106">
        <v>21042.363917416926</v>
      </c>
      <c r="J100" s="106">
        <v>10.560823146951277</v>
      </c>
      <c r="K100" s="106">
        <v>17133.87947361375</v>
      </c>
      <c r="L100" s="106">
        <v>9.5382457360599719</v>
      </c>
      <c r="M100" s="106">
        <v>15474.849882183697</v>
      </c>
      <c r="N100" s="106">
        <v>9.3217134832549782</v>
      </c>
      <c r="O100" s="106">
        <v>15123.547955232876</v>
      </c>
      <c r="P100" s="106">
        <v>8.8768909768691664</v>
      </c>
      <c r="Q100" s="106">
        <v>14401.867920872535</v>
      </c>
      <c r="R100" s="106">
        <v>6.8890545093789859</v>
      </c>
      <c r="S100" s="106">
        <v>11176.802036016466</v>
      </c>
      <c r="T100" s="106">
        <v>12.999088213214879</v>
      </c>
      <c r="U100" s="106">
        <v>21089.720717119817</v>
      </c>
      <c r="V100" s="106">
        <v>10.756773132839056</v>
      </c>
      <c r="W100" s="106">
        <v>17451.788730718083</v>
      </c>
      <c r="X100" s="106">
        <v>8.6299677229924168</v>
      </c>
      <c r="Y100" s="106">
        <v>14001.259633782896</v>
      </c>
      <c r="Z100" s="106">
        <v>10.607570863493203</v>
      </c>
      <c r="AA100" s="106">
        <v>17209.722968931372</v>
      </c>
      <c r="AB100" s="106">
        <v>3.2300607979341738</v>
      </c>
      <c r="AC100" s="106">
        <v>5240.4506385684035</v>
      </c>
      <c r="AD100" s="106">
        <v>4.9965348414313704</v>
      </c>
      <c r="AE100" s="106">
        <v>8106.3781267382547</v>
      </c>
      <c r="AF100" s="106">
        <v>4.9873054121949201</v>
      </c>
      <c r="AG100" s="106">
        <v>8091.4043007450373</v>
      </c>
      <c r="AH100" s="106">
        <v>6.2087096471631611</v>
      </c>
      <c r="AI100" s="106">
        <v>10073.010531557511</v>
      </c>
      <c r="AJ100" s="106">
        <v>6.7622933402313565</v>
      </c>
      <c r="AK100" s="106">
        <v>10971.144715191353</v>
      </c>
      <c r="AL100" s="106">
        <v>5.8029456316803572</v>
      </c>
      <c r="AM100" s="106">
        <v>9414.69899283821</v>
      </c>
      <c r="AN100" s="106">
        <v>7.8325508619433819</v>
      </c>
      <c r="AO100" s="106">
        <v>12707.530518416941</v>
      </c>
      <c r="AP100" s="106">
        <v>7.4706961729997987</v>
      </c>
      <c r="AQ100" s="106">
        <v>12120.457471074873</v>
      </c>
      <c r="AR100" s="106">
        <v>4.1378955521953129</v>
      </c>
      <c r="AS100" s="106">
        <v>6713.3217438816755</v>
      </c>
      <c r="AT100" s="106">
        <v>3.4682332779034741</v>
      </c>
      <c r="AU100" s="106">
        <v>5626.8616700705961</v>
      </c>
      <c r="AV100" s="106">
        <v>7.5015413264803925</v>
      </c>
      <c r="AW100" s="106">
        <v>12170.500648081788</v>
      </c>
      <c r="AX100" s="106">
        <v>5.3021594628605575</v>
      </c>
      <c r="AY100" s="106">
        <v>8602.2235125449679</v>
      </c>
      <c r="AZ100" s="106">
        <v>6.4888332474055401</v>
      </c>
      <c r="BA100" s="106">
        <v>10527.483060590748</v>
      </c>
      <c r="BB100" s="106">
        <v>8.2485168399222957</v>
      </c>
      <c r="BC100" s="106">
        <v>13382.393721089931</v>
      </c>
      <c r="BD100" s="106">
        <v>7.5516593827564469</v>
      </c>
      <c r="BE100" s="106">
        <v>12251.812182584059</v>
      </c>
      <c r="BF100" s="106">
        <v>8.1384437266868481</v>
      </c>
      <c r="BG100" s="106">
        <v>13203.811102176742</v>
      </c>
      <c r="BH100" s="106">
        <v>6.7001173719386315</v>
      </c>
      <c r="BI100" s="106">
        <v>10870.270424233235</v>
      </c>
      <c r="BJ100" s="106">
        <v>5.3345696408959009</v>
      </c>
      <c r="BK100" s="106">
        <v>8654.8057853895098</v>
      </c>
      <c r="BL100" s="106">
        <v>6.5765201831812909</v>
      </c>
      <c r="BM100" s="106">
        <v>10669.746345193325</v>
      </c>
      <c r="BN100" s="106">
        <v>3.4368820166342902</v>
      </c>
      <c r="BO100" s="106">
        <v>5575.9973837874722</v>
      </c>
      <c r="BP100" s="106">
        <v>8.2321018810368791</v>
      </c>
      <c r="BQ100" s="106">
        <v>13355.762091794231</v>
      </c>
      <c r="BR100" s="106">
        <v>8.8432223330702691</v>
      </c>
      <c r="BS100" s="106">
        <v>14347.243913173203</v>
      </c>
      <c r="BT100" s="106">
        <v>9.2571669969780128</v>
      </c>
      <c r="BU100" s="106">
        <v>15018.827735897126</v>
      </c>
      <c r="BV100" s="106">
        <v>8.5559510118743933</v>
      </c>
      <c r="BW100" s="106">
        <v>13881.174921665015</v>
      </c>
      <c r="BX100" s="106">
        <v>15.361258945710736</v>
      </c>
      <c r="BY100" s="106">
        <v>24922.106513521096</v>
      </c>
      <c r="BZ100" s="106">
        <v>15.363532758481082</v>
      </c>
      <c r="CA100" s="106">
        <v>24925.795547359703</v>
      </c>
      <c r="CB100" s="106">
        <v>14.561045352389426</v>
      </c>
      <c r="CC100" s="106">
        <v>23623.839979716602</v>
      </c>
      <c r="CD100" s="106">
        <v>17.333828197099258</v>
      </c>
      <c r="CE100" s="106">
        <v>28122.402866973833</v>
      </c>
      <c r="CF100" s="106">
        <v>4.507820627057086</v>
      </c>
      <c r="CG100" s="106">
        <v>7313.4881853374154</v>
      </c>
      <c r="CH100" s="106">
        <v>4.8025903969284425</v>
      </c>
      <c r="CI100" s="106">
        <v>7791.7226599767046</v>
      </c>
      <c r="CJ100" s="106">
        <v>5.5692010706165505</v>
      </c>
      <c r="CK100" s="106">
        <v>9035.471816968291</v>
      </c>
      <c r="CL100" s="106">
        <v>0</v>
      </c>
      <c r="CM100" s="106">
        <v>0</v>
      </c>
      <c r="CN100" s="106">
        <v>29.96091890440994</v>
      </c>
      <c r="CO100" s="106">
        <v>48608.594830514681</v>
      </c>
      <c r="CP100" s="106">
        <v>12.032863851644889</v>
      </c>
      <c r="CQ100" s="106">
        <v>19522.118312908668</v>
      </c>
      <c r="CR100" s="106">
        <v>11.37441554219669</v>
      </c>
      <c r="CS100" s="106">
        <v>18453.85177565991</v>
      </c>
      <c r="CT100" s="106">
        <v>10.447137607629671</v>
      </c>
      <c r="CU100" s="106">
        <v>16949.436054618378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12.417988274315983</v>
      </c>
      <c r="I101" s="106">
        <v>14782.373241745743</v>
      </c>
      <c r="J101" s="106">
        <v>11.672488741367198</v>
      </c>
      <c r="K101" s="106">
        <v>13894.930597723511</v>
      </c>
      <c r="L101" s="106">
        <v>10.810011834201303</v>
      </c>
      <c r="M101" s="106">
        <v>12868.23808743323</v>
      </c>
      <c r="N101" s="106">
        <v>8.7002659177046464</v>
      </c>
      <c r="O101" s="106">
        <v>10356.79654843561</v>
      </c>
      <c r="P101" s="106">
        <v>9.9212310917949509</v>
      </c>
      <c r="Q101" s="106">
        <v>11810.233491672709</v>
      </c>
      <c r="R101" s="106">
        <v>7.1350921704282353</v>
      </c>
      <c r="S101" s="106">
        <v>8493.6137196777709</v>
      </c>
      <c r="T101" s="106">
        <v>12.999088213214879</v>
      </c>
      <c r="U101" s="106">
        <v>15474.114609010991</v>
      </c>
      <c r="V101" s="106">
        <v>10.26782889952819</v>
      </c>
      <c r="W101" s="106">
        <v>12222.823521998356</v>
      </c>
      <c r="X101" s="106">
        <v>10.491333310304507</v>
      </c>
      <c r="Y101" s="106">
        <v>12488.883172586484</v>
      </c>
      <c r="Z101" s="106">
        <v>10.768291634152192</v>
      </c>
      <c r="AA101" s="106">
        <v>12818.574361294768</v>
      </c>
      <c r="AB101" s="106">
        <v>3.2300607979341738</v>
      </c>
      <c r="AC101" s="106">
        <v>3845.0643738608401</v>
      </c>
      <c r="AD101" s="106">
        <v>4.9965348414313704</v>
      </c>
      <c r="AE101" s="106">
        <v>5947.8750752399028</v>
      </c>
      <c r="AF101" s="106">
        <v>5.5414504579943564</v>
      </c>
      <c r="AG101" s="106">
        <v>6596.5426251964809</v>
      </c>
      <c r="AH101" s="106">
        <v>6.2087096471631611</v>
      </c>
      <c r="AI101" s="106">
        <v>7390.8479639830257</v>
      </c>
      <c r="AJ101" s="106">
        <v>8.0145698847186448</v>
      </c>
      <c r="AK101" s="106">
        <v>9540.5439907690743</v>
      </c>
      <c r="AL101" s="106">
        <v>5.5506436476942556</v>
      </c>
      <c r="AM101" s="106">
        <v>6607.4861982152406</v>
      </c>
      <c r="AN101" s="106">
        <v>8.3547209194062741</v>
      </c>
      <c r="AO101" s="106">
        <v>9945.4597824612283</v>
      </c>
      <c r="AP101" s="106">
        <v>8.0043173282140696</v>
      </c>
      <c r="AQ101" s="106">
        <v>9528.3393475060275</v>
      </c>
      <c r="AR101" s="106">
        <v>4.8275448108945325</v>
      </c>
      <c r="AS101" s="106">
        <v>5746.7093428888511</v>
      </c>
      <c r="AT101" s="106">
        <v>3.8844212712518913</v>
      </c>
      <c r="AU101" s="106">
        <v>4624.0150812982511</v>
      </c>
      <c r="AV101" s="106">
        <v>7.6578234374487346</v>
      </c>
      <c r="AW101" s="106">
        <v>9115.873019938972</v>
      </c>
      <c r="AX101" s="106">
        <v>5.491522300819863</v>
      </c>
      <c r="AY101" s="106">
        <v>6537.1081468959646</v>
      </c>
      <c r="AZ101" s="106">
        <v>5.9480971434550787</v>
      </c>
      <c r="BA101" s="106">
        <v>7080.6148395689252</v>
      </c>
      <c r="BB101" s="106">
        <v>9.7951137474077257</v>
      </c>
      <c r="BC101" s="106">
        <v>11660.103404914154</v>
      </c>
      <c r="BD101" s="106">
        <v>7.5516593827564469</v>
      </c>
      <c r="BE101" s="106">
        <v>8989.4953292332739</v>
      </c>
      <c r="BF101" s="106">
        <v>8.1384437266868481</v>
      </c>
      <c r="BG101" s="106">
        <v>9688.0034122480229</v>
      </c>
      <c r="BH101" s="106">
        <v>7.4179870903606266</v>
      </c>
      <c r="BI101" s="106">
        <v>8830.3718323652884</v>
      </c>
      <c r="BJ101" s="106">
        <v>5.615336464100948</v>
      </c>
      <c r="BK101" s="106">
        <v>6684.4965268657679</v>
      </c>
      <c r="BL101" s="106">
        <v>6.8395809905085425</v>
      </c>
      <c r="BM101" s="106">
        <v>8141.8372111013678</v>
      </c>
      <c r="BN101" s="106">
        <v>3.8951329521855289</v>
      </c>
      <c r="BO101" s="106">
        <v>4636.7662662816529</v>
      </c>
      <c r="BP101" s="106">
        <v>9.2005844552765108</v>
      </c>
      <c r="BQ101" s="106">
        <v>10952.375735561158</v>
      </c>
      <c r="BR101" s="106">
        <v>10.269548515823539</v>
      </c>
      <c r="BS101" s="106">
        <v>12224.87055323634</v>
      </c>
      <c r="BT101" s="106">
        <v>8.265327675873225</v>
      </c>
      <c r="BU101" s="106">
        <v>9839.0460653594855</v>
      </c>
      <c r="BV101" s="106">
        <v>8.5559510118743933</v>
      </c>
      <c r="BW101" s="106">
        <v>10185.004084535276</v>
      </c>
      <c r="BX101" s="106">
        <v>16.02913976943729</v>
      </c>
      <c r="BY101" s="106">
        <v>19081.087981538149</v>
      </c>
      <c r="BZ101" s="106">
        <v>15.589467063752865</v>
      </c>
      <c r="CA101" s="106">
        <v>18557.70159269141</v>
      </c>
      <c r="CB101" s="106">
        <v>18.638138051058466</v>
      </c>
      <c r="CC101" s="106">
        <v>22186.839535979994</v>
      </c>
      <c r="CD101" s="106">
        <v>19.870485982040613</v>
      </c>
      <c r="CE101" s="106">
        <v>23653.826513021144</v>
      </c>
      <c r="CF101" s="106">
        <v>4.9176225022440931</v>
      </c>
      <c r="CG101" s="106">
        <v>5853.9378266713675</v>
      </c>
      <c r="CH101" s="106">
        <v>4.8025903969284425</v>
      </c>
      <c r="CI101" s="106">
        <v>5717.0036085036172</v>
      </c>
      <c r="CJ101" s="106">
        <v>5.5692010706165505</v>
      </c>
      <c r="CK101" s="106">
        <v>6629.5769544619407</v>
      </c>
      <c r="CL101" s="106">
        <v>0</v>
      </c>
      <c r="CM101" s="106">
        <v>0</v>
      </c>
      <c r="CN101" s="106">
        <v>30.770673469393991</v>
      </c>
      <c r="CO101" s="106">
        <v>36629.409697966599</v>
      </c>
      <c r="CP101" s="106">
        <v>13.704094942151123</v>
      </c>
      <c r="CQ101" s="106">
        <v>16313.354619136695</v>
      </c>
      <c r="CR101" s="106">
        <v>11.37441554219669</v>
      </c>
      <c r="CS101" s="106">
        <v>13540.104261430939</v>
      </c>
      <c r="CT101" s="106">
        <v>13.058922009537088</v>
      </c>
      <c r="CU101" s="106">
        <v>15545.340760152949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13.245854159270381</v>
      </c>
      <c r="I102" s="106">
        <v>25686.360385657121</v>
      </c>
      <c r="J102" s="106">
        <v>10.282906748347296</v>
      </c>
      <c r="K102" s="106">
        <v>19940.612766395076</v>
      </c>
      <c r="L102" s="106">
        <v>9.2203042115246401</v>
      </c>
      <c r="M102" s="106">
        <v>17880.01392698858</v>
      </c>
      <c r="N102" s="106">
        <v>8.0788183521543147</v>
      </c>
      <c r="O102" s="106">
        <v>15666.444548497646</v>
      </c>
      <c r="P102" s="106">
        <v>8.8768909768691664</v>
      </c>
      <c r="Q102" s="106">
        <v>17214.066982344684</v>
      </c>
      <c r="R102" s="106">
        <v>6.3969791872804871</v>
      </c>
      <c r="S102" s="106">
        <v>12405.022039974319</v>
      </c>
      <c r="T102" s="106">
        <v>12.268802358539887</v>
      </c>
      <c r="U102" s="106">
        <v>23791.661533680544</v>
      </c>
      <c r="V102" s="106">
        <v>8.800996199595593</v>
      </c>
      <c r="W102" s="106">
        <v>17066.891830255772</v>
      </c>
      <c r="X102" s="106">
        <v>9.4760429899524574</v>
      </c>
      <c r="Y102" s="106">
        <v>18375.942566115802</v>
      </c>
      <c r="Z102" s="106">
        <v>10.125408551516241</v>
      </c>
      <c r="AA102" s="106">
        <v>19635.192263100293</v>
      </c>
      <c r="AB102" s="106">
        <v>3.2300607979341738</v>
      </c>
      <c r="AC102" s="106">
        <v>6263.7338993539488</v>
      </c>
      <c r="AD102" s="106">
        <v>4.9965348414313704</v>
      </c>
      <c r="AE102" s="106">
        <v>9689.2803645037129</v>
      </c>
      <c r="AF102" s="106">
        <v>4.9873054121949201</v>
      </c>
      <c r="AG102" s="106">
        <v>9671.3826553283889</v>
      </c>
      <c r="AH102" s="106">
        <v>5.6442814974210558</v>
      </c>
      <c r="AI102" s="106">
        <v>10945.390679798911</v>
      </c>
      <c r="AJ102" s="106">
        <v>6.7622933402313565</v>
      </c>
      <c r="AK102" s="106">
        <v>13113.439245376645</v>
      </c>
      <c r="AL102" s="106">
        <v>5.5506436476942556</v>
      </c>
      <c r="AM102" s="106">
        <v>10763.8081616087</v>
      </c>
      <c r="AN102" s="106">
        <v>7.0492957757490435</v>
      </c>
      <c r="AO102" s="106">
        <v>13669.994368332544</v>
      </c>
      <c r="AP102" s="106">
        <v>8.5379384834283414</v>
      </c>
      <c r="AQ102" s="106">
        <v>16556.770307064238</v>
      </c>
      <c r="AR102" s="106">
        <v>4.7126032677779959</v>
      </c>
      <c r="AS102" s="106">
        <v>9138.6802568750882</v>
      </c>
      <c r="AT102" s="106">
        <v>2.9133159534389184</v>
      </c>
      <c r="AU102" s="106">
        <v>5649.5022969087504</v>
      </c>
      <c r="AV102" s="106">
        <v>7.032694993575368</v>
      </c>
      <c r="AW102" s="106">
        <v>13637.802131541352</v>
      </c>
      <c r="AX102" s="106">
        <v>5.1127966249012529</v>
      </c>
      <c r="AY102" s="106">
        <v>9914.735215008508</v>
      </c>
      <c r="AZ102" s="106">
        <v>6.4888332474055401</v>
      </c>
      <c r="BA102" s="106">
        <v>12583.145433368822</v>
      </c>
      <c r="BB102" s="106">
        <v>9.2795814449125835</v>
      </c>
      <c r="BC102" s="106">
        <v>17994.964337974481</v>
      </c>
      <c r="BD102" s="106">
        <v>6.9223544341934096</v>
      </c>
      <c r="BE102" s="106">
        <v>13423.829718787858</v>
      </c>
      <c r="BF102" s="106">
        <v>6.6587266854710574</v>
      </c>
      <c r="BG102" s="106">
        <v>12912.602788465474</v>
      </c>
      <c r="BH102" s="106">
        <v>6.4608274657979656</v>
      </c>
      <c r="BI102" s="106">
        <v>12528.836621675413</v>
      </c>
      <c r="BJ102" s="106">
        <v>5.0538028176908538</v>
      </c>
      <c r="BK102" s="106">
        <v>9800.3344240661027</v>
      </c>
      <c r="BL102" s="106">
        <v>6.5765201831812909</v>
      </c>
      <c r="BM102" s="106">
        <v>12753.187939225158</v>
      </c>
      <c r="BN102" s="106">
        <v>3.2077565488586708</v>
      </c>
      <c r="BO102" s="106">
        <v>6220.4814995467341</v>
      </c>
      <c r="BP102" s="106">
        <v>8.4742225245967866</v>
      </c>
      <c r="BQ102" s="106">
        <v>16433.212319698087</v>
      </c>
      <c r="BR102" s="106">
        <v>8.8432223330702691</v>
      </c>
      <c r="BS102" s="106">
        <v>17148.776748289863</v>
      </c>
      <c r="BT102" s="106">
        <v>8.265327675873225</v>
      </c>
      <c r="BU102" s="106">
        <v>16028.123429053356</v>
      </c>
      <c r="BV102" s="106">
        <v>7.5292368904494662</v>
      </c>
      <c r="BW102" s="106">
        <v>14600.696177959604</v>
      </c>
      <c r="BX102" s="106">
        <v>14.470751180741997</v>
      </c>
      <c r="BY102" s="106">
        <v>28061.68068969488</v>
      </c>
      <c r="BZ102" s="106">
        <v>13.104189705763277</v>
      </c>
      <c r="CA102" s="106">
        <v>25411.644677416145</v>
      </c>
      <c r="CB102" s="106">
        <v>15.72592898058058</v>
      </c>
      <c r="CC102" s="106">
        <v>30495.721479141859</v>
      </c>
      <c r="CD102" s="106">
        <v>16.065499304628581</v>
      </c>
      <c r="CE102" s="106">
        <v>31154.216251535741</v>
      </c>
      <c r="CF102" s="106">
        <v>4.9176225022440931</v>
      </c>
      <c r="CG102" s="106">
        <v>9536.2535563517449</v>
      </c>
      <c r="CH102" s="106">
        <v>4.8025903969284425</v>
      </c>
      <c r="CI102" s="106">
        <v>9313.1832977236354</v>
      </c>
      <c r="CJ102" s="106">
        <v>4.7124009059063114</v>
      </c>
      <c r="CK102" s="106">
        <v>9138.2878367335179</v>
      </c>
      <c r="CL102" s="106">
        <v>0</v>
      </c>
      <c r="CM102" s="106">
        <v>0</v>
      </c>
      <c r="CN102" s="106">
        <v>28.341409774441832</v>
      </c>
      <c r="CO102" s="106">
        <v>54959.661834597595</v>
      </c>
      <c r="CP102" s="106">
        <v>13.035602505948628</v>
      </c>
      <c r="CQ102" s="106">
        <v>25278.640379535576</v>
      </c>
      <c r="CR102" s="106">
        <v>11.37441554219669</v>
      </c>
      <c r="CS102" s="106">
        <v>22057.266619427821</v>
      </c>
      <c r="CT102" s="106">
        <v>9.5765428069938654</v>
      </c>
      <c r="CU102" s="106">
        <v>18570.831811322503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12.693943569300782</v>
      </c>
      <c r="I103" s="106">
        <v>25743.317558541985</v>
      </c>
      <c r="J103" s="106">
        <v>10.838739545555255</v>
      </c>
      <c r="K103" s="106">
        <v>21980.963798386056</v>
      </c>
      <c r="L103" s="106">
        <v>10.174128785130637</v>
      </c>
      <c r="M103" s="106">
        <v>20633.133176244934</v>
      </c>
      <c r="N103" s="106">
        <v>8.3895421349294814</v>
      </c>
      <c r="O103" s="106">
        <v>17013.991449636989</v>
      </c>
      <c r="P103" s="106">
        <v>8.8768909768691664</v>
      </c>
      <c r="Q103" s="106">
        <v>18002.334901090668</v>
      </c>
      <c r="R103" s="106">
        <v>6.8890545093789859</v>
      </c>
      <c r="S103" s="106">
        <v>13971.002545020583</v>
      </c>
      <c r="T103" s="106">
        <v>10.662173478254902</v>
      </c>
      <c r="U103" s="106">
        <v>21622.887813900939</v>
      </c>
      <c r="V103" s="106">
        <v>9.1269590218028362</v>
      </c>
      <c r="W103" s="106">
        <v>18509.472896216153</v>
      </c>
      <c r="X103" s="106">
        <v>9.3068279365604489</v>
      </c>
      <c r="Y103" s="106">
        <v>18874.247055344589</v>
      </c>
      <c r="Z103" s="106">
        <v>9.6432462395392768</v>
      </c>
      <c r="AA103" s="106">
        <v>19556.503373785654</v>
      </c>
      <c r="AB103" s="106">
        <v>3.7684042642565361</v>
      </c>
      <c r="AC103" s="106">
        <v>7642.3238479122556</v>
      </c>
      <c r="AD103" s="106">
        <v>3.9972278731450968</v>
      </c>
      <c r="AE103" s="106">
        <v>8106.3781267382565</v>
      </c>
      <c r="AF103" s="106">
        <v>4.9873054121949201</v>
      </c>
      <c r="AG103" s="106">
        <v>10114.255375931298</v>
      </c>
      <c r="AH103" s="106">
        <v>5.6442814974210558</v>
      </c>
      <c r="AI103" s="106">
        <v>11446.602876769901</v>
      </c>
      <c r="AJ103" s="106">
        <v>6.7622933402313565</v>
      </c>
      <c r="AK103" s="106">
        <v>13713.930893989191</v>
      </c>
      <c r="AL103" s="106">
        <v>4.7937376957359472</v>
      </c>
      <c r="AM103" s="106">
        <v>9721.700046952501</v>
      </c>
      <c r="AN103" s="106">
        <v>7.3103808044804905</v>
      </c>
      <c r="AO103" s="106">
        <v>14825.452271486434</v>
      </c>
      <c r="AP103" s="106">
        <v>8.0043173282140696</v>
      </c>
      <c r="AQ103" s="106">
        <v>16232.755541618133</v>
      </c>
      <c r="AR103" s="106">
        <v>4.1378955521953129</v>
      </c>
      <c r="AS103" s="106">
        <v>8391.6521798520953</v>
      </c>
      <c r="AT103" s="106">
        <v>3.1907746156711965</v>
      </c>
      <c r="AU103" s="106">
        <v>6470.890920581186</v>
      </c>
      <c r="AV103" s="106">
        <v>7.5015413264803925</v>
      </c>
      <c r="AW103" s="106">
        <v>15213.125810102236</v>
      </c>
      <c r="AX103" s="106">
        <v>4.3553452730640299</v>
      </c>
      <c r="AY103" s="106">
        <v>8832.6402137738532</v>
      </c>
      <c r="AZ103" s="106">
        <v>6.4888332474055401</v>
      </c>
      <c r="BA103" s="106">
        <v>13159.353825738435</v>
      </c>
      <c r="BB103" s="106">
        <v>9.2795814449125835</v>
      </c>
      <c r="BC103" s="106">
        <v>18818.991170282719</v>
      </c>
      <c r="BD103" s="106">
        <v>6.9223544341934096</v>
      </c>
      <c r="BE103" s="106">
        <v>14038.534792544235</v>
      </c>
      <c r="BF103" s="106">
        <v>7.3985852060789519</v>
      </c>
      <c r="BG103" s="106">
        <v>15004.330797928114</v>
      </c>
      <c r="BH103" s="106">
        <v>5.7429577473759696</v>
      </c>
      <c r="BI103" s="106">
        <v>11646.718311678467</v>
      </c>
      <c r="BJ103" s="106">
        <v>4.7730359944858058</v>
      </c>
      <c r="BK103" s="106">
        <v>9679.7169968172147</v>
      </c>
      <c r="BL103" s="106">
        <v>7.3657026051630456</v>
      </c>
      <c r="BM103" s="106">
        <v>14937.644883270657</v>
      </c>
      <c r="BN103" s="106">
        <v>3.6660074844099095</v>
      </c>
      <c r="BO103" s="106">
        <v>7434.6631783832963</v>
      </c>
      <c r="BP103" s="106">
        <v>9.2005844552765108</v>
      </c>
      <c r="BQ103" s="106">
        <v>18658.785275300765</v>
      </c>
      <c r="BR103" s="106">
        <v>8.8432223330702691</v>
      </c>
      <c r="BS103" s="106">
        <v>17934.054891466505</v>
      </c>
      <c r="BT103" s="106">
        <v>8.5959407829081531</v>
      </c>
      <c r="BU103" s="106">
        <v>17432.567907737735</v>
      </c>
      <c r="BV103" s="106">
        <v>7.8714749309244425</v>
      </c>
      <c r="BW103" s="106">
        <v>15963.35115991477</v>
      </c>
      <c r="BX103" s="106">
        <v>15.138632004468551</v>
      </c>
      <c r="BY103" s="106">
        <v>30701.145705062223</v>
      </c>
      <c r="BZ103" s="106">
        <v>13.556058316306839</v>
      </c>
      <c r="CA103" s="106">
        <v>27491.686265470267</v>
      </c>
      <c r="CB103" s="106">
        <v>14.852266259437215</v>
      </c>
      <c r="CC103" s="106">
        <v>30120.395974138672</v>
      </c>
      <c r="CD103" s="106">
        <v>17.333828197099258</v>
      </c>
      <c r="CE103" s="106">
        <v>35153.003583717298</v>
      </c>
      <c r="CF103" s="106">
        <v>4.9176225022440931</v>
      </c>
      <c r="CG103" s="106">
        <v>9972.9384345510207</v>
      </c>
      <c r="CH103" s="106">
        <v>5.4029141965444971</v>
      </c>
      <c r="CI103" s="106">
        <v>10957.10999059224</v>
      </c>
      <c r="CJ103" s="106">
        <v>4.7124009059063114</v>
      </c>
      <c r="CK103" s="106">
        <v>9556.7490371780004</v>
      </c>
      <c r="CL103" s="106">
        <v>0</v>
      </c>
      <c r="CM103" s="106">
        <v>0</v>
      </c>
      <c r="CN103" s="106">
        <v>25.912146079489677</v>
      </c>
      <c r="CO103" s="106">
        <v>52549.832249205065</v>
      </c>
      <c r="CP103" s="106">
        <v>12.032863851644889</v>
      </c>
      <c r="CQ103" s="106">
        <v>24402.647891135835</v>
      </c>
      <c r="CR103" s="106">
        <v>11.780644668703713</v>
      </c>
      <c r="CS103" s="106">
        <v>23891.147388131132</v>
      </c>
      <c r="CT103" s="106">
        <v>10.011840207311767</v>
      </c>
      <c r="CU103" s="106">
        <v>20304.011940428263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12.693943569300782</v>
      </c>
      <c r="I104" s="106">
        <v>26306.928653018942</v>
      </c>
      <c r="J104" s="106">
        <v>9.4491575525353522</v>
      </c>
      <c r="K104" s="106">
        <v>19582.434111874263</v>
      </c>
      <c r="L104" s="106">
        <v>9.5382457360599719</v>
      </c>
      <c r="M104" s="106">
        <v>19767.060463410686</v>
      </c>
      <c r="N104" s="106">
        <v>8.3895421349294814</v>
      </c>
      <c r="O104" s="106">
        <v>17386.487120427857</v>
      </c>
      <c r="P104" s="106">
        <v>8.6158059481377212</v>
      </c>
      <c r="Q104" s="106">
        <v>17855.396246920613</v>
      </c>
      <c r="R104" s="106">
        <v>6.1509415262312368</v>
      </c>
      <c r="S104" s="106">
        <v>12747.211218961616</v>
      </c>
      <c r="T104" s="106">
        <v>11.830630845734891</v>
      </c>
      <c r="U104" s="106">
        <v>24517.79936470099</v>
      </c>
      <c r="V104" s="106">
        <v>9.2899404329064588</v>
      </c>
      <c r="W104" s="106">
        <v>19252.472553155345</v>
      </c>
      <c r="X104" s="106">
        <v>9.4760429899524574</v>
      </c>
      <c r="Y104" s="106">
        <v>19638.151492377474</v>
      </c>
      <c r="Z104" s="106">
        <v>9.8039670101982654</v>
      </c>
      <c r="AA104" s="106">
        <v>20317.741231934888</v>
      </c>
      <c r="AB104" s="106">
        <v>3.2300607979341738</v>
      </c>
      <c r="AC104" s="106">
        <v>6693.9779976387817</v>
      </c>
      <c r="AD104" s="106">
        <v>4.4968813572882338</v>
      </c>
      <c r="AE104" s="106">
        <v>9319.3369248441359</v>
      </c>
      <c r="AF104" s="106">
        <v>5.5414504579943564</v>
      </c>
      <c r="AG104" s="106">
        <v>11484.101929147504</v>
      </c>
      <c r="AH104" s="106">
        <v>6.7731377969052673</v>
      </c>
      <c r="AI104" s="106">
        <v>14036.650770306476</v>
      </c>
      <c r="AJ104" s="106">
        <v>6.0109274135389841</v>
      </c>
      <c r="AK104" s="106">
        <v>12457.045971818192</v>
      </c>
      <c r="AL104" s="106">
        <v>5.0460396797220497</v>
      </c>
      <c r="AM104" s="106">
        <v>10457.412632255977</v>
      </c>
      <c r="AN104" s="106">
        <v>8.0936358906748289</v>
      </c>
      <c r="AO104" s="106">
        <v>16773.251019834515</v>
      </c>
      <c r="AP104" s="106">
        <v>8.0043173282140696</v>
      </c>
      <c r="AQ104" s="106">
        <v>16588.147230990839</v>
      </c>
      <c r="AR104" s="106">
        <v>3.9080124659622406</v>
      </c>
      <c r="AS104" s="106">
        <v>8098.9650344601478</v>
      </c>
      <c r="AT104" s="106">
        <v>3.4682332779034741</v>
      </c>
      <c r="AU104" s="106">
        <v>7187.56664512716</v>
      </c>
      <c r="AV104" s="106">
        <v>6.5638486606703434</v>
      </c>
      <c r="AW104" s="106">
        <v>13602.919964373221</v>
      </c>
      <c r="AX104" s="106">
        <v>5.1127966249012529</v>
      </c>
      <c r="AY104" s="106">
        <v>10595.759725445358</v>
      </c>
      <c r="AZ104" s="106">
        <v>5.9480971434550787</v>
      </c>
      <c r="BA104" s="106">
        <v>12326.836520096305</v>
      </c>
      <c r="BB104" s="106">
        <v>7.7329845374271526</v>
      </c>
      <c r="BC104" s="106">
        <v>16025.837155364032</v>
      </c>
      <c r="BD104" s="106">
        <v>7.5516593827564469</v>
      </c>
      <c r="BE104" s="106">
        <v>15650.058904824462</v>
      </c>
      <c r="BF104" s="106">
        <v>6.6587266854710574</v>
      </c>
      <c r="BG104" s="106">
        <v>13799.54518297022</v>
      </c>
      <c r="BH104" s="106">
        <v>5.9822476535166347</v>
      </c>
      <c r="BI104" s="106">
        <v>12397.610037147875</v>
      </c>
      <c r="BJ104" s="106">
        <v>5.0538028176908538</v>
      </c>
      <c r="BK104" s="106">
        <v>10473.500959382525</v>
      </c>
      <c r="BL104" s="106">
        <v>6.0503985685267869</v>
      </c>
      <c r="BM104" s="106">
        <v>12538.845993414914</v>
      </c>
      <c r="BN104" s="106">
        <v>3.4368820166342902</v>
      </c>
      <c r="BO104" s="106">
        <v>7122.5942912729033</v>
      </c>
      <c r="BP104" s="106">
        <v>7.7478605939170624</v>
      </c>
      <c r="BQ104" s="106">
        <v>16056.666294833722</v>
      </c>
      <c r="BR104" s="106">
        <v>8.5579570965196154</v>
      </c>
      <c r="BS104" s="106">
        <v>17735.510286827252</v>
      </c>
      <c r="BT104" s="106">
        <v>8.5959407829081531</v>
      </c>
      <c r="BU104" s="106">
        <v>17814.227678498857</v>
      </c>
      <c r="BV104" s="106">
        <v>8.213712971399417</v>
      </c>
      <c r="BW104" s="106">
        <v>17022.098761928151</v>
      </c>
      <c r="BX104" s="106">
        <v>14.248124239499814</v>
      </c>
      <c r="BY104" s="106">
        <v>29527.812673939417</v>
      </c>
      <c r="BZ104" s="106">
        <v>13.104189705763277</v>
      </c>
      <c r="CA104" s="106">
        <v>27157.122746223817</v>
      </c>
      <c r="CB104" s="106">
        <v>16.017149887628371</v>
      </c>
      <c r="CC104" s="106">
        <v>33193.941427121033</v>
      </c>
      <c r="CD104" s="106">
        <v>17.122440048354147</v>
      </c>
      <c r="CE104" s="106">
        <v>35484.544756209136</v>
      </c>
      <c r="CF104" s="106">
        <v>5.3274243774311021</v>
      </c>
      <c r="CG104" s="106">
        <v>11040.554279788217</v>
      </c>
      <c r="CH104" s="106">
        <v>4.8025903969284425</v>
      </c>
      <c r="CI104" s="106">
        <v>9952.8883385945046</v>
      </c>
      <c r="CJ104" s="106">
        <v>5.1408009882614314</v>
      </c>
      <c r="CK104" s="106">
        <v>10653.795968072991</v>
      </c>
      <c r="CL104" s="106">
        <v>0</v>
      </c>
      <c r="CM104" s="106">
        <v>0</v>
      </c>
      <c r="CN104" s="106">
        <v>26.721900644473727</v>
      </c>
      <c r="CO104" s="106">
        <v>55378.466895607358</v>
      </c>
      <c r="CP104" s="106">
        <v>12.367110069746136</v>
      </c>
      <c r="CQ104" s="106">
        <v>25629.598908541895</v>
      </c>
      <c r="CR104" s="106">
        <v>11.37441554219669</v>
      </c>
      <c r="CS104" s="106">
        <v>23572.338769648421</v>
      </c>
      <c r="CT104" s="106">
        <v>9.5765428069938654</v>
      </c>
      <c r="CU104" s="106">
        <v>19846.427313214088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11.590122389361582</v>
      </c>
      <c r="I105" s="106">
        <v>23157.064533944442</v>
      </c>
      <c r="J105" s="106">
        <v>10.282906748347296</v>
      </c>
      <c r="K105" s="106">
        <v>20545.247683197897</v>
      </c>
      <c r="L105" s="106">
        <v>9.8561872605953056</v>
      </c>
      <c r="M105" s="106">
        <v>19692.66214666942</v>
      </c>
      <c r="N105" s="106">
        <v>7.4573707866039829</v>
      </c>
      <c r="O105" s="106">
        <v>14899.826831634758</v>
      </c>
      <c r="P105" s="106">
        <v>9.9212310917949509</v>
      </c>
      <c r="Q105" s="106">
        <v>19822.61972140631</v>
      </c>
      <c r="R105" s="106">
        <v>6.6430168483297365</v>
      </c>
      <c r="S105" s="106">
        <v>13272.747662962813</v>
      </c>
      <c r="T105" s="106">
        <v>12.268802358539887</v>
      </c>
      <c r="U105" s="106">
        <v>24513.067112362693</v>
      </c>
      <c r="V105" s="106">
        <v>10.26782889952819</v>
      </c>
      <c r="W105" s="106">
        <v>20515.122141257325</v>
      </c>
      <c r="X105" s="106">
        <v>7.9531075094243837</v>
      </c>
      <c r="Y105" s="106">
        <v>15890.308803829919</v>
      </c>
      <c r="Z105" s="106">
        <v>10.286129322175228</v>
      </c>
      <c r="AA105" s="106">
        <v>20551.686385706103</v>
      </c>
      <c r="AB105" s="106">
        <v>3.2300607979341738</v>
      </c>
      <c r="AC105" s="106">
        <v>6453.6614742724796</v>
      </c>
      <c r="AD105" s="106">
        <v>4.4968813572882338</v>
      </c>
      <c r="AE105" s="106">
        <v>8984.7689518618918</v>
      </c>
      <c r="AF105" s="106">
        <v>4.9873054121949201</v>
      </c>
      <c r="AG105" s="106">
        <v>9964.6362135654508</v>
      </c>
      <c r="AH105" s="106">
        <v>5.6442814974210558</v>
      </c>
      <c r="AI105" s="106">
        <v>11277.274431847269</v>
      </c>
      <c r="AJ105" s="106">
        <v>6.2613827224364416</v>
      </c>
      <c r="AK105" s="106">
        <v>12510.242679428011</v>
      </c>
      <c r="AL105" s="106">
        <v>4.7937376957359472</v>
      </c>
      <c r="AM105" s="106">
        <v>9577.8879160804227</v>
      </c>
      <c r="AN105" s="106">
        <v>7.8325508619433819</v>
      </c>
      <c r="AO105" s="106">
        <v>15649.436622162877</v>
      </c>
      <c r="AP105" s="106">
        <v>7.2038855953926628</v>
      </c>
      <c r="AQ105" s="106">
        <v>14393.36341959454</v>
      </c>
      <c r="AR105" s="106">
        <v>4.4827201815449227</v>
      </c>
      <c r="AS105" s="106">
        <v>8956.4749227267548</v>
      </c>
      <c r="AT105" s="106">
        <v>3.1907746156711965</v>
      </c>
      <c r="AU105" s="106">
        <v>6375.1676821110505</v>
      </c>
      <c r="AV105" s="106">
        <v>7.032694993575368</v>
      </c>
      <c r="AW105" s="106">
        <v>14051.324597163586</v>
      </c>
      <c r="AX105" s="106">
        <v>5.3021594628605575</v>
      </c>
      <c r="AY105" s="106">
        <v>10593.714606795395</v>
      </c>
      <c r="AZ105" s="106">
        <v>6.4888332474055401</v>
      </c>
      <c r="BA105" s="106">
        <v>12964.68882831627</v>
      </c>
      <c r="BB105" s="106">
        <v>8.2485168399222957</v>
      </c>
      <c r="BC105" s="106">
        <v>16480.536646164746</v>
      </c>
      <c r="BD105" s="106">
        <v>7.5516593827564469</v>
      </c>
      <c r="BE105" s="106">
        <v>15088.215446747381</v>
      </c>
      <c r="BF105" s="106">
        <v>6.6587266854710574</v>
      </c>
      <c r="BG105" s="106">
        <v>13304.135917571173</v>
      </c>
      <c r="BH105" s="106">
        <v>5.7429577473759696</v>
      </c>
      <c r="BI105" s="106">
        <v>11474.429579257187</v>
      </c>
      <c r="BJ105" s="106">
        <v>4.7730359944858058</v>
      </c>
      <c r="BK105" s="106">
        <v>9536.5259169826404</v>
      </c>
      <c r="BL105" s="106">
        <v>6.0503985685267869</v>
      </c>
      <c r="BM105" s="106">
        <v>12088.69633991652</v>
      </c>
      <c r="BN105" s="106">
        <v>3.6660074844099095</v>
      </c>
      <c r="BO105" s="106">
        <v>7324.6829538509992</v>
      </c>
      <c r="BP105" s="106">
        <v>7.7478605939170624</v>
      </c>
      <c r="BQ105" s="106">
        <v>15480.22546664629</v>
      </c>
      <c r="BR105" s="106">
        <v>9.4137528061715781</v>
      </c>
      <c r="BS105" s="106">
        <v>18808.678106730815</v>
      </c>
      <c r="BT105" s="106">
        <v>8.265327675873225</v>
      </c>
      <c r="BU105" s="106">
        <v>16514.124696394705</v>
      </c>
      <c r="BV105" s="106">
        <v>7.1869988499744908</v>
      </c>
      <c r="BW105" s="106">
        <v>14359.623702249033</v>
      </c>
      <c r="BX105" s="106">
        <v>15.806512828195105</v>
      </c>
      <c r="BY105" s="106">
        <v>31581.412630733819</v>
      </c>
      <c r="BZ105" s="106">
        <v>12.426386789947935</v>
      </c>
      <c r="CA105" s="106">
        <v>24827.920806315975</v>
      </c>
      <c r="CB105" s="106">
        <v>16.308370794676158</v>
      </c>
      <c r="CC105" s="106">
        <v>32584.124847762963</v>
      </c>
      <c r="CD105" s="106">
        <v>16.911051899609031</v>
      </c>
      <c r="CE105" s="106">
        <v>33788.281695418846</v>
      </c>
      <c r="CF105" s="106">
        <v>4.9176225022440931</v>
      </c>
      <c r="CG105" s="106">
        <v>9825.4097594836985</v>
      </c>
      <c r="CH105" s="106">
        <v>4.8025903969284425</v>
      </c>
      <c r="CI105" s="106">
        <v>9595.5756130630289</v>
      </c>
      <c r="CJ105" s="106">
        <v>4.2840008235511933</v>
      </c>
      <c r="CK105" s="106">
        <v>8559.4336454552849</v>
      </c>
      <c r="CL105" s="106">
        <v>0</v>
      </c>
      <c r="CM105" s="106">
        <v>0</v>
      </c>
      <c r="CN105" s="106">
        <v>29.151164339425886</v>
      </c>
      <c r="CO105" s="106">
        <v>58244.026350172921</v>
      </c>
      <c r="CP105" s="106">
        <v>11.698617633543643</v>
      </c>
      <c r="CQ105" s="106">
        <v>23373.8380318202</v>
      </c>
      <c r="CR105" s="106">
        <v>10.968186415689665</v>
      </c>
      <c r="CS105" s="106">
        <v>21914.436458547952</v>
      </c>
      <c r="CT105" s="106">
        <v>10.447137607629671</v>
      </c>
      <c r="CU105" s="106">
        <v>20873.38094004408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404.11244256910095</v>
      </c>
      <c r="E109" s="106">
        <f>SUM(L$6:L$19)+SUM(N$6:N$19)+SUM(P$6:P$19)+SUM(R$6:R$19)</f>
        <v>2961</v>
      </c>
      <c r="F109" s="106">
        <f>SUM(T$6:T$19)+SUM(V$6:V$19)+SUM(X$6:X$19)+SUM(Z$6:Z$19)</f>
        <v>350</v>
      </c>
      <c r="G109" s="106">
        <f>SUM(AB$6:AB$19)+SUM(AD$6:AD$19)+SUM(AF$6:AF$19)+SUM(AH$6:AH$19)</f>
        <v>1362</v>
      </c>
      <c r="H109" s="106">
        <f>SUM(AJ$6:AJ$19)+SUM(AL$6:AL$19)+SUM(AN$6:AN$19)+SUM(AP$6:AP$19)</f>
        <v>441</v>
      </c>
      <c r="I109" s="106">
        <f>SUM(AR$6:AR$19)+SUM(AT$6:AT$19)+SUM(AV$6:AV$19)+SUM(AX$6:AX$19)</f>
        <v>2080</v>
      </c>
      <c r="J109" s="106">
        <f>SUM(AZ$6:AZ$19)+SUM(BB$6:BB$19)+SUM(BD$6:BD$19)+SUM(BF$6:BF$19)</f>
        <v>650</v>
      </c>
      <c r="K109" s="106">
        <f>SUM(BH$6:BH$19)+SUM(BJ$6:BJ$19)+SUM(BL$6:BL$19)+SUM(BN$6:BN$19)</f>
        <v>3106</v>
      </c>
      <c r="L109" s="106">
        <f>SUM(BP$6:BP$19)+SUM(BR$6:BR$19)+SUM(BT$6:BT$19)+SUM(BV$6:BV$19)</f>
        <v>4503</v>
      </c>
      <c r="M109" s="106">
        <f>SUM(BX$6:BX$19)+SUM(BZ$6:BZ$19)+SUM(CB$6:CB$19)+SUM(CD$6:CD$19)</f>
        <v>752</v>
      </c>
      <c r="N109" s="106">
        <f>SUM(CF$6:CF$19)+SUM(CH$6:CH$19)+SUM(CJ$6:CJ$19)+SUM(CL$6:CL$19)</f>
        <v>1045</v>
      </c>
      <c r="O109" s="106">
        <f>SUM(CN$6:CN$19)+SUM(CP$6:CP$19)+SUM(CR$6:CR$19)+SUM(CT$6:CT$19)</f>
        <v>770</v>
      </c>
    </row>
    <row r="110" spans="2:99" x14ac:dyDescent="0.2">
      <c r="C110" s="105" t="s">
        <v>127</v>
      </c>
      <c r="D110" s="106">
        <f>SUM(D$20:D$36)+SUM(F$20:F$36)+SUM(H$20:H$36)+SUM(J$20:J$36)</f>
        <v>839.81344963246499</v>
      </c>
      <c r="E110" s="106">
        <f>SUM(L$20:L$36)+SUM(N$20:N$36)+SUM(P$20:P$36)+SUM(R$20:R$36)</f>
        <v>1219</v>
      </c>
      <c r="F110" s="106">
        <f>SUM(T$20:T$36)+SUM(V$20:V$36)+SUM(X$20:X$36)+SUM(Z$20:Z$36)</f>
        <v>1731</v>
      </c>
      <c r="G110" s="106">
        <f>SUM(AB$20:AB$36)+SUM(AD$20:AD$36)+SUM(AF$20:AF$36)+SUM(AH$20:AH$36)</f>
        <v>938</v>
      </c>
      <c r="H110" s="106">
        <f>SUM(AJ$20:AJ$36)+SUM(AL$20:AL$36)+SUM(AN$20:AN$36)+SUM(AP$20:AP$36)</f>
        <v>1294</v>
      </c>
      <c r="I110" s="106">
        <f>SUM(AR$20:AR$36)+SUM(AT$20:AT$36)+SUM(AV$20:AV$36)+SUM(AX$20:AX$36)</f>
        <v>1261</v>
      </c>
      <c r="J110" s="106">
        <f>SUM(AZ$20:AZ$36)+SUM(BB$20:BB$36)+SUM(BD$20:BD$36)+SUM(BF$20:BF$36)</f>
        <v>6421</v>
      </c>
      <c r="K110" s="106">
        <f>SUM(BH$20:BH$36)+SUM(BJ$20:BJ$36)+SUM(BL$20:BL$36)+SUM(BN$20:BN$36)</f>
        <v>887</v>
      </c>
      <c r="L110" s="106">
        <f>SUM(BP$20:BP$36)+SUM(BR$20:BR$36)+SUM(BT$20:BT$36)+SUM(BV$20:BV$36)</f>
        <v>1010</v>
      </c>
      <c r="M110" s="106">
        <f>SUM(BX$20:BX$36)+SUM(BZ$20:BZ$36)+SUM(CB$20:CB$36)+SUM(CD$20:CD$36)</f>
        <v>781</v>
      </c>
      <c r="N110" s="106">
        <f>SUM(CF$20:CF$36)+SUM(CH$20:CH$36)+SUM(CJ$20:CJ$36)+SUM(CL$20:CL$36)</f>
        <v>9287</v>
      </c>
      <c r="O110" s="106">
        <f>SUM(CN$20:CN$36)+SUM(CP$20:CP$36)+SUM(CR$20:CR$36)+SUM(CT$20:CT$36)</f>
        <v>8404</v>
      </c>
    </row>
    <row r="111" spans="2:99" x14ac:dyDescent="0.2">
      <c r="C111" s="105" t="s">
        <v>128</v>
      </c>
      <c r="D111" s="106">
        <f>SUM(D$37:D$48)+SUM(F$37:F$48)+SUM(H$37:H$48)+SUM(J$37:J$48)</f>
        <v>1906.7383052775845</v>
      </c>
      <c r="E111" s="106">
        <f>SUM(L$37:L$48)+SUM(N$37:N$48)+SUM(P$37:P$48)+SUM(R$37:R$48)</f>
        <v>858</v>
      </c>
      <c r="F111" s="106">
        <f>SUM(T$37:T$48)+SUM(V$37:V$48)+SUM(X$37:X$48)+SUM(Z$37:Z$48)</f>
        <v>468</v>
      </c>
      <c r="G111" s="106">
        <f>SUM(AB$37:AB$48)+SUM(AD$37:AD$48)+SUM(AF$37:AF$48)+SUM(AH$37:AH$48)</f>
        <v>939</v>
      </c>
      <c r="H111" s="106">
        <f>SUM(AJ$37:AJ$48)+SUM(AL$37:AL$48)+SUM(AN$37:AN$48)+SUM(AP$37:AP$48)</f>
        <v>654</v>
      </c>
      <c r="I111" s="106">
        <f>SUM(AR$37:AR$48)+SUM(AT$37:AT$48)+SUM(AV$37:AV$48)+SUM(AX$37:AX$48)</f>
        <v>4975</v>
      </c>
      <c r="J111" s="106">
        <f>SUM(AZ$37:AZ$48)+SUM(BB$37:BB$48)+SUM(BD$37:BD$48)+SUM(BF$37:BF$48)</f>
        <v>1111</v>
      </c>
      <c r="K111" s="106">
        <f>SUM(BH$37:BH$48)+SUM(BJ$37:BJ$48)+SUM(BL$37:BL$48)+SUM(BN$37:BN$48)</f>
        <v>764</v>
      </c>
      <c r="L111" s="106">
        <f>SUM(BP$37:BP$48)+SUM(BR$37:BR$48)+SUM(BT$37:BT$48)+SUM(BV$37:BV$48)</f>
        <v>1137</v>
      </c>
      <c r="M111" s="106">
        <f>SUM(BX$37:BX$48)+SUM(BZ$37:BZ$48)+SUM(CB$37:CB$48)+SUM(CD$37:CD$48)</f>
        <v>950</v>
      </c>
      <c r="N111" s="106">
        <f>SUM(CF$37:CF$48)+SUM(CH$37:CH$48)+SUM(CJ$37:CJ$48)+SUM(CL$37:CL$48)</f>
        <v>2730</v>
      </c>
      <c r="O111" s="106">
        <f>SUM(CN$37:CN$48)+SUM(CP$37:CP$48)+SUM(CR$37:CR$48)+SUM(CT$37:CT$48)</f>
        <v>700</v>
      </c>
    </row>
    <row r="112" spans="2:99" x14ac:dyDescent="0.2">
      <c r="C112" s="105" t="s">
        <v>129</v>
      </c>
      <c r="D112" s="106">
        <f>SUM(D$49:D$70)+SUM(F$49:F$70)+SUM(H$49:H$70)+SUM(J$49:J$70)</f>
        <v>1511.1353623992309</v>
      </c>
      <c r="E112" s="106">
        <f>SUM(L$49:L$70)+SUM(N$49:N$70)+SUM(P$49:P$70)+SUM(R$49:R$70)</f>
        <v>791.58798601557714</v>
      </c>
      <c r="F112" s="106">
        <f>SUM(T$49:T$70)+SUM(V$49:V$70)+SUM(X$49:X$70)+SUM(Z$49:Z$70)</f>
        <v>512.20546608218456</v>
      </c>
      <c r="G112" s="106">
        <f>SUM(AB$49:AB$70)+SUM(AD$49:AD$70)+SUM(AF$49:AF$70)+SUM(AH$49:AH$70)</f>
        <v>479.64664474976871</v>
      </c>
      <c r="H112" s="106">
        <f>SUM(AJ$49:AJ$70)+SUM(AL$49:AL$70)+SUM(AN$49:AN$70)+SUM(AP$49:AP$70)</f>
        <v>1754.4560357496289</v>
      </c>
      <c r="I112" s="106">
        <f>SUM(AR$49:AR$70)+SUM(AT$49:AT$70)+SUM(AV$49:AV$70)+SUM(AX$49:AX$70)</f>
        <v>1389.1489617351122</v>
      </c>
      <c r="J112" s="106">
        <f>SUM(AZ$49:AZ$70)+SUM(BB$49:BB$70)+SUM(BD$49:BD$70)+SUM(BF$49:BF$70)</f>
        <v>952.40405758946554</v>
      </c>
      <c r="K112" s="106">
        <f>SUM(BH$49:BH$70)+SUM(BJ$49:BJ$70)+SUM(BL$49:BL$70)+SUM(BN$49:BN$70)</f>
        <v>1395.2783083856925</v>
      </c>
      <c r="L112" s="106">
        <f>SUM(BP$49:BP$70)+SUM(BR$49:BR$70)+SUM(BT$49:BT$70)+SUM(BV$49:BV$70)</f>
        <v>1375.6818907050674</v>
      </c>
      <c r="M112" s="106">
        <f>SUM(BX$49:BX$70)+SUM(BZ$49:BZ$70)+SUM(CB$49:CB$70)+SUM(CD$49:CD$70)</f>
        <v>2129.0354220755889</v>
      </c>
      <c r="N112" s="106">
        <f>SUM(CF$49:CF$70)+SUM(CH$49:CH$70)+SUM(CJ$49:CJ$70)+SUM(CL$49:CL$70)</f>
        <v>1540.5767694358406</v>
      </c>
      <c r="O112" s="106">
        <f>SUM(CN$49:CN$70)+SUM(CP$49:CP$70)+SUM(CR$49:CR$70)+SUM(CT$49:CT$70)</f>
        <v>1105.5011808242766</v>
      </c>
    </row>
    <row r="113" spans="2:15" x14ac:dyDescent="0.2">
      <c r="C113" s="105" t="s">
        <v>130</v>
      </c>
      <c r="D113" s="106">
        <f>SUM(D$71:D$86)+SUM(F$71:F$86)+SUM(H$71:H$86)+SUM(J$71:J$86)</f>
        <v>170.69053680630344</v>
      </c>
      <c r="E113" s="106">
        <f>SUM(L$71:L$86)+SUM(N$71:N$86)+SUM(P$71:P$86)+SUM(R$71:R$86)</f>
        <v>345.94664416759719</v>
      </c>
      <c r="F113" s="106">
        <f>SUM(T$71:T$86)+SUM(V$71:V$86)+SUM(X$71:X$86)+SUM(Z$71:Z$86)</f>
        <v>189.55069024956484</v>
      </c>
      <c r="G113" s="106">
        <f>SUM(AB$71:AB$86)+SUM(AD$71:AD$86)+SUM(AF$71:AF$86)+SUM(AH$71:AH$86)</f>
        <v>391.32381507612604</v>
      </c>
      <c r="H113" s="106">
        <f>SUM(AJ$71:AJ$86)+SUM(AL$71:AL$86)+SUM(AN$71:AN$86)+SUM(AP$71:AP$86)</f>
        <v>193.18391571045535</v>
      </c>
      <c r="I113" s="106">
        <f>SUM(AR$71:AR$86)+SUM(AT$71:AT$86)+SUM(AV$71:AV$86)+SUM(AX$71:AX$86)</f>
        <v>679.08326426446911</v>
      </c>
      <c r="J113" s="106">
        <f>SUM(AZ$71:AZ$86)+SUM(BB$71:BB$86)+SUM(BD$71:BD$86)+SUM(BF$71:BF$86)</f>
        <v>306.00547878499424</v>
      </c>
      <c r="K113" s="106">
        <f>SUM(BH$71:BH$86)+SUM(BJ$71:BJ$86)+SUM(BL$71:BL$86)+SUM(BN$71:BN$86)</f>
        <v>610.12712677723925</v>
      </c>
      <c r="L113" s="106">
        <f>SUM(BP$71:BP$86)+SUM(BR$71:BR$86)+SUM(BT$71:BT$86)+SUM(BV$71:BV$86)</f>
        <v>164.2644422488913</v>
      </c>
      <c r="M113" s="106">
        <f>SUM(BX$71:BX$86)+SUM(BZ$71:BZ$86)+SUM(CB$71:CB$86)+SUM(CD$71:CD$86)</f>
        <v>181.12696108506103</v>
      </c>
      <c r="N113" s="106">
        <f>SUM(CF$71:CF$86)+SUM(CH$71:CH$86)+SUM(CJ$71:CJ$86)+SUM(CL$71:CL$86)</f>
        <v>186.32082232928011</v>
      </c>
      <c r="O113" s="106">
        <f>SUM(CN$71:CN$86)+SUM(CP$71:CP$86)+SUM(CR$71:CR$86)+SUM(CT$71:CT$86)</f>
        <v>349.74060588245698</v>
      </c>
    </row>
    <row r="114" spans="2:15" x14ac:dyDescent="0.2">
      <c r="C114" s="105" t="s">
        <v>131</v>
      </c>
      <c r="D114" s="106">
        <f>SUM(D$87:D$94)+SUM(F$87:F$94)+SUM(H$87:H$94)+SUM(J$87:J$94)</f>
        <v>48.476520362542971</v>
      </c>
      <c r="E114" s="106">
        <f>SUM(L$87:L$94)+SUM(N$87:N$94)+SUM(P$87:P$94)+SUM(R$87:R$94)</f>
        <v>286.99385873273752</v>
      </c>
      <c r="F114" s="106">
        <f>SUM(T$87:T$94)+SUM(V$87:V$94)+SUM(X$87:X$94)+SUM(Z$87:Z$94)</f>
        <v>328.5761043727212</v>
      </c>
      <c r="G114" s="106">
        <f>SUM(AB$87:AB$94)+SUM(AD$87:AD$94)+SUM(AF$87:AF$94)+SUM(AH$87:AH$94)</f>
        <v>394.77239181496338</v>
      </c>
      <c r="H114" s="106">
        <f>SUM(AJ$87:AJ$94)+SUM(AL$87:AL$94)+SUM(AN$87:AN$94)+SUM(AP$87:AP$94)</f>
        <v>474.23914776453864</v>
      </c>
      <c r="I114" s="106">
        <f>SUM(AR$87:AR$94)+SUM(AT$87:AT$94)+SUM(AV$87:AV$94)+SUM(AX$87:AX$94)</f>
        <v>46.761849550617789</v>
      </c>
      <c r="J114" s="106">
        <f>SUM(AZ$87:AZ$94)+SUM(BB$87:BB$94)+SUM(BD$87:BD$94)+SUM(BF$87:BF$94)</f>
        <v>329.42577870308389</v>
      </c>
      <c r="K114" s="106">
        <f>SUM(BH$87:BH$94)+SUM(BJ$87:BJ$94)+SUM(BL$87:BL$94)+SUM(BN$87:BN$94)</f>
        <v>139.96630971289758</v>
      </c>
      <c r="L114" s="106">
        <f>SUM(BP$87:BP$94)+SUM(BR$87:BR$94)+SUM(BT$87:BT$94)+SUM(BV$87:BV$94)</f>
        <v>379.53690374521659</v>
      </c>
      <c r="M114" s="106">
        <f>SUM(BX$87:BX$94)+SUM(BZ$87:BZ$94)+SUM(CB$87:CB$94)+SUM(CD$87:CD$94)</f>
        <v>100.92229392458216</v>
      </c>
      <c r="N114" s="106">
        <f>SUM(CF$87:CF$94)+SUM(CH$87:CH$94)+SUM(CJ$87:CJ$94)+SUM(CL$87:CL$94)</f>
        <v>368.99951825717307</v>
      </c>
      <c r="O114" s="106">
        <f>SUM(CN$87:CN$94)+SUM(CP$87:CP$94)+SUM(CR$87:CR$94)+SUM(CT$87:CT$94)</f>
        <v>102.85942054318151</v>
      </c>
    </row>
    <row r="115" spans="2:15" x14ac:dyDescent="0.2">
      <c r="C115" s="105" t="s">
        <v>132</v>
      </c>
      <c r="D115" s="106">
        <f>SUM(D$95:D$105)+SUM(F$95:F$105)+SUM(H$95:H$105)+SUM(J$95:J$105)</f>
        <v>248.60210186211853</v>
      </c>
      <c r="E115" s="106">
        <f>SUM(L$95:L$105)+SUM(N$95:N$105)+SUM(P$95:P$105)+SUM(R$95:R$105)</f>
        <v>367.62930988934602</v>
      </c>
      <c r="F115" s="106">
        <f>SUM(T$95:T$105)+SUM(V$95:V$105)+SUM(X$95:X$105)+SUM(Z$95:Z$105)</f>
        <v>442.99272640636048</v>
      </c>
      <c r="G115" s="106">
        <f>SUM(AB$95:AB$105)+SUM(AD$95:AD$105)+SUM(AF$95:AF$105)+SUM(AH$95:AH$105)</f>
        <v>211.41494716439985</v>
      </c>
      <c r="H115" s="106">
        <f>SUM(AJ$95:AJ$105)+SUM(AL$95:AL$105)+SUM(AN$95:AN$105)+SUM(AP$95:AP$105)</f>
        <v>299.27869958063513</v>
      </c>
      <c r="I115" s="106">
        <f>SUM(AR$95:AR$105)+SUM(AT$95:AT$105)+SUM(AV$95:AV$105)+SUM(AX$95:AX$105)</f>
        <v>216.33091156063193</v>
      </c>
      <c r="J115" s="106">
        <f>SUM(AZ$95:AZ$105)+SUM(BB$95:BB$105)+SUM(BD$95:BD$105)+SUM(BF$95:BF$105)</f>
        <v>319.32248372771426</v>
      </c>
      <c r="K115" s="106">
        <f>SUM(BH$95:BH$105)+SUM(BJ$95:BJ$105)+SUM(BL$95:BL$105)+SUM(BN$95:BN$105)</f>
        <v>233.78605392942839</v>
      </c>
      <c r="L115" s="106">
        <f>SUM(BP$95:BP$105)+SUM(BR$95:BR$105)+SUM(BT$95:BT$105)+SUM(BV$95:BV$105)</f>
        <v>368.84175041165577</v>
      </c>
      <c r="M115" s="106">
        <f>SUM(BX$95:BX$105)+SUM(BZ$95:BZ$105)+SUM(CB$95:CB$105)+SUM(CD$95:CD$105)</f>
        <v>677.07312172002548</v>
      </c>
      <c r="N115" s="106">
        <f>SUM(CF$95:CF$105)+SUM(CH$95:CH$105)+SUM(CJ$95:CJ$105)+SUM(CL$95:CL$105)</f>
        <v>162.92944200525636</v>
      </c>
      <c r="O115" s="106">
        <f>SUM(CN$95:CN$105)+SUM(CP$95:CP$105)+SUM(CR$95:CR$105)+SUM(CT$95:CT$105)</f>
        <v>686.55502663862353</v>
      </c>
    </row>
    <row r="116" spans="2:15" x14ac:dyDescent="0.2">
      <c r="C116" s="105" t="s">
        <v>277</v>
      </c>
      <c r="D116" s="106">
        <f t="shared" ref="D116:O116" si="0">SUM(D$109:D$115)</f>
        <v>5129.5687189093469</v>
      </c>
      <c r="E116" s="106">
        <f t="shared" si="0"/>
        <v>6830.1577988052577</v>
      </c>
      <c r="F116" s="106">
        <f t="shared" si="0"/>
        <v>4022.324987110831</v>
      </c>
      <c r="G116" s="106">
        <f t="shared" si="0"/>
        <v>4716.1577988052577</v>
      </c>
      <c r="H116" s="106">
        <f t="shared" si="0"/>
        <v>5110.1577988052577</v>
      </c>
      <c r="I116" s="106">
        <f t="shared" si="0"/>
        <v>10647.324987110831</v>
      </c>
      <c r="J116" s="106">
        <f t="shared" si="0"/>
        <v>10089.157798805258</v>
      </c>
      <c r="K116" s="106">
        <f t="shared" si="0"/>
        <v>7136.1577988052577</v>
      </c>
      <c r="L116" s="106">
        <f t="shared" si="0"/>
        <v>8938.324987110831</v>
      </c>
      <c r="M116" s="106">
        <f t="shared" si="0"/>
        <v>5571.1577988052577</v>
      </c>
      <c r="N116" s="106">
        <f t="shared" si="0"/>
        <v>15320.826552027549</v>
      </c>
      <c r="O116" s="106">
        <f t="shared" si="0"/>
        <v>12118.656233888538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D109*pricing!D15*2000</f>
        <v>1731534.7434432516</v>
      </c>
      <c r="E120" s="106">
        <f>E109*pricing!E15*2000</f>
        <v>7674756.2997011738</v>
      </c>
      <c r="F120" s="106">
        <f>F109*pricing!F15*2000</f>
        <v>2456524.4028606126</v>
      </c>
      <c r="G120" s="106">
        <f>G109*pricing!G15*2000</f>
        <v>5146530.9148541754</v>
      </c>
      <c r="H120" s="106">
        <f>H109*pricing!H15*2000</f>
        <v>2804823.3946630182</v>
      </c>
      <c r="I120" s="106">
        <f>I109*pricing!I15*2000</f>
        <v>6355140.486530032</v>
      </c>
      <c r="J120" s="106">
        <f>J109*pricing!J15*2000</f>
        <v>3810212.843481157</v>
      </c>
      <c r="K120" s="106">
        <f>K109*pricing!K15*2000</f>
        <v>7890528.7411327586</v>
      </c>
      <c r="L120" s="106">
        <f>L109*pricing!L15*2000</f>
        <v>10281510.463066522</v>
      </c>
      <c r="M120" s="106">
        <f>M109*pricing!M15*2000</f>
        <v>3763008.8424947355</v>
      </c>
      <c r="N120" s="106">
        <f>N109*pricing!N15*2000</f>
        <v>4688591.6122360388</v>
      </c>
      <c r="O120" s="106">
        <f>O109*pricing!O15*2000</f>
        <v>3820161.6290075867</v>
      </c>
    </row>
    <row r="121" spans="2:15" x14ac:dyDescent="0.2">
      <c r="C121" s="105" t="s">
        <v>127</v>
      </c>
      <c r="D121" s="106">
        <f>D110*pricing!D16*2000</f>
        <v>3840486.5678861896</v>
      </c>
      <c r="E121" s="106">
        <f>E110*pricing!E16*2000</f>
        <v>7499753.7061663615</v>
      </c>
      <c r="F121" s="106">
        <f>F110*pricing!F16*2000</f>
        <v>8641454.9355229698</v>
      </c>
      <c r="G121" s="106">
        <f>G110*pricing!G16*2000</f>
        <v>6001519.1817679843</v>
      </c>
      <c r="H121" s="106">
        <f>H110*pricing!H16*2000</f>
        <v>7468365.8643241022</v>
      </c>
      <c r="I121" s="106">
        <f>I110*pricing!I16*2000</f>
        <v>7677841.6781536583</v>
      </c>
      <c r="J121" s="106">
        <f>J110*pricing!J16*2000</f>
        <v>17280469.50506511</v>
      </c>
      <c r="K121" s="106">
        <f>K110*pricing!K16*2000</f>
        <v>6017359.1938156551</v>
      </c>
      <c r="L121" s="106">
        <f>L110*pricing!L16*2000</f>
        <v>6825771.4077227162</v>
      </c>
      <c r="M121" s="106">
        <f>M110*pricing!M16*2000</f>
        <v>5593740.6562216328</v>
      </c>
      <c r="N121" s="106">
        <f>N110*pricing!N16*2000</f>
        <v>20607471.691747319</v>
      </c>
      <c r="O121" s="106">
        <f>O110*pricing!O16*2000</f>
        <v>17972340.956656009</v>
      </c>
    </row>
    <row r="122" spans="2:15" x14ac:dyDescent="0.2">
      <c r="C122" s="105" t="s">
        <v>128</v>
      </c>
      <c r="D122" s="106">
        <f>D111*pricing!D17*2000</f>
        <v>4114278.5451436983</v>
      </c>
      <c r="E122" s="106">
        <f>E111*pricing!E17*2000</f>
        <v>3899049.0600061603</v>
      </c>
      <c r="F122" s="106">
        <f>F111*pricing!F17*2000</f>
        <v>2861801.1262836517</v>
      </c>
      <c r="G122" s="106">
        <f>G111*pricing!G17*2000</f>
        <v>4311581.0163656417</v>
      </c>
      <c r="H122" s="106">
        <f>H111*pricing!H17*2000</f>
        <v>3606275.3973713038</v>
      </c>
      <c r="I122" s="106">
        <f>I111*pricing!I17*2000</f>
        <v>10615503.613257628</v>
      </c>
      <c r="J122" s="106">
        <f>J111*pricing!J17*2000</f>
        <v>5022076.296420455</v>
      </c>
      <c r="K122" s="106">
        <f>K111*pricing!K17*2000</f>
        <v>4079127.7119809603</v>
      </c>
      <c r="L122" s="106">
        <f>L111*pricing!L17*2000</f>
        <v>4877760.9954472324</v>
      </c>
      <c r="M122" s="106">
        <f>M111*pricing!M17*2000</f>
        <v>4710744.3265514169</v>
      </c>
      <c r="N122" s="106">
        <f>N111*pricing!N17*2000</f>
        <v>7755515.2273605028</v>
      </c>
      <c r="O122" s="106">
        <f>O111*pricing!O17*2000</f>
        <v>3797701.189845128</v>
      </c>
    </row>
    <row r="123" spans="2:15" x14ac:dyDescent="0.2">
      <c r="C123" s="105" t="s">
        <v>129</v>
      </c>
      <c r="D123" s="106">
        <f>D112*pricing!D18*2000</f>
        <v>4181514.7961519449</v>
      </c>
      <c r="E123" s="106">
        <f>E112*pricing!E18*2000</f>
        <v>4279119.989123296</v>
      </c>
      <c r="F123" s="106">
        <f>F112*pricing!F18*2000</f>
        <v>3175715.425764672</v>
      </c>
      <c r="G123" s="106">
        <f>G112*pricing!G18*2000</f>
        <v>3352701.9717213274</v>
      </c>
      <c r="H123" s="106">
        <f>H112*pricing!H18*2000</f>
        <v>6579197.0052174581</v>
      </c>
      <c r="I123" s="106">
        <f>I112*pricing!I18*2000</f>
        <v>5331220.2804852109</v>
      </c>
      <c r="J123" s="106">
        <f>J112*pricing!J18*2000</f>
        <v>4765791.5191180985</v>
      </c>
      <c r="K123" s="106">
        <f>K112*pricing!K18*2000</f>
        <v>5623433.1100567626</v>
      </c>
      <c r="L123" s="106">
        <f>L112*pricing!L18*2000</f>
        <v>6285837.6463072766</v>
      </c>
      <c r="M123" s="106">
        <f>M112*pricing!M18*2000</f>
        <v>7315607.2989843357</v>
      </c>
      <c r="N123" s="106">
        <f>N112*pricing!N18*2000</f>
        <v>6320399.8376601189</v>
      </c>
      <c r="O123" s="106">
        <f>O112*pricing!O18*2000</f>
        <v>5541854.6120048221</v>
      </c>
    </row>
    <row r="124" spans="2:15" x14ac:dyDescent="0.2">
      <c r="C124" s="105" t="s">
        <v>130</v>
      </c>
      <c r="D124" s="106">
        <f>D113*pricing!D19*2000</f>
        <v>835748.26379219186</v>
      </c>
      <c r="E124" s="106">
        <f>E113*pricing!E19*2000</f>
        <v>1438840.9548122562</v>
      </c>
      <c r="F124" s="106">
        <f>F113*pricing!F19*2000</f>
        <v>972472.24239548761</v>
      </c>
      <c r="G124" s="106">
        <f>G113*pricing!G19*2000</f>
        <v>2282071.1881134924</v>
      </c>
      <c r="H124" s="106">
        <f>H113*pricing!H19*2000</f>
        <v>1186563.3733941019</v>
      </c>
      <c r="I124" s="106">
        <f>I113*pricing!I19*2000</f>
        <v>1629934.7916003852</v>
      </c>
      <c r="J124" s="106">
        <f>J113*pricing!J19*2000</f>
        <v>2198486.8714333796</v>
      </c>
      <c r="K124" s="106">
        <f>K113*pricing!K19*2000</f>
        <v>2059668.5748188552</v>
      </c>
      <c r="L124" s="106">
        <f>L113*pricing!L19*2000</f>
        <v>1118973.5704520417</v>
      </c>
      <c r="M124" s="106">
        <f>M113*pricing!M19*2000</f>
        <v>993749.46709648322</v>
      </c>
      <c r="N124" s="106">
        <f>N113*pricing!N19*2000</f>
        <v>1239869.5737171625</v>
      </c>
      <c r="O124" s="106">
        <f>O113*pricing!O19*2000</f>
        <v>2056420.5649063657</v>
      </c>
    </row>
    <row r="125" spans="2:15" x14ac:dyDescent="0.2">
      <c r="C125" s="105" t="s">
        <v>131</v>
      </c>
      <c r="D125" s="106">
        <f>D114*pricing!D20*2000</f>
        <v>244346.11175710917</v>
      </c>
      <c r="E125" s="106">
        <f>E114*pricing!E20*2000</f>
        <v>792587.49106208084</v>
      </c>
      <c r="F125" s="106">
        <f>F114*pricing!F20*2000</f>
        <v>723605.40808927279</v>
      </c>
      <c r="G125" s="106">
        <f>G114*pricing!G20*2000</f>
        <v>1541408.1441470848</v>
      </c>
      <c r="H125" s="106">
        <f>H114*pricing!H20*2000</f>
        <v>1027109.0386058104</v>
      </c>
      <c r="I125" s="106">
        <f>I114*pricing!I20*2000</f>
        <v>238803.7772576781</v>
      </c>
      <c r="J125" s="106">
        <f>J114*pricing!J20*2000</f>
        <v>1211433.8641334982</v>
      </c>
      <c r="K125" s="106">
        <f>K114*pricing!K20*2000</f>
        <v>551513.50841058826</v>
      </c>
      <c r="L125" s="106">
        <f>L114*pricing!L20*2000</f>
        <v>1019647.4115655157</v>
      </c>
      <c r="M125" s="106">
        <f>M114*pricing!M20*2000</f>
        <v>460858.83989778801</v>
      </c>
      <c r="N125" s="106">
        <f>N114*pricing!N20*2000</f>
        <v>1161509.2255612623</v>
      </c>
      <c r="O125" s="106">
        <f>O114*pricing!O20*2000</f>
        <v>617886.79673538648</v>
      </c>
    </row>
    <row r="126" spans="2:15" x14ac:dyDescent="0.2">
      <c r="C126" s="105" t="s">
        <v>132</v>
      </c>
      <c r="D126" s="106">
        <f>D115*pricing!D21*2000</f>
        <v>757322.52081706643</v>
      </c>
      <c r="E126" s="106">
        <f>E115*pricing!E21*2000</f>
        <v>1159168.9942556352</v>
      </c>
      <c r="F126" s="106">
        <f>F115*pricing!F21*2000</f>
        <v>997222.08134665445</v>
      </c>
      <c r="G126" s="106">
        <f>G115*pricing!G21*2000</f>
        <v>1329574.5082553299</v>
      </c>
      <c r="H126" s="106">
        <f>H115*pricing!H21*2000</f>
        <v>1066027.6789198904</v>
      </c>
      <c r="I126" s="106">
        <f>I115*pricing!I21*2000</f>
        <v>684647.94613486552</v>
      </c>
      <c r="J126" s="106">
        <f>J115*pricing!J21*2000</f>
        <v>1577345.3168137337</v>
      </c>
      <c r="K126" s="106">
        <f>K115*pricing!K21*2000</f>
        <v>934662.32011761761</v>
      </c>
      <c r="L126" s="106">
        <f>L115*pricing!L21*2000</f>
        <v>1192888.3670738863</v>
      </c>
      <c r="M126" s="106">
        <f>M115*pricing!M21*2000</f>
        <v>1504581.9128633856</v>
      </c>
      <c r="N126" s="106">
        <f>N115*pricing!N21*2000</f>
        <v>928960.20015417202</v>
      </c>
      <c r="O126" s="106">
        <f>O115*pricing!O21*2000</f>
        <v>2197392.7793670716</v>
      </c>
    </row>
    <row r="127" spans="2:15" x14ac:dyDescent="0.2">
      <c r="C127" s="105" t="s">
        <v>277</v>
      </c>
      <c r="D127" s="106">
        <f t="shared" ref="D127:O127" si="1">SUM(D$120:D$126)</f>
        <v>15705231.548991453</v>
      </c>
      <c r="E127" s="106">
        <f t="shared" si="1"/>
        <v>26743276.495126966</v>
      </c>
      <c r="F127" s="106">
        <f t="shared" si="1"/>
        <v>19828795.622263316</v>
      </c>
      <c r="G127" s="106">
        <f t="shared" si="1"/>
        <v>23965386.925225034</v>
      </c>
      <c r="H127" s="106">
        <f t="shared" si="1"/>
        <v>23738361.752495684</v>
      </c>
      <c r="I127" s="106">
        <f t="shared" si="1"/>
        <v>32533092.573419455</v>
      </c>
      <c r="J127" s="106">
        <f t="shared" si="1"/>
        <v>35865816.216465436</v>
      </c>
      <c r="K127" s="106">
        <f t="shared" si="1"/>
        <v>27156293.160333198</v>
      </c>
      <c r="L127" s="106">
        <f t="shared" si="1"/>
        <v>31602389.86163519</v>
      </c>
      <c r="M127" s="106">
        <f t="shared" si="1"/>
        <v>24342291.344109777</v>
      </c>
      <c r="N127" s="106">
        <f t="shared" si="1"/>
        <v>42702317.368436575</v>
      </c>
      <c r="O127" s="106">
        <f t="shared" si="1"/>
        <v>36003758.528522372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204737.37236227019</v>
      </c>
      <c r="E131" s="112">
        <f>SUM(M$6:M$19)+SUM(O$6:O$19)+SUM(Q$6:Q$19)+SUM(S$6:S$19)</f>
        <v>1478756.4</v>
      </c>
      <c r="F131" s="112">
        <f>SUM(U$6:U$19)+SUM(W$6:W$19)+SUM(Y$6:Y$19)+SUM(AA$6:AA$19)</f>
        <v>176030.39999999997</v>
      </c>
      <c r="G131" s="112">
        <f>SUM(AC$6:AC$19)+SUM(AE$6:AE$19)+SUM(AG$6:AG$19)+SUM(AI$6:AI$19)</f>
        <v>684567.6</v>
      </c>
      <c r="H131" s="112">
        <f>SUM(AK$6:AK$19)+SUM(AM$6:AM$19)+SUM(AO$6:AO$19)+SUM(AQ$6:AQ$19)</f>
        <v>223732.8</v>
      </c>
      <c r="I131" s="112">
        <f>SUM(AS$6:AS$19)+SUM(AU$6:AU$19)+SUM(AW$6:AW$19)+SUM(AY$6:AY$19)</f>
        <v>1038469.2</v>
      </c>
      <c r="J131" s="112">
        <f>SUM(BA$6:BA$19)+SUM(BC$6:BC$19)+SUM(BE$6:BE$19)+SUM(BG$6:BG$19)</f>
        <v>326406</v>
      </c>
      <c r="K131" s="112">
        <f>SUM(BI$6:BI$19)+SUM(BK$6:BK$19)+SUM(BM$6:BM$19)+SUM(BO$6:BO$19)</f>
        <v>1563063.5999999999</v>
      </c>
      <c r="L131" s="112">
        <f>SUM(BQ$6:BQ$19)+SUM(BS$6:BS$19)+SUM(BU$6:BU$19)+SUM(BW$6:BW$19)</f>
        <v>2246107.2000000002</v>
      </c>
      <c r="M131" s="112">
        <f>SUM(BY$6:BY$19)+SUM(CA$6:CA$19)+SUM(CC$6:CC$19)+SUM(CE$6:CE$19)</f>
        <v>379398</v>
      </c>
      <c r="N131" s="112">
        <f>SUM(CG$6:CG$19)+SUM(CI$6:CI$19)+SUM(CK$6:CK$19)+SUM(CM$6:CM$19)</f>
        <v>526880.39999999991</v>
      </c>
      <c r="O131" s="112">
        <f>SUM(CO$6:CO$19)+SUM(CQ$6:CQ$19)+SUM(CS$6:CS$19)+SUM(CU$6:CU$19)</f>
        <v>386776.8</v>
      </c>
    </row>
    <row r="132" spans="2:15" x14ac:dyDescent="0.2">
      <c r="C132" s="111" t="s">
        <v>127</v>
      </c>
      <c r="D132" s="112">
        <f>SUM(E$20:E$36)+SUM(G$20:G$36)+SUM(I$20:I$36)+SUM(K$20:K$36)</f>
        <v>357673.06082820345</v>
      </c>
      <c r="E132" s="112">
        <f>SUM(M$20:M$36)+SUM(O$20:O$36)+SUM(Q$20:Q$36)+SUM(S$20:S$36)</f>
        <v>517755.6</v>
      </c>
      <c r="F132" s="112">
        <f>SUM(U$20:U$36)+SUM(W$20:W$36)+SUM(Y$20:Y$36)+SUM(AA$20:AA$36)</f>
        <v>736578</v>
      </c>
      <c r="G132" s="112">
        <f>SUM(AC$20:AC$36)+SUM(AE$20:AE$36)+SUM(AG$20:AG$36)+SUM(AI$20:AI$36)</f>
        <v>404754</v>
      </c>
      <c r="H132" s="112">
        <f>SUM(AK$20:AK$36)+SUM(AM$20:AM$36)+SUM(AO$20:AO$36)+SUM(AQ$20:AQ$36)</f>
        <v>550353.6</v>
      </c>
      <c r="I132" s="112">
        <f>SUM(AS$20:AS$36)+SUM(AU$20:AU$36)+SUM(AW$20:AW$36)+SUM(AY$20:AY$36)</f>
        <v>539125.19999999995</v>
      </c>
      <c r="J132" s="112">
        <f>SUM(BA$20:BA$36)+SUM(BC$20:BC$36)+SUM(BE$20:BE$36)+SUM(BG$20:BG$36)</f>
        <v>2719428</v>
      </c>
      <c r="K132" s="112">
        <f>SUM(BI$20:BI$36)+SUM(BK$20:BK$36)+SUM(BM$20:BM$36)+SUM(BO$20:BO$36)</f>
        <v>379534.79999999993</v>
      </c>
      <c r="L132" s="112">
        <f>SUM(BQ$20:BQ$36)+SUM(BS$20:BS$36)+SUM(BU$20:BU$36)+SUM(BW$20:BW$36)</f>
        <v>430297.19999999995</v>
      </c>
      <c r="M132" s="112">
        <f>SUM(BY$20:BY$36)+SUM(CA$20:CA$36)+SUM(CC$20:CC$36)+SUM(CE$20:CE$36)</f>
        <v>334568.39999999997</v>
      </c>
      <c r="N132" s="112">
        <f>SUM(CG$20:CG$36)+SUM(CI$20:CI$36)+SUM(CK$20:CK$36)+SUM(CM$20:CM$36)</f>
        <v>3924308.4</v>
      </c>
      <c r="O132" s="112">
        <f>SUM(CO$20:CO$36)+SUM(CQ$20:CQ$36)+SUM(CS$20:CS$36)+SUM(CU$20:CU$36)</f>
        <v>3575680.8</v>
      </c>
    </row>
    <row r="133" spans="2:15" x14ac:dyDescent="0.2">
      <c r="C133" s="111" t="s">
        <v>128</v>
      </c>
      <c r="D133" s="112">
        <f>SUM(E$37:E$48)+SUM(G$37:G$48)+SUM(I$37:I$48)+SUM(K$37:K$48)</f>
        <v>1983513.8875225869</v>
      </c>
      <c r="E133" s="112">
        <f>SUM(M$37:M$48)+SUM(O$37:O$48)+SUM(Q$37:Q$48)+SUM(S$37:S$48)</f>
        <v>899792.4</v>
      </c>
      <c r="F133" s="112">
        <f>SUM(U$37:U$48)+SUM(W$37:W$48)+SUM(Y$37:Y$48)+SUM(AA$37:AA$48)</f>
        <v>491054.39999999991</v>
      </c>
      <c r="G133" s="112">
        <f>SUM(AC$37:AC$48)+SUM(AE$37:AE$48)+SUM(AG$37:AG$48)+SUM(AI$37:AI$48)</f>
        <v>983757.6</v>
      </c>
      <c r="H133" s="112">
        <f>SUM(AK$37:AK$48)+SUM(AM$37:AM$48)+SUM(AO$37:AO$48)+SUM(AQ$37:AQ$48)</f>
        <v>684939.6</v>
      </c>
      <c r="I133" s="112">
        <f>SUM(AS$37:AS$48)+SUM(AU$37:AU$48)+SUM(AW$37:AW$48)+SUM(AY$37:AY$48)</f>
        <v>5191512</v>
      </c>
      <c r="J133" s="112">
        <f>SUM(BA$37:BA$48)+SUM(BC$37:BC$48)+SUM(BE$37:BE$48)+SUM(BG$37:BG$48)</f>
        <v>1166098.7999999998</v>
      </c>
      <c r="K133" s="112">
        <f>SUM(BI$37:BI$48)+SUM(BK$37:BK$48)+SUM(BM$37:BM$48)+SUM(BO$37:BO$48)</f>
        <v>798458.39999999991</v>
      </c>
      <c r="L133" s="112">
        <f>SUM(BQ$37:BQ$48)+SUM(BS$37:BS$48)+SUM(BU$37:BU$48)+SUM(BW$37:BW$48)</f>
        <v>1194760.8</v>
      </c>
      <c r="M133" s="112">
        <f>SUM(BY$37:BY$48)+SUM(CA$37:CA$48)+SUM(CC$37:CC$48)+SUM(CE$37:CE$48)</f>
        <v>992917.2</v>
      </c>
      <c r="N133" s="112">
        <f>SUM(CG$37:CG$48)+SUM(CI$37:CI$48)+SUM(CK$37:CK$48)+SUM(CM$37:CM$48)</f>
        <v>2847090</v>
      </c>
      <c r="O133" s="112">
        <f>SUM(CO$37:CO$48)+SUM(CQ$37:CQ$48)+SUM(CS$37:CS$48)+SUM(CU$37:CU$48)</f>
        <v>733250.4</v>
      </c>
    </row>
    <row r="134" spans="2:15" x14ac:dyDescent="0.2">
      <c r="C134" s="111" t="s">
        <v>129</v>
      </c>
      <c r="D134" s="112">
        <f>SUM(E$49:E$70)+SUM(G$49:G$70)+SUM(I$49:I$70)+SUM(K$49:K$70)</f>
        <v>1231789.2067750576</v>
      </c>
      <c r="E134" s="112">
        <f>SUM(M$49:M$70)+SUM(O$49:O$70)+SUM(Q$49:Q$70)+SUM(S$49:S$70)</f>
        <v>651291.31637656316</v>
      </c>
      <c r="F134" s="112">
        <f>SUM(U$49:U$70)+SUM(W$49:W$70)+SUM(Y$49:Y$70)+SUM(AA$49:AA$70)</f>
        <v>419675.18568906997</v>
      </c>
      <c r="G134" s="112">
        <f>SUM(AC$49:AC$70)+SUM(AE$49:AE$70)+SUM(AG$49:AG$70)+SUM(AI$49:AI$70)</f>
        <v>399941.00605859619</v>
      </c>
      <c r="H134" s="112">
        <f>SUM(AK$49:AK$70)+SUM(AM$49:AM$70)+SUM(AO$49:AO$70)+SUM(AQ$49:AQ$70)</f>
        <v>1430715.4222834015</v>
      </c>
      <c r="I134" s="112">
        <f>SUM(AS$49:AS$70)+SUM(AU$49:AU$70)+SUM(AW$49:AW$70)+SUM(AY$49:AY$70)</f>
        <v>1128152.2202510163</v>
      </c>
      <c r="J134" s="112">
        <f>SUM(BA$49:BA$70)+SUM(BC$49:BC$70)+SUM(BE$49:BE$70)+SUM(BG$49:BG$70)</f>
        <v>796659.20424397697</v>
      </c>
      <c r="K134" s="112">
        <f>SUM(BI$49:BI$70)+SUM(BK$49:BK$70)+SUM(BM$49:BM$70)+SUM(BO$49:BO$70)</f>
        <v>1133256.2384719662</v>
      </c>
      <c r="L134" s="112">
        <f>SUM(BQ$49:BQ$70)+SUM(BS$49:BS$70)+SUM(BU$49:BU$70)+SUM(BW$49:BW$70)</f>
        <v>1128801.4195076819</v>
      </c>
      <c r="M134" s="112">
        <f>SUM(BY$49:BY$70)+SUM(CA$49:CA$70)+SUM(CC$49:CC$70)+SUM(CE$49:CE$70)</f>
        <v>1726839.9714471649</v>
      </c>
      <c r="N134" s="112">
        <f>SUM(CG$49:CG$70)+SUM(CI$49:CI$70)+SUM(CK$49:CK$70)+SUM(CM$49:CM$70)</f>
        <v>1266052.6386723621</v>
      </c>
      <c r="O134" s="112">
        <f>SUM(CO$49:CO$70)+SUM(CQ$49:CQ$70)+SUM(CS$49:CS$70)+SUM(CU$49:CU$70)</f>
        <v>917884.22363839461</v>
      </c>
    </row>
    <row r="135" spans="2:15" x14ac:dyDescent="0.2">
      <c r="C135" s="111" t="s">
        <v>130</v>
      </c>
      <c r="D135" s="112">
        <f>SUM(E$71:E$86)+SUM(G$71:G$86)+SUM(I$71:I$86)+SUM(K$71:K$86)</f>
        <v>95521.447522083676</v>
      </c>
      <c r="E135" s="112">
        <f>SUM(M$71:M$86)+SUM(O$71:O$86)+SUM(Q$71:Q$86)+SUM(S$71:S$86)</f>
        <v>192479.48740961376</v>
      </c>
      <c r="F135" s="112">
        <f>SUM(U$71:U$86)+SUM(W$71:W$86)+SUM(Y$71:Y$86)+SUM(AA$71:AA$86)</f>
        <v>105643.12298966135</v>
      </c>
      <c r="G135" s="112">
        <f>SUM(AC$71:AC$86)+SUM(AE$71:AE$86)+SUM(AG$71:AG$86)+SUM(AI$71:AI$86)</f>
        <v>217985.89939367143</v>
      </c>
      <c r="H135" s="112">
        <f>SUM(AK$71:AK$86)+SUM(AM$71:AM$86)+SUM(AO$71:AO$86)+SUM(AQ$71:AQ$86)</f>
        <v>107584.22344407073</v>
      </c>
      <c r="I135" s="112">
        <f>SUM(AS$71:AS$86)+SUM(AU$71:AU$86)+SUM(AW$71:AW$86)+SUM(AY$71:AY$86)</f>
        <v>374660.48811872001</v>
      </c>
      <c r="J135" s="112">
        <f>SUM(BA$71:BA$86)+SUM(BC$71:BC$86)+SUM(BE$71:BE$86)+SUM(BG$71:BG$86)</f>
        <v>171803.87241790694</v>
      </c>
      <c r="K135" s="112">
        <f>SUM(BI$71:BI$86)+SUM(BK$71:BK$86)+SUM(BM$71:BM$86)+SUM(BO$71:BO$86)</f>
        <v>340277.39964532311</v>
      </c>
      <c r="L135" s="112">
        <f>SUM(BQ$71:BQ$86)+SUM(BS$71:BS$86)+SUM(BU$71:BU$86)+SUM(BW$71:BW$86)</f>
        <v>92059.945481234565</v>
      </c>
      <c r="M135" s="112">
        <f>SUM(BY$71:BY$86)+SUM(CA$71:CA$86)+SUM(CC$71:CC$86)+SUM(CE$71:CE$86)</f>
        <v>101366.48418063312</v>
      </c>
      <c r="N135" s="112">
        <f>SUM(CG$71:CG$86)+SUM(CI$71:CI$86)+SUM(CK$71:CK$86)+SUM(CM$71:CM$86)</f>
        <v>103863.0156600411</v>
      </c>
      <c r="O135" s="112">
        <f>SUM(CO$71:CO$86)+SUM(CQ$71:CQ$86)+SUM(CS$71:CS$86)+SUM(CU$71:CU$86)</f>
        <v>194572.35551074136</v>
      </c>
    </row>
    <row r="136" spans="2:15" x14ac:dyDescent="0.2">
      <c r="C136" s="111" t="s">
        <v>131</v>
      </c>
      <c r="D136" s="112">
        <f>SUM(E$87:E$94)+SUM(G$87:G$94)+SUM(I$87:I$94)+SUM(K$87:K$94)</f>
        <v>98036.594851656948</v>
      </c>
      <c r="E136" s="112">
        <f>SUM(M$87:M$94)+SUM(O$87:O$94)+SUM(Q$87:Q$94)+SUM(S$87:S$94)</f>
        <v>582000.24502623454</v>
      </c>
      <c r="F136" s="112">
        <f>SUM(U$87:U$94)+SUM(W$87:W$94)+SUM(Y$87:Y$94)+SUM(AA$87:AA$94)</f>
        <v>666075.17619114416</v>
      </c>
      <c r="G136" s="112">
        <f>SUM(AC$87:AC$94)+SUM(AE$87:AE$94)+SUM(AG$87:AG$94)+SUM(AI$87:AI$94)</f>
        <v>801725.93384175829</v>
      </c>
      <c r="H136" s="112">
        <f>SUM(AK$87:AK$94)+SUM(AM$87:AM$94)+SUM(AO$87:AO$94)+SUM(AQ$87:AQ$94)</f>
        <v>960657.89107504569</v>
      </c>
      <c r="I136" s="112">
        <f>SUM(AS$87:AS$94)+SUM(AU$87:AU$94)+SUM(AW$87:AW$94)+SUM(AY$87:AY$94)</f>
        <v>94835.10425805315</v>
      </c>
      <c r="J136" s="112">
        <f>SUM(BA$87:BA$94)+SUM(BC$87:BC$94)+SUM(BE$87:BE$94)+SUM(BG$87:BG$94)</f>
        <v>666169.03516140522</v>
      </c>
      <c r="K136" s="112">
        <f>SUM(BI$87:BI$94)+SUM(BK$87:BK$94)+SUM(BM$87:BM$94)+SUM(BO$87:BO$94)</f>
        <v>284949.453464058</v>
      </c>
      <c r="L136" s="112">
        <f>SUM(BQ$87:BQ$94)+SUM(BS$87:BS$94)+SUM(BU$87:BU$94)+SUM(BW$87:BW$94)</f>
        <v>768313.39730108716</v>
      </c>
      <c r="M136" s="112">
        <f>SUM(BY$87:BY$94)+SUM(CA$87:CA$94)+SUM(CC$87:CC$94)+SUM(CE$87:CE$94)</f>
        <v>205157.98709028948</v>
      </c>
      <c r="N136" s="112">
        <f>SUM(CG$87:CG$94)+SUM(CI$87:CI$94)+SUM(CK$87:CK$94)+SUM(CM$87:CM$94)</f>
        <v>748942.65083573188</v>
      </c>
      <c r="O136" s="112">
        <f>SUM(CO$87:CO$94)+SUM(CQ$87:CQ$94)+SUM(CS$87:CS$94)+SUM(CU$87:CU$94)</f>
        <v>209503.67893192961</v>
      </c>
    </row>
    <row r="137" spans="2:15" x14ac:dyDescent="0.2">
      <c r="C137" s="111" t="s">
        <v>132</v>
      </c>
      <c r="D137" s="112">
        <f>SUM(E$95:E$105)+SUM(G$95:G$105)+SUM(I$95:I$105)+SUM(K$95:K$105)</f>
        <v>460617.63238373445</v>
      </c>
      <c r="E137" s="112">
        <f>SUM(M$95:M$105)+SUM(O$95:O$105)+SUM(Q$95:Q$105)+SUM(S$95:S$105)</f>
        <v>683986.58068333927</v>
      </c>
      <c r="F137" s="112">
        <f>SUM(U$95:U$105)+SUM(W$95:W$105)+SUM(Y$95:Y$105)+SUM(AA$95:AA$105)</f>
        <v>806768.11723855988</v>
      </c>
      <c r="G137" s="112">
        <f>SUM(AC$95:AC$105)+SUM(AE$95:AE$105)+SUM(AG$95:AG$105)+SUM(AI$95:AI$105)</f>
        <v>404761.40223807492</v>
      </c>
      <c r="H137" s="112">
        <f>SUM(AK$95:AK$105)+SUM(AM$95:AM$105)+SUM(AO$95:AO$105)+SUM(AQ$95:AQ$105)</f>
        <v>561785.39772736165</v>
      </c>
      <c r="I137" s="112">
        <f>SUM(AS$95:AS$105)+SUM(AU$95:AU$105)+SUM(AW$95:AW$105)+SUM(AY$95:AY$105)</f>
        <v>403043.36141156172</v>
      </c>
      <c r="J137" s="112">
        <f>SUM(BA$95:BA$105)+SUM(BC$95:BC$105)+SUM(BE$95:BE$105)+SUM(BG$95:BG$105)</f>
        <v>600504.22312351735</v>
      </c>
      <c r="K137" s="112">
        <f>SUM(BI$95:BI$105)+SUM(BK$95:BK$105)+SUM(BM$95:BM$105)+SUM(BO$95:BO$105)</f>
        <v>438806.48990217946</v>
      </c>
      <c r="L137" s="112">
        <f>SUM(BQ$95:BQ$105)+SUM(BS$95:BS$105)+SUM(BU$95:BU$105)+SUM(BW$95:BW$105)</f>
        <v>688897.99791429238</v>
      </c>
      <c r="M137" s="112">
        <f>SUM(BY$95:BY$105)+SUM(CA$95:CA$105)+SUM(CC$95:CC$105)+SUM(CE$95:CE$105)</f>
        <v>1230619.9635005705</v>
      </c>
      <c r="N137" s="112">
        <f>SUM(CG$95:CG$105)+SUM(CI$95:CI$105)+SUM(CK$95:CK$105)+SUM(CM$95:CM$105)</f>
        <v>313424.93813647545</v>
      </c>
      <c r="O137" s="112">
        <f>SUM(CO$95:CO$105)+SUM(CQ$95:CQ$105)+SUM(CS$95:CS$105)+SUM(CU$95:CU$105)</f>
        <v>1273789.0831898625</v>
      </c>
    </row>
    <row r="138" spans="2:15" x14ac:dyDescent="0.2">
      <c r="C138" s="111" t="s">
        <v>277</v>
      </c>
      <c r="D138" s="106">
        <f t="shared" ref="D138:O138" si="2">SUM(D$131:D$137)</f>
        <v>4431889.2022455931</v>
      </c>
      <c r="E138" s="106">
        <f t="shared" si="2"/>
        <v>5006062.0294957506</v>
      </c>
      <c r="F138" s="106">
        <f t="shared" si="2"/>
        <v>3401824.4021084351</v>
      </c>
      <c r="G138" s="106">
        <f t="shared" si="2"/>
        <v>3897493.4415321006</v>
      </c>
      <c r="H138" s="106">
        <f t="shared" si="2"/>
        <v>4519768.9345298801</v>
      </c>
      <c r="I138" s="106">
        <f t="shared" si="2"/>
        <v>8769797.5740393512</v>
      </c>
      <c r="J138" s="106">
        <f t="shared" si="2"/>
        <v>6447069.1349468064</v>
      </c>
      <c r="K138" s="106">
        <f t="shared" si="2"/>
        <v>4938346.3814835269</v>
      </c>
      <c r="L138" s="106">
        <f t="shared" si="2"/>
        <v>6549237.9602042958</v>
      </c>
      <c r="M138" s="106">
        <f t="shared" si="2"/>
        <v>4970868.0062186578</v>
      </c>
      <c r="N138" s="106">
        <f t="shared" si="2"/>
        <v>9730562.043304611</v>
      </c>
      <c r="O138" s="106">
        <f t="shared" si="2"/>
        <v>7291457.3412709283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defaultRowHeight="12.75" x14ac:dyDescent="0.2"/>
  <cols>
    <col min="1" max="16384" width="9.140625" style="106"/>
  </cols>
  <sheetData>
    <row r="2" spans="1:99" x14ac:dyDescent="0.2">
      <c r="B2" s="108" t="s">
        <v>271</v>
      </c>
    </row>
    <row r="3" spans="1:99" x14ac:dyDescent="0.2">
      <c r="B3" s="109" t="s">
        <v>280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D109*pricing!D24*2000</f>
        <v>0</v>
      </c>
      <c r="E120" s="106">
        <f>E109*pricing!E24*2000</f>
        <v>0</v>
      </c>
      <c r="F120" s="106">
        <f>F109*pricing!F24*2000</f>
        <v>0</v>
      </c>
      <c r="G120" s="106">
        <f>G109*pricing!G24*2000</f>
        <v>0</v>
      </c>
      <c r="H120" s="106">
        <f>H109*pricing!H24*2000</f>
        <v>0</v>
      </c>
      <c r="I120" s="106">
        <f>I109*pricing!I24*2000</f>
        <v>0</v>
      </c>
      <c r="J120" s="106">
        <f>J109*pricing!J24*2000</f>
        <v>0</v>
      </c>
      <c r="K120" s="106">
        <f>K109*pricing!K24*2000</f>
        <v>0</v>
      </c>
      <c r="L120" s="106">
        <f>L109*pricing!L24*2000</f>
        <v>0</v>
      </c>
      <c r="M120" s="106">
        <f>M109*pricing!M24*2000</f>
        <v>0</v>
      </c>
      <c r="N120" s="106">
        <f>N109*pricing!N24*2000</f>
        <v>0</v>
      </c>
      <c r="O120" s="106">
        <f>O109*pricing!O24*2000</f>
        <v>0</v>
      </c>
    </row>
    <row r="121" spans="2:15" x14ac:dyDescent="0.2">
      <c r="C121" s="105" t="s">
        <v>127</v>
      </c>
      <c r="D121" s="106">
        <f>D110*pricing!D25*2000</f>
        <v>0</v>
      </c>
      <c r="E121" s="106">
        <f>E110*pricing!E25*2000</f>
        <v>0</v>
      </c>
      <c r="F121" s="106">
        <f>F110*pricing!F25*2000</f>
        <v>0</v>
      </c>
      <c r="G121" s="106">
        <f>G110*pricing!G25*2000</f>
        <v>0</v>
      </c>
      <c r="H121" s="106">
        <f>H110*pricing!H25*2000</f>
        <v>0</v>
      </c>
      <c r="I121" s="106">
        <f>I110*pricing!I25*2000</f>
        <v>0</v>
      </c>
      <c r="J121" s="106">
        <f>J110*pricing!J25*2000</f>
        <v>0</v>
      </c>
      <c r="K121" s="106">
        <f>K110*pricing!K25*2000</f>
        <v>0</v>
      </c>
      <c r="L121" s="106">
        <f>L110*pricing!L25*2000</f>
        <v>0</v>
      </c>
      <c r="M121" s="106">
        <f>M110*pricing!M25*2000</f>
        <v>0</v>
      </c>
      <c r="N121" s="106">
        <f>N110*pricing!N25*2000</f>
        <v>0</v>
      </c>
      <c r="O121" s="106">
        <f>O110*pricing!O25*2000</f>
        <v>0</v>
      </c>
    </row>
    <row r="122" spans="2:15" x14ac:dyDescent="0.2">
      <c r="C122" s="105" t="s">
        <v>128</v>
      </c>
      <c r="D122" s="106">
        <f>D111*pricing!D26*2000</f>
        <v>0</v>
      </c>
      <c r="E122" s="106">
        <f>E111*pricing!E26*2000</f>
        <v>0</v>
      </c>
      <c r="F122" s="106">
        <f>F111*pricing!F26*2000</f>
        <v>0</v>
      </c>
      <c r="G122" s="106">
        <f>G111*pricing!G26*2000</f>
        <v>0</v>
      </c>
      <c r="H122" s="106">
        <f>H111*pricing!H26*2000</f>
        <v>0</v>
      </c>
      <c r="I122" s="106">
        <f>I111*pricing!I26*2000</f>
        <v>0</v>
      </c>
      <c r="J122" s="106">
        <f>J111*pricing!J26*2000</f>
        <v>0</v>
      </c>
      <c r="K122" s="106">
        <f>K111*pricing!K26*2000</f>
        <v>0</v>
      </c>
      <c r="L122" s="106">
        <f>L111*pricing!L26*2000</f>
        <v>0</v>
      </c>
      <c r="M122" s="106">
        <f>M111*pricing!M26*2000</f>
        <v>0</v>
      </c>
      <c r="N122" s="106">
        <f>N111*pricing!N26*2000</f>
        <v>0</v>
      </c>
      <c r="O122" s="106">
        <f>O111*pricing!O26*2000</f>
        <v>0</v>
      </c>
    </row>
    <row r="123" spans="2:15" x14ac:dyDescent="0.2">
      <c r="C123" s="105" t="s">
        <v>129</v>
      </c>
      <c r="D123" s="106">
        <f>D112*pricing!D27*2000</f>
        <v>0</v>
      </c>
      <c r="E123" s="106">
        <f>E112*pricing!E27*2000</f>
        <v>0</v>
      </c>
      <c r="F123" s="106">
        <f>F112*pricing!F27*2000</f>
        <v>0</v>
      </c>
      <c r="G123" s="106">
        <f>G112*pricing!G27*2000</f>
        <v>0</v>
      </c>
      <c r="H123" s="106">
        <f>H112*pricing!H27*2000</f>
        <v>0</v>
      </c>
      <c r="I123" s="106">
        <f>I112*pricing!I27*2000</f>
        <v>0</v>
      </c>
      <c r="J123" s="106">
        <f>J112*pricing!J27*2000</f>
        <v>0</v>
      </c>
      <c r="K123" s="106">
        <f>K112*pricing!K27*2000</f>
        <v>0</v>
      </c>
      <c r="L123" s="106">
        <f>L112*pricing!L27*2000</f>
        <v>0</v>
      </c>
      <c r="M123" s="106">
        <f>M112*pricing!M27*2000</f>
        <v>0</v>
      </c>
      <c r="N123" s="106">
        <f>N112*pricing!N27*2000</f>
        <v>0</v>
      </c>
      <c r="O123" s="106">
        <f>O112*pricing!O27*2000</f>
        <v>0</v>
      </c>
    </row>
    <row r="124" spans="2:15" x14ac:dyDescent="0.2">
      <c r="C124" s="105" t="s">
        <v>130</v>
      </c>
      <c r="D124" s="106">
        <f>D113*pricing!D28*2000</f>
        <v>0</v>
      </c>
      <c r="E124" s="106">
        <f>E113*pricing!E28*2000</f>
        <v>0</v>
      </c>
      <c r="F124" s="106">
        <f>F113*pricing!F28*2000</f>
        <v>0</v>
      </c>
      <c r="G124" s="106">
        <f>G113*pricing!G28*2000</f>
        <v>0</v>
      </c>
      <c r="H124" s="106">
        <f>H113*pricing!H28*2000</f>
        <v>0</v>
      </c>
      <c r="I124" s="106">
        <f>I113*pricing!I28*2000</f>
        <v>0</v>
      </c>
      <c r="J124" s="106">
        <f>J113*pricing!J28*2000</f>
        <v>0</v>
      </c>
      <c r="K124" s="106">
        <f>K113*pricing!K28*2000</f>
        <v>0</v>
      </c>
      <c r="L124" s="106">
        <f>L113*pricing!L28*2000</f>
        <v>0</v>
      </c>
      <c r="M124" s="106">
        <f>M113*pricing!M28*2000</f>
        <v>0</v>
      </c>
      <c r="N124" s="106">
        <f>N113*pricing!N28*2000</f>
        <v>0</v>
      </c>
      <c r="O124" s="106">
        <f>O113*pricing!O28*2000</f>
        <v>0</v>
      </c>
    </row>
    <row r="125" spans="2:15" x14ac:dyDescent="0.2">
      <c r="C125" s="105" t="s">
        <v>131</v>
      </c>
      <c r="D125" s="106">
        <f>D114*pricing!D29*2000</f>
        <v>0</v>
      </c>
      <c r="E125" s="106">
        <f>E114*pricing!E29*2000</f>
        <v>0</v>
      </c>
      <c r="F125" s="106">
        <f>F114*pricing!F29*2000</f>
        <v>0</v>
      </c>
      <c r="G125" s="106">
        <f>G114*pricing!G29*2000</f>
        <v>0</v>
      </c>
      <c r="H125" s="106">
        <f>H114*pricing!H29*2000</f>
        <v>0</v>
      </c>
      <c r="I125" s="106">
        <f>I114*pricing!I29*2000</f>
        <v>0</v>
      </c>
      <c r="J125" s="106">
        <f>J114*pricing!J29*2000</f>
        <v>0</v>
      </c>
      <c r="K125" s="106">
        <f>K114*pricing!K29*2000</f>
        <v>0</v>
      </c>
      <c r="L125" s="106">
        <f>L114*pricing!L29*2000</f>
        <v>0</v>
      </c>
      <c r="M125" s="106">
        <f>M114*pricing!M29*2000</f>
        <v>0</v>
      </c>
      <c r="N125" s="106">
        <f>N114*pricing!N29*2000</f>
        <v>0</v>
      </c>
      <c r="O125" s="106">
        <f>O114*pricing!O29*2000</f>
        <v>0</v>
      </c>
    </row>
    <row r="126" spans="2:15" x14ac:dyDescent="0.2">
      <c r="C126" s="105" t="s">
        <v>132</v>
      </c>
      <c r="D126" s="106">
        <f>D115*pricing!D30*2000</f>
        <v>0</v>
      </c>
      <c r="E126" s="106">
        <f>E115*pricing!E30*2000</f>
        <v>0</v>
      </c>
      <c r="F126" s="106">
        <f>F115*pricing!F30*2000</f>
        <v>0</v>
      </c>
      <c r="G126" s="106">
        <f>G115*pricing!G30*2000</f>
        <v>0</v>
      </c>
      <c r="H126" s="106">
        <f>H115*pricing!H30*2000</f>
        <v>0</v>
      </c>
      <c r="I126" s="106">
        <f>I115*pricing!I30*2000</f>
        <v>0</v>
      </c>
      <c r="J126" s="106">
        <f>J115*pricing!J30*2000</f>
        <v>0</v>
      </c>
      <c r="K126" s="106">
        <f>K115*pricing!K30*2000</f>
        <v>0</v>
      </c>
      <c r="L126" s="106">
        <f>L115*pricing!L30*2000</f>
        <v>0</v>
      </c>
      <c r="M126" s="106">
        <f>M115*pricing!M30*2000</f>
        <v>0</v>
      </c>
      <c r="N126" s="106">
        <f>N115*pricing!N30*2000</f>
        <v>0</v>
      </c>
      <c r="O126" s="106">
        <f>O115*pricing!O30*2000</f>
        <v>0</v>
      </c>
    </row>
    <row r="127" spans="2:15" x14ac:dyDescent="0.2">
      <c r="C127" s="105" t="s">
        <v>277</v>
      </c>
      <c r="D127" s="106">
        <f t="shared" ref="D127:O127" si="1">SUM(D$120:D$126)</f>
        <v>0</v>
      </c>
      <c r="E127" s="106">
        <f t="shared" si="1"/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defaultRowHeight="12.75" x14ac:dyDescent="0.2"/>
  <cols>
    <col min="1" max="16384" width="9.140625" style="106"/>
  </cols>
  <sheetData>
    <row r="1" spans="1:99" x14ac:dyDescent="0.2">
      <c r="A1" s="107"/>
    </row>
    <row r="2" spans="1:99" x14ac:dyDescent="0.2">
      <c r="B2" s="108" t="s">
        <v>271</v>
      </c>
    </row>
    <row r="3" spans="1:99" x14ac:dyDescent="0.2">
      <c r="B3" s="109" t="s">
        <v>272</v>
      </c>
    </row>
    <row r="4" spans="1:99" x14ac:dyDescent="0.2">
      <c r="A4" s="107"/>
      <c r="B4" s="107"/>
      <c r="C4" s="105" t="s">
        <v>273</v>
      </c>
      <c r="D4" s="105" t="s">
        <v>92</v>
      </c>
      <c r="E4" s="107"/>
      <c r="F4" s="107"/>
      <c r="G4" s="107"/>
      <c r="H4" s="107"/>
      <c r="I4" s="107"/>
      <c r="J4" s="107"/>
      <c r="K4" s="107"/>
      <c r="L4" s="105" t="s">
        <v>93</v>
      </c>
      <c r="M4" s="107"/>
      <c r="N4" s="107"/>
      <c r="O4" s="107"/>
      <c r="P4" s="107"/>
      <c r="Q4" s="107"/>
      <c r="R4" s="107"/>
      <c r="S4" s="107"/>
      <c r="T4" s="105" t="s">
        <v>94</v>
      </c>
      <c r="U4" s="107"/>
      <c r="V4" s="107"/>
      <c r="W4" s="107"/>
      <c r="X4" s="107"/>
      <c r="Y4" s="107"/>
      <c r="Z4" s="107"/>
      <c r="AA4" s="107"/>
      <c r="AB4" s="105" t="s">
        <v>95</v>
      </c>
      <c r="AC4" s="107"/>
      <c r="AD4" s="107"/>
      <c r="AE4" s="107"/>
      <c r="AF4" s="107"/>
      <c r="AG4" s="107"/>
      <c r="AH4" s="107"/>
      <c r="AI4" s="107"/>
      <c r="AJ4" s="105" t="s">
        <v>96</v>
      </c>
      <c r="AK4" s="107"/>
      <c r="AL4" s="107"/>
      <c r="AM4" s="107"/>
      <c r="AN4" s="107"/>
      <c r="AO4" s="107"/>
      <c r="AP4" s="107"/>
      <c r="AQ4" s="107"/>
      <c r="AR4" s="105" t="s">
        <v>97</v>
      </c>
      <c r="AS4" s="107"/>
      <c r="AT4" s="107"/>
      <c r="AU4" s="107"/>
      <c r="AV4" s="107"/>
      <c r="AW4" s="107"/>
      <c r="AX4" s="107"/>
      <c r="AY4" s="107"/>
      <c r="AZ4" s="105" t="s">
        <v>98</v>
      </c>
      <c r="BA4" s="107"/>
      <c r="BB4" s="107"/>
      <c r="BC4" s="107"/>
      <c r="BD4" s="107"/>
      <c r="BE4" s="107"/>
      <c r="BF4" s="107"/>
      <c r="BG4" s="107"/>
      <c r="BH4" s="105" t="s">
        <v>99</v>
      </c>
      <c r="BI4" s="107"/>
      <c r="BJ4" s="107"/>
      <c r="BK4" s="107"/>
      <c r="BL4" s="107"/>
      <c r="BM4" s="107"/>
      <c r="BN4" s="107"/>
      <c r="BO4" s="107"/>
      <c r="BP4" s="105" t="s">
        <v>100</v>
      </c>
      <c r="BQ4" s="107"/>
      <c r="BR4" s="107"/>
      <c r="BS4" s="107"/>
      <c r="BT4" s="107"/>
      <c r="BU4" s="107"/>
      <c r="BV4" s="107"/>
      <c r="BW4" s="107"/>
      <c r="BX4" s="105" t="s">
        <v>101</v>
      </c>
      <c r="BY4" s="107"/>
      <c r="BZ4" s="107"/>
      <c r="CA4" s="107"/>
      <c r="CB4" s="107"/>
      <c r="CC4" s="107"/>
      <c r="CD4" s="107"/>
      <c r="CE4" s="107"/>
      <c r="CF4" s="105" t="s">
        <v>102</v>
      </c>
      <c r="CG4" s="107"/>
      <c r="CH4" s="107"/>
      <c r="CI4" s="107"/>
      <c r="CJ4" s="107"/>
      <c r="CK4" s="107"/>
      <c r="CL4" s="107"/>
      <c r="CM4" s="107"/>
      <c r="CN4" s="105" t="s">
        <v>103</v>
      </c>
      <c r="CO4" s="107"/>
      <c r="CP4" s="107"/>
      <c r="CQ4" s="107"/>
      <c r="CR4" s="107"/>
      <c r="CS4" s="107"/>
      <c r="CT4" s="107"/>
      <c r="CU4" s="107"/>
    </row>
    <row r="5" spans="1:99" x14ac:dyDescent="0.2">
      <c r="B5" s="105" t="s">
        <v>166</v>
      </c>
      <c r="C5" s="105" t="s">
        <v>274</v>
      </c>
      <c r="D5" s="105">
        <v>1</v>
      </c>
      <c r="E5" s="105"/>
      <c r="F5" s="105">
        <v>2</v>
      </c>
      <c r="G5" s="105"/>
      <c r="H5" s="105">
        <v>3</v>
      </c>
      <c r="I5" s="105"/>
      <c r="J5" s="105">
        <v>4</v>
      </c>
      <c r="K5" s="105"/>
      <c r="L5" s="105">
        <v>1</v>
      </c>
      <c r="M5" s="105"/>
      <c r="N5" s="105">
        <v>2</v>
      </c>
      <c r="O5" s="105"/>
      <c r="P5" s="105">
        <v>3</v>
      </c>
      <c r="Q5" s="105"/>
      <c r="R5" s="105">
        <v>4</v>
      </c>
      <c r="S5" s="105"/>
      <c r="T5" s="105">
        <v>1</v>
      </c>
      <c r="U5" s="105"/>
      <c r="V5" s="105">
        <v>2</v>
      </c>
      <c r="W5" s="105"/>
      <c r="X5" s="105">
        <v>3</v>
      </c>
      <c r="Y5" s="105"/>
      <c r="Z5" s="105">
        <v>4</v>
      </c>
      <c r="AA5" s="105"/>
      <c r="AB5" s="105">
        <v>1</v>
      </c>
      <c r="AC5" s="105"/>
      <c r="AD5" s="105">
        <v>2</v>
      </c>
      <c r="AE5" s="105"/>
      <c r="AF5" s="105">
        <v>3</v>
      </c>
      <c r="AG5" s="105"/>
      <c r="AH5" s="105">
        <v>4</v>
      </c>
      <c r="AI5" s="105"/>
      <c r="AJ5" s="105">
        <v>1</v>
      </c>
      <c r="AK5" s="105"/>
      <c r="AL5" s="105">
        <v>2</v>
      </c>
      <c r="AM5" s="105"/>
      <c r="AN5" s="105">
        <v>3</v>
      </c>
      <c r="AO5" s="105"/>
      <c r="AP5" s="105">
        <v>4</v>
      </c>
      <c r="AQ5" s="105"/>
      <c r="AR5" s="105">
        <v>1</v>
      </c>
      <c r="AS5" s="105"/>
      <c r="AT5" s="105">
        <v>2</v>
      </c>
      <c r="AU5" s="105"/>
      <c r="AV5" s="105">
        <v>3</v>
      </c>
      <c r="AW5" s="105"/>
      <c r="AX5" s="105">
        <v>4</v>
      </c>
      <c r="AY5" s="105"/>
      <c r="AZ5" s="105">
        <v>1</v>
      </c>
      <c r="BA5" s="105"/>
      <c r="BB5" s="105">
        <v>2</v>
      </c>
      <c r="BC5" s="105"/>
      <c r="BD5" s="105">
        <v>3</v>
      </c>
      <c r="BE5" s="105"/>
      <c r="BF5" s="105">
        <v>4</v>
      </c>
      <c r="BG5" s="105"/>
      <c r="BH5" s="105">
        <v>1</v>
      </c>
      <c r="BI5" s="105"/>
      <c r="BJ5" s="105">
        <v>2</v>
      </c>
      <c r="BK5" s="105"/>
      <c r="BL5" s="105">
        <v>3</v>
      </c>
      <c r="BM5" s="105"/>
      <c r="BN5" s="105">
        <v>4</v>
      </c>
      <c r="BO5" s="105"/>
      <c r="BP5" s="105">
        <v>1</v>
      </c>
      <c r="BQ5" s="105"/>
      <c r="BR5" s="105">
        <v>2</v>
      </c>
      <c r="BS5" s="105"/>
      <c r="BT5" s="105">
        <v>3</v>
      </c>
      <c r="BU5" s="105"/>
      <c r="BV5" s="105">
        <v>4</v>
      </c>
      <c r="BW5" s="105"/>
      <c r="BX5" s="105">
        <v>1</v>
      </c>
      <c r="BY5" s="105"/>
      <c r="BZ5" s="105">
        <v>2</v>
      </c>
      <c r="CA5" s="105"/>
      <c r="CB5" s="105">
        <v>3</v>
      </c>
      <c r="CC5" s="105"/>
      <c r="CD5" s="105">
        <v>4</v>
      </c>
      <c r="CE5" s="105"/>
      <c r="CF5" s="105">
        <v>1</v>
      </c>
      <c r="CG5" s="105"/>
      <c r="CH5" s="105">
        <v>2</v>
      </c>
      <c r="CI5" s="105"/>
      <c r="CJ5" s="105">
        <v>3</v>
      </c>
      <c r="CK5" s="105"/>
      <c r="CL5" s="105">
        <v>4</v>
      </c>
      <c r="CM5" s="105"/>
      <c r="CN5" s="105">
        <v>1</v>
      </c>
      <c r="CO5" s="105"/>
      <c r="CP5" s="105">
        <v>2</v>
      </c>
      <c r="CQ5" s="105"/>
      <c r="CR5" s="105">
        <v>3</v>
      </c>
      <c r="CS5" s="105"/>
      <c r="CT5" s="105">
        <v>4</v>
      </c>
      <c r="CU5" s="105"/>
    </row>
    <row r="6" spans="1:99" x14ac:dyDescent="0.2">
      <c r="B6" s="105" t="s">
        <v>126</v>
      </c>
      <c r="C6" s="105" t="s">
        <v>171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</v>
      </c>
      <c r="L6" s="106">
        <v>0</v>
      </c>
      <c r="M6" s="106">
        <v>0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  <c r="AP6" s="106">
        <v>0</v>
      </c>
      <c r="AQ6" s="106">
        <v>0</v>
      </c>
      <c r="AR6" s="106">
        <v>0</v>
      </c>
      <c r="AS6" s="106">
        <v>0</v>
      </c>
      <c r="AT6" s="106">
        <v>0</v>
      </c>
      <c r="AU6" s="106">
        <v>0</v>
      </c>
      <c r="AV6" s="106">
        <v>0</v>
      </c>
      <c r="AW6" s="106">
        <v>0</v>
      </c>
      <c r="AX6" s="106">
        <v>0</v>
      </c>
      <c r="AY6" s="106">
        <v>0</v>
      </c>
      <c r="AZ6" s="106">
        <v>0</v>
      </c>
      <c r="BA6" s="106">
        <v>0</v>
      </c>
      <c r="BB6" s="106">
        <v>0</v>
      </c>
      <c r="BC6" s="106">
        <v>0</v>
      </c>
      <c r="BD6" s="106">
        <v>0</v>
      </c>
      <c r="BE6" s="106">
        <v>0</v>
      </c>
      <c r="BF6" s="106">
        <v>0</v>
      </c>
      <c r="BG6" s="106">
        <v>0</v>
      </c>
      <c r="BH6" s="106">
        <v>0</v>
      </c>
      <c r="BI6" s="106">
        <v>0</v>
      </c>
      <c r="BJ6" s="106">
        <v>0</v>
      </c>
      <c r="BK6" s="106">
        <v>0</v>
      </c>
      <c r="BL6" s="106">
        <v>0</v>
      </c>
      <c r="BM6" s="106">
        <v>0</v>
      </c>
      <c r="BN6" s="106">
        <v>0</v>
      </c>
      <c r="BO6" s="106">
        <v>0</v>
      </c>
      <c r="BP6" s="106">
        <v>0</v>
      </c>
      <c r="BQ6" s="106">
        <v>0</v>
      </c>
      <c r="BR6" s="106">
        <v>0</v>
      </c>
      <c r="BS6" s="106">
        <v>0</v>
      </c>
      <c r="BT6" s="106">
        <v>0</v>
      </c>
      <c r="BU6" s="106">
        <v>0</v>
      </c>
      <c r="BV6" s="106">
        <v>0</v>
      </c>
      <c r="BW6" s="106">
        <v>0</v>
      </c>
      <c r="BX6" s="106">
        <v>0</v>
      </c>
      <c r="BY6" s="106">
        <v>0</v>
      </c>
      <c r="BZ6" s="106">
        <v>0</v>
      </c>
      <c r="CA6" s="106">
        <v>0</v>
      </c>
      <c r="CB6" s="106">
        <v>0</v>
      </c>
      <c r="CC6" s="106">
        <v>0</v>
      </c>
      <c r="CD6" s="106">
        <v>0</v>
      </c>
      <c r="CE6" s="106">
        <v>0</v>
      </c>
      <c r="CF6" s="106">
        <v>0</v>
      </c>
      <c r="CG6" s="106">
        <v>0</v>
      </c>
      <c r="CH6" s="106">
        <v>0</v>
      </c>
      <c r="CI6" s="106">
        <v>0</v>
      </c>
      <c r="CJ6" s="106">
        <v>0</v>
      </c>
      <c r="CK6" s="106">
        <v>0</v>
      </c>
      <c r="CL6" s="106">
        <v>0</v>
      </c>
      <c r="CM6" s="106">
        <v>0</v>
      </c>
      <c r="CN6" s="106">
        <v>0</v>
      </c>
      <c r="CO6" s="106">
        <v>0</v>
      </c>
      <c r="CP6" s="106">
        <v>0</v>
      </c>
      <c r="CQ6" s="106">
        <v>0</v>
      </c>
      <c r="CR6" s="106">
        <v>0</v>
      </c>
      <c r="CS6" s="106">
        <v>0</v>
      </c>
      <c r="CT6" s="106">
        <v>0</v>
      </c>
      <c r="CU6" s="106">
        <v>0</v>
      </c>
    </row>
    <row r="7" spans="1:99" x14ac:dyDescent="0.2">
      <c r="C7" s="105" t="s">
        <v>172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</v>
      </c>
      <c r="L7" s="106">
        <v>0</v>
      </c>
      <c r="M7" s="106">
        <v>0</v>
      </c>
      <c r="N7" s="106">
        <v>0</v>
      </c>
      <c r="O7" s="106">
        <v>0</v>
      </c>
      <c r="P7" s="106">
        <v>0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  <c r="AP7" s="106">
        <v>0</v>
      </c>
      <c r="AQ7" s="106">
        <v>0</v>
      </c>
      <c r="AR7" s="106">
        <v>0</v>
      </c>
      <c r="AS7" s="106">
        <v>0</v>
      </c>
      <c r="AT7" s="106">
        <v>0</v>
      </c>
      <c r="AU7" s="106">
        <v>0</v>
      </c>
      <c r="AV7" s="106">
        <v>0</v>
      </c>
      <c r="AW7" s="106">
        <v>0</v>
      </c>
      <c r="AX7" s="106">
        <v>0</v>
      </c>
      <c r="AY7" s="106">
        <v>0</v>
      </c>
      <c r="AZ7" s="106">
        <v>0</v>
      </c>
      <c r="BA7" s="106">
        <v>0</v>
      </c>
      <c r="BB7" s="106">
        <v>0</v>
      </c>
      <c r="BC7" s="106">
        <v>0</v>
      </c>
      <c r="BD7" s="106">
        <v>0</v>
      </c>
      <c r="BE7" s="106">
        <v>0</v>
      </c>
      <c r="BF7" s="106">
        <v>0</v>
      </c>
      <c r="BG7" s="106">
        <v>0</v>
      </c>
      <c r="BH7" s="106">
        <v>0</v>
      </c>
      <c r="BI7" s="106">
        <v>0</v>
      </c>
      <c r="BJ7" s="106">
        <v>0</v>
      </c>
      <c r="BK7" s="106">
        <v>0</v>
      </c>
      <c r="BL7" s="106">
        <v>0</v>
      </c>
      <c r="BM7" s="106">
        <v>0</v>
      </c>
      <c r="BN7" s="106">
        <v>0</v>
      </c>
      <c r="BO7" s="106">
        <v>0</v>
      </c>
      <c r="BP7" s="106">
        <v>0</v>
      </c>
      <c r="BQ7" s="106">
        <v>0</v>
      </c>
      <c r="BR7" s="106">
        <v>0</v>
      </c>
      <c r="BS7" s="106">
        <v>0</v>
      </c>
      <c r="BT7" s="106">
        <v>0</v>
      </c>
      <c r="BU7" s="106">
        <v>0</v>
      </c>
      <c r="BV7" s="106">
        <v>0</v>
      </c>
      <c r="BW7" s="106">
        <v>0</v>
      </c>
      <c r="BX7" s="106">
        <v>0</v>
      </c>
      <c r="BY7" s="106">
        <v>0</v>
      </c>
      <c r="BZ7" s="106">
        <v>0</v>
      </c>
      <c r="CA7" s="106">
        <v>0</v>
      </c>
      <c r="CB7" s="106">
        <v>0</v>
      </c>
      <c r="CC7" s="106">
        <v>0</v>
      </c>
      <c r="CD7" s="106">
        <v>0</v>
      </c>
      <c r="CE7" s="106">
        <v>0</v>
      </c>
      <c r="CF7" s="106">
        <v>0</v>
      </c>
      <c r="CG7" s="106">
        <v>0</v>
      </c>
      <c r="CH7" s="106">
        <v>0</v>
      </c>
      <c r="CI7" s="106">
        <v>0</v>
      </c>
      <c r="CJ7" s="106">
        <v>0</v>
      </c>
      <c r="CK7" s="106">
        <v>0</v>
      </c>
      <c r="CL7" s="106">
        <v>0</v>
      </c>
      <c r="CM7" s="106">
        <v>0</v>
      </c>
      <c r="CN7" s="106">
        <v>0</v>
      </c>
      <c r="CO7" s="106">
        <v>0</v>
      </c>
      <c r="CP7" s="106">
        <v>0</v>
      </c>
      <c r="CQ7" s="106">
        <v>0</v>
      </c>
      <c r="CR7" s="106">
        <v>0</v>
      </c>
      <c r="CS7" s="106">
        <v>0</v>
      </c>
      <c r="CT7" s="106">
        <v>0</v>
      </c>
      <c r="CU7" s="106">
        <v>0</v>
      </c>
    </row>
    <row r="8" spans="1:99" x14ac:dyDescent="0.2">
      <c r="C8" s="105" t="s">
        <v>173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  <c r="AP8" s="106">
        <v>0</v>
      </c>
      <c r="AQ8" s="106">
        <v>0</v>
      </c>
      <c r="AR8" s="106">
        <v>0</v>
      </c>
      <c r="AS8" s="106">
        <v>0</v>
      </c>
      <c r="AT8" s="106">
        <v>0</v>
      </c>
      <c r="AU8" s="106">
        <v>0</v>
      </c>
      <c r="AV8" s="106">
        <v>0</v>
      </c>
      <c r="AW8" s="106">
        <v>0</v>
      </c>
      <c r="AX8" s="106">
        <v>0</v>
      </c>
      <c r="AY8" s="106">
        <v>0</v>
      </c>
      <c r="AZ8" s="106">
        <v>0</v>
      </c>
      <c r="BA8" s="106">
        <v>0</v>
      </c>
      <c r="BB8" s="106">
        <v>0</v>
      </c>
      <c r="BC8" s="106">
        <v>0</v>
      </c>
      <c r="BD8" s="106">
        <v>0</v>
      </c>
      <c r="BE8" s="106">
        <v>0</v>
      </c>
      <c r="BF8" s="106">
        <v>0</v>
      </c>
      <c r="BG8" s="106">
        <v>0</v>
      </c>
      <c r="BH8" s="106">
        <v>0</v>
      </c>
      <c r="BI8" s="106">
        <v>0</v>
      </c>
      <c r="BJ8" s="106">
        <v>0</v>
      </c>
      <c r="BK8" s="106">
        <v>0</v>
      </c>
      <c r="BL8" s="106">
        <v>0</v>
      </c>
      <c r="BM8" s="106">
        <v>0</v>
      </c>
      <c r="BN8" s="106">
        <v>0</v>
      </c>
      <c r="BO8" s="106">
        <v>0</v>
      </c>
      <c r="BP8" s="106">
        <v>0</v>
      </c>
      <c r="BQ8" s="106">
        <v>0</v>
      </c>
      <c r="BR8" s="106">
        <v>0</v>
      </c>
      <c r="BS8" s="106">
        <v>0</v>
      </c>
      <c r="BT8" s="106">
        <v>0</v>
      </c>
      <c r="BU8" s="106">
        <v>0</v>
      </c>
      <c r="BV8" s="106">
        <v>0</v>
      </c>
      <c r="BW8" s="106">
        <v>0</v>
      </c>
      <c r="BX8" s="106">
        <v>0</v>
      </c>
      <c r="BY8" s="106">
        <v>0</v>
      </c>
      <c r="BZ8" s="106">
        <v>0</v>
      </c>
      <c r="CA8" s="106">
        <v>0</v>
      </c>
      <c r="CB8" s="106">
        <v>0</v>
      </c>
      <c r="CC8" s="106">
        <v>0</v>
      </c>
      <c r="CD8" s="106">
        <v>0</v>
      </c>
      <c r="CE8" s="106">
        <v>0</v>
      </c>
      <c r="CF8" s="106">
        <v>0</v>
      </c>
      <c r="CG8" s="106">
        <v>0</v>
      </c>
      <c r="CH8" s="106">
        <v>0</v>
      </c>
      <c r="CI8" s="106">
        <v>0</v>
      </c>
      <c r="CJ8" s="106">
        <v>0</v>
      </c>
      <c r="CK8" s="106">
        <v>0</v>
      </c>
      <c r="CL8" s="106">
        <v>0</v>
      </c>
      <c r="CM8" s="106">
        <v>0</v>
      </c>
      <c r="CN8" s="106">
        <v>0</v>
      </c>
      <c r="CO8" s="106">
        <v>0</v>
      </c>
      <c r="CP8" s="106">
        <v>0</v>
      </c>
      <c r="CQ8" s="106">
        <v>0</v>
      </c>
      <c r="CR8" s="106">
        <v>0</v>
      </c>
      <c r="CS8" s="106">
        <v>0</v>
      </c>
      <c r="CT8" s="106">
        <v>0</v>
      </c>
      <c r="CU8" s="106">
        <v>0</v>
      </c>
    </row>
    <row r="9" spans="1:99" x14ac:dyDescent="0.2">
      <c r="C9" s="105" t="s">
        <v>174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</v>
      </c>
      <c r="L9" s="106">
        <v>0</v>
      </c>
      <c r="M9" s="106">
        <v>0</v>
      </c>
      <c r="N9" s="106">
        <v>0</v>
      </c>
      <c r="O9" s="106">
        <v>0</v>
      </c>
      <c r="P9" s="106">
        <v>0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  <c r="AP9" s="106">
        <v>0</v>
      </c>
      <c r="AQ9" s="106">
        <v>0</v>
      </c>
      <c r="AR9" s="106">
        <v>0</v>
      </c>
      <c r="AS9" s="106">
        <v>0</v>
      </c>
      <c r="AT9" s="106">
        <v>0</v>
      </c>
      <c r="AU9" s="106">
        <v>0</v>
      </c>
      <c r="AV9" s="106">
        <v>0</v>
      </c>
      <c r="AW9" s="106">
        <v>0</v>
      </c>
      <c r="AX9" s="106">
        <v>0</v>
      </c>
      <c r="AY9" s="106">
        <v>0</v>
      </c>
      <c r="AZ9" s="106">
        <v>0</v>
      </c>
      <c r="BA9" s="106">
        <v>0</v>
      </c>
      <c r="BB9" s="106">
        <v>0</v>
      </c>
      <c r="BC9" s="106">
        <v>0</v>
      </c>
      <c r="BD9" s="106">
        <v>0</v>
      </c>
      <c r="BE9" s="106">
        <v>0</v>
      </c>
      <c r="BF9" s="106">
        <v>0</v>
      </c>
      <c r="BG9" s="106">
        <v>0</v>
      </c>
      <c r="BH9" s="106">
        <v>0</v>
      </c>
      <c r="BI9" s="106">
        <v>0</v>
      </c>
      <c r="BJ9" s="106">
        <v>0</v>
      </c>
      <c r="BK9" s="106">
        <v>0</v>
      </c>
      <c r="BL9" s="106">
        <v>0</v>
      </c>
      <c r="BM9" s="106">
        <v>0</v>
      </c>
      <c r="BN9" s="106">
        <v>0</v>
      </c>
      <c r="BO9" s="106">
        <v>0</v>
      </c>
      <c r="BP9" s="106">
        <v>0</v>
      </c>
      <c r="BQ9" s="106">
        <v>0</v>
      </c>
      <c r="BR9" s="106">
        <v>0</v>
      </c>
      <c r="BS9" s="106">
        <v>0</v>
      </c>
      <c r="BT9" s="106">
        <v>0</v>
      </c>
      <c r="BU9" s="106">
        <v>0</v>
      </c>
      <c r="BV9" s="106">
        <v>0</v>
      </c>
      <c r="BW9" s="106">
        <v>0</v>
      </c>
      <c r="BX9" s="106">
        <v>0</v>
      </c>
      <c r="BY9" s="106">
        <v>0</v>
      </c>
      <c r="BZ9" s="106">
        <v>0</v>
      </c>
      <c r="CA9" s="106">
        <v>0</v>
      </c>
      <c r="CB9" s="106">
        <v>0</v>
      </c>
      <c r="CC9" s="106">
        <v>0</v>
      </c>
      <c r="CD9" s="106">
        <v>0</v>
      </c>
      <c r="CE9" s="106">
        <v>0</v>
      </c>
      <c r="CF9" s="106">
        <v>0</v>
      </c>
      <c r="CG9" s="106">
        <v>0</v>
      </c>
      <c r="CH9" s="106">
        <v>0</v>
      </c>
      <c r="CI9" s="106">
        <v>0</v>
      </c>
      <c r="CJ9" s="106">
        <v>0</v>
      </c>
      <c r="CK9" s="106">
        <v>0</v>
      </c>
      <c r="CL9" s="106">
        <v>0</v>
      </c>
      <c r="CM9" s="106">
        <v>0</v>
      </c>
      <c r="CN9" s="106">
        <v>0</v>
      </c>
      <c r="CO9" s="106">
        <v>0</v>
      </c>
      <c r="CP9" s="106">
        <v>0</v>
      </c>
      <c r="CQ9" s="106">
        <v>0</v>
      </c>
      <c r="CR9" s="106">
        <v>0</v>
      </c>
      <c r="CS9" s="106">
        <v>0</v>
      </c>
      <c r="CT9" s="106">
        <v>0</v>
      </c>
      <c r="CU9" s="106">
        <v>0</v>
      </c>
    </row>
    <row r="10" spans="1:99" x14ac:dyDescent="0.2">
      <c r="C10" s="105" t="s">
        <v>175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</v>
      </c>
      <c r="L10" s="106">
        <v>0</v>
      </c>
      <c r="M10" s="106">
        <v>0</v>
      </c>
      <c r="N10" s="106">
        <v>0</v>
      </c>
      <c r="O10" s="106">
        <v>0</v>
      </c>
      <c r="P10" s="106">
        <v>0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  <c r="AP10" s="106">
        <v>0</v>
      </c>
      <c r="AQ10" s="106">
        <v>0</v>
      </c>
      <c r="AR10" s="106">
        <v>0</v>
      </c>
      <c r="AS10" s="106">
        <v>0</v>
      </c>
      <c r="AT10" s="106">
        <v>0</v>
      </c>
      <c r="AU10" s="106">
        <v>0</v>
      </c>
      <c r="AV10" s="106">
        <v>0</v>
      </c>
      <c r="AW10" s="106">
        <v>0</v>
      </c>
      <c r="AX10" s="106">
        <v>0</v>
      </c>
      <c r="AY10" s="106">
        <v>0</v>
      </c>
      <c r="AZ10" s="106">
        <v>0</v>
      </c>
      <c r="BA10" s="106">
        <v>0</v>
      </c>
      <c r="BB10" s="106">
        <v>0</v>
      </c>
      <c r="BC10" s="106">
        <v>0</v>
      </c>
      <c r="BD10" s="106">
        <v>0</v>
      </c>
      <c r="BE10" s="106">
        <v>0</v>
      </c>
      <c r="BF10" s="106">
        <v>0</v>
      </c>
      <c r="BG10" s="106">
        <v>0</v>
      </c>
      <c r="BH10" s="106">
        <v>0</v>
      </c>
      <c r="BI10" s="106">
        <v>0</v>
      </c>
      <c r="BJ10" s="106">
        <v>0</v>
      </c>
      <c r="BK10" s="106">
        <v>0</v>
      </c>
      <c r="BL10" s="106">
        <v>0</v>
      </c>
      <c r="BM10" s="106">
        <v>0</v>
      </c>
      <c r="BN10" s="106">
        <v>0</v>
      </c>
      <c r="BO10" s="106">
        <v>0</v>
      </c>
      <c r="BP10" s="106">
        <v>0</v>
      </c>
      <c r="BQ10" s="106">
        <v>0</v>
      </c>
      <c r="BR10" s="106">
        <v>0</v>
      </c>
      <c r="BS10" s="106">
        <v>0</v>
      </c>
      <c r="BT10" s="106">
        <v>0</v>
      </c>
      <c r="BU10" s="106">
        <v>0</v>
      </c>
      <c r="BV10" s="106">
        <v>0</v>
      </c>
      <c r="BW10" s="106">
        <v>0</v>
      </c>
      <c r="BX10" s="106">
        <v>0</v>
      </c>
      <c r="BY10" s="106">
        <v>0</v>
      </c>
      <c r="BZ10" s="106">
        <v>0</v>
      </c>
      <c r="CA10" s="106">
        <v>0</v>
      </c>
      <c r="CB10" s="106">
        <v>0</v>
      </c>
      <c r="CC10" s="106">
        <v>0</v>
      </c>
      <c r="CD10" s="106">
        <v>0</v>
      </c>
      <c r="CE10" s="106">
        <v>0</v>
      </c>
      <c r="CF10" s="106">
        <v>0</v>
      </c>
      <c r="CG10" s="106">
        <v>0</v>
      </c>
      <c r="CH10" s="106">
        <v>0</v>
      </c>
      <c r="CI10" s="106">
        <v>0</v>
      </c>
      <c r="CJ10" s="106">
        <v>0</v>
      </c>
      <c r="CK10" s="106">
        <v>0</v>
      </c>
      <c r="CL10" s="106">
        <v>0</v>
      </c>
      <c r="CM10" s="106">
        <v>0</v>
      </c>
      <c r="CN10" s="106">
        <v>0</v>
      </c>
      <c r="CO10" s="106">
        <v>0</v>
      </c>
      <c r="CP10" s="106">
        <v>0</v>
      </c>
      <c r="CQ10" s="106">
        <v>0</v>
      </c>
      <c r="CR10" s="106">
        <v>0</v>
      </c>
      <c r="CS10" s="106">
        <v>0</v>
      </c>
      <c r="CT10" s="106">
        <v>0</v>
      </c>
      <c r="CU10" s="106">
        <v>0</v>
      </c>
    </row>
    <row r="11" spans="1:99" x14ac:dyDescent="0.2">
      <c r="C11" s="105" t="s">
        <v>176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  <c r="AP11" s="106">
        <v>0</v>
      </c>
      <c r="AQ11" s="106">
        <v>0</v>
      </c>
      <c r="AR11" s="106">
        <v>0</v>
      </c>
      <c r="AS11" s="106">
        <v>0</v>
      </c>
      <c r="AT11" s="106">
        <v>0</v>
      </c>
      <c r="AU11" s="106">
        <v>0</v>
      </c>
      <c r="AV11" s="106">
        <v>0</v>
      </c>
      <c r="AW11" s="106">
        <v>0</v>
      </c>
      <c r="AX11" s="106">
        <v>0</v>
      </c>
      <c r="AY11" s="106">
        <v>0</v>
      </c>
      <c r="AZ11" s="106">
        <v>0</v>
      </c>
      <c r="BA11" s="106">
        <v>0</v>
      </c>
      <c r="BB11" s="106">
        <v>0</v>
      </c>
      <c r="BC11" s="106">
        <v>0</v>
      </c>
      <c r="BD11" s="106">
        <v>0</v>
      </c>
      <c r="BE11" s="106">
        <v>0</v>
      </c>
      <c r="BF11" s="106">
        <v>0</v>
      </c>
      <c r="BG11" s="106">
        <v>0</v>
      </c>
      <c r="BH11" s="106">
        <v>0</v>
      </c>
      <c r="BI11" s="106">
        <v>0</v>
      </c>
      <c r="BJ11" s="106">
        <v>0</v>
      </c>
      <c r="BK11" s="106">
        <v>0</v>
      </c>
      <c r="BL11" s="106">
        <v>0</v>
      </c>
      <c r="BM11" s="106">
        <v>0</v>
      </c>
      <c r="BN11" s="106">
        <v>0</v>
      </c>
      <c r="BO11" s="106">
        <v>0</v>
      </c>
      <c r="BP11" s="106">
        <v>0</v>
      </c>
      <c r="BQ11" s="106">
        <v>0</v>
      </c>
      <c r="BR11" s="106">
        <v>0</v>
      </c>
      <c r="BS11" s="106">
        <v>0</v>
      </c>
      <c r="BT11" s="106">
        <v>0</v>
      </c>
      <c r="BU11" s="106">
        <v>0</v>
      </c>
      <c r="BV11" s="106">
        <v>0</v>
      </c>
      <c r="BW11" s="106">
        <v>0</v>
      </c>
      <c r="BX11" s="106">
        <v>0</v>
      </c>
      <c r="BY11" s="106">
        <v>0</v>
      </c>
      <c r="BZ11" s="106">
        <v>0</v>
      </c>
      <c r="CA11" s="106">
        <v>0</v>
      </c>
      <c r="CB11" s="106">
        <v>0</v>
      </c>
      <c r="CC11" s="106">
        <v>0</v>
      </c>
      <c r="CD11" s="106">
        <v>0</v>
      </c>
      <c r="CE11" s="106">
        <v>0</v>
      </c>
      <c r="CF11" s="106">
        <v>0</v>
      </c>
      <c r="CG11" s="106">
        <v>0</v>
      </c>
      <c r="CH11" s="106">
        <v>0</v>
      </c>
      <c r="CI11" s="106">
        <v>0</v>
      </c>
      <c r="CJ11" s="106">
        <v>0</v>
      </c>
      <c r="CK11" s="106">
        <v>0</v>
      </c>
      <c r="CL11" s="106">
        <v>0</v>
      </c>
      <c r="CM11" s="106">
        <v>0</v>
      </c>
      <c r="CN11" s="106">
        <v>0</v>
      </c>
      <c r="CO11" s="106">
        <v>0</v>
      </c>
      <c r="CP11" s="106">
        <v>0</v>
      </c>
      <c r="CQ11" s="106">
        <v>0</v>
      </c>
      <c r="CR11" s="106">
        <v>0</v>
      </c>
      <c r="CS11" s="106">
        <v>0</v>
      </c>
      <c r="CT11" s="106">
        <v>0</v>
      </c>
      <c r="CU11" s="106">
        <v>0</v>
      </c>
    </row>
    <row r="12" spans="1:99" x14ac:dyDescent="0.2">
      <c r="C12" s="105" t="s">
        <v>177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  <c r="AP12" s="106">
        <v>0</v>
      </c>
      <c r="AQ12" s="106">
        <v>0</v>
      </c>
      <c r="AR12" s="106">
        <v>0</v>
      </c>
      <c r="AS12" s="106">
        <v>0</v>
      </c>
      <c r="AT12" s="106">
        <v>0</v>
      </c>
      <c r="AU12" s="106">
        <v>0</v>
      </c>
      <c r="AV12" s="106">
        <v>0</v>
      </c>
      <c r="AW12" s="106">
        <v>0</v>
      </c>
      <c r="AX12" s="106">
        <v>0</v>
      </c>
      <c r="AY12" s="106">
        <v>0</v>
      </c>
      <c r="AZ12" s="106">
        <v>0</v>
      </c>
      <c r="BA12" s="106">
        <v>0</v>
      </c>
      <c r="BB12" s="106">
        <v>0</v>
      </c>
      <c r="BC12" s="106">
        <v>0</v>
      </c>
      <c r="BD12" s="106">
        <v>0</v>
      </c>
      <c r="BE12" s="106">
        <v>0</v>
      </c>
      <c r="BF12" s="106">
        <v>0</v>
      </c>
      <c r="BG12" s="106">
        <v>0</v>
      </c>
      <c r="BH12" s="106">
        <v>0</v>
      </c>
      <c r="BI12" s="106">
        <v>0</v>
      </c>
      <c r="BJ12" s="106">
        <v>0</v>
      </c>
      <c r="BK12" s="106">
        <v>0</v>
      </c>
      <c r="BL12" s="106">
        <v>0</v>
      </c>
      <c r="BM12" s="106">
        <v>0</v>
      </c>
      <c r="BN12" s="106">
        <v>0</v>
      </c>
      <c r="BO12" s="106">
        <v>0</v>
      </c>
      <c r="BP12" s="106">
        <v>0</v>
      </c>
      <c r="BQ12" s="106">
        <v>0</v>
      </c>
      <c r="BR12" s="106">
        <v>0</v>
      </c>
      <c r="BS12" s="106">
        <v>0</v>
      </c>
      <c r="BT12" s="106">
        <v>0</v>
      </c>
      <c r="BU12" s="106">
        <v>0</v>
      </c>
      <c r="BV12" s="106">
        <v>0</v>
      </c>
      <c r="BW12" s="106">
        <v>0</v>
      </c>
      <c r="BX12" s="106">
        <v>0</v>
      </c>
      <c r="BY12" s="106">
        <v>0</v>
      </c>
      <c r="BZ12" s="106">
        <v>0</v>
      </c>
      <c r="CA12" s="106">
        <v>0</v>
      </c>
      <c r="CB12" s="106">
        <v>0</v>
      </c>
      <c r="CC12" s="106">
        <v>0</v>
      </c>
      <c r="CD12" s="106">
        <v>0</v>
      </c>
      <c r="CE12" s="106">
        <v>0</v>
      </c>
      <c r="CF12" s="106">
        <v>0</v>
      </c>
      <c r="CG12" s="106">
        <v>0</v>
      </c>
      <c r="CH12" s="106">
        <v>0</v>
      </c>
      <c r="CI12" s="106">
        <v>0</v>
      </c>
      <c r="CJ12" s="106">
        <v>0</v>
      </c>
      <c r="CK12" s="106">
        <v>0</v>
      </c>
      <c r="CL12" s="106">
        <v>0</v>
      </c>
      <c r="CM12" s="106">
        <v>0</v>
      </c>
      <c r="CN12" s="106">
        <v>0</v>
      </c>
      <c r="CO12" s="106">
        <v>0</v>
      </c>
      <c r="CP12" s="106">
        <v>0</v>
      </c>
      <c r="CQ12" s="106">
        <v>0</v>
      </c>
      <c r="CR12" s="106">
        <v>0</v>
      </c>
      <c r="CS12" s="106">
        <v>0</v>
      </c>
      <c r="CT12" s="106">
        <v>0</v>
      </c>
      <c r="CU12" s="106">
        <v>0</v>
      </c>
    </row>
    <row r="13" spans="1:99" x14ac:dyDescent="0.2">
      <c r="C13" s="105" t="s">
        <v>178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  <c r="AP13" s="106">
        <v>0</v>
      </c>
      <c r="AQ13" s="106">
        <v>0</v>
      </c>
      <c r="AR13" s="106">
        <v>0</v>
      </c>
      <c r="AS13" s="106">
        <v>0</v>
      </c>
      <c r="AT13" s="106">
        <v>0</v>
      </c>
      <c r="AU13" s="106">
        <v>0</v>
      </c>
      <c r="AV13" s="106">
        <v>0</v>
      </c>
      <c r="AW13" s="106">
        <v>0</v>
      </c>
      <c r="AX13" s="106">
        <v>0</v>
      </c>
      <c r="AY13" s="106">
        <v>0</v>
      </c>
      <c r="AZ13" s="106">
        <v>0</v>
      </c>
      <c r="BA13" s="106">
        <v>0</v>
      </c>
      <c r="BB13" s="106">
        <v>0</v>
      </c>
      <c r="BC13" s="106">
        <v>0</v>
      </c>
      <c r="BD13" s="106">
        <v>0</v>
      </c>
      <c r="BE13" s="106">
        <v>0</v>
      </c>
      <c r="BF13" s="106">
        <v>0</v>
      </c>
      <c r="BG13" s="106">
        <v>0</v>
      </c>
      <c r="BH13" s="106">
        <v>0</v>
      </c>
      <c r="BI13" s="106">
        <v>0</v>
      </c>
      <c r="BJ13" s="106">
        <v>0</v>
      </c>
      <c r="BK13" s="106">
        <v>0</v>
      </c>
      <c r="BL13" s="106">
        <v>0</v>
      </c>
      <c r="BM13" s="106">
        <v>0</v>
      </c>
      <c r="BN13" s="106">
        <v>0</v>
      </c>
      <c r="BO13" s="106">
        <v>0</v>
      </c>
      <c r="BP13" s="106">
        <v>0</v>
      </c>
      <c r="BQ13" s="106">
        <v>0</v>
      </c>
      <c r="BR13" s="106">
        <v>0</v>
      </c>
      <c r="BS13" s="106">
        <v>0</v>
      </c>
      <c r="BT13" s="106">
        <v>0</v>
      </c>
      <c r="BU13" s="106">
        <v>0</v>
      </c>
      <c r="BV13" s="106">
        <v>0</v>
      </c>
      <c r="BW13" s="106">
        <v>0</v>
      </c>
      <c r="BX13" s="106">
        <v>0</v>
      </c>
      <c r="BY13" s="106">
        <v>0</v>
      </c>
      <c r="BZ13" s="106">
        <v>0</v>
      </c>
      <c r="CA13" s="106">
        <v>0</v>
      </c>
      <c r="CB13" s="106">
        <v>0</v>
      </c>
      <c r="CC13" s="106">
        <v>0</v>
      </c>
      <c r="CD13" s="106">
        <v>0</v>
      </c>
      <c r="CE13" s="106">
        <v>0</v>
      </c>
      <c r="CF13" s="106">
        <v>0</v>
      </c>
      <c r="CG13" s="106">
        <v>0</v>
      </c>
      <c r="CH13" s="106">
        <v>0</v>
      </c>
      <c r="CI13" s="106">
        <v>0</v>
      </c>
      <c r="CJ13" s="106">
        <v>0</v>
      </c>
      <c r="CK13" s="106">
        <v>0</v>
      </c>
      <c r="CL13" s="106">
        <v>0</v>
      </c>
      <c r="CM13" s="106">
        <v>0</v>
      </c>
      <c r="CN13" s="106">
        <v>0</v>
      </c>
      <c r="CO13" s="106">
        <v>0</v>
      </c>
      <c r="CP13" s="106">
        <v>0</v>
      </c>
      <c r="CQ13" s="106">
        <v>0</v>
      </c>
      <c r="CR13" s="106">
        <v>0</v>
      </c>
      <c r="CS13" s="106">
        <v>0</v>
      </c>
      <c r="CT13" s="106">
        <v>0</v>
      </c>
      <c r="CU13" s="106">
        <v>0</v>
      </c>
    </row>
    <row r="14" spans="1:99" x14ac:dyDescent="0.2">
      <c r="C14" s="105" t="s">
        <v>179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  <c r="AP14" s="106">
        <v>0</v>
      </c>
      <c r="AQ14" s="106">
        <v>0</v>
      </c>
      <c r="AR14" s="106">
        <v>0</v>
      </c>
      <c r="AS14" s="106">
        <v>0</v>
      </c>
      <c r="AT14" s="106">
        <v>0</v>
      </c>
      <c r="AU14" s="106">
        <v>0</v>
      </c>
      <c r="AV14" s="106">
        <v>0</v>
      </c>
      <c r="AW14" s="106">
        <v>0</v>
      </c>
      <c r="AX14" s="106">
        <v>0</v>
      </c>
      <c r="AY14" s="106">
        <v>0</v>
      </c>
      <c r="AZ14" s="106">
        <v>0</v>
      </c>
      <c r="BA14" s="106">
        <v>0</v>
      </c>
      <c r="BB14" s="106">
        <v>0</v>
      </c>
      <c r="BC14" s="106">
        <v>0</v>
      </c>
      <c r="BD14" s="106">
        <v>0</v>
      </c>
      <c r="BE14" s="106">
        <v>0</v>
      </c>
      <c r="BF14" s="106">
        <v>0</v>
      </c>
      <c r="BG14" s="106">
        <v>0</v>
      </c>
      <c r="BH14" s="106">
        <v>0</v>
      </c>
      <c r="BI14" s="106">
        <v>0</v>
      </c>
      <c r="BJ14" s="106">
        <v>0</v>
      </c>
      <c r="BK14" s="106">
        <v>0</v>
      </c>
      <c r="BL14" s="106">
        <v>0</v>
      </c>
      <c r="BM14" s="106">
        <v>0</v>
      </c>
      <c r="BN14" s="106">
        <v>0</v>
      </c>
      <c r="BO14" s="106">
        <v>0</v>
      </c>
      <c r="BP14" s="106">
        <v>0</v>
      </c>
      <c r="BQ14" s="106">
        <v>0</v>
      </c>
      <c r="BR14" s="106">
        <v>0</v>
      </c>
      <c r="BS14" s="106">
        <v>0</v>
      </c>
      <c r="BT14" s="106">
        <v>0</v>
      </c>
      <c r="BU14" s="106">
        <v>0</v>
      </c>
      <c r="BV14" s="106">
        <v>0</v>
      </c>
      <c r="BW14" s="106">
        <v>0</v>
      </c>
      <c r="BX14" s="106">
        <v>0</v>
      </c>
      <c r="BY14" s="106">
        <v>0</v>
      </c>
      <c r="BZ14" s="106">
        <v>0</v>
      </c>
      <c r="CA14" s="106">
        <v>0</v>
      </c>
      <c r="CB14" s="106">
        <v>0</v>
      </c>
      <c r="CC14" s="106">
        <v>0</v>
      </c>
      <c r="CD14" s="106">
        <v>0</v>
      </c>
      <c r="CE14" s="106">
        <v>0</v>
      </c>
      <c r="CF14" s="106">
        <v>0</v>
      </c>
      <c r="CG14" s="106">
        <v>0</v>
      </c>
      <c r="CH14" s="106">
        <v>0</v>
      </c>
      <c r="CI14" s="106">
        <v>0</v>
      </c>
      <c r="CJ14" s="106">
        <v>0</v>
      </c>
      <c r="CK14" s="106">
        <v>0</v>
      </c>
      <c r="CL14" s="106">
        <v>0</v>
      </c>
      <c r="CM14" s="106">
        <v>0</v>
      </c>
      <c r="CN14" s="106">
        <v>0</v>
      </c>
      <c r="CO14" s="106">
        <v>0</v>
      </c>
      <c r="CP14" s="106">
        <v>0</v>
      </c>
      <c r="CQ14" s="106">
        <v>0</v>
      </c>
      <c r="CR14" s="106">
        <v>0</v>
      </c>
      <c r="CS14" s="106">
        <v>0</v>
      </c>
      <c r="CT14" s="106">
        <v>0</v>
      </c>
      <c r="CU14" s="106">
        <v>0</v>
      </c>
    </row>
    <row r="15" spans="1:99" x14ac:dyDescent="0.2">
      <c r="C15" s="105" t="s">
        <v>180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  <c r="AP15" s="106">
        <v>0</v>
      </c>
      <c r="AQ15" s="106">
        <v>0</v>
      </c>
      <c r="AR15" s="106">
        <v>0</v>
      </c>
      <c r="AS15" s="106">
        <v>0</v>
      </c>
      <c r="AT15" s="106">
        <v>0</v>
      </c>
      <c r="AU15" s="106">
        <v>0</v>
      </c>
      <c r="AV15" s="106">
        <v>0</v>
      </c>
      <c r="AW15" s="106">
        <v>0</v>
      </c>
      <c r="AX15" s="106">
        <v>0</v>
      </c>
      <c r="AY15" s="106">
        <v>0</v>
      </c>
      <c r="AZ15" s="106">
        <v>0</v>
      </c>
      <c r="BA15" s="106">
        <v>0</v>
      </c>
      <c r="BB15" s="106">
        <v>0</v>
      </c>
      <c r="BC15" s="106">
        <v>0</v>
      </c>
      <c r="BD15" s="106">
        <v>0</v>
      </c>
      <c r="BE15" s="106">
        <v>0</v>
      </c>
      <c r="BF15" s="106">
        <v>0</v>
      </c>
      <c r="BG15" s="106">
        <v>0</v>
      </c>
      <c r="BH15" s="106">
        <v>0</v>
      </c>
      <c r="BI15" s="106">
        <v>0</v>
      </c>
      <c r="BJ15" s="106">
        <v>0</v>
      </c>
      <c r="BK15" s="106">
        <v>0</v>
      </c>
      <c r="BL15" s="106">
        <v>0</v>
      </c>
      <c r="BM15" s="106">
        <v>0</v>
      </c>
      <c r="BN15" s="106">
        <v>0</v>
      </c>
      <c r="BO15" s="106">
        <v>0</v>
      </c>
      <c r="BP15" s="106">
        <v>0</v>
      </c>
      <c r="BQ15" s="106">
        <v>0</v>
      </c>
      <c r="BR15" s="106">
        <v>0</v>
      </c>
      <c r="BS15" s="106">
        <v>0</v>
      </c>
      <c r="BT15" s="106">
        <v>0</v>
      </c>
      <c r="BU15" s="106">
        <v>0</v>
      </c>
      <c r="BV15" s="106">
        <v>0</v>
      </c>
      <c r="BW15" s="106">
        <v>0</v>
      </c>
      <c r="BX15" s="106">
        <v>0</v>
      </c>
      <c r="BY15" s="106">
        <v>0</v>
      </c>
      <c r="BZ15" s="106">
        <v>0</v>
      </c>
      <c r="CA15" s="106">
        <v>0</v>
      </c>
      <c r="CB15" s="106">
        <v>0</v>
      </c>
      <c r="CC15" s="106">
        <v>0</v>
      </c>
      <c r="CD15" s="106">
        <v>0</v>
      </c>
      <c r="CE15" s="106">
        <v>0</v>
      </c>
      <c r="CF15" s="106">
        <v>0</v>
      </c>
      <c r="CG15" s="106">
        <v>0</v>
      </c>
      <c r="CH15" s="106">
        <v>0</v>
      </c>
      <c r="CI15" s="106">
        <v>0</v>
      </c>
      <c r="CJ15" s="106">
        <v>0</v>
      </c>
      <c r="CK15" s="106">
        <v>0</v>
      </c>
      <c r="CL15" s="106">
        <v>0</v>
      </c>
      <c r="CM15" s="106">
        <v>0</v>
      </c>
      <c r="CN15" s="106">
        <v>0</v>
      </c>
      <c r="CO15" s="106">
        <v>0</v>
      </c>
      <c r="CP15" s="106">
        <v>0</v>
      </c>
      <c r="CQ15" s="106">
        <v>0</v>
      </c>
      <c r="CR15" s="106">
        <v>0</v>
      </c>
      <c r="CS15" s="106">
        <v>0</v>
      </c>
      <c r="CT15" s="106">
        <v>0</v>
      </c>
      <c r="CU15" s="106">
        <v>0</v>
      </c>
    </row>
    <row r="16" spans="1:99" x14ac:dyDescent="0.2">
      <c r="C16" s="105" t="s">
        <v>181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  <c r="AP16" s="106">
        <v>0</v>
      </c>
      <c r="AQ16" s="106">
        <v>0</v>
      </c>
      <c r="AR16" s="106">
        <v>0</v>
      </c>
      <c r="AS16" s="106">
        <v>0</v>
      </c>
      <c r="AT16" s="106">
        <v>0</v>
      </c>
      <c r="AU16" s="106">
        <v>0</v>
      </c>
      <c r="AV16" s="106">
        <v>0</v>
      </c>
      <c r="AW16" s="106">
        <v>0</v>
      </c>
      <c r="AX16" s="106">
        <v>0</v>
      </c>
      <c r="AY16" s="106">
        <v>0</v>
      </c>
      <c r="AZ16" s="106">
        <v>0</v>
      </c>
      <c r="BA16" s="106">
        <v>0</v>
      </c>
      <c r="BB16" s="106">
        <v>0</v>
      </c>
      <c r="BC16" s="106">
        <v>0</v>
      </c>
      <c r="BD16" s="106">
        <v>0</v>
      </c>
      <c r="BE16" s="106">
        <v>0</v>
      </c>
      <c r="BF16" s="106">
        <v>0</v>
      </c>
      <c r="BG16" s="106">
        <v>0</v>
      </c>
      <c r="BH16" s="106">
        <v>0</v>
      </c>
      <c r="BI16" s="106">
        <v>0</v>
      </c>
      <c r="BJ16" s="106">
        <v>0</v>
      </c>
      <c r="BK16" s="106">
        <v>0</v>
      </c>
      <c r="BL16" s="106">
        <v>0</v>
      </c>
      <c r="BM16" s="106">
        <v>0</v>
      </c>
      <c r="BN16" s="106">
        <v>0</v>
      </c>
      <c r="BO16" s="106">
        <v>0</v>
      </c>
      <c r="BP16" s="106">
        <v>0</v>
      </c>
      <c r="BQ16" s="106">
        <v>0</v>
      </c>
      <c r="BR16" s="106">
        <v>0</v>
      </c>
      <c r="BS16" s="106">
        <v>0</v>
      </c>
      <c r="BT16" s="106">
        <v>0</v>
      </c>
      <c r="BU16" s="106">
        <v>0</v>
      </c>
      <c r="BV16" s="106">
        <v>0</v>
      </c>
      <c r="BW16" s="106">
        <v>0</v>
      </c>
      <c r="BX16" s="106">
        <v>0</v>
      </c>
      <c r="BY16" s="106">
        <v>0</v>
      </c>
      <c r="BZ16" s="106">
        <v>0</v>
      </c>
      <c r="CA16" s="106">
        <v>0</v>
      </c>
      <c r="CB16" s="106">
        <v>0</v>
      </c>
      <c r="CC16" s="106">
        <v>0</v>
      </c>
      <c r="CD16" s="106">
        <v>0</v>
      </c>
      <c r="CE16" s="106">
        <v>0</v>
      </c>
      <c r="CF16" s="106">
        <v>0</v>
      </c>
      <c r="CG16" s="106">
        <v>0</v>
      </c>
      <c r="CH16" s="106">
        <v>0</v>
      </c>
      <c r="CI16" s="106">
        <v>0</v>
      </c>
      <c r="CJ16" s="106">
        <v>0</v>
      </c>
      <c r="CK16" s="106">
        <v>0</v>
      </c>
      <c r="CL16" s="106">
        <v>0</v>
      </c>
      <c r="CM16" s="106">
        <v>0</v>
      </c>
      <c r="CN16" s="106">
        <v>0</v>
      </c>
      <c r="CO16" s="106">
        <v>0</v>
      </c>
      <c r="CP16" s="106">
        <v>0</v>
      </c>
      <c r="CQ16" s="106">
        <v>0</v>
      </c>
      <c r="CR16" s="106">
        <v>0</v>
      </c>
      <c r="CS16" s="106">
        <v>0</v>
      </c>
      <c r="CT16" s="106">
        <v>0</v>
      </c>
      <c r="CU16" s="106">
        <v>0</v>
      </c>
    </row>
    <row r="17" spans="2:99" x14ac:dyDescent="0.2">
      <c r="C17" s="105" t="s">
        <v>182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  <c r="AP17" s="106">
        <v>0</v>
      </c>
      <c r="AQ17" s="106">
        <v>0</v>
      </c>
      <c r="AR17" s="106">
        <v>0</v>
      </c>
      <c r="AS17" s="106">
        <v>0</v>
      </c>
      <c r="AT17" s="106">
        <v>0</v>
      </c>
      <c r="AU17" s="106">
        <v>0</v>
      </c>
      <c r="AV17" s="106">
        <v>0</v>
      </c>
      <c r="AW17" s="106">
        <v>0</v>
      </c>
      <c r="AX17" s="106">
        <v>0</v>
      </c>
      <c r="AY17" s="106">
        <v>0</v>
      </c>
      <c r="AZ17" s="106">
        <v>0</v>
      </c>
      <c r="BA17" s="106">
        <v>0</v>
      </c>
      <c r="BB17" s="106">
        <v>0</v>
      </c>
      <c r="BC17" s="106">
        <v>0</v>
      </c>
      <c r="BD17" s="106">
        <v>0</v>
      </c>
      <c r="BE17" s="106">
        <v>0</v>
      </c>
      <c r="BF17" s="106">
        <v>0</v>
      </c>
      <c r="BG17" s="106">
        <v>0</v>
      </c>
      <c r="BH17" s="106">
        <v>0</v>
      </c>
      <c r="BI17" s="106">
        <v>0</v>
      </c>
      <c r="BJ17" s="106">
        <v>0</v>
      </c>
      <c r="BK17" s="106">
        <v>0</v>
      </c>
      <c r="BL17" s="106">
        <v>0</v>
      </c>
      <c r="BM17" s="106">
        <v>0</v>
      </c>
      <c r="BN17" s="106">
        <v>0</v>
      </c>
      <c r="BO17" s="106">
        <v>0</v>
      </c>
      <c r="BP17" s="106">
        <v>0</v>
      </c>
      <c r="BQ17" s="106">
        <v>0</v>
      </c>
      <c r="BR17" s="106">
        <v>0</v>
      </c>
      <c r="BS17" s="106">
        <v>0</v>
      </c>
      <c r="BT17" s="106">
        <v>0</v>
      </c>
      <c r="BU17" s="106">
        <v>0</v>
      </c>
      <c r="BV17" s="106">
        <v>0</v>
      </c>
      <c r="BW17" s="106">
        <v>0</v>
      </c>
      <c r="BX17" s="106">
        <v>0</v>
      </c>
      <c r="BY17" s="106">
        <v>0</v>
      </c>
      <c r="BZ17" s="106">
        <v>0</v>
      </c>
      <c r="CA17" s="106">
        <v>0</v>
      </c>
      <c r="CB17" s="106">
        <v>0</v>
      </c>
      <c r="CC17" s="106">
        <v>0</v>
      </c>
      <c r="CD17" s="106">
        <v>0</v>
      </c>
      <c r="CE17" s="106">
        <v>0</v>
      </c>
      <c r="CF17" s="106">
        <v>0</v>
      </c>
      <c r="CG17" s="106">
        <v>0</v>
      </c>
      <c r="CH17" s="106">
        <v>0</v>
      </c>
      <c r="CI17" s="106">
        <v>0</v>
      </c>
      <c r="CJ17" s="106">
        <v>0</v>
      </c>
      <c r="CK17" s="106">
        <v>0</v>
      </c>
      <c r="CL17" s="106">
        <v>0</v>
      </c>
      <c r="CM17" s="106">
        <v>0</v>
      </c>
      <c r="CN17" s="106">
        <v>0</v>
      </c>
      <c r="CO17" s="106">
        <v>0</v>
      </c>
      <c r="CP17" s="106">
        <v>0</v>
      </c>
      <c r="CQ17" s="106">
        <v>0</v>
      </c>
      <c r="CR17" s="106">
        <v>0</v>
      </c>
      <c r="CS17" s="106">
        <v>0</v>
      </c>
      <c r="CT17" s="106">
        <v>0</v>
      </c>
      <c r="CU17" s="106">
        <v>0</v>
      </c>
    </row>
    <row r="18" spans="2:99" x14ac:dyDescent="0.2">
      <c r="C18" s="105" t="s">
        <v>183</v>
      </c>
      <c r="D18" s="106">
        <v>0</v>
      </c>
      <c r="E18" s="106">
        <v>0</v>
      </c>
      <c r="F18" s="106">
        <v>0</v>
      </c>
      <c r="G18" s="106">
        <v>0</v>
      </c>
      <c r="H18" s="106">
        <v>0</v>
      </c>
      <c r="I18" s="106">
        <v>0</v>
      </c>
      <c r="J18" s="106">
        <v>0</v>
      </c>
      <c r="K18" s="106">
        <v>0</v>
      </c>
      <c r="L18" s="106">
        <v>0</v>
      </c>
      <c r="M18" s="106">
        <v>0</v>
      </c>
      <c r="N18" s="106">
        <v>0</v>
      </c>
      <c r="O18" s="106">
        <v>0</v>
      </c>
      <c r="P18" s="106">
        <v>0</v>
      </c>
      <c r="Q18" s="106">
        <v>0</v>
      </c>
      <c r="R18" s="106">
        <v>0</v>
      </c>
      <c r="S18" s="106">
        <v>0</v>
      </c>
      <c r="T18" s="106">
        <v>0</v>
      </c>
      <c r="U18" s="106">
        <v>0</v>
      </c>
      <c r="V18" s="106">
        <v>0</v>
      </c>
      <c r="W18" s="106">
        <v>0</v>
      </c>
      <c r="X18" s="106">
        <v>0</v>
      </c>
      <c r="Y18" s="106">
        <v>0</v>
      </c>
      <c r="Z18" s="106">
        <v>0</v>
      </c>
      <c r="AA18" s="106">
        <v>0</v>
      </c>
      <c r="AB18" s="106">
        <v>0</v>
      </c>
      <c r="AC18" s="106">
        <v>0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  <c r="AP18" s="106">
        <v>0</v>
      </c>
      <c r="AQ18" s="106">
        <v>0</v>
      </c>
      <c r="AR18" s="106">
        <v>0</v>
      </c>
      <c r="AS18" s="106">
        <v>0</v>
      </c>
      <c r="AT18" s="106">
        <v>0</v>
      </c>
      <c r="AU18" s="106">
        <v>0</v>
      </c>
      <c r="AV18" s="106">
        <v>0</v>
      </c>
      <c r="AW18" s="106">
        <v>0</v>
      </c>
      <c r="AX18" s="106">
        <v>0</v>
      </c>
      <c r="AY18" s="106">
        <v>0</v>
      </c>
      <c r="AZ18" s="106">
        <v>0</v>
      </c>
      <c r="BA18" s="106">
        <v>0</v>
      </c>
      <c r="BB18" s="106">
        <v>0</v>
      </c>
      <c r="BC18" s="106">
        <v>0</v>
      </c>
      <c r="BD18" s="106">
        <v>0</v>
      </c>
      <c r="BE18" s="106">
        <v>0</v>
      </c>
      <c r="BF18" s="106">
        <v>0</v>
      </c>
      <c r="BG18" s="106">
        <v>0</v>
      </c>
      <c r="BH18" s="106">
        <v>0</v>
      </c>
      <c r="BI18" s="106">
        <v>0</v>
      </c>
      <c r="BJ18" s="106">
        <v>0</v>
      </c>
      <c r="BK18" s="106">
        <v>0</v>
      </c>
      <c r="BL18" s="106">
        <v>0</v>
      </c>
      <c r="BM18" s="106">
        <v>0</v>
      </c>
      <c r="BN18" s="106">
        <v>0</v>
      </c>
      <c r="BO18" s="106">
        <v>0</v>
      </c>
      <c r="BP18" s="106">
        <v>0</v>
      </c>
      <c r="BQ18" s="106">
        <v>0</v>
      </c>
      <c r="BR18" s="106">
        <v>0</v>
      </c>
      <c r="BS18" s="106">
        <v>0</v>
      </c>
      <c r="BT18" s="106">
        <v>0</v>
      </c>
      <c r="BU18" s="106">
        <v>0</v>
      </c>
      <c r="BV18" s="106">
        <v>0</v>
      </c>
      <c r="BW18" s="106">
        <v>0</v>
      </c>
      <c r="BX18" s="106">
        <v>0</v>
      </c>
      <c r="BY18" s="106">
        <v>0</v>
      </c>
      <c r="BZ18" s="106">
        <v>0</v>
      </c>
      <c r="CA18" s="106">
        <v>0</v>
      </c>
      <c r="CB18" s="106">
        <v>0</v>
      </c>
      <c r="CC18" s="106">
        <v>0</v>
      </c>
      <c r="CD18" s="106">
        <v>0</v>
      </c>
      <c r="CE18" s="106">
        <v>0</v>
      </c>
      <c r="CF18" s="106">
        <v>0</v>
      </c>
      <c r="CG18" s="106">
        <v>0</v>
      </c>
      <c r="CH18" s="106">
        <v>0</v>
      </c>
      <c r="CI18" s="106">
        <v>0</v>
      </c>
      <c r="CJ18" s="106">
        <v>0</v>
      </c>
      <c r="CK18" s="106">
        <v>0</v>
      </c>
      <c r="CL18" s="106">
        <v>0</v>
      </c>
      <c r="CM18" s="106">
        <v>0</v>
      </c>
      <c r="CN18" s="106">
        <v>0</v>
      </c>
      <c r="CO18" s="106">
        <v>0</v>
      </c>
      <c r="CP18" s="106">
        <v>0</v>
      </c>
      <c r="CQ18" s="106">
        <v>0</v>
      </c>
      <c r="CR18" s="106">
        <v>0</v>
      </c>
      <c r="CS18" s="106">
        <v>0</v>
      </c>
      <c r="CT18" s="106">
        <v>0</v>
      </c>
      <c r="CU18" s="106">
        <v>0</v>
      </c>
    </row>
    <row r="19" spans="2:99" x14ac:dyDescent="0.2">
      <c r="C19" s="105" t="s">
        <v>184</v>
      </c>
      <c r="D19" s="106">
        <v>0</v>
      </c>
      <c r="E19" s="106">
        <v>0</v>
      </c>
      <c r="F19" s="106">
        <v>0</v>
      </c>
      <c r="G19" s="106">
        <v>0</v>
      </c>
      <c r="H19" s="106">
        <v>0</v>
      </c>
      <c r="I19" s="106">
        <v>0</v>
      </c>
      <c r="J19" s="106">
        <v>0</v>
      </c>
      <c r="K19" s="106">
        <v>0</v>
      </c>
      <c r="L19" s="106">
        <v>0</v>
      </c>
      <c r="M19" s="106">
        <v>0</v>
      </c>
      <c r="N19" s="106">
        <v>0</v>
      </c>
      <c r="O19" s="106">
        <v>0</v>
      </c>
      <c r="P19" s="106">
        <v>0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  <c r="AP19" s="106">
        <v>0</v>
      </c>
      <c r="AQ19" s="106">
        <v>0</v>
      </c>
      <c r="AR19" s="106">
        <v>0</v>
      </c>
      <c r="AS19" s="106">
        <v>0</v>
      </c>
      <c r="AT19" s="106">
        <v>0</v>
      </c>
      <c r="AU19" s="106">
        <v>0</v>
      </c>
      <c r="AV19" s="106">
        <v>0</v>
      </c>
      <c r="AW19" s="106">
        <v>0</v>
      </c>
      <c r="AX19" s="106">
        <v>0</v>
      </c>
      <c r="AY19" s="106">
        <v>0</v>
      </c>
      <c r="AZ19" s="106">
        <v>0</v>
      </c>
      <c r="BA19" s="106">
        <v>0</v>
      </c>
      <c r="BB19" s="106">
        <v>0</v>
      </c>
      <c r="BC19" s="106">
        <v>0</v>
      </c>
      <c r="BD19" s="106">
        <v>0</v>
      </c>
      <c r="BE19" s="106">
        <v>0</v>
      </c>
      <c r="BF19" s="106">
        <v>0</v>
      </c>
      <c r="BG19" s="106">
        <v>0</v>
      </c>
      <c r="BH19" s="106">
        <v>0</v>
      </c>
      <c r="BI19" s="106">
        <v>0</v>
      </c>
      <c r="BJ19" s="106">
        <v>0</v>
      </c>
      <c r="BK19" s="106">
        <v>0</v>
      </c>
      <c r="BL19" s="106">
        <v>0</v>
      </c>
      <c r="BM19" s="106">
        <v>0</v>
      </c>
      <c r="BN19" s="106">
        <v>0</v>
      </c>
      <c r="BO19" s="106">
        <v>0</v>
      </c>
      <c r="BP19" s="106">
        <v>0</v>
      </c>
      <c r="BQ19" s="106">
        <v>0</v>
      </c>
      <c r="BR19" s="106">
        <v>0</v>
      </c>
      <c r="BS19" s="106">
        <v>0</v>
      </c>
      <c r="BT19" s="106">
        <v>0</v>
      </c>
      <c r="BU19" s="106">
        <v>0</v>
      </c>
      <c r="BV19" s="106">
        <v>0</v>
      </c>
      <c r="BW19" s="106">
        <v>0</v>
      </c>
      <c r="BX19" s="106">
        <v>0</v>
      </c>
      <c r="BY19" s="106">
        <v>0</v>
      </c>
      <c r="BZ19" s="106">
        <v>0</v>
      </c>
      <c r="CA19" s="106">
        <v>0</v>
      </c>
      <c r="CB19" s="106">
        <v>0</v>
      </c>
      <c r="CC19" s="106">
        <v>0</v>
      </c>
      <c r="CD19" s="106">
        <v>0</v>
      </c>
      <c r="CE19" s="106">
        <v>0</v>
      </c>
      <c r="CF19" s="106">
        <v>0</v>
      </c>
      <c r="CG19" s="106">
        <v>0</v>
      </c>
      <c r="CH19" s="106">
        <v>0</v>
      </c>
      <c r="CI19" s="106">
        <v>0</v>
      </c>
      <c r="CJ19" s="106">
        <v>0</v>
      </c>
      <c r="CK19" s="106">
        <v>0</v>
      </c>
      <c r="CL19" s="106">
        <v>0</v>
      </c>
      <c r="CM19" s="106">
        <v>0</v>
      </c>
      <c r="CN19" s="106">
        <v>0</v>
      </c>
      <c r="CO19" s="106">
        <v>0</v>
      </c>
      <c r="CP19" s="106">
        <v>0</v>
      </c>
      <c r="CQ19" s="106">
        <v>0</v>
      </c>
      <c r="CR19" s="106">
        <v>0</v>
      </c>
      <c r="CS19" s="106">
        <v>0</v>
      </c>
      <c r="CT19" s="106">
        <v>0</v>
      </c>
      <c r="CU19" s="106">
        <v>0</v>
      </c>
    </row>
    <row r="20" spans="2:99" x14ac:dyDescent="0.2">
      <c r="B20" s="105" t="s">
        <v>127</v>
      </c>
      <c r="C20" s="105" t="s">
        <v>185</v>
      </c>
      <c r="D20" s="106">
        <v>0</v>
      </c>
      <c r="E20" s="106">
        <v>0</v>
      </c>
      <c r="F20" s="106">
        <v>0</v>
      </c>
      <c r="G20" s="106">
        <v>0</v>
      </c>
      <c r="H20" s="106">
        <v>0</v>
      </c>
      <c r="I20" s="106">
        <v>0</v>
      </c>
      <c r="J20" s="106">
        <v>0</v>
      </c>
      <c r="K20" s="106">
        <v>0</v>
      </c>
      <c r="L20" s="106">
        <v>0</v>
      </c>
      <c r="M20" s="106">
        <v>0</v>
      </c>
      <c r="N20" s="106">
        <v>0</v>
      </c>
      <c r="O20" s="106">
        <v>0</v>
      </c>
      <c r="P20" s="106">
        <v>0</v>
      </c>
      <c r="Q20" s="106">
        <v>0</v>
      </c>
      <c r="R20" s="106">
        <v>0</v>
      </c>
      <c r="S20" s="106">
        <v>0</v>
      </c>
      <c r="T20" s="106">
        <v>0</v>
      </c>
      <c r="U20" s="106">
        <v>0</v>
      </c>
      <c r="V20" s="106">
        <v>0</v>
      </c>
      <c r="W20" s="106">
        <v>0</v>
      </c>
      <c r="X20" s="106">
        <v>0</v>
      </c>
      <c r="Y20" s="106">
        <v>0</v>
      </c>
      <c r="Z20" s="106">
        <v>0</v>
      </c>
      <c r="AA20" s="106">
        <v>0</v>
      </c>
      <c r="AB20" s="106">
        <v>0</v>
      </c>
      <c r="AC20" s="106">
        <v>0</v>
      </c>
      <c r="AD20" s="106">
        <v>0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  <c r="AP20" s="106">
        <v>0</v>
      </c>
      <c r="AQ20" s="106">
        <v>0</v>
      </c>
      <c r="AR20" s="106">
        <v>0</v>
      </c>
      <c r="AS20" s="106">
        <v>0</v>
      </c>
      <c r="AT20" s="106">
        <v>0</v>
      </c>
      <c r="AU20" s="106">
        <v>0</v>
      </c>
      <c r="AV20" s="106">
        <v>0</v>
      </c>
      <c r="AW20" s="106">
        <v>0</v>
      </c>
      <c r="AX20" s="106">
        <v>0</v>
      </c>
      <c r="AY20" s="106">
        <v>0</v>
      </c>
      <c r="AZ20" s="106">
        <v>0</v>
      </c>
      <c r="BA20" s="106">
        <v>0</v>
      </c>
      <c r="BB20" s="106">
        <v>0</v>
      </c>
      <c r="BC20" s="106">
        <v>0</v>
      </c>
      <c r="BD20" s="106">
        <v>0</v>
      </c>
      <c r="BE20" s="106">
        <v>0</v>
      </c>
      <c r="BF20" s="106">
        <v>0</v>
      </c>
      <c r="BG20" s="106">
        <v>0</v>
      </c>
      <c r="BH20" s="106">
        <v>0</v>
      </c>
      <c r="BI20" s="106">
        <v>0</v>
      </c>
      <c r="BJ20" s="106">
        <v>0</v>
      </c>
      <c r="BK20" s="106">
        <v>0</v>
      </c>
      <c r="BL20" s="106">
        <v>0</v>
      </c>
      <c r="BM20" s="106">
        <v>0</v>
      </c>
      <c r="BN20" s="106">
        <v>0</v>
      </c>
      <c r="BO20" s="106">
        <v>0</v>
      </c>
      <c r="BP20" s="106">
        <v>0</v>
      </c>
      <c r="BQ20" s="106">
        <v>0</v>
      </c>
      <c r="BR20" s="106">
        <v>0</v>
      </c>
      <c r="BS20" s="106">
        <v>0</v>
      </c>
      <c r="BT20" s="106">
        <v>0</v>
      </c>
      <c r="BU20" s="106">
        <v>0</v>
      </c>
      <c r="BV20" s="106">
        <v>0</v>
      </c>
      <c r="BW20" s="106">
        <v>0</v>
      </c>
      <c r="BX20" s="106">
        <v>0</v>
      </c>
      <c r="BY20" s="106">
        <v>0</v>
      </c>
      <c r="BZ20" s="106">
        <v>0</v>
      </c>
      <c r="CA20" s="106">
        <v>0</v>
      </c>
      <c r="CB20" s="106">
        <v>0</v>
      </c>
      <c r="CC20" s="106">
        <v>0</v>
      </c>
      <c r="CD20" s="106">
        <v>0</v>
      </c>
      <c r="CE20" s="106">
        <v>0</v>
      </c>
      <c r="CF20" s="106">
        <v>0</v>
      </c>
      <c r="CG20" s="106">
        <v>0</v>
      </c>
      <c r="CH20" s="106">
        <v>0</v>
      </c>
      <c r="CI20" s="106">
        <v>0</v>
      </c>
      <c r="CJ20" s="106">
        <v>0</v>
      </c>
      <c r="CK20" s="106">
        <v>0</v>
      </c>
      <c r="CL20" s="106">
        <v>0</v>
      </c>
      <c r="CM20" s="106">
        <v>0</v>
      </c>
      <c r="CN20" s="106">
        <v>0</v>
      </c>
      <c r="CO20" s="106">
        <v>0</v>
      </c>
      <c r="CP20" s="106">
        <v>0</v>
      </c>
      <c r="CQ20" s="106">
        <v>0</v>
      </c>
      <c r="CR20" s="106">
        <v>0</v>
      </c>
      <c r="CS20" s="106">
        <v>0</v>
      </c>
      <c r="CT20" s="106">
        <v>0</v>
      </c>
      <c r="CU20" s="106">
        <v>0</v>
      </c>
    </row>
    <row r="21" spans="2:99" x14ac:dyDescent="0.2">
      <c r="C21" s="105" t="s">
        <v>186</v>
      </c>
      <c r="D21" s="106">
        <v>0</v>
      </c>
      <c r="E21" s="106">
        <v>0</v>
      </c>
      <c r="F21" s="106">
        <v>0</v>
      </c>
      <c r="G21" s="106">
        <v>0</v>
      </c>
      <c r="H21" s="106">
        <v>0</v>
      </c>
      <c r="I21" s="106">
        <v>0</v>
      </c>
      <c r="J21" s="106">
        <v>0</v>
      </c>
      <c r="K21" s="106">
        <v>0</v>
      </c>
      <c r="L21" s="106">
        <v>0</v>
      </c>
      <c r="M21" s="106">
        <v>0</v>
      </c>
      <c r="N21" s="106">
        <v>0</v>
      </c>
      <c r="O21" s="106">
        <v>0</v>
      </c>
      <c r="P21" s="106">
        <v>0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</v>
      </c>
      <c r="W21" s="106">
        <v>0</v>
      </c>
      <c r="X21" s="106">
        <v>0</v>
      </c>
      <c r="Y21" s="106">
        <v>0</v>
      </c>
      <c r="Z21" s="106">
        <v>0</v>
      </c>
      <c r="AA21" s="106">
        <v>0</v>
      </c>
      <c r="AB21" s="106">
        <v>0</v>
      </c>
      <c r="AC21" s="106">
        <v>0</v>
      </c>
      <c r="AD21" s="106">
        <v>0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  <c r="AP21" s="106">
        <v>0</v>
      </c>
      <c r="AQ21" s="106">
        <v>0</v>
      </c>
      <c r="AR21" s="106">
        <v>0</v>
      </c>
      <c r="AS21" s="106">
        <v>0</v>
      </c>
      <c r="AT21" s="106">
        <v>0</v>
      </c>
      <c r="AU21" s="106">
        <v>0</v>
      </c>
      <c r="AV21" s="106">
        <v>0</v>
      </c>
      <c r="AW21" s="106">
        <v>0</v>
      </c>
      <c r="AX21" s="106">
        <v>0</v>
      </c>
      <c r="AY21" s="106">
        <v>0</v>
      </c>
      <c r="AZ21" s="106">
        <v>0</v>
      </c>
      <c r="BA21" s="106">
        <v>0</v>
      </c>
      <c r="BB21" s="106">
        <v>0</v>
      </c>
      <c r="BC21" s="106">
        <v>0</v>
      </c>
      <c r="BD21" s="106">
        <v>0</v>
      </c>
      <c r="BE21" s="106">
        <v>0</v>
      </c>
      <c r="BF21" s="106">
        <v>0</v>
      </c>
      <c r="BG21" s="106">
        <v>0</v>
      </c>
      <c r="BH21" s="106">
        <v>0</v>
      </c>
      <c r="BI21" s="106">
        <v>0</v>
      </c>
      <c r="BJ21" s="106">
        <v>0</v>
      </c>
      <c r="BK21" s="106">
        <v>0</v>
      </c>
      <c r="BL21" s="106">
        <v>0</v>
      </c>
      <c r="BM21" s="106">
        <v>0</v>
      </c>
      <c r="BN21" s="106">
        <v>0</v>
      </c>
      <c r="BO21" s="106">
        <v>0</v>
      </c>
      <c r="BP21" s="106">
        <v>0</v>
      </c>
      <c r="BQ21" s="106">
        <v>0</v>
      </c>
      <c r="BR21" s="106">
        <v>0</v>
      </c>
      <c r="BS21" s="106">
        <v>0</v>
      </c>
      <c r="BT21" s="106">
        <v>0</v>
      </c>
      <c r="BU21" s="106">
        <v>0</v>
      </c>
      <c r="BV21" s="106">
        <v>0</v>
      </c>
      <c r="BW21" s="106">
        <v>0</v>
      </c>
      <c r="BX21" s="106">
        <v>0</v>
      </c>
      <c r="BY21" s="106">
        <v>0</v>
      </c>
      <c r="BZ21" s="106">
        <v>0</v>
      </c>
      <c r="CA21" s="106">
        <v>0</v>
      </c>
      <c r="CB21" s="106">
        <v>0</v>
      </c>
      <c r="CC21" s="106">
        <v>0</v>
      </c>
      <c r="CD21" s="106">
        <v>0</v>
      </c>
      <c r="CE21" s="106">
        <v>0</v>
      </c>
      <c r="CF21" s="106">
        <v>0</v>
      </c>
      <c r="CG21" s="106">
        <v>0</v>
      </c>
      <c r="CH21" s="106">
        <v>0</v>
      </c>
      <c r="CI21" s="106">
        <v>0</v>
      </c>
      <c r="CJ21" s="106">
        <v>0</v>
      </c>
      <c r="CK21" s="106">
        <v>0</v>
      </c>
      <c r="CL21" s="106">
        <v>0</v>
      </c>
      <c r="CM21" s="106">
        <v>0</v>
      </c>
      <c r="CN21" s="106">
        <v>0</v>
      </c>
      <c r="CO21" s="106">
        <v>0</v>
      </c>
      <c r="CP21" s="106">
        <v>0</v>
      </c>
      <c r="CQ21" s="106">
        <v>0</v>
      </c>
      <c r="CR21" s="106">
        <v>0</v>
      </c>
      <c r="CS21" s="106">
        <v>0</v>
      </c>
      <c r="CT21" s="106">
        <v>0</v>
      </c>
      <c r="CU21" s="106">
        <v>0</v>
      </c>
    </row>
    <row r="22" spans="2:99" x14ac:dyDescent="0.2">
      <c r="C22" s="105" t="s">
        <v>187</v>
      </c>
      <c r="D22" s="106">
        <v>0</v>
      </c>
      <c r="E22" s="106">
        <v>0</v>
      </c>
      <c r="F22" s="106">
        <v>0</v>
      </c>
      <c r="G22" s="106">
        <v>0</v>
      </c>
      <c r="H22" s="106">
        <v>0</v>
      </c>
      <c r="I22" s="106">
        <v>0</v>
      </c>
      <c r="J22" s="106">
        <v>0</v>
      </c>
      <c r="K22" s="106">
        <v>0</v>
      </c>
      <c r="L22" s="106">
        <v>0</v>
      </c>
      <c r="M22" s="106">
        <v>0</v>
      </c>
      <c r="N22" s="106">
        <v>0</v>
      </c>
      <c r="O22" s="106">
        <v>0</v>
      </c>
      <c r="P22" s="106">
        <v>0</v>
      </c>
      <c r="Q22" s="106">
        <v>0</v>
      </c>
      <c r="R22" s="106">
        <v>0</v>
      </c>
      <c r="S22" s="106">
        <v>0</v>
      </c>
      <c r="T22" s="106">
        <v>0</v>
      </c>
      <c r="U22" s="106">
        <v>0</v>
      </c>
      <c r="V22" s="106">
        <v>0</v>
      </c>
      <c r="W22" s="106">
        <v>0</v>
      </c>
      <c r="X22" s="106">
        <v>0</v>
      </c>
      <c r="Y22" s="106">
        <v>0</v>
      </c>
      <c r="Z22" s="106">
        <v>0</v>
      </c>
      <c r="AA22" s="106">
        <v>0</v>
      </c>
      <c r="AB22" s="106">
        <v>0</v>
      </c>
      <c r="AC22" s="106">
        <v>0</v>
      </c>
      <c r="AD22" s="106">
        <v>0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  <c r="AP22" s="106">
        <v>0</v>
      </c>
      <c r="AQ22" s="106">
        <v>0</v>
      </c>
      <c r="AR22" s="106">
        <v>0</v>
      </c>
      <c r="AS22" s="106">
        <v>0</v>
      </c>
      <c r="AT22" s="106">
        <v>0</v>
      </c>
      <c r="AU22" s="106">
        <v>0</v>
      </c>
      <c r="AV22" s="106">
        <v>0</v>
      </c>
      <c r="AW22" s="106">
        <v>0</v>
      </c>
      <c r="AX22" s="106">
        <v>0</v>
      </c>
      <c r="AY22" s="106">
        <v>0</v>
      </c>
      <c r="AZ22" s="106">
        <v>0</v>
      </c>
      <c r="BA22" s="106">
        <v>0</v>
      </c>
      <c r="BB22" s="106">
        <v>0</v>
      </c>
      <c r="BC22" s="106">
        <v>0</v>
      </c>
      <c r="BD22" s="106">
        <v>0</v>
      </c>
      <c r="BE22" s="106">
        <v>0</v>
      </c>
      <c r="BF22" s="106">
        <v>0</v>
      </c>
      <c r="BG22" s="106">
        <v>0</v>
      </c>
      <c r="BH22" s="106">
        <v>0</v>
      </c>
      <c r="BI22" s="106">
        <v>0</v>
      </c>
      <c r="BJ22" s="106">
        <v>0</v>
      </c>
      <c r="BK22" s="106">
        <v>0</v>
      </c>
      <c r="BL22" s="106">
        <v>0</v>
      </c>
      <c r="BM22" s="106">
        <v>0</v>
      </c>
      <c r="BN22" s="106">
        <v>0</v>
      </c>
      <c r="BO22" s="106">
        <v>0</v>
      </c>
      <c r="BP22" s="106">
        <v>0</v>
      </c>
      <c r="BQ22" s="106">
        <v>0</v>
      </c>
      <c r="BR22" s="106">
        <v>0</v>
      </c>
      <c r="BS22" s="106">
        <v>0</v>
      </c>
      <c r="BT22" s="106">
        <v>0</v>
      </c>
      <c r="BU22" s="106">
        <v>0</v>
      </c>
      <c r="BV22" s="106">
        <v>0</v>
      </c>
      <c r="BW22" s="106">
        <v>0</v>
      </c>
      <c r="BX22" s="106">
        <v>0</v>
      </c>
      <c r="BY22" s="106">
        <v>0</v>
      </c>
      <c r="BZ22" s="106">
        <v>0</v>
      </c>
      <c r="CA22" s="106">
        <v>0</v>
      </c>
      <c r="CB22" s="106">
        <v>0</v>
      </c>
      <c r="CC22" s="106">
        <v>0</v>
      </c>
      <c r="CD22" s="106">
        <v>0</v>
      </c>
      <c r="CE22" s="106">
        <v>0</v>
      </c>
      <c r="CF22" s="106">
        <v>0</v>
      </c>
      <c r="CG22" s="106">
        <v>0</v>
      </c>
      <c r="CH22" s="106">
        <v>0</v>
      </c>
      <c r="CI22" s="106">
        <v>0</v>
      </c>
      <c r="CJ22" s="106">
        <v>0</v>
      </c>
      <c r="CK22" s="106">
        <v>0</v>
      </c>
      <c r="CL22" s="106">
        <v>0</v>
      </c>
      <c r="CM22" s="106">
        <v>0</v>
      </c>
      <c r="CN22" s="106">
        <v>0</v>
      </c>
      <c r="CO22" s="106">
        <v>0</v>
      </c>
      <c r="CP22" s="106">
        <v>0</v>
      </c>
      <c r="CQ22" s="106">
        <v>0</v>
      </c>
      <c r="CR22" s="106">
        <v>0</v>
      </c>
      <c r="CS22" s="106">
        <v>0</v>
      </c>
      <c r="CT22" s="106">
        <v>0</v>
      </c>
      <c r="CU22" s="106">
        <v>0</v>
      </c>
    </row>
    <row r="23" spans="2:99" x14ac:dyDescent="0.2">
      <c r="C23" s="105" t="s">
        <v>188</v>
      </c>
      <c r="D23" s="106">
        <v>0</v>
      </c>
      <c r="E23" s="106">
        <v>0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</v>
      </c>
      <c r="N23" s="106">
        <v>0</v>
      </c>
      <c r="O23" s="106">
        <v>0</v>
      </c>
      <c r="P23" s="106">
        <v>0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</v>
      </c>
      <c r="Y23" s="106">
        <v>0</v>
      </c>
      <c r="Z23" s="106">
        <v>0</v>
      </c>
      <c r="AA23" s="106">
        <v>0</v>
      </c>
      <c r="AB23" s="106">
        <v>0</v>
      </c>
      <c r="AC23" s="106">
        <v>0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  <c r="AP23" s="106">
        <v>0</v>
      </c>
      <c r="AQ23" s="106">
        <v>0</v>
      </c>
      <c r="AR23" s="106">
        <v>0</v>
      </c>
      <c r="AS23" s="106">
        <v>0</v>
      </c>
      <c r="AT23" s="106">
        <v>0</v>
      </c>
      <c r="AU23" s="106">
        <v>0</v>
      </c>
      <c r="AV23" s="106">
        <v>0</v>
      </c>
      <c r="AW23" s="106">
        <v>0</v>
      </c>
      <c r="AX23" s="106">
        <v>0</v>
      </c>
      <c r="AY23" s="106">
        <v>0</v>
      </c>
      <c r="AZ23" s="106">
        <v>0</v>
      </c>
      <c r="BA23" s="106">
        <v>0</v>
      </c>
      <c r="BB23" s="106">
        <v>0</v>
      </c>
      <c r="BC23" s="106">
        <v>0</v>
      </c>
      <c r="BD23" s="106">
        <v>0</v>
      </c>
      <c r="BE23" s="106">
        <v>0</v>
      </c>
      <c r="BF23" s="106">
        <v>0</v>
      </c>
      <c r="BG23" s="106">
        <v>0</v>
      </c>
      <c r="BH23" s="106">
        <v>0</v>
      </c>
      <c r="BI23" s="106">
        <v>0</v>
      </c>
      <c r="BJ23" s="106">
        <v>0</v>
      </c>
      <c r="BK23" s="106">
        <v>0</v>
      </c>
      <c r="BL23" s="106">
        <v>0</v>
      </c>
      <c r="BM23" s="106">
        <v>0</v>
      </c>
      <c r="BN23" s="106">
        <v>0</v>
      </c>
      <c r="BO23" s="106">
        <v>0</v>
      </c>
      <c r="BP23" s="106">
        <v>0</v>
      </c>
      <c r="BQ23" s="106">
        <v>0</v>
      </c>
      <c r="BR23" s="106">
        <v>0</v>
      </c>
      <c r="BS23" s="106">
        <v>0</v>
      </c>
      <c r="BT23" s="106">
        <v>0</v>
      </c>
      <c r="BU23" s="106">
        <v>0</v>
      </c>
      <c r="BV23" s="106">
        <v>0</v>
      </c>
      <c r="BW23" s="106">
        <v>0</v>
      </c>
      <c r="BX23" s="106">
        <v>0</v>
      </c>
      <c r="BY23" s="106">
        <v>0</v>
      </c>
      <c r="BZ23" s="106">
        <v>0</v>
      </c>
      <c r="CA23" s="106">
        <v>0</v>
      </c>
      <c r="CB23" s="106">
        <v>0</v>
      </c>
      <c r="CC23" s="106">
        <v>0</v>
      </c>
      <c r="CD23" s="106">
        <v>0</v>
      </c>
      <c r="CE23" s="106">
        <v>0</v>
      </c>
      <c r="CF23" s="106">
        <v>0</v>
      </c>
      <c r="CG23" s="106">
        <v>0</v>
      </c>
      <c r="CH23" s="106">
        <v>0</v>
      </c>
      <c r="CI23" s="106">
        <v>0</v>
      </c>
      <c r="CJ23" s="106">
        <v>0</v>
      </c>
      <c r="CK23" s="106">
        <v>0</v>
      </c>
      <c r="CL23" s="106">
        <v>0</v>
      </c>
      <c r="CM23" s="106">
        <v>0</v>
      </c>
      <c r="CN23" s="106">
        <v>0</v>
      </c>
      <c r="CO23" s="106">
        <v>0</v>
      </c>
      <c r="CP23" s="106">
        <v>0</v>
      </c>
      <c r="CQ23" s="106">
        <v>0</v>
      </c>
      <c r="CR23" s="106">
        <v>0</v>
      </c>
      <c r="CS23" s="106">
        <v>0</v>
      </c>
      <c r="CT23" s="106">
        <v>0</v>
      </c>
      <c r="CU23" s="106">
        <v>0</v>
      </c>
    </row>
    <row r="24" spans="2:99" x14ac:dyDescent="0.2">
      <c r="C24" s="105" t="s">
        <v>189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</v>
      </c>
      <c r="L24" s="106">
        <v>0</v>
      </c>
      <c r="M24" s="106">
        <v>0</v>
      </c>
      <c r="N24" s="106">
        <v>0</v>
      </c>
      <c r="O24" s="106">
        <v>0</v>
      </c>
      <c r="P24" s="106">
        <v>0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</v>
      </c>
      <c r="Y24" s="106">
        <v>0</v>
      </c>
      <c r="Z24" s="106">
        <v>0</v>
      </c>
      <c r="AA24" s="106">
        <v>0</v>
      </c>
      <c r="AB24" s="106">
        <v>0</v>
      </c>
      <c r="AC24" s="106">
        <v>0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  <c r="AP24" s="106">
        <v>0</v>
      </c>
      <c r="AQ24" s="106">
        <v>0</v>
      </c>
      <c r="AR24" s="106">
        <v>0</v>
      </c>
      <c r="AS24" s="106">
        <v>0</v>
      </c>
      <c r="AT24" s="106">
        <v>0</v>
      </c>
      <c r="AU24" s="106">
        <v>0</v>
      </c>
      <c r="AV24" s="106">
        <v>0</v>
      </c>
      <c r="AW24" s="106">
        <v>0</v>
      </c>
      <c r="AX24" s="106">
        <v>0</v>
      </c>
      <c r="AY24" s="106">
        <v>0</v>
      </c>
      <c r="AZ24" s="106">
        <v>0</v>
      </c>
      <c r="BA24" s="106">
        <v>0</v>
      </c>
      <c r="BB24" s="106">
        <v>0</v>
      </c>
      <c r="BC24" s="106">
        <v>0</v>
      </c>
      <c r="BD24" s="106">
        <v>0</v>
      </c>
      <c r="BE24" s="106">
        <v>0</v>
      </c>
      <c r="BF24" s="106">
        <v>0</v>
      </c>
      <c r="BG24" s="106">
        <v>0</v>
      </c>
      <c r="BH24" s="106">
        <v>0</v>
      </c>
      <c r="BI24" s="106">
        <v>0</v>
      </c>
      <c r="BJ24" s="106">
        <v>0</v>
      </c>
      <c r="BK24" s="106">
        <v>0</v>
      </c>
      <c r="BL24" s="106">
        <v>0</v>
      </c>
      <c r="BM24" s="106">
        <v>0</v>
      </c>
      <c r="BN24" s="106">
        <v>0</v>
      </c>
      <c r="BO24" s="106">
        <v>0</v>
      </c>
      <c r="BP24" s="106">
        <v>0</v>
      </c>
      <c r="BQ24" s="106">
        <v>0</v>
      </c>
      <c r="BR24" s="106">
        <v>0</v>
      </c>
      <c r="BS24" s="106">
        <v>0</v>
      </c>
      <c r="BT24" s="106">
        <v>0</v>
      </c>
      <c r="BU24" s="106">
        <v>0</v>
      </c>
      <c r="BV24" s="106">
        <v>0</v>
      </c>
      <c r="BW24" s="106">
        <v>0</v>
      </c>
      <c r="BX24" s="106">
        <v>0</v>
      </c>
      <c r="BY24" s="106">
        <v>0</v>
      </c>
      <c r="BZ24" s="106">
        <v>0</v>
      </c>
      <c r="CA24" s="106">
        <v>0</v>
      </c>
      <c r="CB24" s="106">
        <v>0</v>
      </c>
      <c r="CC24" s="106">
        <v>0</v>
      </c>
      <c r="CD24" s="106">
        <v>0</v>
      </c>
      <c r="CE24" s="106">
        <v>0</v>
      </c>
      <c r="CF24" s="106">
        <v>0</v>
      </c>
      <c r="CG24" s="106">
        <v>0</v>
      </c>
      <c r="CH24" s="106">
        <v>0</v>
      </c>
      <c r="CI24" s="106">
        <v>0</v>
      </c>
      <c r="CJ24" s="106">
        <v>0</v>
      </c>
      <c r="CK24" s="106">
        <v>0</v>
      </c>
      <c r="CL24" s="106">
        <v>0</v>
      </c>
      <c r="CM24" s="106">
        <v>0</v>
      </c>
      <c r="CN24" s="106">
        <v>0</v>
      </c>
      <c r="CO24" s="106">
        <v>0</v>
      </c>
      <c r="CP24" s="106">
        <v>0</v>
      </c>
      <c r="CQ24" s="106">
        <v>0</v>
      </c>
      <c r="CR24" s="106">
        <v>0</v>
      </c>
      <c r="CS24" s="106">
        <v>0</v>
      </c>
      <c r="CT24" s="106">
        <v>0</v>
      </c>
      <c r="CU24" s="106">
        <v>0</v>
      </c>
    </row>
    <row r="25" spans="2:99" x14ac:dyDescent="0.2">
      <c r="C25" s="105" t="s">
        <v>190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</v>
      </c>
      <c r="L25" s="106">
        <v>0</v>
      </c>
      <c r="M25" s="106">
        <v>0</v>
      </c>
      <c r="N25" s="106">
        <v>0</v>
      </c>
      <c r="O25" s="106">
        <v>0</v>
      </c>
      <c r="P25" s="106">
        <v>0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</v>
      </c>
      <c r="Y25" s="106">
        <v>0</v>
      </c>
      <c r="Z25" s="106">
        <v>0</v>
      </c>
      <c r="AA25" s="106">
        <v>0</v>
      </c>
      <c r="AB25" s="106">
        <v>0</v>
      </c>
      <c r="AC25" s="106">
        <v>0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  <c r="AP25" s="106">
        <v>0</v>
      </c>
      <c r="AQ25" s="106">
        <v>0</v>
      </c>
      <c r="AR25" s="106">
        <v>0</v>
      </c>
      <c r="AS25" s="106">
        <v>0</v>
      </c>
      <c r="AT25" s="106">
        <v>0</v>
      </c>
      <c r="AU25" s="106">
        <v>0</v>
      </c>
      <c r="AV25" s="106">
        <v>0</v>
      </c>
      <c r="AW25" s="106">
        <v>0</v>
      </c>
      <c r="AX25" s="106">
        <v>0</v>
      </c>
      <c r="AY25" s="106">
        <v>0</v>
      </c>
      <c r="AZ25" s="106">
        <v>0</v>
      </c>
      <c r="BA25" s="106">
        <v>0</v>
      </c>
      <c r="BB25" s="106">
        <v>0</v>
      </c>
      <c r="BC25" s="106">
        <v>0</v>
      </c>
      <c r="BD25" s="106">
        <v>0</v>
      </c>
      <c r="BE25" s="106">
        <v>0</v>
      </c>
      <c r="BF25" s="106">
        <v>0</v>
      </c>
      <c r="BG25" s="106">
        <v>0</v>
      </c>
      <c r="BH25" s="106">
        <v>0</v>
      </c>
      <c r="BI25" s="106">
        <v>0</v>
      </c>
      <c r="BJ25" s="106">
        <v>0</v>
      </c>
      <c r="BK25" s="106">
        <v>0</v>
      </c>
      <c r="BL25" s="106">
        <v>0</v>
      </c>
      <c r="BM25" s="106">
        <v>0</v>
      </c>
      <c r="BN25" s="106">
        <v>0</v>
      </c>
      <c r="BO25" s="106">
        <v>0</v>
      </c>
      <c r="BP25" s="106">
        <v>0</v>
      </c>
      <c r="BQ25" s="106">
        <v>0</v>
      </c>
      <c r="BR25" s="106">
        <v>0</v>
      </c>
      <c r="BS25" s="106">
        <v>0</v>
      </c>
      <c r="BT25" s="106">
        <v>0</v>
      </c>
      <c r="BU25" s="106">
        <v>0</v>
      </c>
      <c r="BV25" s="106">
        <v>0</v>
      </c>
      <c r="BW25" s="106">
        <v>0</v>
      </c>
      <c r="BX25" s="106">
        <v>0</v>
      </c>
      <c r="BY25" s="106">
        <v>0</v>
      </c>
      <c r="BZ25" s="106">
        <v>0</v>
      </c>
      <c r="CA25" s="106">
        <v>0</v>
      </c>
      <c r="CB25" s="106">
        <v>0</v>
      </c>
      <c r="CC25" s="106">
        <v>0</v>
      </c>
      <c r="CD25" s="106">
        <v>0</v>
      </c>
      <c r="CE25" s="106">
        <v>0</v>
      </c>
      <c r="CF25" s="106">
        <v>0</v>
      </c>
      <c r="CG25" s="106">
        <v>0</v>
      </c>
      <c r="CH25" s="106">
        <v>0</v>
      </c>
      <c r="CI25" s="106">
        <v>0</v>
      </c>
      <c r="CJ25" s="106">
        <v>0</v>
      </c>
      <c r="CK25" s="106">
        <v>0</v>
      </c>
      <c r="CL25" s="106">
        <v>0</v>
      </c>
      <c r="CM25" s="106">
        <v>0</v>
      </c>
      <c r="CN25" s="106">
        <v>0</v>
      </c>
      <c r="CO25" s="106">
        <v>0</v>
      </c>
      <c r="CP25" s="106">
        <v>0</v>
      </c>
      <c r="CQ25" s="106">
        <v>0</v>
      </c>
      <c r="CR25" s="106">
        <v>0</v>
      </c>
      <c r="CS25" s="106">
        <v>0</v>
      </c>
      <c r="CT25" s="106">
        <v>0</v>
      </c>
      <c r="CU25" s="106">
        <v>0</v>
      </c>
    </row>
    <row r="26" spans="2:99" x14ac:dyDescent="0.2">
      <c r="C26" s="105" t="s">
        <v>191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</v>
      </c>
      <c r="L26" s="106">
        <v>0</v>
      </c>
      <c r="M26" s="106">
        <v>0</v>
      </c>
      <c r="N26" s="106">
        <v>0</v>
      </c>
      <c r="O26" s="106">
        <v>0</v>
      </c>
      <c r="P26" s="106">
        <v>0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</v>
      </c>
      <c r="Y26" s="106">
        <v>0</v>
      </c>
      <c r="Z26" s="106">
        <v>0</v>
      </c>
      <c r="AA26" s="106">
        <v>0</v>
      </c>
      <c r="AB26" s="106">
        <v>0</v>
      </c>
      <c r="AC26" s="106">
        <v>0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  <c r="AP26" s="106">
        <v>0</v>
      </c>
      <c r="AQ26" s="106">
        <v>0</v>
      </c>
      <c r="AR26" s="106">
        <v>0</v>
      </c>
      <c r="AS26" s="106">
        <v>0</v>
      </c>
      <c r="AT26" s="106">
        <v>0</v>
      </c>
      <c r="AU26" s="106">
        <v>0</v>
      </c>
      <c r="AV26" s="106">
        <v>0</v>
      </c>
      <c r="AW26" s="106">
        <v>0</v>
      </c>
      <c r="AX26" s="106">
        <v>0</v>
      </c>
      <c r="AY26" s="106">
        <v>0</v>
      </c>
      <c r="AZ26" s="106">
        <v>0</v>
      </c>
      <c r="BA26" s="106">
        <v>0</v>
      </c>
      <c r="BB26" s="106">
        <v>0</v>
      </c>
      <c r="BC26" s="106">
        <v>0</v>
      </c>
      <c r="BD26" s="106">
        <v>0</v>
      </c>
      <c r="BE26" s="106">
        <v>0</v>
      </c>
      <c r="BF26" s="106">
        <v>0</v>
      </c>
      <c r="BG26" s="106">
        <v>0</v>
      </c>
      <c r="BH26" s="106">
        <v>0</v>
      </c>
      <c r="BI26" s="106">
        <v>0</v>
      </c>
      <c r="BJ26" s="106">
        <v>0</v>
      </c>
      <c r="BK26" s="106">
        <v>0</v>
      </c>
      <c r="BL26" s="106">
        <v>0</v>
      </c>
      <c r="BM26" s="106">
        <v>0</v>
      </c>
      <c r="BN26" s="106">
        <v>0</v>
      </c>
      <c r="BO26" s="106">
        <v>0</v>
      </c>
      <c r="BP26" s="106">
        <v>0</v>
      </c>
      <c r="BQ26" s="106">
        <v>0</v>
      </c>
      <c r="BR26" s="106">
        <v>0</v>
      </c>
      <c r="BS26" s="106">
        <v>0</v>
      </c>
      <c r="BT26" s="106">
        <v>0</v>
      </c>
      <c r="BU26" s="106">
        <v>0</v>
      </c>
      <c r="BV26" s="106">
        <v>0</v>
      </c>
      <c r="BW26" s="106">
        <v>0</v>
      </c>
      <c r="BX26" s="106">
        <v>0</v>
      </c>
      <c r="BY26" s="106">
        <v>0</v>
      </c>
      <c r="BZ26" s="106">
        <v>0</v>
      </c>
      <c r="CA26" s="106">
        <v>0</v>
      </c>
      <c r="CB26" s="106">
        <v>0</v>
      </c>
      <c r="CC26" s="106">
        <v>0</v>
      </c>
      <c r="CD26" s="106">
        <v>0</v>
      </c>
      <c r="CE26" s="106">
        <v>0</v>
      </c>
      <c r="CF26" s="106">
        <v>0</v>
      </c>
      <c r="CG26" s="106">
        <v>0</v>
      </c>
      <c r="CH26" s="106">
        <v>0</v>
      </c>
      <c r="CI26" s="106">
        <v>0</v>
      </c>
      <c r="CJ26" s="106">
        <v>0</v>
      </c>
      <c r="CK26" s="106">
        <v>0</v>
      </c>
      <c r="CL26" s="106">
        <v>0</v>
      </c>
      <c r="CM26" s="106">
        <v>0</v>
      </c>
      <c r="CN26" s="106">
        <v>0</v>
      </c>
      <c r="CO26" s="106">
        <v>0</v>
      </c>
      <c r="CP26" s="106">
        <v>0</v>
      </c>
      <c r="CQ26" s="106">
        <v>0</v>
      </c>
      <c r="CR26" s="106">
        <v>0</v>
      </c>
      <c r="CS26" s="106">
        <v>0</v>
      </c>
      <c r="CT26" s="106">
        <v>0</v>
      </c>
      <c r="CU26" s="106">
        <v>0</v>
      </c>
    </row>
    <row r="27" spans="2:99" x14ac:dyDescent="0.2">
      <c r="C27" s="105" t="s">
        <v>192</v>
      </c>
      <c r="D27" s="106">
        <v>0</v>
      </c>
      <c r="E27" s="106">
        <v>0</v>
      </c>
      <c r="F27" s="106">
        <v>0</v>
      </c>
      <c r="G27" s="106">
        <v>0</v>
      </c>
      <c r="H27" s="106">
        <v>0</v>
      </c>
      <c r="I27" s="106">
        <v>0</v>
      </c>
      <c r="J27" s="106">
        <v>0</v>
      </c>
      <c r="K27" s="106">
        <v>0</v>
      </c>
      <c r="L27" s="106">
        <v>0</v>
      </c>
      <c r="M27" s="106">
        <v>0</v>
      </c>
      <c r="N27" s="106">
        <v>0</v>
      </c>
      <c r="O27" s="106">
        <v>0</v>
      </c>
      <c r="P27" s="106">
        <v>0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</v>
      </c>
      <c r="Y27" s="106">
        <v>0</v>
      </c>
      <c r="Z27" s="106">
        <v>0</v>
      </c>
      <c r="AA27" s="106">
        <v>0</v>
      </c>
      <c r="AB27" s="106">
        <v>0</v>
      </c>
      <c r="AC27" s="106">
        <v>0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  <c r="AP27" s="106">
        <v>0</v>
      </c>
      <c r="AQ27" s="106">
        <v>0</v>
      </c>
      <c r="AR27" s="106">
        <v>0</v>
      </c>
      <c r="AS27" s="106">
        <v>0</v>
      </c>
      <c r="AT27" s="106">
        <v>0</v>
      </c>
      <c r="AU27" s="106">
        <v>0</v>
      </c>
      <c r="AV27" s="106">
        <v>0</v>
      </c>
      <c r="AW27" s="106">
        <v>0</v>
      </c>
      <c r="AX27" s="106">
        <v>0</v>
      </c>
      <c r="AY27" s="106">
        <v>0</v>
      </c>
      <c r="AZ27" s="106">
        <v>0</v>
      </c>
      <c r="BA27" s="106">
        <v>0</v>
      </c>
      <c r="BB27" s="106">
        <v>0</v>
      </c>
      <c r="BC27" s="106">
        <v>0</v>
      </c>
      <c r="BD27" s="106">
        <v>0</v>
      </c>
      <c r="BE27" s="106">
        <v>0</v>
      </c>
      <c r="BF27" s="106">
        <v>0</v>
      </c>
      <c r="BG27" s="106">
        <v>0</v>
      </c>
      <c r="BH27" s="106">
        <v>0</v>
      </c>
      <c r="BI27" s="106">
        <v>0</v>
      </c>
      <c r="BJ27" s="106">
        <v>0</v>
      </c>
      <c r="BK27" s="106">
        <v>0</v>
      </c>
      <c r="BL27" s="106">
        <v>0</v>
      </c>
      <c r="BM27" s="106">
        <v>0</v>
      </c>
      <c r="BN27" s="106">
        <v>0</v>
      </c>
      <c r="BO27" s="106">
        <v>0</v>
      </c>
      <c r="BP27" s="106">
        <v>0</v>
      </c>
      <c r="BQ27" s="106">
        <v>0</v>
      </c>
      <c r="BR27" s="106">
        <v>0</v>
      </c>
      <c r="BS27" s="106">
        <v>0</v>
      </c>
      <c r="BT27" s="106">
        <v>0</v>
      </c>
      <c r="BU27" s="106">
        <v>0</v>
      </c>
      <c r="BV27" s="106">
        <v>0</v>
      </c>
      <c r="BW27" s="106">
        <v>0</v>
      </c>
      <c r="BX27" s="106">
        <v>0</v>
      </c>
      <c r="BY27" s="106">
        <v>0</v>
      </c>
      <c r="BZ27" s="106">
        <v>0</v>
      </c>
      <c r="CA27" s="106">
        <v>0</v>
      </c>
      <c r="CB27" s="106">
        <v>0</v>
      </c>
      <c r="CC27" s="106">
        <v>0</v>
      </c>
      <c r="CD27" s="106">
        <v>0</v>
      </c>
      <c r="CE27" s="106">
        <v>0</v>
      </c>
      <c r="CF27" s="106">
        <v>0</v>
      </c>
      <c r="CG27" s="106">
        <v>0</v>
      </c>
      <c r="CH27" s="106">
        <v>0</v>
      </c>
      <c r="CI27" s="106">
        <v>0</v>
      </c>
      <c r="CJ27" s="106">
        <v>0</v>
      </c>
      <c r="CK27" s="106">
        <v>0</v>
      </c>
      <c r="CL27" s="106">
        <v>0</v>
      </c>
      <c r="CM27" s="106">
        <v>0</v>
      </c>
      <c r="CN27" s="106">
        <v>0</v>
      </c>
      <c r="CO27" s="106">
        <v>0</v>
      </c>
      <c r="CP27" s="106">
        <v>0</v>
      </c>
      <c r="CQ27" s="106">
        <v>0</v>
      </c>
      <c r="CR27" s="106">
        <v>0</v>
      </c>
      <c r="CS27" s="106">
        <v>0</v>
      </c>
      <c r="CT27" s="106">
        <v>0</v>
      </c>
      <c r="CU27" s="106">
        <v>0</v>
      </c>
    </row>
    <row r="28" spans="2:99" x14ac:dyDescent="0.2">
      <c r="C28" s="105" t="s">
        <v>193</v>
      </c>
      <c r="D28" s="106">
        <v>0</v>
      </c>
      <c r="E28" s="106">
        <v>0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</v>
      </c>
      <c r="L28" s="106">
        <v>0</v>
      </c>
      <c r="M28" s="106">
        <v>0</v>
      </c>
      <c r="N28" s="106">
        <v>0</v>
      </c>
      <c r="O28" s="106">
        <v>0</v>
      </c>
      <c r="P28" s="106">
        <v>0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</v>
      </c>
      <c r="Y28" s="106">
        <v>0</v>
      </c>
      <c r="Z28" s="106">
        <v>0</v>
      </c>
      <c r="AA28" s="106">
        <v>0</v>
      </c>
      <c r="AB28" s="106">
        <v>0</v>
      </c>
      <c r="AC28" s="106">
        <v>0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  <c r="AP28" s="106">
        <v>0</v>
      </c>
      <c r="AQ28" s="106">
        <v>0</v>
      </c>
      <c r="AR28" s="106">
        <v>0</v>
      </c>
      <c r="AS28" s="106">
        <v>0</v>
      </c>
      <c r="AT28" s="106">
        <v>0</v>
      </c>
      <c r="AU28" s="106">
        <v>0</v>
      </c>
      <c r="AV28" s="106">
        <v>0</v>
      </c>
      <c r="AW28" s="106">
        <v>0</v>
      </c>
      <c r="AX28" s="106">
        <v>0</v>
      </c>
      <c r="AY28" s="106">
        <v>0</v>
      </c>
      <c r="AZ28" s="106">
        <v>0</v>
      </c>
      <c r="BA28" s="106">
        <v>0</v>
      </c>
      <c r="BB28" s="106">
        <v>0</v>
      </c>
      <c r="BC28" s="106">
        <v>0</v>
      </c>
      <c r="BD28" s="106">
        <v>0</v>
      </c>
      <c r="BE28" s="106">
        <v>0</v>
      </c>
      <c r="BF28" s="106">
        <v>0</v>
      </c>
      <c r="BG28" s="106">
        <v>0</v>
      </c>
      <c r="BH28" s="106">
        <v>0</v>
      </c>
      <c r="BI28" s="106">
        <v>0</v>
      </c>
      <c r="BJ28" s="106">
        <v>0</v>
      </c>
      <c r="BK28" s="106">
        <v>0</v>
      </c>
      <c r="BL28" s="106">
        <v>0</v>
      </c>
      <c r="BM28" s="106">
        <v>0</v>
      </c>
      <c r="BN28" s="106">
        <v>0</v>
      </c>
      <c r="BO28" s="106">
        <v>0</v>
      </c>
      <c r="BP28" s="106">
        <v>0</v>
      </c>
      <c r="BQ28" s="106">
        <v>0</v>
      </c>
      <c r="BR28" s="106">
        <v>0</v>
      </c>
      <c r="BS28" s="106">
        <v>0</v>
      </c>
      <c r="BT28" s="106">
        <v>0</v>
      </c>
      <c r="BU28" s="106">
        <v>0</v>
      </c>
      <c r="BV28" s="106">
        <v>0</v>
      </c>
      <c r="BW28" s="106">
        <v>0</v>
      </c>
      <c r="BX28" s="106">
        <v>0</v>
      </c>
      <c r="BY28" s="106">
        <v>0</v>
      </c>
      <c r="BZ28" s="106">
        <v>0</v>
      </c>
      <c r="CA28" s="106">
        <v>0</v>
      </c>
      <c r="CB28" s="106">
        <v>0</v>
      </c>
      <c r="CC28" s="106">
        <v>0</v>
      </c>
      <c r="CD28" s="106">
        <v>0</v>
      </c>
      <c r="CE28" s="106">
        <v>0</v>
      </c>
      <c r="CF28" s="106">
        <v>0</v>
      </c>
      <c r="CG28" s="106">
        <v>0</v>
      </c>
      <c r="CH28" s="106">
        <v>0</v>
      </c>
      <c r="CI28" s="106">
        <v>0</v>
      </c>
      <c r="CJ28" s="106">
        <v>0</v>
      </c>
      <c r="CK28" s="106">
        <v>0</v>
      </c>
      <c r="CL28" s="106">
        <v>0</v>
      </c>
      <c r="CM28" s="106">
        <v>0</v>
      </c>
      <c r="CN28" s="106">
        <v>0</v>
      </c>
      <c r="CO28" s="106">
        <v>0</v>
      </c>
      <c r="CP28" s="106">
        <v>0</v>
      </c>
      <c r="CQ28" s="106">
        <v>0</v>
      </c>
      <c r="CR28" s="106">
        <v>0</v>
      </c>
      <c r="CS28" s="106">
        <v>0</v>
      </c>
      <c r="CT28" s="106">
        <v>0</v>
      </c>
      <c r="CU28" s="106">
        <v>0</v>
      </c>
    </row>
    <row r="29" spans="2:99" x14ac:dyDescent="0.2">
      <c r="C29" s="105" t="s">
        <v>194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  <c r="AP29" s="106">
        <v>0</v>
      </c>
      <c r="AQ29" s="106">
        <v>0</v>
      </c>
      <c r="AR29" s="106">
        <v>0</v>
      </c>
      <c r="AS29" s="106">
        <v>0</v>
      </c>
      <c r="AT29" s="106">
        <v>0</v>
      </c>
      <c r="AU29" s="106">
        <v>0</v>
      </c>
      <c r="AV29" s="106">
        <v>0</v>
      </c>
      <c r="AW29" s="106">
        <v>0</v>
      </c>
      <c r="AX29" s="106">
        <v>0</v>
      </c>
      <c r="AY29" s="106">
        <v>0</v>
      </c>
      <c r="AZ29" s="106">
        <v>0</v>
      </c>
      <c r="BA29" s="106">
        <v>0</v>
      </c>
      <c r="BB29" s="106">
        <v>0</v>
      </c>
      <c r="BC29" s="106">
        <v>0</v>
      </c>
      <c r="BD29" s="106">
        <v>0</v>
      </c>
      <c r="BE29" s="106">
        <v>0</v>
      </c>
      <c r="BF29" s="106">
        <v>0</v>
      </c>
      <c r="BG29" s="106">
        <v>0</v>
      </c>
      <c r="BH29" s="106">
        <v>0</v>
      </c>
      <c r="BI29" s="106">
        <v>0</v>
      </c>
      <c r="BJ29" s="106">
        <v>0</v>
      </c>
      <c r="BK29" s="106">
        <v>0</v>
      </c>
      <c r="BL29" s="106">
        <v>0</v>
      </c>
      <c r="BM29" s="106">
        <v>0</v>
      </c>
      <c r="BN29" s="106">
        <v>0</v>
      </c>
      <c r="BO29" s="106">
        <v>0</v>
      </c>
      <c r="BP29" s="106">
        <v>0</v>
      </c>
      <c r="BQ29" s="106">
        <v>0</v>
      </c>
      <c r="BR29" s="106">
        <v>0</v>
      </c>
      <c r="BS29" s="106">
        <v>0</v>
      </c>
      <c r="BT29" s="106">
        <v>0</v>
      </c>
      <c r="BU29" s="106">
        <v>0</v>
      </c>
      <c r="BV29" s="106">
        <v>0</v>
      </c>
      <c r="BW29" s="106">
        <v>0</v>
      </c>
      <c r="BX29" s="106">
        <v>0</v>
      </c>
      <c r="BY29" s="106">
        <v>0</v>
      </c>
      <c r="BZ29" s="106">
        <v>0</v>
      </c>
      <c r="CA29" s="106">
        <v>0</v>
      </c>
      <c r="CB29" s="106">
        <v>0</v>
      </c>
      <c r="CC29" s="106">
        <v>0</v>
      </c>
      <c r="CD29" s="106">
        <v>0</v>
      </c>
      <c r="CE29" s="106">
        <v>0</v>
      </c>
      <c r="CF29" s="106">
        <v>0</v>
      </c>
      <c r="CG29" s="106">
        <v>0</v>
      </c>
      <c r="CH29" s="106">
        <v>0</v>
      </c>
      <c r="CI29" s="106">
        <v>0</v>
      </c>
      <c r="CJ29" s="106">
        <v>0</v>
      </c>
      <c r="CK29" s="106">
        <v>0</v>
      </c>
      <c r="CL29" s="106">
        <v>0</v>
      </c>
      <c r="CM29" s="106">
        <v>0</v>
      </c>
      <c r="CN29" s="106">
        <v>0</v>
      </c>
      <c r="CO29" s="106">
        <v>0</v>
      </c>
      <c r="CP29" s="106">
        <v>0</v>
      </c>
      <c r="CQ29" s="106">
        <v>0</v>
      </c>
      <c r="CR29" s="106">
        <v>0</v>
      </c>
      <c r="CS29" s="106">
        <v>0</v>
      </c>
      <c r="CT29" s="106">
        <v>0</v>
      </c>
      <c r="CU29" s="106">
        <v>0</v>
      </c>
    </row>
    <row r="30" spans="2:99" x14ac:dyDescent="0.2">
      <c r="C30" s="105" t="s">
        <v>195</v>
      </c>
      <c r="D30" s="106">
        <v>0</v>
      </c>
      <c r="E30" s="106">
        <v>0</v>
      </c>
      <c r="F30" s="106">
        <v>0</v>
      </c>
      <c r="G30" s="106">
        <v>0</v>
      </c>
      <c r="H30" s="106">
        <v>0</v>
      </c>
      <c r="I30" s="106">
        <v>0</v>
      </c>
      <c r="J30" s="106">
        <v>0</v>
      </c>
      <c r="K30" s="106">
        <v>0</v>
      </c>
      <c r="L30" s="106">
        <v>0</v>
      </c>
      <c r="M30" s="106">
        <v>0</v>
      </c>
      <c r="N30" s="106">
        <v>0</v>
      </c>
      <c r="O30" s="106">
        <v>0</v>
      </c>
      <c r="P30" s="106">
        <v>0</v>
      </c>
      <c r="Q30" s="106">
        <v>0</v>
      </c>
      <c r="R30" s="106">
        <v>0</v>
      </c>
      <c r="S30" s="106">
        <v>0</v>
      </c>
      <c r="T30" s="106">
        <v>0</v>
      </c>
      <c r="U30" s="106">
        <v>0</v>
      </c>
      <c r="V30" s="106">
        <v>0</v>
      </c>
      <c r="W30" s="106">
        <v>0</v>
      </c>
      <c r="X30" s="106">
        <v>0</v>
      </c>
      <c r="Y30" s="106">
        <v>0</v>
      </c>
      <c r="Z30" s="106">
        <v>0</v>
      </c>
      <c r="AA30" s="106">
        <v>0</v>
      </c>
      <c r="AB30" s="106">
        <v>0</v>
      </c>
      <c r="AC30" s="106">
        <v>0</v>
      </c>
      <c r="AD30" s="106">
        <v>0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  <c r="AP30" s="106">
        <v>0</v>
      </c>
      <c r="AQ30" s="106">
        <v>0</v>
      </c>
      <c r="AR30" s="106">
        <v>0</v>
      </c>
      <c r="AS30" s="106">
        <v>0</v>
      </c>
      <c r="AT30" s="106">
        <v>0</v>
      </c>
      <c r="AU30" s="106">
        <v>0</v>
      </c>
      <c r="AV30" s="106">
        <v>0</v>
      </c>
      <c r="AW30" s="106">
        <v>0</v>
      </c>
      <c r="AX30" s="106">
        <v>0</v>
      </c>
      <c r="AY30" s="106">
        <v>0</v>
      </c>
      <c r="AZ30" s="106">
        <v>0</v>
      </c>
      <c r="BA30" s="106">
        <v>0</v>
      </c>
      <c r="BB30" s="106">
        <v>0</v>
      </c>
      <c r="BC30" s="106">
        <v>0</v>
      </c>
      <c r="BD30" s="106">
        <v>0</v>
      </c>
      <c r="BE30" s="106">
        <v>0</v>
      </c>
      <c r="BF30" s="106">
        <v>0</v>
      </c>
      <c r="BG30" s="106">
        <v>0</v>
      </c>
      <c r="BH30" s="106">
        <v>0</v>
      </c>
      <c r="BI30" s="106">
        <v>0</v>
      </c>
      <c r="BJ30" s="106">
        <v>0</v>
      </c>
      <c r="BK30" s="106">
        <v>0</v>
      </c>
      <c r="BL30" s="106">
        <v>0</v>
      </c>
      <c r="BM30" s="106">
        <v>0</v>
      </c>
      <c r="BN30" s="106">
        <v>0</v>
      </c>
      <c r="BO30" s="106">
        <v>0</v>
      </c>
      <c r="BP30" s="106">
        <v>0</v>
      </c>
      <c r="BQ30" s="106">
        <v>0</v>
      </c>
      <c r="BR30" s="106">
        <v>0</v>
      </c>
      <c r="BS30" s="106">
        <v>0</v>
      </c>
      <c r="BT30" s="106">
        <v>0</v>
      </c>
      <c r="BU30" s="106">
        <v>0</v>
      </c>
      <c r="BV30" s="106">
        <v>0</v>
      </c>
      <c r="BW30" s="106">
        <v>0</v>
      </c>
      <c r="BX30" s="106">
        <v>0</v>
      </c>
      <c r="BY30" s="106">
        <v>0</v>
      </c>
      <c r="BZ30" s="106">
        <v>0</v>
      </c>
      <c r="CA30" s="106">
        <v>0</v>
      </c>
      <c r="CB30" s="106">
        <v>0</v>
      </c>
      <c r="CC30" s="106">
        <v>0</v>
      </c>
      <c r="CD30" s="106">
        <v>0</v>
      </c>
      <c r="CE30" s="106">
        <v>0</v>
      </c>
      <c r="CF30" s="106">
        <v>0</v>
      </c>
      <c r="CG30" s="106">
        <v>0</v>
      </c>
      <c r="CH30" s="106">
        <v>0</v>
      </c>
      <c r="CI30" s="106">
        <v>0</v>
      </c>
      <c r="CJ30" s="106">
        <v>0</v>
      </c>
      <c r="CK30" s="106">
        <v>0</v>
      </c>
      <c r="CL30" s="106">
        <v>0</v>
      </c>
      <c r="CM30" s="106">
        <v>0</v>
      </c>
      <c r="CN30" s="106">
        <v>0</v>
      </c>
      <c r="CO30" s="106">
        <v>0</v>
      </c>
      <c r="CP30" s="106">
        <v>0</v>
      </c>
      <c r="CQ30" s="106">
        <v>0</v>
      </c>
      <c r="CR30" s="106">
        <v>0</v>
      </c>
      <c r="CS30" s="106">
        <v>0</v>
      </c>
      <c r="CT30" s="106">
        <v>0</v>
      </c>
      <c r="CU30" s="106">
        <v>0</v>
      </c>
    </row>
    <row r="31" spans="2:99" x14ac:dyDescent="0.2">
      <c r="C31" s="105" t="s">
        <v>196</v>
      </c>
      <c r="D31" s="106">
        <v>0</v>
      </c>
      <c r="E31" s="106">
        <v>0</v>
      </c>
      <c r="F31" s="106">
        <v>0</v>
      </c>
      <c r="G31" s="106">
        <v>0</v>
      </c>
      <c r="H31" s="106">
        <v>0</v>
      </c>
      <c r="I31" s="106">
        <v>0</v>
      </c>
      <c r="J31" s="106">
        <v>0</v>
      </c>
      <c r="K31" s="106">
        <v>0</v>
      </c>
      <c r="L31" s="106">
        <v>0</v>
      </c>
      <c r="M31" s="106">
        <v>0</v>
      </c>
      <c r="N31" s="106">
        <v>0</v>
      </c>
      <c r="O31" s="106">
        <v>0</v>
      </c>
      <c r="P31" s="106">
        <v>0</v>
      </c>
      <c r="Q31" s="106">
        <v>0</v>
      </c>
      <c r="R31" s="106">
        <v>0</v>
      </c>
      <c r="S31" s="106">
        <v>0</v>
      </c>
      <c r="T31" s="106">
        <v>0</v>
      </c>
      <c r="U31" s="106">
        <v>0</v>
      </c>
      <c r="V31" s="106">
        <v>0</v>
      </c>
      <c r="W31" s="106">
        <v>0</v>
      </c>
      <c r="X31" s="106">
        <v>0</v>
      </c>
      <c r="Y31" s="106">
        <v>0</v>
      </c>
      <c r="Z31" s="106">
        <v>0</v>
      </c>
      <c r="AA31" s="106">
        <v>0</v>
      </c>
      <c r="AB31" s="106">
        <v>0</v>
      </c>
      <c r="AC31" s="106">
        <v>0</v>
      </c>
      <c r="AD31" s="106">
        <v>0</v>
      </c>
      <c r="AE31" s="106">
        <v>0</v>
      </c>
      <c r="AF31" s="106">
        <v>0</v>
      </c>
      <c r="AG31" s="106">
        <v>0</v>
      </c>
      <c r="AH31" s="106">
        <v>0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  <c r="AP31" s="106">
        <v>0</v>
      </c>
      <c r="AQ31" s="106">
        <v>0</v>
      </c>
      <c r="AR31" s="106">
        <v>0</v>
      </c>
      <c r="AS31" s="106">
        <v>0</v>
      </c>
      <c r="AT31" s="106">
        <v>0</v>
      </c>
      <c r="AU31" s="106">
        <v>0</v>
      </c>
      <c r="AV31" s="106">
        <v>0</v>
      </c>
      <c r="AW31" s="106">
        <v>0</v>
      </c>
      <c r="AX31" s="106">
        <v>0</v>
      </c>
      <c r="AY31" s="106">
        <v>0</v>
      </c>
      <c r="AZ31" s="106">
        <v>0</v>
      </c>
      <c r="BA31" s="106">
        <v>0</v>
      </c>
      <c r="BB31" s="106">
        <v>0</v>
      </c>
      <c r="BC31" s="106">
        <v>0</v>
      </c>
      <c r="BD31" s="106">
        <v>0</v>
      </c>
      <c r="BE31" s="106">
        <v>0</v>
      </c>
      <c r="BF31" s="106">
        <v>0</v>
      </c>
      <c r="BG31" s="106">
        <v>0</v>
      </c>
      <c r="BH31" s="106">
        <v>0</v>
      </c>
      <c r="BI31" s="106">
        <v>0</v>
      </c>
      <c r="BJ31" s="106">
        <v>0</v>
      </c>
      <c r="BK31" s="106">
        <v>0</v>
      </c>
      <c r="BL31" s="106">
        <v>0</v>
      </c>
      <c r="BM31" s="106">
        <v>0</v>
      </c>
      <c r="BN31" s="106">
        <v>0</v>
      </c>
      <c r="BO31" s="106">
        <v>0</v>
      </c>
      <c r="BP31" s="106">
        <v>0</v>
      </c>
      <c r="BQ31" s="106">
        <v>0</v>
      </c>
      <c r="BR31" s="106">
        <v>0</v>
      </c>
      <c r="BS31" s="106">
        <v>0</v>
      </c>
      <c r="BT31" s="106">
        <v>0</v>
      </c>
      <c r="BU31" s="106">
        <v>0</v>
      </c>
      <c r="BV31" s="106">
        <v>0</v>
      </c>
      <c r="BW31" s="106">
        <v>0</v>
      </c>
      <c r="BX31" s="106">
        <v>0</v>
      </c>
      <c r="BY31" s="106">
        <v>0</v>
      </c>
      <c r="BZ31" s="106">
        <v>0</v>
      </c>
      <c r="CA31" s="106">
        <v>0</v>
      </c>
      <c r="CB31" s="106">
        <v>0</v>
      </c>
      <c r="CC31" s="106">
        <v>0</v>
      </c>
      <c r="CD31" s="106">
        <v>0</v>
      </c>
      <c r="CE31" s="106">
        <v>0</v>
      </c>
      <c r="CF31" s="106">
        <v>0</v>
      </c>
      <c r="CG31" s="106">
        <v>0</v>
      </c>
      <c r="CH31" s="106">
        <v>0</v>
      </c>
      <c r="CI31" s="106">
        <v>0</v>
      </c>
      <c r="CJ31" s="106">
        <v>0</v>
      </c>
      <c r="CK31" s="106">
        <v>0</v>
      </c>
      <c r="CL31" s="106">
        <v>0</v>
      </c>
      <c r="CM31" s="106">
        <v>0</v>
      </c>
      <c r="CN31" s="106">
        <v>0</v>
      </c>
      <c r="CO31" s="106">
        <v>0</v>
      </c>
      <c r="CP31" s="106">
        <v>0</v>
      </c>
      <c r="CQ31" s="106">
        <v>0</v>
      </c>
      <c r="CR31" s="106">
        <v>0</v>
      </c>
      <c r="CS31" s="106">
        <v>0</v>
      </c>
      <c r="CT31" s="106">
        <v>0</v>
      </c>
      <c r="CU31" s="106">
        <v>0</v>
      </c>
    </row>
    <row r="32" spans="2:99" x14ac:dyDescent="0.2">
      <c r="C32" s="105" t="s">
        <v>197</v>
      </c>
      <c r="D32" s="106">
        <v>0</v>
      </c>
      <c r="E32" s="106">
        <v>0</v>
      </c>
      <c r="F32" s="106">
        <v>0</v>
      </c>
      <c r="G32" s="106">
        <v>0</v>
      </c>
      <c r="H32" s="106">
        <v>0</v>
      </c>
      <c r="I32" s="106">
        <v>0</v>
      </c>
      <c r="J32" s="106">
        <v>0</v>
      </c>
      <c r="K32" s="106">
        <v>0</v>
      </c>
      <c r="L32" s="106">
        <v>0</v>
      </c>
      <c r="M32" s="106">
        <v>0</v>
      </c>
      <c r="N32" s="106">
        <v>0</v>
      </c>
      <c r="O32" s="106">
        <v>0</v>
      </c>
      <c r="P32" s="106">
        <v>0</v>
      </c>
      <c r="Q32" s="106">
        <v>0</v>
      </c>
      <c r="R32" s="106">
        <v>0</v>
      </c>
      <c r="S32" s="106">
        <v>0</v>
      </c>
      <c r="T32" s="106">
        <v>0</v>
      </c>
      <c r="U32" s="106">
        <v>0</v>
      </c>
      <c r="V32" s="106">
        <v>0</v>
      </c>
      <c r="W32" s="106">
        <v>0</v>
      </c>
      <c r="X32" s="106">
        <v>0</v>
      </c>
      <c r="Y32" s="106">
        <v>0</v>
      </c>
      <c r="Z32" s="106">
        <v>0</v>
      </c>
      <c r="AA32" s="106">
        <v>0</v>
      </c>
      <c r="AB32" s="106">
        <v>0</v>
      </c>
      <c r="AC32" s="106">
        <v>0</v>
      </c>
      <c r="AD32" s="106">
        <v>0</v>
      </c>
      <c r="AE32" s="106">
        <v>0</v>
      </c>
      <c r="AF32" s="106">
        <v>0</v>
      </c>
      <c r="AG32" s="106">
        <v>0</v>
      </c>
      <c r="AH32" s="106">
        <v>0</v>
      </c>
      <c r="AI32" s="106">
        <v>0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  <c r="AP32" s="106">
        <v>0</v>
      </c>
      <c r="AQ32" s="106">
        <v>0</v>
      </c>
      <c r="AR32" s="106">
        <v>0</v>
      </c>
      <c r="AS32" s="106">
        <v>0</v>
      </c>
      <c r="AT32" s="106">
        <v>0</v>
      </c>
      <c r="AU32" s="106">
        <v>0</v>
      </c>
      <c r="AV32" s="106">
        <v>0</v>
      </c>
      <c r="AW32" s="106">
        <v>0</v>
      </c>
      <c r="AX32" s="106">
        <v>0</v>
      </c>
      <c r="AY32" s="106">
        <v>0</v>
      </c>
      <c r="AZ32" s="106">
        <v>0</v>
      </c>
      <c r="BA32" s="106">
        <v>0</v>
      </c>
      <c r="BB32" s="106">
        <v>0</v>
      </c>
      <c r="BC32" s="106">
        <v>0</v>
      </c>
      <c r="BD32" s="106">
        <v>0</v>
      </c>
      <c r="BE32" s="106">
        <v>0</v>
      </c>
      <c r="BF32" s="106">
        <v>0</v>
      </c>
      <c r="BG32" s="106">
        <v>0</v>
      </c>
      <c r="BH32" s="106">
        <v>0</v>
      </c>
      <c r="BI32" s="106">
        <v>0</v>
      </c>
      <c r="BJ32" s="106">
        <v>0</v>
      </c>
      <c r="BK32" s="106">
        <v>0</v>
      </c>
      <c r="BL32" s="106">
        <v>0</v>
      </c>
      <c r="BM32" s="106">
        <v>0</v>
      </c>
      <c r="BN32" s="106">
        <v>0</v>
      </c>
      <c r="BO32" s="106">
        <v>0</v>
      </c>
      <c r="BP32" s="106">
        <v>0</v>
      </c>
      <c r="BQ32" s="106">
        <v>0</v>
      </c>
      <c r="BR32" s="106">
        <v>0</v>
      </c>
      <c r="BS32" s="106">
        <v>0</v>
      </c>
      <c r="BT32" s="106">
        <v>0</v>
      </c>
      <c r="BU32" s="106">
        <v>0</v>
      </c>
      <c r="BV32" s="106">
        <v>0</v>
      </c>
      <c r="BW32" s="106">
        <v>0</v>
      </c>
      <c r="BX32" s="106">
        <v>0</v>
      </c>
      <c r="BY32" s="106">
        <v>0</v>
      </c>
      <c r="BZ32" s="106">
        <v>0</v>
      </c>
      <c r="CA32" s="106">
        <v>0</v>
      </c>
      <c r="CB32" s="106">
        <v>0</v>
      </c>
      <c r="CC32" s="106">
        <v>0</v>
      </c>
      <c r="CD32" s="106">
        <v>0</v>
      </c>
      <c r="CE32" s="106">
        <v>0</v>
      </c>
      <c r="CF32" s="106">
        <v>0</v>
      </c>
      <c r="CG32" s="106">
        <v>0</v>
      </c>
      <c r="CH32" s="106">
        <v>0</v>
      </c>
      <c r="CI32" s="106">
        <v>0</v>
      </c>
      <c r="CJ32" s="106">
        <v>0</v>
      </c>
      <c r="CK32" s="106">
        <v>0</v>
      </c>
      <c r="CL32" s="106">
        <v>0</v>
      </c>
      <c r="CM32" s="106">
        <v>0</v>
      </c>
      <c r="CN32" s="106">
        <v>0</v>
      </c>
      <c r="CO32" s="106">
        <v>0</v>
      </c>
      <c r="CP32" s="106">
        <v>0</v>
      </c>
      <c r="CQ32" s="106">
        <v>0</v>
      </c>
      <c r="CR32" s="106">
        <v>0</v>
      </c>
      <c r="CS32" s="106">
        <v>0</v>
      </c>
      <c r="CT32" s="106">
        <v>0</v>
      </c>
      <c r="CU32" s="106">
        <v>0</v>
      </c>
    </row>
    <row r="33" spans="2:99" x14ac:dyDescent="0.2">
      <c r="C33" s="105" t="s">
        <v>198</v>
      </c>
      <c r="D33" s="106">
        <v>0</v>
      </c>
      <c r="E33" s="106">
        <v>0</v>
      </c>
      <c r="F33" s="106">
        <v>0</v>
      </c>
      <c r="G33" s="106">
        <v>0</v>
      </c>
      <c r="H33" s="106">
        <v>0</v>
      </c>
      <c r="I33" s="106">
        <v>0</v>
      </c>
      <c r="J33" s="106">
        <v>0</v>
      </c>
      <c r="K33" s="106">
        <v>0</v>
      </c>
      <c r="L33" s="106">
        <v>0</v>
      </c>
      <c r="M33" s="106">
        <v>0</v>
      </c>
      <c r="N33" s="106">
        <v>0</v>
      </c>
      <c r="O33" s="106">
        <v>0</v>
      </c>
      <c r="P33" s="106">
        <v>0</v>
      </c>
      <c r="Q33" s="106">
        <v>0</v>
      </c>
      <c r="R33" s="106">
        <v>0</v>
      </c>
      <c r="S33" s="106">
        <v>0</v>
      </c>
      <c r="T33" s="106">
        <v>0</v>
      </c>
      <c r="U33" s="106">
        <v>0</v>
      </c>
      <c r="V33" s="106">
        <v>0</v>
      </c>
      <c r="W33" s="106">
        <v>0</v>
      </c>
      <c r="X33" s="106">
        <v>0</v>
      </c>
      <c r="Y33" s="106">
        <v>0</v>
      </c>
      <c r="Z33" s="106">
        <v>0</v>
      </c>
      <c r="AA33" s="106">
        <v>0</v>
      </c>
      <c r="AB33" s="106">
        <v>0</v>
      </c>
      <c r="AC33" s="106">
        <v>0</v>
      </c>
      <c r="AD33" s="106">
        <v>0</v>
      </c>
      <c r="AE33" s="106">
        <v>0</v>
      </c>
      <c r="AF33" s="106">
        <v>0</v>
      </c>
      <c r="AG33" s="106">
        <v>0</v>
      </c>
      <c r="AH33" s="106">
        <v>0</v>
      </c>
      <c r="AI33" s="106">
        <v>0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  <c r="AP33" s="106">
        <v>0</v>
      </c>
      <c r="AQ33" s="106">
        <v>0</v>
      </c>
      <c r="AR33" s="106">
        <v>0</v>
      </c>
      <c r="AS33" s="106">
        <v>0</v>
      </c>
      <c r="AT33" s="106">
        <v>0</v>
      </c>
      <c r="AU33" s="106">
        <v>0</v>
      </c>
      <c r="AV33" s="106">
        <v>0</v>
      </c>
      <c r="AW33" s="106">
        <v>0</v>
      </c>
      <c r="AX33" s="106">
        <v>0</v>
      </c>
      <c r="AY33" s="106">
        <v>0</v>
      </c>
      <c r="AZ33" s="106">
        <v>0</v>
      </c>
      <c r="BA33" s="106">
        <v>0</v>
      </c>
      <c r="BB33" s="106">
        <v>0</v>
      </c>
      <c r="BC33" s="106">
        <v>0</v>
      </c>
      <c r="BD33" s="106">
        <v>0</v>
      </c>
      <c r="BE33" s="106">
        <v>0</v>
      </c>
      <c r="BF33" s="106">
        <v>0</v>
      </c>
      <c r="BG33" s="106">
        <v>0</v>
      </c>
      <c r="BH33" s="106">
        <v>0</v>
      </c>
      <c r="BI33" s="106">
        <v>0</v>
      </c>
      <c r="BJ33" s="106">
        <v>0</v>
      </c>
      <c r="BK33" s="106">
        <v>0</v>
      </c>
      <c r="BL33" s="106">
        <v>0</v>
      </c>
      <c r="BM33" s="106">
        <v>0</v>
      </c>
      <c r="BN33" s="106">
        <v>0</v>
      </c>
      <c r="BO33" s="106">
        <v>0</v>
      </c>
      <c r="BP33" s="106">
        <v>0</v>
      </c>
      <c r="BQ33" s="106">
        <v>0</v>
      </c>
      <c r="BR33" s="106">
        <v>0</v>
      </c>
      <c r="BS33" s="106">
        <v>0</v>
      </c>
      <c r="BT33" s="106">
        <v>0</v>
      </c>
      <c r="BU33" s="106">
        <v>0</v>
      </c>
      <c r="BV33" s="106">
        <v>0</v>
      </c>
      <c r="BW33" s="106">
        <v>0</v>
      </c>
      <c r="BX33" s="106">
        <v>0</v>
      </c>
      <c r="BY33" s="106">
        <v>0</v>
      </c>
      <c r="BZ33" s="106">
        <v>0</v>
      </c>
      <c r="CA33" s="106">
        <v>0</v>
      </c>
      <c r="CB33" s="106">
        <v>0</v>
      </c>
      <c r="CC33" s="106">
        <v>0</v>
      </c>
      <c r="CD33" s="106">
        <v>0</v>
      </c>
      <c r="CE33" s="106">
        <v>0</v>
      </c>
      <c r="CF33" s="106">
        <v>0</v>
      </c>
      <c r="CG33" s="106">
        <v>0</v>
      </c>
      <c r="CH33" s="106">
        <v>0</v>
      </c>
      <c r="CI33" s="106">
        <v>0</v>
      </c>
      <c r="CJ33" s="106">
        <v>0</v>
      </c>
      <c r="CK33" s="106">
        <v>0</v>
      </c>
      <c r="CL33" s="106">
        <v>0</v>
      </c>
      <c r="CM33" s="106">
        <v>0</v>
      </c>
      <c r="CN33" s="106">
        <v>0</v>
      </c>
      <c r="CO33" s="106">
        <v>0</v>
      </c>
      <c r="CP33" s="106">
        <v>0</v>
      </c>
      <c r="CQ33" s="106">
        <v>0</v>
      </c>
      <c r="CR33" s="106">
        <v>0</v>
      </c>
      <c r="CS33" s="106">
        <v>0</v>
      </c>
      <c r="CT33" s="106">
        <v>0</v>
      </c>
      <c r="CU33" s="106">
        <v>0</v>
      </c>
    </row>
    <row r="34" spans="2:99" x14ac:dyDescent="0.2">
      <c r="C34" s="105" t="s">
        <v>199</v>
      </c>
      <c r="D34" s="106">
        <v>0</v>
      </c>
      <c r="E34" s="106">
        <v>0</v>
      </c>
      <c r="F34" s="106">
        <v>0</v>
      </c>
      <c r="G34" s="106">
        <v>0</v>
      </c>
      <c r="H34" s="106">
        <v>0</v>
      </c>
      <c r="I34" s="106">
        <v>0</v>
      </c>
      <c r="J34" s="106">
        <v>0</v>
      </c>
      <c r="K34" s="106">
        <v>0</v>
      </c>
      <c r="L34" s="106">
        <v>0</v>
      </c>
      <c r="M34" s="106">
        <v>0</v>
      </c>
      <c r="N34" s="106">
        <v>0</v>
      </c>
      <c r="O34" s="106">
        <v>0</v>
      </c>
      <c r="P34" s="106">
        <v>0</v>
      </c>
      <c r="Q34" s="106">
        <v>0</v>
      </c>
      <c r="R34" s="106">
        <v>0</v>
      </c>
      <c r="S34" s="106">
        <v>0</v>
      </c>
      <c r="T34" s="106">
        <v>0</v>
      </c>
      <c r="U34" s="106">
        <v>0</v>
      </c>
      <c r="V34" s="106">
        <v>0</v>
      </c>
      <c r="W34" s="106">
        <v>0</v>
      </c>
      <c r="X34" s="106">
        <v>0</v>
      </c>
      <c r="Y34" s="106">
        <v>0</v>
      </c>
      <c r="Z34" s="106">
        <v>0</v>
      </c>
      <c r="AA34" s="106">
        <v>0</v>
      </c>
      <c r="AB34" s="106">
        <v>0</v>
      </c>
      <c r="AC34" s="106">
        <v>0</v>
      </c>
      <c r="AD34" s="106">
        <v>0</v>
      </c>
      <c r="AE34" s="106">
        <v>0</v>
      </c>
      <c r="AF34" s="106">
        <v>0</v>
      </c>
      <c r="AG34" s="106">
        <v>0</v>
      </c>
      <c r="AH34" s="106">
        <v>0</v>
      </c>
      <c r="AI34" s="106">
        <v>0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  <c r="AP34" s="106">
        <v>0</v>
      </c>
      <c r="AQ34" s="106">
        <v>0</v>
      </c>
      <c r="AR34" s="106">
        <v>0</v>
      </c>
      <c r="AS34" s="106">
        <v>0</v>
      </c>
      <c r="AT34" s="106">
        <v>0</v>
      </c>
      <c r="AU34" s="106">
        <v>0</v>
      </c>
      <c r="AV34" s="106">
        <v>0</v>
      </c>
      <c r="AW34" s="106">
        <v>0</v>
      </c>
      <c r="AX34" s="106">
        <v>0</v>
      </c>
      <c r="AY34" s="106">
        <v>0</v>
      </c>
      <c r="AZ34" s="106">
        <v>0</v>
      </c>
      <c r="BA34" s="106">
        <v>0</v>
      </c>
      <c r="BB34" s="106">
        <v>0</v>
      </c>
      <c r="BC34" s="106">
        <v>0</v>
      </c>
      <c r="BD34" s="106">
        <v>0</v>
      </c>
      <c r="BE34" s="106">
        <v>0</v>
      </c>
      <c r="BF34" s="106">
        <v>0</v>
      </c>
      <c r="BG34" s="106">
        <v>0</v>
      </c>
      <c r="BH34" s="106">
        <v>0</v>
      </c>
      <c r="BI34" s="106">
        <v>0</v>
      </c>
      <c r="BJ34" s="106">
        <v>0</v>
      </c>
      <c r="BK34" s="106">
        <v>0</v>
      </c>
      <c r="BL34" s="106">
        <v>0</v>
      </c>
      <c r="BM34" s="106">
        <v>0</v>
      </c>
      <c r="BN34" s="106">
        <v>0</v>
      </c>
      <c r="BO34" s="106">
        <v>0</v>
      </c>
      <c r="BP34" s="106">
        <v>0</v>
      </c>
      <c r="BQ34" s="106">
        <v>0</v>
      </c>
      <c r="BR34" s="106">
        <v>0</v>
      </c>
      <c r="BS34" s="106">
        <v>0</v>
      </c>
      <c r="BT34" s="106">
        <v>0</v>
      </c>
      <c r="BU34" s="106">
        <v>0</v>
      </c>
      <c r="BV34" s="106">
        <v>0</v>
      </c>
      <c r="BW34" s="106">
        <v>0</v>
      </c>
      <c r="BX34" s="106">
        <v>0</v>
      </c>
      <c r="BY34" s="106">
        <v>0</v>
      </c>
      <c r="BZ34" s="106">
        <v>0</v>
      </c>
      <c r="CA34" s="106">
        <v>0</v>
      </c>
      <c r="CB34" s="106">
        <v>0</v>
      </c>
      <c r="CC34" s="106">
        <v>0</v>
      </c>
      <c r="CD34" s="106">
        <v>0</v>
      </c>
      <c r="CE34" s="106">
        <v>0</v>
      </c>
      <c r="CF34" s="106">
        <v>0</v>
      </c>
      <c r="CG34" s="106">
        <v>0</v>
      </c>
      <c r="CH34" s="106">
        <v>0</v>
      </c>
      <c r="CI34" s="106">
        <v>0</v>
      </c>
      <c r="CJ34" s="106">
        <v>0</v>
      </c>
      <c r="CK34" s="106">
        <v>0</v>
      </c>
      <c r="CL34" s="106">
        <v>0</v>
      </c>
      <c r="CM34" s="106">
        <v>0</v>
      </c>
      <c r="CN34" s="106">
        <v>0</v>
      </c>
      <c r="CO34" s="106">
        <v>0</v>
      </c>
      <c r="CP34" s="106">
        <v>0</v>
      </c>
      <c r="CQ34" s="106">
        <v>0</v>
      </c>
      <c r="CR34" s="106">
        <v>0</v>
      </c>
      <c r="CS34" s="106">
        <v>0</v>
      </c>
      <c r="CT34" s="106">
        <v>0</v>
      </c>
      <c r="CU34" s="106">
        <v>0</v>
      </c>
    </row>
    <row r="35" spans="2:99" x14ac:dyDescent="0.2">
      <c r="C35" s="105" t="s">
        <v>200</v>
      </c>
      <c r="D35" s="106">
        <v>0</v>
      </c>
      <c r="E35" s="106">
        <v>0</v>
      </c>
      <c r="F35" s="106">
        <v>0</v>
      </c>
      <c r="G35" s="106">
        <v>0</v>
      </c>
      <c r="H35" s="106">
        <v>0</v>
      </c>
      <c r="I35" s="106">
        <v>0</v>
      </c>
      <c r="J35" s="106">
        <v>0</v>
      </c>
      <c r="K35" s="106">
        <v>0</v>
      </c>
      <c r="L35" s="106">
        <v>0</v>
      </c>
      <c r="M35" s="106">
        <v>0</v>
      </c>
      <c r="N35" s="106">
        <v>0</v>
      </c>
      <c r="O35" s="106">
        <v>0</v>
      </c>
      <c r="P35" s="106">
        <v>0</v>
      </c>
      <c r="Q35" s="106">
        <v>0</v>
      </c>
      <c r="R35" s="106">
        <v>0</v>
      </c>
      <c r="S35" s="106">
        <v>0</v>
      </c>
      <c r="T35" s="106">
        <v>0</v>
      </c>
      <c r="U35" s="106">
        <v>0</v>
      </c>
      <c r="V35" s="106">
        <v>0</v>
      </c>
      <c r="W35" s="106">
        <v>0</v>
      </c>
      <c r="X35" s="106">
        <v>0</v>
      </c>
      <c r="Y35" s="106">
        <v>0</v>
      </c>
      <c r="Z35" s="106">
        <v>0</v>
      </c>
      <c r="AA35" s="106">
        <v>0</v>
      </c>
      <c r="AB35" s="106">
        <v>0</v>
      </c>
      <c r="AC35" s="106">
        <v>0</v>
      </c>
      <c r="AD35" s="106">
        <v>0</v>
      </c>
      <c r="AE35" s="106">
        <v>0</v>
      </c>
      <c r="AF35" s="106">
        <v>0</v>
      </c>
      <c r="AG35" s="106">
        <v>0</v>
      </c>
      <c r="AH35" s="106">
        <v>0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  <c r="AP35" s="106">
        <v>0</v>
      </c>
      <c r="AQ35" s="106">
        <v>0</v>
      </c>
      <c r="AR35" s="106">
        <v>0</v>
      </c>
      <c r="AS35" s="106">
        <v>0</v>
      </c>
      <c r="AT35" s="106">
        <v>0</v>
      </c>
      <c r="AU35" s="106">
        <v>0</v>
      </c>
      <c r="AV35" s="106">
        <v>0</v>
      </c>
      <c r="AW35" s="106">
        <v>0</v>
      </c>
      <c r="AX35" s="106">
        <v>0</v>
      </c>
      <c r="AY35" s="106">
        <v>0</v>
      </c>
      <c r="AZ35" s="106">
        <v>0</v>
      </c>
      <c r="BA35" s="106">
        <v>0</v>
      </c>
      <c r="BB35" s="106">
        <v>0</v>
      </c>
      <c r="BC35" s="106">
        <v>0</v>
      </c>
      <c r="BD35" s="106">
        <v>0</v>
      </c>
      <c r="BE35" s="106">
        <v>0</v>
      </c>
      <c r="BF35" s="106">
        <v>0</v>
      </c>
      <c r="BG35" s="106">
        <v>0</v>
      </c>
      <c r="BH35" s="106">
        <v>0</v>
      </c>
      <c r="BI35" s="106">
        <v>0</v>
      </c>
      <c r="BJ35" s="106">
        <v>0</v>
      </c>
      <c r="BK35" s="106">
        <v>0</v>
      </c>
      <c r="BL35" s="106">
        <v>0</v>
      </c>
      <c r="BM35" s="106">
        <v>0</v>
      </c>
      <c r="BN35" s="106">
        <v>0</v>
      </c>
      <c r="BO35" s="106">
        <v>0</v>
      </c>
      <c r="BP35" s="106">
        <v>0</v>
      </c>
      <c r="BQ35" s="106">
        <v>0</v>
      </c>
      <c r="BR35" s="106">
        <v>0</v>
      </c>
      <c r="BS35" s="106">
        <v>0</v>
      </c>
      <c r="BT35" s="106">
        <v>0</v>
      </c>
      <c r="BU35" s="106">
        <v>0</v>
      </c>
      <c r="BV35" s="106">
        <v>0</v>
      </c>
      <c r="BW35" s="106">
        <v>0</v>
      </c>
      <c r="BX35" s="106">
        <v>0</v>
      </c>
      <c r="BY35" s="106">
        <v>0</v>
      </c>
      <c r="BZ35" s="106">
        <v>0</v>
      </c>
      <c r="CA35" s="106">
        <v>0</v>
      </c>
      <c r="CB35" s="106">
        <v>0</v>
      </c>
      <c r="CC35" s="106">
        <v>0</v>
      </c>
      <c r="CD35" s="106">
        <v>0</v>
      </c>
      <c r="CE35" s="106">
        <v>0</v>
      </c>
      <c r="CF35" s="106">
        <v>0</v>
      </c>
      <c r="CG35" s="106">
        <v>0</v>
      </c>
      <c r="CH35" s="106">
        <v>0</v>
      </c>
      <c r="CI35" s="106">
        <v>0</v>
      </c>
      <c r="CJ35" s="106">
        <v>0</v>
      </c>
      <c r="CK35" s="106">
        <v>0</v>
      </c>
      <c r="CL35" s="106">
        <v>0</v>
      </c>
      <c r="CM35" s="106">
        <v>0</v>
      </c>
      <c r="CN35" s="106">
        <v>0</v>
      </c>
      <c r="CO35" s="106">
        <v>0</v>
      </c>
      <c r="CP35" s="106">
        <v>0</v>
      </c>
      <c r="CQ35" s="106">
        <v>0</v>
      </c>
      <c r="CR35" s="106">
        <v>0</v>
      </c>
      <c r="CS35" s="106">
        <v>0</v>
      </c>
      <c r="CT35" s="106">
        <v>0</v>
      </c>
      <c r="CU35" s="106">
        <v>0</v>
      </c>
    </row>
    <row r="36" spans="2:99" x14ac:dyDescent="0.2">
      <c r="C36" s="105" t="s">
        <v>201</v>
      </c>
      <c r="D36" s="106">
        <v>0</v>
      </c>
      <c r="E36" s="106">
        <v>0</v>
      </c>
      <c r="F36" s="106">
        <v>0</v>
      </c>
      <c r="G36" s="106">
        <v>0</v>
      </c>
      <c r="H36" s="106">
        <v>0</v>
      </c>
      <c r="I36" s="106">
        <v>0</v>
      </c>
      <c r="J36" s="106">
        <v>0</v>
      </c>
      <c r="K36" s="106">
        <v>0</v>
      </c>
      <c r="L36" s="106">
        <v>0</v>
      </c>
      <c r="M36" s="106">
        <v>0</v>
      </c>
      <c r="N36" s="106">
        <v>0</v>
      </c>
      <c r="O36" s="106">
        <v>0</v>
      </c>
      <c r="P36" s="106">
        <v>0</v>
      </c>
      <c r="Q36" s="106">
        <v>0</v>
      </c>
      <c r="R36" s="106">
        <v>0</v>
      </c>
      <c r="S36" s="106">
        <v>0</v>
      </c>
      <c r="T36" s="106">
        <v>0</v>
      </c>
      <c r="U36" s="106">
        <v>0</v>
      </c>
      <c r="V36" s="106">
        <v>0</v>
      </c>
      <c r="W36" s="106">
        <v>0</v>
      </c>
      <c r="X36" s="106">
        <v>0</v>
      </c>
      <c r="Y36" s="106">
        <v>0</v>
      </c>
      <c r="Z36" s="106">
        <v>0</v>
      </c>
      <c r="AA36" s="106">
        <v>0</v>
      </c>
      <c r="AB36" s="106">
        <v>0</v>
      </c>
      <c r="AC36" s="106">
        <v>0</v>
      </c>
      <c r="AD36" s="106">
        <v>0</v>
      </c>
      <c r="AE36" s="106">
        <v>0</v>
      </c>
      <c r="AF36" s="106">
        <v>0</v>
      </c>
      <c r="AG36" s="106">
        <v>0</v>
      </c>
      <c r="AH36" s="106">
        <v>0</v>
      </c>
      <c r="AI36" s="106">
        <v>0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  <c r="AP36" s="106">
        <v>0</v>
      </c>
      <c r="AQ36" s="106">
        <v>0</v>
      </c>
      <c r="AR36" s="106">
        <v>0</v>
      </c>
      <c r="AS36" s="106">
        <v>0</v>
      </c>
      <c r="AT36" s="106">
        <v>0</v>
      </c>
      <c r="AU36" s="106">
        <v>0</v>
      </c>
      <c r="AV36" s="106">
        <v>0</v>
      </c>
      <c r="AW36" s="106">
        <v>0</v>
      </c>
      <c r="AX36" s="106">
        <v>0</v>
      </c>
      <c r="AY36" s="106">
        <v>0</v>
      </c>
      <c r="AZ36" s="106">
        <v>0</v>
      </c>
      <c r="BA36" s="106">
        <v>0</v>
      </c>
      <c r="BB36" s="106">
        <v>0</v>
      </c>
      <c r="BC36" s="106">
        <v>0</v>
      </c>
      <c r="BD36" s="106">
        <v>0</v>
      </c>
      <c r="BE36" s="106">
        <v>0</v>
      </c>
      <c r="BF36" s="106">
        <v>0</v>
      </c>
      <c r="BG36" s="106">
        <v>0</v>
      </c>
      <c r="BH36" s="106">
        <v>0</v>
      </c>
      <c r="BI36" s="106">
        <v>0</v>
      </c>
      <c r="BJ36" s="106">
        <v>0</v>
      </c>
      <c r="BK36" s="106">
        <v>0</v>
      </c>
      <c r="BL36" s="106">
        <v>0</v>
      </c>
      <c r="BM36" s="106">
        <v>0</v>
      </c>
      <c r="BN36" s="106">
        <v>0</v>
      </c>
      <c r="BO36" s="106">
        <v>0</v>
      </c>
      <c r="BP36" s="106">
        <v>0</v>
      </c>
      <c r="BQ36" s="106">
        <v>0</v>
      </c>
      <c r="BR36" s="106">
        <v>0</v>
      </c>
      <c r="BS36" s="106">
        <v>0</v>
      </c>
      <c r="BT36" s="106">
        <v>0</v>
      </c>
      <c r="BU36" s="106">
        <v>0</v>
      </c>
      <c r="BV36" s="106">
        <v>0</v>
      </c>
      <c r="BW36" s="106">
        <v>0</v>
      </c>
      <c r="BX36" s="106">
        <v>0</v>
      </c>
      <c r="BY36" s="106">
        <v>0</v>
      </c>
      <c r="BZ36" s="106">
        <v>0</v>
      </c>
      <c r="CA36" s="106">
        <v>0</v>
      </c>
      <c r="CB36" s="106">
        <v>0</v>
      </c>
      <c r="CC36" s="106">
        <v>0</v>
      </c>
      <c r="CD36" s="106">
        <v>0</v>
      </c>
      <c r="CE36" s="106">
        <v>0</v>
      </c>
      <c r="CF36" s="106">
        <v>0</v>
      </c>
      <c r="CG36" s="106">
        <v>0</v>
      </c>
      <c r="CH36" s="106">
        <v>0</v>
      </c>
      <c r="CI36" s="106">
        <v>0</v>
      </c>
      <c r="CJ36" s="106">
        <v>0</v>
      </c>
      <c r="CK36" s="106">
        <v>0</v>
      </c>
      <c r="CL36" s="106">
        <v>0</v>
      </c>
      <c r="CM36" s="106">
        <v>0</v>
      </c>
      <c r="CN36" s="106">
        <v>0</v>
      </c>
      <c r="CO36" s="106">
        <v>0</v>
      </c>
      <c r="CP36" s="106">
        <v>0</v>
      </c>
      <c r="CQ36" s="106">
        <v>0</v>
      </c>
      <c r="CR36" s="106">
        <v>0</v>
      </c>
      <c r="CS36" s="106">
        <v>0</v>
      </c>
      <c r="CT36" s="106">
        <v>0</v>
      </c>
      <c r="CU36" s="106">
        <v>0</v>
      </c>
    </row>
    <row r="37" spans="2:99" x14ac:dyDescent="0.2">
      <c r="B37" s="105" t="s">
        <v>128</v>
      </c>
      <c r="C37" s="105" t="s">
        <v>202</v>
      </c>
      <c r="D37" s="106">
        <v>0</v>
      </c>
      <c r="E37" s="106">
        <v>0</v>
      </c>
      <c r="F37" s="106">
        <v>0</v>
      </c>
      <c r="G37" s="106">
        <v>0</v>
      </c>
      <c r="H37" s="106">
        <v>0</v>
      </c>
      <c r="I37" s="106">
        <v>0</v>
      </c>
      <c r="J37" s="106">
        <v>0</v>
      </c>
      <c r="K37" s="106">
        <v>0</v>
      </c>
      <c r="L37" s="106">
        <v>0</v>
      </c>
      <c r="M37" s="106">
        <v>0</v>
      </c>
      <c r="N37" s="106">
        <v>0</v>
      </c>
      <c r="O37" s="106">
        <v>0</v>
      </c>
      <c r="P37" s="106">
        <v>0</v>
      </c>
      <c r="Q37" s="106">
        <v>0</v>
      </c>
      <c r="R37" s="106">
        <v>0</v>
      </c>
      <c r="S37" s="106">
        <v>0</v>
      </c>
      <c r="T37" s="106">
        <v>0</v>
      </c>
      <c r="U37" s="106">
        <v>0</v>
      </c>
      <c r="V37" s="106">
        <v>0</v>
      </c>
      <c r="W37" s="106">
        <v>0</v>
      </c>
      <c r="X37" s="106">
        <v>0</v>
      </c>
      <c r="Y37" s="106">
        <v>0</v>
      </c>
      <c r="Z37" s="106">
        <v>0</v>
      </c>
      <c r="AA37" s="106">
        <v>0</v>
      </c>
      <c r="AB37" s="106">
        <v>0</v>
      </c>
      <c r="AC37" s="106">
        <v>0</v>
      </c>
      <c r="AD37" s="106">
        <v>0</v>
      </c>
      <c r="AE37" s="106">
        <v>0</v>
      </c>
      <c r="AF37" s="106">
        <v>0</v>
      </c>
      <c r="AG37" s="106">
        <v>0</v>
      </c>
      <c r="AH37" s="106">
        <v>0</v>
      </c>
      <c r="AI37" s="106">
        <v>0</v>
      </c>
      <c r="AJ37" s="106">
        <v>0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  <c r="AP37" s="106">
        <v>0</v>
      </c>
      <c r="AQ37" s="106">
        <v>0</v>
      </c>
      <c r="AR37" s="106">
        <v>0</v>
      </c>
      <c r="AS37" s="106">
        <v>0</v>
      </c>
      <c r="AT37" s="106">
        <v>0</v>
      </c>
      <c r="AU37" s="106">
        <v>0</v>
      </c>
      <c r="AV37" s="106">
        <v>0</v>
      </c>
      <c r="AW37" s="106">
        <v>0</v>
      </c>
      <c r="AX37" s="106">
        <v>0</v>
      </c>
      <c r="AY37" s="106">
        <v>0</v>
      </c>
      <c r="AZ37" s="106">
        <v>0</v>
      </c>
      <c r="BA37" s="106">
        <v>0</v>
      </c>
      <c r="BB37" s="106">
        <v>0</v>
      </c>
      <c r="BC37" s="106">
        <v>0</v>
      </c>
      <c r="BD37" s="106">
        <v>0</v>
      </c>
      <c r="BE37" s="106">
        <v>0</v>
      </c>
      <c r="BF37" s="106">
        <v>0</v>
      </c>
      <c r="BG37" s="106">
        <v>0</v>
      </c>
      <c r="BH37" s="106">
        <v>0</v>
      </c>
      <c r="BI37" s="106">
        <v>0</v>
      </c>
      <c r="BJ37" s="106">
        <v>0</v>
      </c>
      <c r="BK37" s="106">
        <v>0</v>
      </c>
      <c r="BL37" s="106">
        <v>0</v>
      </c>
      <c r="BM37" s="106">
        <v>0</v>
      </c>
      <c r="BN37" s="106">
        <v>0</v>
      </c>
      <c r="BO37" s="106">
        <v>0</v>
      </c>
      <c r="BP37" s="106">
        <v>0</v>
      </c>
      <c r="BQ37" s="106">
        <v>0</v>
      </c>
      <c r="BR37" s="106">
        <v>0</v>
      </c>
      <c r="BS37" s="106">
        <v>0</v>
      </c>
      <c r="BT37" s="106">
        <v>0</v>
      </c>
      <c r="BU37" s="106">
        <v>0</v>
      </c>
      <c r="BV37" s="106">
        <v>0</v>
      </c>
      <c r="BW37" s="106">
        <v>0</v>
      </c>
      <c r="BX37" s="106">
        <v>0</v>
      </c>
      <c r="BY37" s="106">
        <v>0</v>
      </c>
      <c r="BZ37" s="106">
        <v>0</v>
      </c>
      <c r="CA37" s="106">
        <v>0</v>
      </c>
      <c r="CB37" s="106">
        <v>0</v>
      </c>
      <c r="CC37" s="106">
        <v>0</v>
      </c>
      <c r="CD37" s="106">
        <v>0</v>
      </c>
      <c r="CE37" s="106">
        <v>0</v>
      </c>
      <c r="CF37" s="106">
        <v>0</v>
      </c>
      <c r="CG37" s="106">
        <v>0</v>
      </c>
      <c r="CH37" s="106">
        <v>0</v>
      </c>
      <c r="CI37" s="106">
        <v>0</v>
      </c>
      <c r="CJ37" s="106">
        <v>0</v>
      </c>
      <c r="CK37" s="106">
        <v>0</v>
      </c>
      <c r="CL37" s="106">
        <v>0</v>
      </c>
      <c r="CM37" s="106">
        <v>0</v>
      </c>
      <c r="CN37" s="106">
        <v>0</v>
      </c>
      <c r="CO37" s="106">
        <v>0</v>
      </c>
      <c r="CP37" s="106">
        <v>0</v>
      </c>
      <c r="CQ37" s="106">
        <v>0</v>
      </c>
      <c r="CR37" s="106">
        <v>0</v>
      </c>
      <c r="CS37" s="106">
        <v>0</v>
      </c>
      <c r="CT37" s="106">
        <v>0</v>
      </c>
      <c r="CU37" s="106">
        <v>0</v>
      </c>
    </row>
    <row r="38" spans="2:99" x14ac:dyDescent="0.2">
      <c r="C38" s="105" t="s">
        <v>203</v>
      </c>
      <c r="D38" s="106">
        <v>0</v>
      </c>
      <c r="E38" s="106">
        <v>0</v>
      </c>
      <c r="F38" s="106">
        <v>0</v>
      </c>
      <c r="G38" s="106">
        <v>0</v>
      </c>
      <c r="H38" s="106">
        <v>0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</v>
      </c>
      <c r="AG38" s="106">
        <v>0</v>
      </c>
      <c r="AH38" s="106">
        <v>0</v>
      </c>
      <c r="AI38" s="106">
        <v>0</v>
      </c>
      <c r="AJ38" s="106">
        <v>0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  <c r="AP38" s="106">
        <v>0</v>
      </c>
      <c r="AQ38" s="106">
        <v>0</v>
      </c>
      <c r="AR38" s="106">
        <v>0</v>
      </c>
      <c r="AS38" s="106">
        <v>0</v>
      </c>
      <c r="AT38" s="106">
        <v>0</v>
      </c>
      <c r="AU38" s="106">
        <v>0</v>
      </c>
      <c r="AV38" s="106">
        <v>0</v>
      </c>
      <c r="AW38" s="106">
        <v>0</v>
      </c>
      <c r="AX38" s="106">
        <v>0</v>
      </c>
      <c r="AY38" s="106">
        <v>0</v>
      </c>
      <c r="AZ38" s="106">
        <v>0</v>
      </c>
      <c r="BA38" s="106">
        <v>0</v>
      </c>
      <c r="BB38" s="106">
        <v>0</v>
      </c>
      <c r="BC38" s="106">
        <v>0</v>
      </c>
      <c r="BD38" s="106">
        <v>0</v>
      </c>
      <c r="BE38" s="106">
        <v>0</v>
      </c>
      <c r="BF38" s="106">
        <v>0</v>
      </c>
      <c r="BG38" s="106">
        <v>0</v>
      </c>
      <c r="BH38" s="106">
        <v>0</v>
      </c>
      <c r="BI38" s="106">
        <v>0</v>
      </c>
      <c r="BJ38" s="106">
        <v>0</v>
      </c>
      <c r="BK38" s="106">
        <v>0</v>
      </c>
      <c r="BL38" s="106">
        <v>0</v>
      </c>
      <c r="BM38" s="106">
        <v>0</v>
      </c>
      <c r="BN38" s="106">
        <v>0</v>
      </c>
      <c r="BO38" s="106">
        <v>0</v>
      </c>
      <c r="BP38" s="106">
        <v>0</v>
      </c>
      <c r="BQ38" s="106">
        <v>0</v>
      </c>
      <c r="BR38" s="106">
        <v>0</v>
      </c>
      <c r="BS38" s="106">
        <v>0</v>
      </c>
      <c r="BT38" s="106">
        <v>0</v>
      </c>
      <c r="BU38" s="106">
        <v>0</v>
      </c>
      <c r="BV38" s="106">
        <v>0</v>
      </c>
      <c r="BW38" s="106">
        <v>0</v>
      </c>
      <c r="BX38" s="106">
        <v>0</v>
      </c>
      <c r="BY38" s="106">
        <v>0</v>
      </c>
      <c r="BZ38" s="106">
        <v>0</v>
      </c>
      <c r="CA38" s="106">
        <v>0</v>
      </c>
      <c r="CB38" s="106">
        <v>0</v>
      </c>
      <c r="CC38" s="106">
        <v>0</v>
      </c>
      <c r="CD38" s="106">
        <v>0</v>
      </c>
      <c r="CE38" s="106">
        <v>0</v>
      </c>
      <c r="CF38" s="106">
        <v>0</v>
      </c>
      <c r="CG38" s="106">
        <v>0</v>
      </c>
      <c r="CH38" s="106">
        <v>0</v>
      </c>
      <c r="CI38" s="106">
        <v>0</v>
      </c>
      <c r="CJ38" s="106">
        <v>0</v>
      </c>
      <c r="CK38" s="106">
        <v>0</v>
      </c>
      <c r="CL38" s="106">
        <v>0</v>
      </c>
      <c r="CM38" s="106">
        <v>0</v>
      </c>
      <c r="CN38" s="106">
        <v>0</v>
      </c>
      <c r="CO38" s="106">
        <v>0</v>
      </c>
      <c r="CP38" s="106">
        <v>0</v>
      </c>
      <c r="CQ38" s="106">
        <v>0</v>
      </c>
      <c r="CR38" s="106">
        <v>0</v>
      </c>
      <c r="CS38" s="106">
        <v>0</v>
      </c>
      <c r="CT38" s="106">
        <v>0</v>
      </c>
      <c r="CU38" s="106">
        <v>0</v>
      </c>
    </row>
    <row r="39" spans="2:99" x14ac:dyDescent="0.2">
      <c r="C39" s="105" t="s">
        <v>204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</v>
      </c>
      <c r="AL39" s="106">
        <v>0</v>
      </c>
      <c r="AM39" s="106">
        <v>0</v>
      </c>
      <c r="AN39" s="106">
        <v>0</v>
      </c>
      <c r="AO39" s="106">
        <v>0</v>
      </c>
      <c r="AP39" s="106">
        <v>0</v>
      </c>
      <c r="AQ39" s="106">
        <v>0</v>
      </c>
      <c r="AR39" s="106">
        <v>0</v>
      </c>
      <c r="AS39" s="106">
        <v>0</v>
      </c>
      <c r="AT39" s="106">
        <v>0</v>
      </c>
      <c r="AU39" s="106">
        <v>0</v>
      </c>
      <c r="AV39" s="106">
        <v>0</v>
      </c>
      <c r="AW39" s="106">
        <v>0</v>
      </c>
      <c r="AX39" s="106">
        <v>0</v>
      </c>
      <c r="AY39" s="106">
        <v>0</v>
      </c>
      <c r="AZ39" s="106">
        <v>0</v>
      </c>
      <c r="BA39" s="106">
        <v>0</v>
      </c>
      <c r="BB39" s="106">
        <v>0</v>
      </c>
      <c r="BC39" s="106">
        <v>0</v>
      </c>
      <c r="BD39" s="106">
        <v>0</v>
      </c>
      <c r="BE39" s="106">
        <v>0</v>
      </c>
      <c r="BF39" s="106">
        <v>0</v>
      </c>
      <c r="BG39" s="106">
        <v>0</v>
      </c>
      <c r="BH39" s="106">
        <v>0</v>
      </c>
      <c r="BI39" s="106">
        <v>0</v>
      </c>
      <c r="BJ39" s="106">
        <v>0</v>
      </c>
      <c r="BK39" s="106">
        <v>0</v>
      </c>
      <c r="BL39" s="106">
        <v>0</v>
      </c>
      <c r="BM39" s="106">
        <v>0</v>
      </c>
      <c r="BN39" s="106">
        <v>0</v>
      </c>
      <c r="BO39" s="106">
        <v>0</v>
      </c>
      <c r="BP39" s="106">
        <v>0</v>
      </c>
      <c r="BQ39" s="106">
        <v>0</v>
      </c>
      <c r="BR39" s="106">
        <v>0</v>
      </c>
      <c r="BS39" s="106">
        <v>0</v>
      </c>
      <c r="BT39" s="106">
        <v>0</v>
      </c>
      <c r="BU39" s="106">
        <v>0</v>
      </c>
      <c r="BV39" s="106">
        <v>0</v>
      </c>
      <c r="BW39" s="106">
        <v>0</v>
      </c>
      <c r="BX39" s="106">
        <v>0</v>
      </c>
      <c r="BY39" s="106">
        <v>0</v>
      </c>
      <c r="BZ39" s="106">
        <v>0</v>
      </c>
      <c r="CA39" s="106">
        <v>0</v>
      </c>
      <c r="CB39" s="106">
        <v>0</v>
      </c>
      <c r="CC39" s="106">
        <v>0</v>
      </c>
      <c r="CD39" s="106">
        <v>0</v>
      </c>
      <c r="CE39" s="106">
        <v>0</v>
      </c>
      <c r="CF39" s="106">
        <v>0</v>
      </c>
      <c r="CG39" s="106">
        <v>0</v>
      </c>
      <c r="CH39" s="106">
        <v>0</v>
      </c>
      <c r="CI39" s="106">
        <v>0</v>
      </c>
      <c r="CJ39" s="106">
        <v>0</v>
      </c>
      <c r="CK39" s="106">
        <v>0</v>
      </c>
      <c r="CL39" s="106">
        <v>0</v>
      </c>
      <c r="CM39" s="106">
        <v>0</v>
      </c>
      <c r="CN39" s="106">
        <v>0</v>
      </c>
      <c r="CO39" s="106">
        <v>0</v>
      </c>
      <c r="CP39" s="106">
        <v>0</v>
      </c>
      <c r="CQ39" s="106">
        <v>0</v>
      </c>
      <c r="CR39" s="106">
        <v>0</v>
      </c>
      <c r="CS39" s="106">
        <v>0</v>
      </c>
      <c r="CT39" s="106">
        <v>0</v>
      </c>
      <c r="CU39" s="106">
        <v>0</v>
      </c>
    </row>
    <row r="40" spans="2:99" x14ac:dyDescent="0.2">
      <c r="C40" s="105" t="s">
        <v>205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F40" s="106">
        <v>0</v>
      </c>
      <c r="BG40" s="106">
        <v>0</v>
      </c>
      <c r="BH40" s="106">
        <v>0</v>
      </c>
      <c r="BI40" s="106">
        <v>0</v>
      </c>
      <c r="BJ40" s="106">
        <v>0</v>
      </c>
      <c r="BK40" s="106">
        <v>0</v>
      </c>
      <c r="BL40" s="106">
        <v>0</v>
      </c>
      <c r="BM40" s="106">
        <v>0</v>
      </c>
      <c r="BN40" s="106">
        <v>0</v>
      </c>
      <c r="BO40" s="106">
        <v>0</v>
      </c>
      <c r="BP40" s="106">
        <v>0</v>
      </c>
      <c r="BQ40" s="106">
        <v>0</v>
      </c>
      <c r="BR40" s="106">
        <v>0</v>
      </c>
      <c r="BS40" s="106">
        <v>0</v>
      </c>
      <c r="BT40" s="106">
        <v>0</v>
      </c>
      <c r="BU40" s="106">
        <v>0</v>
      </c>
      <c r="BV40" s="106">
        <v>0</v>
      </c>
      <c r="BW40" s="106">
        <v>0</v>
      </c>
      <c r="BX40" s="106">
        <v>0</v>
      </c>
      <c r="BY40" s="106">
        <v>0</v>
      </c>
      <c r="BZ40" s="106">
        <v>0</v>
      </c>
      <c r="CA40" s="106">
        <v>0</v>
      </c>
      <c r="CB40" s="106">
        <v>0</v>
      </c>
      <c r="CC40" s="106">
        <v>0</v>
      </c>
      <c r="CD40" s="106">
        <v>0</v>
      </c>
      <c r="CE40" s="106">
        <v>0</v>
      </c>
      <c r="CF40" s="106">
        <v>0</v>
      </c>
      <c r="CG40" s="106">
        <v>0</v>
      </c>
      <c r="CH40" s="106">
        <v>0</v>
      </c>
      <c r="CI40" s="106">
        <v>0</v>
      </c>
      <c r="CJ40" s="106">
        <v>0</v>
      </c>
      <c r="CK40" s="106">
        <v>0</v>
      </c>
      <c r="CL40" s="106">
        <v>0</v>
      </c>
      <c r="CM40" s="106">
        <v>0</v>
      </c>
      <c r="CN40" s="106">
        <v>0</v>
      </c>
      <c r="CO40" s="106">
        <v>0</v>
      </c>
      <c r="CP40" s="106">
        <v>0</v>
      </c>
      <c r="CQ40" s="106">
        <v>0</v>
      </c>
      <c r="CR40" s="106">
        <v>0</v>
      </c>
      <c r="CS40" s="106">
        <v>0</v>
      </c>
      <c r="CT40" s="106">
        <v>0</v>
      </c>
      <c r="CU40" s="106">
        <v>0</v>
      </c>
    </row>
    <row r="41" spans="2:99" x14ac:dyDescent="0.2">
      <c r="C41" s="105" t="s">
        <v>206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  <c r="AP41" s="106">
        <v>0</v>
      </c>
      <c r="AQ41" s="106">
        <v>0</v>
      </c>
      <c r="AR41" s="106">
        <v>0</v>
      </c>
      <c r="AS41" s="106">
        <v>0</v>
      </c>
      <c r="AT41" s="106">
        <v>0</v>
      </c>
      <c r="AU41" s="106">
        <v>0</v>
      </c>
      <c r="AV41" s="106">
        <v>0</v>
      </c>
      <c r="AW41" s="106">
        <v>0</v>
      </c>
      <c r="AX41" s="106">
        <v>0</v>
      </c>
      <c r="AY41" s="106">
        <v>0</v>
      </c>
      <c r="AZ41" s="106">
        <v>0</v>
      </c>
      <c r="BA41" s="106">
        <v>0</v>
      </c>
      <c r="BB41" s="106">
        <v>0</v>
      </c>
      <c r="BC41" s="106">
        <v>0</v>
      </c>
      <c r="BD41" s="106">
        <v>0</v>
      </c>
      <c r="BE41" s="106">
        <v>0</v>
      </c>
      <c r="BF41" s="106">
        <v>0</v>
      </c>
      <c r="BG41" s="106">
        <v>0</v>
      </c>
      <c r="BH41" s="106">
        <v>0</v>
      </c>
      <c r="BI41" s="106">
        <v>0</v>
      </c>
      <c r="BJ41" s="106">
        <v>0</v>
      </c>
      <c r="BK41" s="106">
        <v>0</v>
      </c>
      <c r="BL41" s="106">
        <v>0</v>
      </c>
      <c r="BM41" s="106">
        <v>0</v>
      </c>
      <c r="BN41" s="106">
        <v>0</v>
      </c>
      <c r="BO41" s="106">
        <v>0</v>
      </c>
      <c r="BP41" s="106">
        <v>0</v>
      </c>
      <c r="BQ41" s="106">
        <v>0</v>
      </c>
      <c r="BR41" s="106">
        <v>0</v>
      </c>
      <c r="BS41" s="106">
        <v>0</v>
      </c>
      <c r="BT41" s="106">
        <v>0</v>
      </c>
      <c r="BU41" s="106">
        <v>0</v>
      </c>
      <c r="BV41" s="106">
        <v>0</v>
      </c>
      <c r="BW41" s="106">
        <v>0</v>
      </c>
      <c r="BX41" s="106">
        <v>0</v>
      </c>
      <c r="BY41" s="106">
        <v>0</v>
      </c>
      <c r="BZ41" s="106">
        <v>0</v>
      </c>
      <c r="CA41" s="106">
        <v>0</v>
      </c>
      <c r="CB41" s="106">
        <v>0</v>
      </c>
      <c r="CC41" s="106">
        <v>0</v>
      </c>
      <c r="CD41" s="106">
        <v>0</v>
      </c>
      <c r="CE41" s="106">
        <v>0</v>
      </c>
      <c r="CF41" s="106">
        <v>0</v>
      </c>
      <c r="CG41" s="106">
        <v>0</v>
      </c>
      <c r="CH41" s="106">
        <v>0</v>
      </c>
      <c r="CI41" s="106">
        <v>0</v>
      </c>
      <c r="CJ41" s="106">
        <v>0</v>
      </c>
      <c r="CK41" s="106">
        <v>0</v>
      </c>
      <c r="CL41" s="106">
        <v>0</v>
      </c>
      <c r="CM41" s="106">
        <v>0</v>
      </c>
      <c r="CN41" s="106">
        <v>0</v>
      </c>
      <c r="CO41" s="106">
        <v>0</v>
      </c>
      <c r="CP41" s="106">
        <v>0</v>
      </c>
      <c r="CQ41" s="106">
        <v>0</v>
      </c>
      <c r="CR41" s="106">
        <v>0</v>
      </c>
      <c r="CS41" s="106">
        <v>0</v>
      </c>
      <c r="CT41" s="106">
        <v>0</v>
      </c>
      <c r="CU41" s="106">
        <v>0</v>
      </c>
    </row>
    <row r="42" spans="2:99" x14ac:dyDescent="0.2">
      <c r="C42" s="105" t="s">
        <v>207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  <c r="AP42" s="106">
        <v>0</v>
      </c>
      <c r="AQ42" s="106">
        <v>0</v>
      </c>
      <c r="AR42" s="106">
        <v>0</v>
      </c>
      <c r="AS42" s="106">
        <v>0</v>
      </c>
      <c r="AT42" s="106">
        <v>0</v>
      </c>
      <c r="AU42" s="106">
        <v>0</v>
      </c>
      <c r="AV42" s="106">
        <v>0</v>
      </c>
      <c r="AW42" s="106">
        <v>0</v>
      </c>
      <c r="AX42" s="106">
        <v>0</v>
      </c>
      <c r="AY42" s="106">
        <v>0</v>
      </c>
      <c r="AZ42" s="106">
        <v>0</v>
      </c>
      <c r="BA42" s="106">
        <v>0</v>
      </c>
      <c r="BB42" s="106">
        <v>0</v>
      </c>
      <c r="BC42" s="106">
        <v>0</v>
      </c>
      <c r="BD42" s="106">
        <v>0</v>
      </c>
      <c r="BE42" s="106">
        <v>0</v>
      </c>
      <c r="BF42" s="106">
        <v>0</v>
      </c>
      <c r="BG42" s="106">
        <v>0</v>
      </c>
      <c r="BH42" s="106">
        <v>0</v>
      </c>
      <c r="BI42" s="106">
        <v>0</v>
      </c>
      <c r="BJ42" s="106">
        <v>0</v>
      </c>
      <c r="BK42" s="106">
        <v>0</v>
      </c>
      <c r="BL42" s="106">
        <v>0</v>
      </c>
      <c r="BM42" s="106">
        <v>0</v>
      </c>
      <c r="BN42" s="106">
        <v>0</v>
      </c>
      <c r="BO42" s="106">
        <v>0</v>
      </c>
      <c r="BP42" s="106">
        <v>0</v>
      </c>
      <c r="BQ42" s="106">
        <v>0</v>
      </c>
      <c r="BR42" s="106">
        <v>0</v>
      </c>
      <c r="BS42" s="106">
        <v>0</v>
      </c>
      <c r="BT42" s="106">
        <v>0</v>
      </c>
      <c r="BU42" s="106">
        <v>0</v>
      </c>
      <c r="BV42" s="106">
        <v>0</v>
      </c>
      <c r="BW42" s="106">
        <v>0</v>
      </c>
      <c r="BX42" s="106">
        <v>0</v>
      </c>
      <c r="BY42" s="106">
        <v>0</v>
      </c>
      <c r="BZ42" s="106">
        <v>0</v>
      </c>
      <c r="CA42" s="106">
        <v>0</v>
      </c>
      <c r="CB42" s="106">
        <v>0</v>
      </c>
      <c r="CC42" s="106">
        <v>0</v>
      </c>
      <c r="CD42" s="106">
        <v>0</v>
      </c>
      <c r="CE42" s="106">
        <v>0</v>
      </c>
      <c r="CF42" s="106">
        <v>0</v>
      </c>
      <c r="CG42" s="106">
        <v>0</v>
      </c>
      <c r="CH42" s="106">
        <v>0</v>
      </c>
      <c r="CI42" s="106">
        <v>0</v>
      </c>
      <c r="CJ42" s="106">
        <v>0</v>
      </c>
      <c r="CK42" s="106">
        <v>0</v>
      </c>
      <c r="CL42" s="106">
        <v>0</v>
      </c>
      <c r="CM42" s="106">
        <v>0</v>
      </c>
      <c r="CN42" s="106">
        <v>0</v>
      </c>
      <c r="CO42" s="106">
        <v>0</v>
      </c>
      <c r="CP42" s="106">
        <v>0</v>
      </c>
      <c r="CQ42" s="106">
        <v>0</v>
      </c>
      <c r="CR42" s="106">
        <v>0</v>
      </c>
      <c r="CS42" s="106">
        <v>0</v>
      </c>
      <c r="CT42" s="106">
        <v>0</v>
      </c>
      <c r="CU42" s="106">
        <v>0</v>
      </c>
    </row>
    <row r="43" spans="2:99" x14ac:dyDescent="0.2">
      <c r="C43" s="105" t="s">
        <v>208</v>
      </c>
      <c r="D43" s="106">
        <v>0</v>
      </c>
      <c r="E43" s="106">
        <v>0</v>
      </c>
      <c r="F43" s="106">
        <v>0</v>
      </c>
      <c r="G43" s="106">
        <v>0</v>
      </c>
      <c r="H43" s="106">
        <v>0</v>
      </c>
      <c r="I43" s="106">
        <v>0</v>
      </c>
      <c r="J43" s="106">
        <v>0</v>
      </c>
      <c r="K43" s="106">
        <v>0</v>
      </c>
      <c r="L43" s="106">
        <v>0</v>
      </c>
      <c r="M43" s="106">
        <v>0</v>
      </c>
      <c r="N43" s="106">
        <v>0</v>
      </c>
      <c r="O43" s="106">
        <v>0</v>
      </c>
      <c r="P43" s="106">
        <v>0</v>
      </c>
      <c r="Q43" s="106">
        <v>0</v>
      </c>
      <c r="R43" s="106">
        <v>0</v>
      </c>
      <c r="S43" s="106">
        <v>0</v>
      </c>
      <c r="T43" s="106">
        <v>0</v>
      </c>
      <c r="U43" s="106">
        <v>0</v>
      </c>
      <c r="V43" s="106">
        <v>0</v>
      </c>
      <c r="W43" s="106">
        <v>0</v>
      </c>
      <c r="X43" s="106">
        <v>0</v>
      </c>
      <c r="Y43" s="106">
        <v>0</v>
      </c>
      <c r="Z43" s="106">
        <v>0</v>
      </c>
      <c r="AA43" s="106">
        <v>0</v>
      </c>
      <c r="AB43" s="106">
        <v>0</v>
      </c>
      <c r="AC43" s="106">
        <v>0</v>
      </c>
      <c r="AD43" s="106">
        <v>0</v>
      </c>
      <c r="AE43" s="106">
        <v>0</v>
      </c>
      <c r="AF43" s="106">
        <v>0</v>
      </c>
      <c r="AG43" s="106">
        <v>0</v>
      </c>
      <c r="AH43" s="106">
        <v>0</v>
      </c>
      <c r="AI43" s="106">
        <v>0</v>
      </c>
      <c r="AJ43" s="106">
        <v>0</v>
      </c>
      <c r="AK43" s="106">
        <v>0</v>
      </c>
      <c r="AL43" s="106">
        <v>0</v>
      </c>
      <c r="AM43" s="106">
        <v>0</v>
      </c>
      <c r="AN43" s="106">
        <v>0</v>
      </c>
      <c r="AO43" s="106">
        <v>0</v>
      </c>
      <c r="AP43" s="106">
        <v>0</v>
      </c>
      <c r="AQ43" s="106">
        <v>0</v>
      </c>
      <c r="AR43" s="106">
        <v>0</v>
      </c>
      <c r="AS43" s="106">
        <v>0</v>
      </c>
      <c r="AT43" s="106">
        <v>0</v>
      </c>
      <c r="AU43" s="106">
        <v>0</v>
      </c>
      <c r="AV43" s="106">
        <v>0</v>
      </c>
      <c r="AW43" s="106">
        <v>0</v>
      </c>
      <c r="AX43" s="106">
        <v>0</v>
      </c>
      <c r="AY43" s="106">
        <v>0</v>
      </c>
      <c r="AZ43" s="106">
        <v>0</v>
      </c>
      <c r="BA43" s="106">
        <v>0</v>
      </c>
      <c r="BB43" s="106">
        <v>0</v>
      </c>
      <c r="BC43" s="106">
        <v>0</v>
      </c>
      <c r="BD43" s="106">
        <v>0</v>
      </c>
      <c r="BE43" s="106">
        <v>0</v>
      </c>
      <c r="BF43" s="106">
        <v>0</v>
      </c>
      <c r="BG43" s="106">
        <v>0</v>
      </c>
      <c r="BH43" s="106">
        <v>0</v>
      </c>
      <c r="BI43" s="106">
        <v>0</v>
      </c>
      <c r="BJ43" s="106">
        <v>0</v>
      </c>
      <c r="BK43" s="106">
        <v>0</v>
      </c>
      <c r="BL43" s="106">
        <v>0</v>
      </c>
      <c r="BM43" s="106">
        <v>0</v>
      </c>
      <c r="BN43" s="106">
        <v>0</v>
      </c>
      <c r="BO43" s="106">
        <v>0</v>
      </c>
      <c r="BP43" s="106">
        <v>0</v>
      </c>
      <c r="BQ43" s="106">
        <v>0</v>
      </c>
      <c r="BR43" s="106">
        <v>0</v>
      </c>
      <c r="BS43" s="106">
        <v>0</v>
      </c>
      <c r="BT43" s="106">
        <v>0</v>
      </c>
      <c r="BU43" s="106">
        <v>0</v>
      </c>
      <c r="BV43" s="106">
        <v>0</v>
      </c>
      <c r="BW43" s="106">
        <v>0</v>
      </c>
      <c r="BX43" s="106">
        <v>0</v>
      </c>
      <c r="BY43" s="106">
        <v>0</v>
      </c>
      <c r="BZ43" s="106">
        <v>0</v>
      </c>
      <c r="CA43" s="106">
        <v>0</v>
      </c>
      <c r="CB43" s="106">
        <v>0</v>
      </c>
      <c r="CC43" s="106">
        <v>0</v>
      </c>
      <c r="CD43" s="106">
        <v>0</v>
      </c>
      <c r="CE43" s="106">
        <v>0</v>
      </c>
      <c r="CF43" s="106">
        <v>0</v>
      </c>
      <c r="CG43" s="106">
        <v>0</v>
      </c>
      <c r="CH43" s="106">
        <v>0</v>
      </c>
      <c r="CI43" s="106">
        <v>0</v>
      </c>
      <c r="CJ43" s="106">
        <v>0</v>
      </c>
      <c r="CK43" s="106">
        <v>0</v>
      </c>
      <c r="CL43" s="106">
        <v>0</v>
      </c>
      <c r="CM43" s="106">
        <v>0</v>
      </c>
      <c r="CN43" s="106">
        <v>0</v>
      </c>
      <c r="CO43" s="106">
        <v>0</v>
      </c>
      <c r="CP43" s="106">
        <v>0</v>
      </c>
      <c r="CQ43" s="106">
        <v>0</v>
      </c>
      <c r="CR43" s="106">
        <v>0</v>
      </c>
      <c r="CS43" s="106">
        <v>0</v>
      </c>
      <c r="CT43" s="106">
        <v>0</v>
      </c>
      <c r="CU43" s="106">
        <v>0</v>
      </c>
    </row>
    <row r="44" spans="2:99" x14ac:dyDescent="0.2">
      <c r="C44" s="105" t="s">
        <v>209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  <c r="AZ44" s="106">
        <v>0</v>
      </c>
      <c r="BA44" s="106">
        <v>0</v>
      </c>
      <c r="BB44" s="106">
        <v>0</v>
      </c>
      <c r="BC44" s="106">
        <v>0</v>
      </c>
      <c r="BD44" s="106">
        <v>0</v>
      </c>
      <c r="BE44" s="106">
        <v>0</v>
      </c>
      <c r="BF44" s="106">
        <v>0</v>
      </c>
      <c r="BG44" s="106">
        <v>0</v>
      </c>
      <c r="BH44" s="106">
        <v>0</v>
      </c>
      <c r="BI44" s="106">
        <v>0</v>
      </c>
      <c r="BJ44" s="106">
        <v>0</v>
      </c>
      <c r="BK44" s="106">
        <v>0</v>
      </c>
      <c r="BL44" s="106">
        <v>0</v>
      </c>
      <c r="BM44" s="106">
        <v>0</v>
      </c>
      <c r="BN44" s="106">
        <v>0</v>
      </c>
      <c r="BO44" s="106">
        <v>0</v>
      </c>
      <c r="BP44" s="106">
        <v>0</v>
      </c>
      <c r="BQ44" s="106">
        <v>0</v>
      </c>
      <c r="BR44" s="106">
        <v>0</v>
      </c>
      <c r="BS44" s="106">
        <v>0</v>
      </c>
      <c r="BT44" s="106">
        <v>0</v>
      </c>
      <c r="BU44" s="106">
        <v>0</v>
      </c>
      <c r="BV44" s="106">
        <v>0</v>
      </c>
      <c r="BW44" s="106">
        <v>0</v>
      </c>
      <c r="BX44" s="106">
        <v>0</v>
      </c>
      <c r="BY44" s="106">
        <v>0</v>
      </c>
      <c r="BZ44" s="106">
        <v>0</v>
      </c>
      <c r="CA44" s="106">
        <v>0</v>
      </c>
      <c r="CB44" s="106">
        <v>0</v>
      </c>
      <c r="CC44" s="106">
        <v>0</v>
      </c>
      <c r="CD44" s="106">
        <v>0</v>
      </c>
      <c r="CE44" s="106">
        <v>0</v>
      </c>
      <c r="CF44" s="106">
        <v>0</v>
      </c>
      <c r="CG44" s="106">
        <v>0</v>
      </c>
      <c r="CH44" s="106">
        <v>0</v>
      </c>
      <c r="CI44" s="106">
        <v>0</v>
      </c>
      <c r="CJ44" s="106">
        <v>0</v>
      </c>
      <c r="CK44" s="106">
        <v>0</v>
      </c>
      <c r="CL44" s="106">
        <v>0</v>
      </c>
      <c r="CM44" s="106">
        <v>0</v>
      </c>
      <c r="CN44" s="106">
        <v>0</v>
      </c>
      <c r="CO44" s="106">
        <v>0</v>
      </c>
      <c r="CP44" s="106">
        <v>0</v>
      </c>
      <c r="CQ44" s="106">
        <v>0</v>
      </c>
      <c r="CR44" s="106">
        <v>0</v>
      </c>
      <c r="CS44" s="106">
        <v>0</v>
      </c>
      <c r="CT44" s="106">
        <v>0</v>
      </c>
      <c r="CU44" s="106">
        <v>0</v>
      </c>
    </row>
    <row r="45" spans="2:99" x14ac:dyDescent="0.2">
      <c r="C45" s="105" t="s">
        <v>210</v>
      </c>
      <c r="D45" s="106">
        <v>0</v>
      </c>
      <c r="E45" s="106">
        <v>0</v>
      </c>
      <c r="F45" s="106">
        <v>0</v>
      </c>
      <c r="G45" s="106">
        <v>0</v>
      </c>
      <c r="H45" s="106">
        <v>0</v>
      </c>
      <c r="I45" s="106">
        <v>0</v>
      </c>
      <c r="J45" s="106">
        <v>0</v>
      </c>
      <c r="K45" s="106">
        <v>0</v>
      </c>
      <c r="L45" s="106">
        <v>0</v>
      </c>
      <c r="M45" s="106">
        <v>0</v>
      </c>
      <c r="N45" s="106">
        <v>0</v>
      </c>
      <c r="O45" s="106">
        <v>0</v>
      </c>
      <c r="P45" s="106">
        <v>0</v>
      </c>
      <c r="Q45" s="106">
        <v>0</v>
      </c>
      <c r="R45" s="106">
        <v>0</v>
      </c>
      <c r="S45" s="106">
        <v>0</v>
      </c>
      <c r="T45" s="106">
        <v>0</v>
      </c>
      <c r="U45" s="106">
        <v>0</v>
      </c>
      <c r="V45" s="106">
        <v>0</v>
      </c>
      <c r="W45" s="106">
        <v>0</v>
      </c>
      <c r="X45" s="106">
        <v>0</v>
      </c>
      <c r="Y45" s="106">
        <v>0</v>
      </c>
      <c r="Z45" s="106">
        <v>0</v>
      </c>
      <c r="AA45" s="106">
        <v>0</v>
      </c>
      <c r="AB45" s="106">
        <v>0</v>
      </c>
      <c r="AC45" s="106">
        <v>0</v>
      </c>
      <c r="AD45" s="106">
        <v>0</v>
      </c>
      <c r="AE45" s="106">
        <v>0</v>
      </c>
      <c r="AF45" s="106">
        <v>0</v>
      </c>
      <c r="AG45" s="106">
        <v>0</v>
      </c>
      <c r="AH45" s="106">
        <v>0</v>
      </c>
      <c r="AI45" s="106">
        <v>0</v>
      </c>
      <c r="AJ45" s="106">
        <v>0</v>
      </c>
      <c r="AK45" s="106">
        <v>0</v>
      </c>
      <c r="AL45" s="106">
        <v>0</v>
      </c>
      <c r="AM45" s="106">
        <v>0</v>
      </c>
      <c r="AN45" s="106">
        <v>0</v>
      </c>
      <c r="AO45" s="106">
        <v>0</v>
      </c>
      <c r="AP45" s="106">
        <v>0</v>
      </c>
      <c r="AQ45" s="106">
        <v>0</v>
      </c>
      <c r="AR45" s="106">
        <v>0</v>
      </c>
      <c r="AS45" s="106">
        <v>0</v>
      </c>
      <c r="AT45" s="106">
        <v>0</v>
      </c>
      <c r="AU45" s="106">
        <v>0</v>
      </c>
      <c r="AV45" s="106">
        <v>0</v>
      </c>
      <c r="AW45" s="106">
        <v>0</v>
      </c>
      <c r="AX45" s="106">
        <v>0</v>
      </c>
      <c r="AY45" s="106">
        <v>0</v>
      </c>
      <c r="AZ45" s="106">
        <v>0</v>
      </c>
      <c r="BA45" s="106">
        <v>0</v>
      </c>
      <c r="BB45" s="106">
        <v>0</v>
      </c>
      <c r="BC45" s="106">
        <v>0</v>
      </c>
      <c r="BD45" s="106">
        <v>0</v>
      </c>
      <c r="BE45" s="106">
        <v>0</v>
      </c>
      <c r="BF45" s="106">
        <v>0</v>
      </c>
      <c r="BG45" s="106">
        <v>0</v>
      </c>
      <c r="BH45" s="106">
        <v>0</v>
      </c>
      <c r="BI45" s="106">
        <v>0</v>
      </c>
      <c r="BJ45" s="106">
        <v>0</v>
      </c>
      <c r="BK45" s="106">
        <v>0</v>
      </c>
      <c r="BL45" s="106">
        <v>0</v>
      </c>
      <c r="BM45" s="106">
        <v>0</v>
      </c>
      <c r="BN45" s="106">
        <v>0</v>
      </c>
      <c r="BO45" s="106">
        <v>0</v>
      </c>
      <c r="BP45" s="106">
        <v>0</v>
      </c>
      <c r="BQ45" s="106">
        <v>0</v>
      </c>
      <c r="BR45" s="106">
        <v>0</v>
      </c>
      <c r="BS45" s="106">
        <v>0</v>
      </c>
      <c r="BT45" s="106">
        <v>0</v>
      </c>
      <c r="BU45" s="106">
        <v>0</v>
      </c>
      <c r="BV45" s="106">
        <v>0</v>
      </c>
      <c r="BW45" s="106">
        <v>0</v>
      </c>
      <c r="BX45" s="106">
        <v>0</v>
      </c>
      <c r="BY45" s="106">
        <v>0</v>
      </c>
      <c r="BZ45" s="106">
        <v>0</v>
      </c>
      <c r="CA45" s="106">
        <v>0</v>
      </c>
      <c r="CB45" s="106">
        <v>0</v>
      </c>
      <c r="CC45" s="106">
        <v>0</v>
      </c>
      <c r="CD45" s="106">
        <v>0</v>
      </c>
      <c r="CE45" s="106">
        <v>0</v>
      </c>
      <c r="CF45" s="106">
        <v>0</v>
      </c>
      <c r="CG45" s="106">
        <v>0</v>
      </c>
      <c r="CH45" s="106">
        <v>0</v>
      </c>
      <c r="CI45" s="106">
        <v>0</v>
      </c>
      <c r="CJ45" s="106">
        <v>0</v>
      </c>
      <c r="CK45" s="106">
        <v>0</v>
      </c>
      <c r="CL45" s="106">
        <v>0</v>
      </c>
      <c r="CM45" s="106">
        <v>0</v>
      </c>
      <c r="CN45" s="106">
        <v>0</v>
      </c>
      <c r="CO45" s="106">
        <v>0</v>
      </c>
      <c r="CP45" s="106">
        <v>0</v>
      </c>
      <c r="CQ45" s="106">
        <v>0</v>
      </c>
      <c r="CR45" s="106">
        <v>0</v>
      </c>
      <c r="CS45" s="106">
        <v>0</v>
      </c>
      <c r="CT45" s="106">
        <v>0</v>
      </c>
      <c r="CU45" s="106">
        <v>0</v>
      </c>
    </row>
    <row r="46" spans="2:99" x14ac:dyDescent="0.2">
      <c r="C46" s="105" t="s">
        <v>211</v>
      </c>
      <c r="D46" s="106">
        <v>0</v>
      </c>
      <c r="E46" s="106">
        <v>0</v>
      </c>
      <c r="F46" s="106">
        <v>0</v>
      </c>
      <c r="G46" s="106">
        <v>0</v>
      </c>
      <c r="H46" s="106">
        <v>0</v>
      </c>
      <c r="I46" s="106">
        <v>0</v>
      </c>
      <c r="J46" s="106">
        <v>0</v>
      </c>
      <c r="K46" s="106">
        <v>0</v>
      </c>
      <c r="L46" s="106">
        <v>0</v>
      </c>
      <c r="M46" s="106">
        <v>0</v>
      </c>
      <c r="N46" s="106">
        <v>0</v>
      </c>
      <c r="O46" s="106">
        <v>0</v>
      </c>
      <c r="P46" s="106">
        <v>0</v>
      </c>
      <c r="Q46" s="106">
        <v>0</v>
      </c>
      <c r="R46" s="106">
        <v>0</v>
      </c>
      <c r="S46" s="106">
        <v>0</v>
      </c>
      <c r="T46" s="106">
        <v>0</v>
      </c>
      <c r="U46" s="106">
        <v>0</v>
      </c>
      <c r="V46" s="106">
        <v>0</v>
      </c>
      <c r="W46" s="106">
        <v>0</v>
      </c>
      <c r="X46" s="106">
        <v>0</v>
      </c>
      <c r="Y46" s="106">
        <v>0</v>
      </c>
      <c r="Z46" s="106">
        <v>0</v>
      </c>
      <c r="AA46" s="106">
        <v>0</v>
      </c>
      <c r="AB46" s="106">
        <v>0</v>
      </c>
      <c r="AC46" s="106">
        <v>0</v>
      </c>
      <c r="AD46" s="106">
        <v>0</v>
      </c>
      <c r="AE46" s="106">
        <v>0</v>
      </c>
      <c r="AF46" s="106">
        <v>0</v>
      </c>
      <c r="AG46" s="106">
        <v>0</v>
      </c>
      <c r="AH46" s="106">
        <v>0</v>
      </c>
      <c r="AI46" s="106">
        <v>0</v>
      </c>
      <c r="AJ46" s="106">
        <v>0</v>
      </c>
      <c r="AK46" s="106">
        <v>0</v>
      </c>
      <c r="AL46" s="106">
        <v>0</v>
      </c>
      <c r="AM46" s="106">
        <v>0</v>
      </c>
      <c r="AN46" s="106">
        <v>0</v>
      </c>
      <c r="AO46" s="106">
        <v>0</v>
      </c>
      <c r="AP46" s="106">
        <v>0</v>
      </c>
      <c r="AQ46" s="106">
        <v>0</v>
      </c>
      <c r="AR46" s="106">
        <v>0</v>
      </c>
      <c r="AS46" s="106">
        <v>0</v>
      </c>
      <c r="AT46" s="106">
        <v>0</v>
      </c>
      <c r="AU46" s="106">
        <v>0</v>
      </c>
      <c r="AV46" s="106">
        <v>0</v>
      </c>
      <c r="AW46" s="106">
        <v>0</v>
      </c>
      <c r="AX46" s="106">
        <v>0</v>
      </c>
      <c r="AY46" s="106">
        <v>0</v>
      </c>
      <c r="AZ46" s="106">
        <v>0</v>
      </c>
      <c r="BA46" s="106">
        <v>0</v>
      </c>
      <c r="BB46" s="106">
        <v>0</v>
      </c>
      <c r="BC46" s="106">
        <v>0</v>
      </c>
      <c r="BD46" s="106">
        <v>0</v>
      </c>
      <c r="BE46" s="106">
        <v>0</v>
      </c>
      <c r="BF46" s="106">
        <v>0</v>
      </c>
      <c r="BG46" s="106">
        <v>0</v>
      </c>
      <c r="BH46" s="106">
        <v>0</v>
      </c>
      <c r="BI46" s="106">
        <v>0</v>
      </c>
      <c r="BJ46" s="106">
        <v>0</v>
      </c>
      <c r="BK46" s="106">
        <v>0</v>
      </c>
      <c r="BL46" s="106">
        <v>0</v>
      </c>
      <c r="BM46" s="106">
        <v>0</v>
      </c>
      <c r="BN46" s="106">
        <v>0</v>
      </c>
      <c r="BO46" s="106">
        <v>0</v>
      </c>
      <c r="BP46" s="106">
        <v>0</v>
      </c>
      <c r="BQ46" s="106">
        <v>0</v>
      </c>
      <c r="BR46" s="106">
        <v>0</v>
      </c>
      <c r="BS46" s="106">
        <v>0</v>
      </c>
      <c r="BT46" s="106">
        <v>0</v>
      </c>
      <c r="BU46" s="106">
        <v>0</v>
      </c>
      <c r="BV46" s="106">
        <v>0</v>
      </c>
      <c r="BW46" s="106">
        <v>0</v>
      </c>
      <c r="BX46" s="106">
        <v>0</v>
      </c>
      <c r="BY46" s="106">
        <v>0</v>
      </c>
      <c r="BZ46" s="106">
        <v>0</v>
      </c>
      <c r="CA46" s="106">
        <v>0</v>
      </c>
      <c r="CB46" s="106">
        <v>0</v>
      </c>
      <c r="CC46" s="106">
        <v>0</v>
      </c>
      <c r="CD46" s="106">
        <v>0</v>
      </c>
      <c r="CE46" s="106">
        <v>0</v>
      </c>
      <c r="CF46" s="106">
        <v>0</v>
      </c>
      <c r="CG46" s="106">
        <v>0</v>
      </c>
      <c r="CH46" s="106">
        <v>0</v>
      </c>
      <c r="CI46" s="106">
        <v>0</v>
      </c>
      <c r="CJ46" s="106">
        <v>0</v>
      </c>
      <c r="CK46" s="106">
        <v>0</v>
      </c>
      <c r="CL46" s="106">
        <v>0</v>
      </c>
      <c r="CM46" s="106">
        <v>0</v>
      </c>
      <c r="CN46" s="106">
        <v>0</v>
      </c>
      <c r="CO46" s="106">
        <v>0</v>
      </c>
      <c r="CP46" s="106">
        <v>0</v>
      </c>
      <c r="CQ46" s="106">
        <v>0</v>
      </c>
      <c r="CR46" s="106">
        <v>0</v>
      </c>
      <c r="CS46" s="106">
        <v>0</v>
      </c>
      <c r="CT46" s="106">
        <v>0</v>
      </c>
      <c r="CU46" s="106">
        <v>0</v>
      </c>
    </row>
    <row r="47" spans="2:99" x14ac:dyDescent="0.2">
      <c r="C47" s="105" t="s">
        <v>212</v>
      </c>
      <c r="D47" s="106">
        <v>0</v>
      </c>
      <c r="E47" s="106">
        <v>0</v>
      </c>
      <c r="F47" s="106">
        <v>0</v>
      </c>
      <c r="G47" s="106">
        <v>0</v>
      </c>
      <c r="H47" s="106">
        <v>0</v>
      </c>
      <c r="I47" s="106">
        <v>0</v>
      </c>
      <c r="J47" s="106">
        <v>0</v>
      </c>
      <c r="K47" s="106">
        <v>0</v>
      </c>
      <c r="L47" s="106">
        <v>0</v>
      </c>
      <c r="M47" s="106">
        <v>0</v>
      </c>
      <c r="N47" s="106">
        <v>0</v>
      </c>
      <c r="O47" s="106">
        <v>0</v>
      </c>
      <c r="P47" s="106">
        <v>0</v>
      </c>
      <c r="Q47" s="106">
        <v>0</v>
      </c>
      <c r="R47" s="106">
        <v>0</v>
      </c>
      <c r="S47" s="106">
        <v>0</v>
      </c>
      <c r="T47" s="106">
        <v>0</v>
      </c>
      <c r="U47" s="106">
        <v>0</v>
      </c>
      <c r="V47" s="106">
        <v>0</v>
      </c>
      <c r="W47" s="106">
        <v>0</v>
      </c>
      <c r="X47" s="106">
        <v>0</v>
      </c>
      <c r="Y47" s="106">
        <v>0</v>
      </c>
      <c r="Z47" s="106">
        <v>0</v>
      </c>
      <c r="AA47" s="106">
        <v>0</v>
      </c>
      <c r="AB47" s="106">
        <v>0</v>
      </c>
      <c r="AC47" s="106">
        <v>0</v>
      </c>
      <c r="AD47" s="106">
        <v>0</v>
      </c>
      <c r="AE47" s="106">
        <v>0</v>
      </c>
      <c r="AF47" s="106">
        <v>0</v>
      </c>
      <c r="AG47" s="106">
        <v>0</v>
      </c>
      <c r="AH47" s="106">
        <v>0</v>
      </c>
      <c r="AI47" s="106">
        <v>0</v>
      </c>
      <c r="AJ47" s="106">
        <v>0</v>
      </c>
      <c r="AK47" s="106">
        <v>0</v>
      </c>
      <c r="AL47" s="106">
        <v>0</v>
      </c>
      <c r="AM47" s="106">
        <v>0</v>
      </c>
      <c r="AN47" s="106">
        <v>0</v>
      </c>
      <c r="AO47" s="106">
        <v>0</v>
      </c>
      <c r="AP47" s="106">
        <v>0</v>
      </c>
      <c r="AQ47" s="106">
        <v>0</v>
      </c>
      <c r="AR47" s="106">
        <v>0</v>
      </c>
      <c r="AS47" s="106">
        <v>0</v>
      </c>
      <c r="AT47" s="106">
        <v>0</v>
      </c>
      <c r="AU47" s="106">
        <v>0</v>
      </c>
      <c r="AV47" s="106">
        <v>0</v>
      </c>
      <c r="AW47" s="106">
        <v>0</v>
      </c>
      <c r="AX47" s="106">
        <v>0</v>
      </c>
      <c r="AY47" s="106">
        <v>0</v>
      </c>
      <c r="AZ47" s="106">
        <v>0</v>
      </c>
      <c r="BA47" s="106">
        <v>0</v>
      </c>
      <c r="BB47" s="106">
        <v>0</v>
      </c>
      <c r="BC47" s="106">
        <v>0</v>
      </c>
      <c r="BD47" s="106">
        <v>0</v>
      </c>
      <c r="BE47" s="106">
        <v>0</v>
      </c>
      <c r="BF47" s="106">
        <v>0</v>
      </c>
      <c r="BG47" s="106">
        <v>0</v>
      </c>
      <c r="BH47" s="106">
        <v>0</v>
      </c>
      <c r="BI47" s="106">
        <v>0</v>
      </c>
      <c r="BJ47" s="106">
        <v>0</v>
      </c>
      <c r="BK47" s="106">
        <v>0</v>
      </c>
      <c r="BL47" s="106">
        <v>0</v>
      </c>
      <c r="BM47" s="106">
        <v>0</v>
      </c>
      <c r="BN47" s="106">
        <v>0</v>
      </c>
      <c r="BO47" s="106">
        <v>0</v>
      </c>
      <c r="BP47" s="106">
        <v>0</v>
      </c>
      <c r="BQ47" s="106">
        <v>0</v>
      </c>
      <c r="BR47" s="106">
        <v>0</v>
      </c>
      <c r="BS47" s="106">
        <v>0</v>
      </c>
      <c r="BT47" s="106">
        <v>0</v>
      </c>
      <c r="BU47" s="106">
        <v>0</v>
      </c>
      <c r="BV47" s="106">
        <v>0</v>
      </c>
      <c r="BW47" s="106">
        <v>0</v>
      </c>
      <c r="BX47" s="106">
        <v>0</v>
      </c>
      <c r="BY47" s="106">
        <v>0</v>
      </c>
      <c r="BZ47" s="106">
        <v>0</v>
      </c>
      <c r="CA47" s="106">
        <v>0</v>
      </c>
      <c r="CB47" s="106">
        <v>0</v>
      </c>
      <c r="CC47" s="106">
        <v>0</v>
      </c>
      <c r="CD47" s="106">
        <v>0</v>
      </c>
      <c r="CE47" s="106">
        <v>0</v>
      </c>
      <c r="CF47" s="106">
        <v>0</v>
      </c>
      <c r="CG47" s="106">
        <v>0</v>
      </c>
      <c r="CH47" s="106">
        <v>0</v>
      </c>
      <c r="CI47" s="106">
        <v>0</v>
      </c>
      <c r="CJ47" s="106">
        <v>0</v>
      </c>
      <c r="CK47" s="106">
        <v>0</v>
      </c>
      <c r="CL47" s="106">
        <v>0</v>
      </c>
      <c r="CM47" s="106">
        <v>0</v>
      </c>
      <c r="CN47" s="106">
        <v>0</v>
      </c>
      <c r="CO47" s="106">
        <v>0</v>
      </c>
      <c r="CP47" s="106">
        <v>0</v>
      </c>
      <c r="CQ47" s="106">
        <v>0</v>
      </c>
      <c r="CR47" s="106">
        <v>0</v>
      </c>
      <c r="CS47" s="106">
        <v>0</v>
      </c>
      <c r="CT47" s="106">
        <v>0</v>
      </c>
      <c r="CU47" s="106">
        <v>0</v>
      </c>
    </row>
    <row r="48" spans="2:99" x14ac:dyDescent="0.2">
      <c r="C48" s="105" t="s">
        <v>213</v>
      </c>
      <c r="D48" s="106">
        <v>0</v>
      </c>
      <c r="E48" s="106">
        <v>0</v>
      </c>
      <c r="F48" s="106">
        <v>0</v>
      </c>
      <c r="G48" s="106">
        <v>0</v>
      </c>
      <c r="H48" s="106">
        <v>0</v>
      </c>
      <c r="I48" s="106">
        <v>0</v>
      </c>
      <c r="J48" s="106">
        <v>0</v>
      </c>
      <c r="K48" s="106">
        <v>0</v>
      </c>
      <c r="L48" s="106">
        <v>0</v>
      </c>
      <c r="M48" s="106">
        <v>0</v>
      </c>
      <c r="N48" s="106">
        <v>0</v>
      </c>
      <c r="O48" s="106">
        <v>0</v>
      </c>
      <c r="P48" s="106">
        <v>0</v>
      </c>
      <c r="Q48" s="106">
        <v>0</v>
      </c>
      <c r="R48" s="106">
        <v>0</v>
      </c>
      <c r="S48" s="106">
        <v>0</v>
      </c>
      <c r="T48" s="106">
        <v>0</v>
      </c>
      <c r="U48" s="106">
        <v>0</v>
      </c>
      <c r="V48" s="106">
        <v>0</v>
      </c>
      <c r="W48" s="106">
        <v>0</v>
      </c>
      <c r="X48" s="106">
        <v>0</v>
      </c>
      <c r="Y48" s="106">
        <v>0</v>
      </c>
      <c r="Z48" s="106">
        <v>0</v>
      </c>
      <c r="AA48" s="106">
        <v>0</v>
      </c>
      <c r="AB48" s="106">
        <v>0</v>
      </c>
      <c r="AC48" s="106">
        <v>0</v>
      </c>
      <c r="AD48" s="106">
        <v>0</v>
      </c>
      <c r="AE48" s="106">
        <v>0</v>
      </c>
      <c r="AF48" s="106">
        <v>0</v>
      </c>
      <c r="AG48" s="106">
        <v>0</v>
      </c>
      <c r="AH48" s="106">
        <v>0</v>
      </c>
      <c r="AI48" s="106">
        <v>0</v>
      </c>
      <c r="AJ48" s="106">
        <v>0</v>
      </c>
      <c r="AK48" s="106">
        <v>0</v>
      </c>
      <c r="AL48" s="106">
        <v>0</v>
      </c>
      <c r="AM48" s="106">
        <v>0</v>
      </c>
      <c r="AN48" s="106">
        <v>0</v>
      </c>
      <c r="AO48" s="106">
        <v>0</v>
      </c>
      <c r="AP48" s="106">
        <v>0</v>
      </c>
      <c r="AQ48" s="106">
        <v>0</v>
      </c>
      <c r="AR48" s="106">
        <v>0</v>
      </c>
      <c r="AS48" s="106">
        <v>0</v>
      </c>
      <c r="AT48" s="106">
        <v>0</v>
      </c>
      <c r="AU48" s="106">
        <v>0</v>
      </c>
      <c r="AV48" s="106">
        <v>0</v>
      </c>
      <c r="AW48" s="106">
        <v>0</v>
      </c>
      <c r="AX48" s="106">
        <v>0</v>
      </c>
      <c r="AY48" s="106">
        <v>0</v>
      </c>
      <c r="AZ48" s="106">
        <v>0</v>
      </c>
      <c r="BA48" s="106">
        <v>0</v>
      </c>
      <c r="BB48" s="106">
        <v>0</v>
      </c>
      <c r="BC48" s="106">
        <v>0</v>
      </c>
      <c r="BD48" s="106">
        <v>0</v>
      </c>
      <c r="BE48" s="106">
        <v>0</v>
      </c>
      <c r="BF48" s="106">
        <v>0</v>
      </c>
      <c r="BG48" s="106">
        <v>0</v>
      </c>
      <c r="BH48" s="106">
        <v>0</v>
      </c>
      <c r="BI48" s="106">
        <v>0</v>
      </c>
      <c r="BJ48" s="106">
        <v>0</v>
      </c>
      <c r="BK48" s="106">
        <v>0</v>
      </c>
      <c r="BL48" s="106">
        <v>0</v>
      </c>
      <c r="BM48" s="106">
        <v>0</v>
      </c>
      <c r="BN48" s="106">
        <v>0</v>
      </c>
      <c r="BO48" s="106">
        <v>0</v>
      </c>
      <c r="BP48" s="106">
        <v>0</v>
      </c>
      <c r="BQ48" s="106">
        <v>0</v>
      </c>
      <c r="BR48" s="106">
        <v>0</v>
      </c>
      <c r="BS48" s="106">
        <v>0</v>
      </c>
      <c r="BT48" s="106">
        <v>0</v>
      </c>
      <c r="BU48" s="106">
        <v>0</v>
      </c>
      <c r="BV48" s="106">
        <v>0</v>
      </c>
      <c r="BW48" s="106">
        <v>0</v>
      </c>
      <c r="BX48" s="106">
        <v>0</v>
      </c>
      <c r="BY48" s="106">
        <v>0</v>
      </c>
      <c r="BZ48" s="106">
        <v>0</v>
      </c>
      <c r="CA48" s="106">
        <v>0</v>
      </c>
      <c r="CB48" s="106">
        <v>0</v>
      </c>
      <c r="CC48" s="106">
        <v>0</v>
      </c>
      <c r="CD48" s="106">
        <v>0</v>
      </c>
      <c r="CE48" s="106">
        <v>0</v>
      </c>
      <c r="CF48" s="106">
        <v>0</v>
      </c>
      <c r="CG48" s="106">
        <v>0</v>
      </c>
      <c r="CH48" s="106">
        <v>0</v>
      </c>
      <c r="CI48" s="106">
        <v>0</v>
      </c>
      <c r="CJ48" s="106">
        <v>0</v>
      </c>
      <c r="CK48" s="106">
        <v>0</v>
      </c>
      <c r="CL48" s="106">
        <v>0</v>
      </c>
      <c r="CM48" s="106">
        <v>0</v>
      </c>
      <c r="CN48" s="106">
        <v>0</v>
      </c>
      <c r="CO48" s="106">
        <v>0</v>
      </c>
      <c r="CP48" s="106">
        <v>0</v>
      </c>
      <c r="CQ48" s="106">
        <v>0</v>
      </c>
      <c r="CR48" s="106">
        <v>0</v>
      </c>
      <c r="CS48" s="106">
        <v>0</v>
      </c>
      <c r="CT48" s="106">
        <v>0</v>
      </c>
      <c r="CU48" s="106">
        <v>0</v>
      </c>
    </row>
    <row r="49" spans="2:99" x14ac:dyDescent="0.2">
      <c r="B49" s="105" t="s">
        <v>129</v>
      </c>
      <c r="C49" s="105" t="s">
        <v>214</v>
      </c>
      <c r="D49" s="106">
        <v>0</v>
      </c>
      <c r="E49" s="106">
        <v>0</v>
      </c>
      <c r="F49" s="106">
        <v>0</v>
      </c>
      <c r="G49" s="106">
        <v>0</v>
      </c>
      <c r="H49" s="106">
        <v>0</v>
      </c>
      <c r="I49" s="106">
        <v>0</v>
      </c>
      <c r="J49" s="106">
        <v>0</v>
      </c>
      <c r="K49" s="106">
        <v>0</v>
      </c>
      <c r="L49" s="106">
        <v>0</v>
      </c>
      <c r="M49" s="106">
        <v>0</v>
      </c>
      <c r="N49" s="106">
        <v>0</v>
      </c>
      <c r="O49" s="106">
        <v>0</v>
      </c>
      <c r="P49" s="106">
        <v>0</v>
      </c>
      <c r="Q49" s="106">
        <v>0</v>
      </c>
      <c r="R49" s="106">
        <v>0</v>
      </c>
      <c r="S49" s="106">
        <v>0</v>
      </c>
      <c r="T49" s="106">
        <v>0</v>
      </c>
      <c r="U49" s="106">
        <v>0</v>
      </c>
      <c r="V49" s="106">
        <v>0</v>
      </c>
      <c r="W49" s="106">
        <v>0</v>
      </c>
      <c r="X49" s="106">
        <v>0</v>
      </c>
      <c r="Y49" s="106">
        <v>0</v>
      </c>
      <c r="Z49" s="106">
        <v>0</v>
      </c>
      <c r="AA49" s="106">
        <v>0</v>
      </c>
      <c r="AB49" s="106">
        <v>0</v>
      </c>
      <c r="AC49" s="106">
        <v>0</v>
      </c>
      <c r="AD49" s="106">
        <v>0</v>
      </c>
      <c r="AE49" s="106">
        <v>0</v>
      </c>
      <c r="AF49" s="106">
        <v>0</v>
      </c>
      <c r="AG49" s="106">
        <v>0</v>
      </c>
      <c r="AH49" s="106">
        <v>0</v>
      </c>
      <c r="AI49" s="106">
        <v>0</v>
      </c>
      <c r="AJ49" s="106">
        <v>0</v>
      </c>
      <c r="AK49" s="106">
        <v>0</v>
      </c>
      <c r="AL49" s="106">
        <v>0</v>
      </c>
      <c r="AM49" s="106">
        <v>0</v>
      </c>
      <c r="AN49" s="106">
        <v>0</v>
      </c>
      <c r="AO49" s="106">
        <v>0</v>
      </c>
      <c r="AP49" s="106">
        <v>0</v>
      </c>
      <c r="AQ49" s="106">
        <v>0</v>
      </c>
      <c r="AR49" s="106">
        <v>0</v>
      </c>
      <c r="AS49" s="106">
        <v>0</v>
      </c>
      <c r="AT49" s="106">
        <v>0</v>
      </c>
      <c r="AU49" s="106">
        <v>0</v>
      </c>
      <c r="AV49" s="106">
        <v>0</v>
      </c>
      <c r="AW49" s="106">
        <v>0</v>
      </c>
      <c r="AX49" s="106">
        <v>0</v>
      </c>
      <c r="AY49" s="106">
        <v>0</v>
      </c>
      <c r="AZ49" s="106">
        <v>0</v>
      </c>
      <c r="BA49" s="106">
        <v>0</v>
      </c>
      <c r="BB49" s="106">
        <v>0</v>
      </c>
      <c r="BC49" s="106">
        <v>0</v>
      </c>
      <c r="BD49" s="106">
        <v>0</v>
      </c>
      <c r="BE49" s="106">
        <v>0</v>
      </c>
      <c r="BF49" s="106">
        <v>0</v>
      </c>
      <c r="BG49" s="106">
        <v>0</v>
      </c>
      <c r="BH49" s="106">
        <v>0</v>
      </c>
      <c r="BI49" s="106">
        <v>0</v>
      </c>
      <c r="BJ49" s="106">
        <v>0</v>
      </c>
      <c r="BK49" s="106">
        <v>0</v>
      </c>
      <c r="BL49" s="106">
        <v>0</v>
      </c>
      <c r="BM49" s="106">
        <v>0</v>
      </c>
      <c r="BN49" s="106">
        <v>0</v>
      </c>
      <c r="BO49" s="106">
        <v>0</v>
      </c>
      <c r="BP49" s="106">
        <v>0</v>
      </c>
      <c r="BQ49" s="106">
        <v>0</v>
      </c>
      <c r="BR49" s="106">
        <v>0</v>
      </c>
      <c r="BS49" s="106">
        <v>0</v>
      </c>
      <c r="BT49" s="106">
        <v>0</v>
      </c>
      <c r="BU49" s="106">
        <v>0</v>
      </c>
      <c r="BV49" s="106">
        <v>0</v>
      </c>
      <c r="BW49" s="106">
        <v>0</v>
      </c>
      <c r="BX49" s="106">
        <v>0</v>
      </c>
      <c r="BY49" s="106">
        <v>0</v>
      </c>
      <c r="BZ49" s="106">
        <v>0</v>
      </c>
      <c r="CA49" s="106">
        <v>0</v>
      </c>
      <c r="CB49" s="106">
        <v>0</v>
      </c>
      <c r="CC49" s="106">
        <v>0</v>
      </c>
      <c r="CD49" s="106">
        <v>0</v>
      </c>
      <c r="CE49" s="106">
        <v>0</v>
      </c>
      <c r="CF49" s="106">
        <v>0</v>
      </c>
      <c r="CG49" s="106">
        <v>0</v>
      </c>
      <c r="CH49" s="106">
        <v>0</v>
      </c>
      <c r="CI49" s="106">
        <v>0</v>
      </c>
      <c r="CJ49" s="106">
        <v>0</v>
      </c>
      <c r="CK49" s="106">
        <v>0</v>
      </c>
      <c r="CL49" s="106">
        <v>0</v>
      </c>
      <c r="CM49" s="106">
        <v>0</v>
      </c>
      <c r="CN49" s="106">
        <v>0</v>
      </c>
      <c r="CO49" s="106">
        <v>0</v>
      </c>
      <c r="CP49" s="106">
        <v>0</v>
      </c>
      <c r="CQ49" s="106">
        <v>0</v>
      </c>
      <c r="CR49" s="106">
        <v>0</v>
      </c>
      <c r="CS49" s="106">
        <v>0</v>
      </c>
      <c r="CT49" s="106">
        <v>0</v>
      </c>
      <c r="CU49" s="106">
        <v>0</v>
      </c>
    </row>
    <row r="50" spans="2:99" x14ac:dyDescent="0.2">
      <c r="C50" s="105" t="s">
        <v>215</v>
      </c>
      <c r="D50" s="106">
        <v>0</v>
      </c>
      <c r="E50" s="106">
        <v>0</v>
      </c>
      <c r="F50" s="106">
        <v>0</v>
      </c>
      <c r="G50" s="106">
        <v>0</v>
      </c>
      <c r="H50" s="106">
        <v>0</v>
      </c>
      <c r="I50" s="106">
        <v>0</v>
      </c>
      <c r="J50" s="106">
        <v>0</v>
      </c>
      <c r="K50" s="106">
        <v>0</v>
      </c>
      <c r="L50" s="106">
        <v>0</v>
      </c>
      <c r="M50" s="106">
        <v>0</v>
      </c>
      <c r="N50" s="106">
        <v>0</v>
      </c>
      <c r="O50" s="106">
        <v>0</v>
      </c>
      <c r="P50" s="106">
        <v>0</v>
      </c>
      <c r="Q50" s="106">
        <v>0</v>
      </c>
      <c r="R50" s="106">
        <v>0</v>
      </c>
      <c r="S50" s="106">
        <v>0</v>
      </c>
      <c r="T50" s="106">
        <v>0</v>
      </c>
      <c r="U50" s="106">
        <v>0</v>
      </c>
      <c r="V50" s="106">
        <v>0</v>
      </c>
      <c r="W50" s="106">
        <v>0</v>
      </c>
      <c r="X50" s="106">
        <v>0</v>
      </c>
      <c r="Y50" s="106">
        <v>0</v>
      </c>
      <c r="Z50" s="106">
        <v>0</v>
      </c>
      <c r="AA50" s="106">
        <v>0</v>
      </c>
      <c r="AB50" s="106">
        <v>0</v>
      </c>
      <c r="AC50" s="106">
        <v>0</v>
      </c>
      <c r="AD50" s="106">
        <v>0</v>
      </c>
      <c r="AE50" s="106">
        <v>0</v>
      </c>
      <c r="AF50" s="106">
        <v>0</v>
      </c>
      <c r="AG50" s="106">
        <v>0</v>
      </c>
      <c r="AH50" s="106">
        <v>0</v>
      </c>
      <c r="AI50" s="106">
        <v>0</v>
      </c>
      <c r="AJ50" s="106">
        <v>0</v>
      </c>
      <c r="AK50" s="106">
        <v>0</v>
      </c>
      <c r="AL50" s="106">
        <v>0</v>
      </c>
      <c r="AM50" s="106">
        <v>0</v>
      </c>
      <c r="AN50" s="106">
        <v>0</v>
      </c>
      <c r="AO50" s="106">
        <v>0</v>
      </c>
      <c r="AP50" s="106">
        <v>0</v>
      </c>
      <c r="AQ50" s="106">
        <v>0</v>
      </c>
      <c r="AR50" s="106">
        <v>0</v>
      </c>
      <c r="AS50" s="106">
        <v>0</v>
      </c>
      <c r="AT50" s="106">
        <v>0</v>
      </c>
      <c r="AU50" s="106">
        <v>0</v>
      </c>
      <c r="AV50" s="106">
        <v>0</v>
      </c>
      <c r="AW50" s="106">
        <v>0</v>
      </c>
      <c r="AX50" s="106">
        <v>0</v>
      </c>
      <c r="AY50" s="106">
        <v>0</v>
      </c>
      <c r="AZ50" s="106">
        <v>0</v>
      </c>
      <c r="BA50" s="106">
        <v>0</v>
      </c>
      <c r="BB50" s="106">
        <v>0</v>
      </c>
      <c r="BC50" s="106">
        <v>0</v>
      </c>
      <c r="BD50" s="106">
        <v>0</v>
      </c>
      <c r="BE50" s="106">
        <v>0</v>
      </c>
      <c r="BF50" s="106">
        <v>0</v>
      </c>
      <c r="BG50" s="106">
        <v>0</v>
      </c>
      <c r="BH50" s="106">
        <v>0</v>
      </c>
      <c r="BI50" s="106">
        <v>0</v>
      </c>
      <c r="BJ50" s="106">
        <v>0</v>
      </c>
      <c r="BK50" s="106">
        <v>0</v>
      </c>
      <c r="BL50" s="106">
        <v>0</v>
      </c>
      <c r="BM50" s="106">
        <v>0</v>
      </c>
      <c r="BN50" s="106">
        <v>0</v>
      </c>
      <c r="BO50" s="106">
        <v>0</v>
      </c>
      <c r="BP50" s="106">
        <v>0</v>
      </c>
      <c r="BQ50" s="106">
        <v>0</v>
      </c>
      <c r="BR50" s="106">
        <v>0</v>
      </c>
      <c r="BS50" s="106">
        <v>0</v>
      </c>
      <c r="BT50" s="106">
        <v>0</v>
      </c>
      <c r="BU50" s="106">
        <v>0</v>
      </c>
      <c r="BV50" s="106">
        <v>0</v>
      </c>
      <c r="BW50" s="106">
        <v>0</v>
      </c>
      <c r="BX50" s="106">
        <v>0</v>
      </c>
      <c r="BY50" s="106">
        <v>0</v>
      </c>
      <c r="BZ50" s="106">
        <v>0</v>
      </c>
      <c r="CA50" s="106">
        <v>0</v>
      </c>
      <c r="CB50" s="106">
        <v>0</v>
      </c>
      <c r="CC50" s="106">
        <v>0</v>
      </c>
      <c r="CD50" s="106">
        <v>0</v>
      </c>
      <c r="CE50" s="106">
        <v>0</v>
      </c>
      <c r="CF50" s="106">
        <v>0</v>
      </c>
      <c r="CG50" s="106">
        <v>0</v>
      </c>
      <c r="CH50" s="106">
        <v>0</v>
      </c>
      <c r="CI50" s="106">
        <v>0</v>
      </c>
      <c r="CJ50" s="106">
        <v>0</v>
      </c>
      <c r="CK50" s="106">
        <v>0</v>
      </c>
      <c r="CL50" s="106">
        <v>0</v>
      </c>
      <c r="CM50" s="106">
        <v>0</v>
      </c>
      <c r="CN50" s="106">
        <v>0</v>
      </c>
      <c r="CO50" s="106">
        <v>0</v>
      </c>
      <c r="CP50" s="106">
        <v>0</v>
      </c>
      <c r="CQ50" s="106">
        <v>0</v>
      </c>
      <c r="CR50" s="106">
        <v>0</v>
      </c>
      <c r="CS50" s="106">
        <v>0</v>
      </c>
      <c r="CT50" s="106">
        <v>0</v>
      </c>
      <c r="CU50" s="106">
        <v>0</v>
      </c>
    </row>
    <row r="51" spans="2:99" x14ac:dyDescent="0.2">
      <c r="C51" s="105" t="s">
        <v>216</v>
      </c>
      <c r="D51" s="106">
        <v>0</v>
      </c>
      <c r="E51" s="106">
        <v>0</v>
      </c>
      <c r="F51" s="106">
        <v>0</v>
      </c>
      <c r="G51" s="106">
        <v>0</v>
      </c>
      <c r="H51" s="106">
        <v>0</v>
      </c>
      <c r="I51" s="106">
        <v>0</v>
      </c>
      <c r="J51" s="106">
        <v>0</v>
      </c>
      <c r="K51" s="106">
        <v>0</v>
      </c>
      <c r="L51" s="106">
        <v>0</v>
      </c>
      <c r="M51" s="106">
        <v>0</v>
      </c>
      <c r="N51" s="106">
        <v>0</v>
      </c>
      <c r="O51" s="106">
        <v>0</v>
      </c>
      <c r="P51" s="106">
        <v>0</v>
      </c>
      <c r="Q51" s="106">
        <v>0</v>
      </c>
      <c r="R51" s="106">
        <v>0</v>
      </c>
      <c r="S51" s="106">
        <v>0</v>
      </c>
      <c r="T51" s="106">
        <v>0</v>
      </c>
      <c r="U51" s="106">
        <v>0</v>
      </c>
      <c r="V51" s="106">
        <v>0</v>
      </c>
      <c r="W51" s="106">
        <v>0</v>
      </c>
      <c r="X51" s="106">
        <v>0</v>
      </c>
      <c r="Y51" s="106">
        <v>0</v>
      </c>
      <c r="Z51" s="106">
        <v>0</v>
      </c>
      <c r="AA51" s="106">
        <v>0</v>
      </c>
      <c r="AB51" s="106">
        <v>0</v>
      </c>
      <c r="AC51" s="106">
        <v>0</v>
      </c>
      <c r="AD51" s="106">
        <v>0</v>
      </c>
      <c r="AE51" s="106">
        <v>0</v>
      </c>
      <c r="AF51" s="106">
        <v>0</v>
      </c>
      <c r="AG51" s="106">
        <v>0</v>
      </c>
      <c r="AH51" s="106">
        <v>0</v>
      </c>
      <c r="AI51" s="106">
        <v>0</v>
      </c>
      <c r="AJ51" s="106">
        <v>0</v>
      </c>
      <c r="AK51" s="106">
        <v>0</v>
      </c>
      <c r="AL51" s="106">
        <v>0</v>
      </c>
      <c r="AM51" s="106">
        <v>0</v>
      </c>
      <c r="AN51" s="106">
        <v>0</v>
      </c>
      <c r="AO51" s="106">
        <v>0</v>
      </c>
      <c r="AP51" s="106">
        <v>0</v>
      </c>
      <c r="AQ51" s="106">
        <v>0</v>
      </c>
      <c r="AR51" s="106">
        <v>0</v>
      </c>
      <c r="AS51" s="106">
        <v>0</v>
      </c>
      <c r="AT51" s="106">
        <v>0</v>
      </c>
      <c r="AU51" s="106">
        <v>0</v>
      </c>
      <c r="AV51" s="106">
        <v>0</v>
      </c>
      <c r="AW51" s="106">
        <v>0</v>
      </c>
      <c r="AX51" s="106">
        <v>0</v>
      </c>
      <c r="AY51" s="106">
        <v>0</v>
      </c>
      <c r="AZ51" s="106">
        <v>0</v>
      </c>
      <c r="BA51" s="106">
        <v>0</v>
      </c>
      <c r="BB51" s="106">
        <v>0</v>
      </c>
      <c r="BC51" s="106">
        <v>0</v>
      </c>
      <c r="BD51" s="106">
        <v>0</v>
      </c>
      <c r="BE51" s="106">
        <v>0</v>
      </c>
      <c r="BF51" s="106">
        <v>0</v>
      </c>
      <c r="BG51" s="106">
        <v>0</v>
      </c>
      <c r="BH51" s="106">
        <v>0</v>
      </c>
      <c r="BI51" s="106">
        <v>0</v>
      </c>
      <c r="BJ51" s="106">
        <v>0</v>
      </c>
      <c r="BK51" s="106">
        <v>0</v>
      </c>
      <c r="BL51" s="106">
        <v>0</v>
      </c>
      <c r="BM51" s="106">
        <v>0</v>
      </c>
      <c r="BN51" s="106">
        <v>0</v>
      </c>
      <c r="BO51" s="106">
        <v>0</v>
      </c>
      <c r="BP51" s="106">
        <v>0</v>
      </c>
      <c r="BQ51" s="106">
        <v>0</v>
      </c>
      <c r="BR51" s="106">
        <v>0</v>
      </c>
      <c r="BS51" s="106">
        <v>0</v>
      </c>
      <c r="BT51" s="106">
        <v>0</v>
      </c>
      <c r="BU51" s="106">
        <v>0</v>
      </c>
      <c r="BV51" s="106">
        <v>0</v>
      </c>
      <c r="BW51" s="106">
        <v>0</v>
      </c>
      <c r="BX51" s="106">
        <v>0</v>
      </c>
      <c r="BY51" s="106">
        <v>0</v>
      </c>
      <c r="BZ51" s="106">
        <v>0</v>
      </c>
      <c r="CA51" s="106">
        <v>0</v>
      </c>
      <c r="CB51" s="106">
        <v>0</v>
      </c>
      <c r="CC51" s="106">
        <v>0</v>
      </c>
      <c r="CD51" s="106">
        <v>0</v>
      </c>
      <c r="CE51" s="106">
        <v>0</v>
      </c>
      <c r="CF51" s="106">
        <v>0</v>
      </c>
      <c r="CG51" s="106">
        <v>0</v>
      </c>
      <c r="CH51" s="106">
        <v>0</v>
      </c>
      <c r="CI51" s="106">
        <v>0</v>
      </c>
      <c r="CJ51" s="106">
        <v>0</v>
      </c>
      <c r="CK51" s="106">
        <v>0</v>
      </c>
      <c r="CL51" s="106">
        <v>0</v>
      </c>
      <c r="CM51" s="106">
        <v>0</v>
      </c>
      <c r="CN51" s="106">
        <v>0</v>
      </c>
      <c r="CO51" s="106">
        <v>0</v>
      </c>
      <c r="CP51" s="106">
        <v>0</v>
      </c>
      <c r="CQ51" s="106">
        <v>0</v>
      </c>
      <c r="CR51" s="106">
        <v>0</v>
      </c>
      <c r="CS51" s="106">
        <v>0</v>
      </c>
      <c r="CT51" s="106">
        <v>0</v>
      </c>
      <c r="CU51" s="106">
        <v>0</v>
      </c>
    </row>
    <row r="52" spans="2:99" x14ac:dyDescent="0.2">
      <c r="C52" s="105" t="s">
        <v>217</v>
      </c>
      <c r="D52" s="106">
        <v>0</v>
      </c>
      <c r="E52" s="106">
        <v>0</v>
      </c>
      <c r="F52" s="106">
        <v>0</v>
      </c>
      <c r="G52" s="106">
        <v>0</v>
      </c>
      <c r="H52" s="106">
        <v>0</v>
      </c>
      <c r="I52" s="106">
        <v>0</v>
      </c>
      <c r="J52" s="106">
        <v>0</v>
      </c>
      <c r="K52" s="106">
        <v>0</v>
      </c>
      <c r="L52" s="106">
        <v>0</v>
      </c>
      <c r="M52" s="106">
        <v>0</v>
      </c>
      <c r="N52" s="106">
        <v>0</v>
      </c>
      <c r="O52" s="106">
        <v>0</v>
      </c>
      <c r="P52" s="106">
        <v>0</v>
      </c>
      <c r="Q52" s="106">
        <v>0</v>
      </c>
      <c r="R52" s="106">
        <v>0</v>
      </c>
      <c r="S52" s="106">
        <v>0</v>
      </c>
      <c r="T52" s="106">
        <v>0</v>
      </c>
      <c r="U52" s="106">
        <v>0</v>
      </c>
      <c r="V52" s="106">
        <v>0</v>
      </c>
      <c r="W52" s="106">
        <v>0</v>
      </c>
      <c r="X52" s="106">
        <v>0</v>
      </c>
      <c r="Y52" s="106">
        <v>0</v>
      </c>
      <c r="Z52" s="106">
        <v>0</v>
      </c>
      <c r="AA52" s="106">
        <v>0</v>
      </c>
      <c r="AB52" s="106">
        <v>0</v>
      </c>
      <c r="AC52" s="106">
        <v>0</v>
      </c>
      <c r="AD52" s="106">
        <v>0</v>
      </c>
      <c r="AE52" s="106">
        <v>0</v>
      </c>
      <c r="AF52" s="106">
        <v>0</v>
      </c>
      <c r="AG52" s="106">
        <v>0</v>
      </c>
      <c r="AH52" s="106">
        <v>0</v>
      </c>
      <c r="AI52" s="106">
        <v>0</v>
      </c>
      <c r="AJ52" s="106">
        <v>0</v>
      </c>
      <c r="AK52" s="106">
        <v>0</v>
      </c>
      <c r="AL52" s="106">
        <v>0</v>
      </c>
      <c r="AM52" s="106">
        <v>0</v>
      </c>
      <c r="AN52" s="106">
        <v>0</v>
      </c>
      <c r="AO52" s="106">
        <v>0</v>
      </c>
      <c r="AP52" s="106">
        <v>0</v>
      </c>
      <c r="AQ52" s="106">
        <v>0</v>
      </c>
      <c r="AR52" s="106">
        <v>0</v>
      </c>
      <c r="AS52" s="106">
        <v>0</v>
      </c>
      <c r="AT52" s="106">
        <v>0</v>
      </c>
      <c r="AU52" s="106">
        <v>0</v>
      </c>
      <c r="AV52" s="106">
        <v>0</v>
      </c>
      <c r="AW52" s="106">
        <v>0</v>
      </c>
      <c r="AX52" s="106">
        <v>0</v>
      </c>
      <c r="AY52" s="106">
        <v>0</v>
      </c>
      <c r="AZ52" s="106">
        <v>0</v>
      </c>
      <c r="BA52" s="106">
        <v>0</v>
      </c>
      <c r="BB52" s="106">
        <v>0</v>
      </c>
      <c r="BC52" s="106">
        <v>0</v>
      </c>
      <c r="BD52" s="106">
        <v>0</v>
      </c>
      <c r="BE52" s="106">
        <v>0</v>
      </c>
      <c r="BF52" s="106">
        <v>0</v>
      </c>
      <c r="BG52" s="106">
        <v>0</v>
      </c>
      <c r="BH52" s="106">
        <v>0</v>
      </c>
      <c r="BI52" s="106">
        <v>0</v>
      </c>
      <c r="BJ52" s="106">
        <v>0</v>
      </c>
      <c r="BK52" s="106">
        <v>0</v>
      </c>
      <c r="BL52" s="106">
        <v>0</v>
      </c>
      <c r="BM52" s="106">
        <v>0</v>
      </c>
      <c r="BN52" s="106">
        <v>0</v>
      </c>
      <c r="BO52" s="106">
        <v>0</v>
      </c>
      <c r="BP52" s="106">
        <v>0</v>
      </c>
      <c r="BQ52" s="106">
        <v>0</v>
      </c>
      <c r="BR52" s="106">
        <v>0</v>
      </c>
      <c r="BS52" s="106">
        <v>0</v>
      </c>
      <c r="BT52" s="106">
        <v>0</v>
      </c>
      <c r="BU52" s="106">
        <v>0</v>
      </c>
      <c r="BV52" s="106">
        <v>0</v>
      </c>
      <c r="BW52" s="106">
        <v>0</v>
      </c>
      <c r="BX52" s="106">
        <v>0</v>
      </c>
      <c r="BY52" s="106">
        <v>0</v>
      </c>
      <c r="BZ52" s="106">
        <v>0</v>
      </c>
      <c r="CA52" s="106">
        <v>0</v>
      </c>
      <c r="CB52" s="106">
        <v>0</v>
      </c>
      <c r="CC52" s="106">
        <v>0</v>
      </c>
      <c r="CD52" s="106">
        <v>0</v>
      </c>
      <c r="CE52" s="106">
        <v>0</v>
      </c>
      <c r="CF52" s="106">
        <v>0</v>
      </c>
      <c r="CG52" s="106">
        <v>0</v>
      </c>
      <c r="CH52" s="106">
        <v>0</v>
      </c>
      <c r="CI52" s="106">
        <v>0</v>
      </c>
      <c r="CJ52" s="106">
        <v>0</v>
      </c>
      <c r="CK52" s="106">
        <v>0</v>
      </c>
      <c r="CL52" s="106">
        <v>0</v>
      </c>
      <c r="CM52" s="106">
        <v>0</v>
      </c>
      <c r="CN52" s="106">
        <v>0</v>
      </c>
      <c r="CO52" s="106">
        <v>0</v>
      </c>
      <c r="CP52" s="106">
        <v>0</v>
      </c>
      <c r="CQ52" s="106">
        <v>0</v>
      </c>
      <c r="CR52" s="106">
        <v>0</v>
      </c>
      <c r="CS52" s="106">
        <v>0</v>
      </c>
      <c r="CT52" s="106">
        <v>0</v>
      </c>
      <c r="CU52" s="106">
        <v>0</v>
      </c>
    </row>
    <row r="53" spans="2:99" x14ac:dyDescent="0.2">
      <c r="C53" s="105" t="s">
        <v>218</v>
      </c>
      <c r="D53" s="106">
        <v>0</v>
      </c>
      <c r="E53" s="106">
        <v>0</v>
      </c>
      <c r="F53" s="106">
        <v>0</v>
      </c>
      <c r="G53" s="106">
        <v>0</v>
      </c>
      <c r="H53" s="106">
        <v>0</v>
      </c>
      <c r="I53" s="106">
        <v>0</v>
      </c>
      <c r="J53" s="106">
        <v>0</v>
      </c>
      <c r="K53" s="106">
        <v>0</v>
      </c>
      <c r="L53" s="106">
        <v>0</v>
      </c>
      <c r="M53" s="106">
        <v>0</v>
      </c>
      <c r="N53" s="106">
        <v>0</v>
      </c>
      <c r="O53" s="106">
        <v>0</v>
      </c>
      <c r="P53" s="106">
        <v>0</v>
      </c>
      <c r="Q53" s="106">
        <v>0</v>
      </c>
      <c r="R53" s="106">
        <v>0</v>
      </c>
      <c r="S53" s="106">
        <v>0</v>
      </c>
      <c r="T53" s="106">
        <v>0</v>
      </c>
      <c r="U53" s="106">
        <v>0</v>
      </c>
      <c r="V53" s="106">
        <v>0</v>
      </c>
      <c r="W53" s="106">
        <v>0</v>
      </c>
      <c r="X53" s="106">
        <v>0</v>
      </c>
      <c r="Y53" s="106">
        <v>0</v>
      </c>
      <c r="Z53" s="106">
        <v>0</v>
      </c>
      <c r="AA53" s="106">
        <v>0</v>
      </c>
      <c r="AB53" s="106">
        <v>0</v>
      </c>
      <c r="AC53" s="106">
        <v>0</v>
      </c>
      <c r="AD53" s="106">
        <v>0</v>
      </c>
      <c r="AE53" s="106">
        <v>0</v>
      </c>
      <c r="AF53" s="106">
        <v>0</v>
      </c>
      <c r="AG53" s="106">
        <v>0</v>
      </c>
      <c r="AH53" s="106">
        <v>0</v>
      </c>
      <c r="AI53" s="106">
        <v>0</v>
      </c>
      <c r="AJ53" s="106">
        <v>0</v>
      </c>
      <c r="AK53" s="106">
        <v>0</v>
      </c>
      <c r="AL53" s="106">
        <v>0</v>
      </c>
      <c r="AM53" s="106">
        <v>0</v>
      </c>
      <c r="AN53" s="106">
        <v>0</v>
      </c>
      <c r="AO53" s="106">
        <v>0</v>
      </c>
      <c r="AP53" s="106">
        <v>0</v>
      </c>
      <c r="AQ53" s="106">
        <v>0</v>
      </c>
      <c r="AR53" s="106">
        <v>0</v>
      </c>
      <c r="AS53" s="106">
        <v>0</v>
      </c>
      <c r="AT53" s="106">
        <v>0</v>
      </c>
      <c r="AU53" s="106">
        <v>0</v>
      </c>
      <c r="AV53" s="106">
        <v>0</v>
      </c>
      <c r="AW53" s="106">
        <v>0</v>
      </c>
      <c r="AX53" s="106">
        <v>0</v>
      </c>
      <c r="AY53" s="106">
        <v>0</v>
      </c>
      <c r="AZ53" s="106">
        <v>0</v>
      </c>
      <c r="BA53" s="106">
        <v>0</v>
      </c>
      <c r="BB53" s="106">
        <v>0</v>
      </c>
      <c r="BC53" s="106">
        <v>0</v>
      </c>
      <c r="BD53" s="106">
        <v>0</v>
      </c>
      <c r="BE53" s="106">
        <v>0</v>
      </c>
      <c r="BF53" s="106">
        <v>0</v>
      </c>
      <c r="BG53" s="106">
        <v>0</v>
      </c>
      <c r="BH53" s="106">
        <v>0</v>
      </c>
      <c r="BI53" s="106">
        <v>0</v>
      </c>
      <c r="BJ53" s="106">
        <v>0</v>
      </c>
      <c r="BK53" s="106">
        <v>0</v>
      </c>
      <c r="BL53" s="106">
        <v>0</v>
      </c>
      <c r="BM53" s="106">
        <v>0</v>
      </c>
      <c r="BN53" s="106">
        <v>0</v>
      </c>
      <c r="BO53" s="106">
        <v>0</v>
      </c>
      <c r="BP53" s="106">
        <v>0</v>
      </c>
      <c r="BQ53" s="106">
        <v>0</v>
      </c>
      <c r="BR53" s="106">
        <v>0</v>
      </c>
      <c r="BS53" s="106">
        <v>0</v>
      </c>
      <c r="BT53" s="106">
        <v>0</v>
      </c>
      <c r="BU53" s="106">
        <v>0</v>
      </c>
      <c r="BV53" s="106">
        <v>0</v>
      </c>
      <c r="BW53" s="106">
        <v>0</v>
      </c>
      <c r="BX53" s="106">
        <v>0</v>
      </c>
      <c r="BY53" s="106">
        <v>0</v>
      </c>
      <c r="BZ53" s="106">
        <v>0</v>
      </c>
      <c r="CA53" s="106">
        <v>0</v>
      </c>
      <c r="CB53" s="106">
        <v>0</v>
      </c>
      <c r="CC53" s="106">
        <v>0</v>
      </c>
      <c r="CD53" s="106">
        <v>0</v>
      </c>
      <c r="CE53" s="106">
        <v>0</v>
      </c>
      <c r="CF53" s="106">
        <v>0</v>
      </c>
      <c r="CG53" s="106">
        <v>0</v>
      </c>
      <c r="CH53" s="106">
        <v>0</v>
      </c>
      <c r="CI53" s="106">
        <v>0</v>
      </c>
      <c r="CJ53" s="106">
        <v>0</v>
      </c>
      <c r="CK53" s="106">
        <v>0</v>
      </c>
      <c r="CL53" s="106">
        <v>0</v>
      </c>
      <c r="CM53" s="106">
        <v>0</v>
      </c>
      <c r="CN53" s="106">
        <v>0</v>
      </c>
      <c r="CO53" s="106">
        <v>0</v>
      </c>
      <c r="CP53" s="106">
        <v>0</v>
      </c>
      <c r="CQ53" s="106">
        <v>0</v>
      </c>
      <c r="CR53" s="106">
        <v>0</v>
      </c>
      <c r="CS53" s="106">
        <v>0</v>
      </c>
      <c r="CT53" s="106">
        <v>0</v>
      </c>
      <c r="CU53" s="106">
        <v>0</v>
      </c>
    </row>
    <row r="54" spans="2:99" x14ac:dyDescent="0.2">
      <c r="C54" s="105" t="s">
        <v>219</v>
      </c>
      <c r="D54" s="106">
        <v>0</v>
      </c>
      <c r="E54" s="106">
        <v>0</v>
      </c>
      <c r="F54" s="106">
        <v>0</v>
      </c>
      <c r="G54" s="106">
        <v>0</v>
      </c>
      <c r="H54" s="106">
        <v>0</v>
      </c>
      <c r="I54" s="106">
        <v>0</v>
      </c>
      <c r="J54" s="106">
        <v>0</v>
      </c>
      <c r="K54" s="106">
        <v>0</v>
      </c>
      <c r="L54" s="106">
        <v>0</v>
      </c>
      <c r="M54" s="106">
        <v>0</v>
      </c>
      <c r="N54" s="106">
        <v>0</v>
      </c>
      <c r="O54" s="106">
        <v>0</v>
      </c>
      <c r="P54" s="106">
        <v>0</v>
      </c>
      <c r="Q54" s="106">
        <v>0</v>
      </c>
      <c r="R54" s="106">
        <v>0</v>
      </c>
      <c r="S54" s="106">
        <v>0</v>
      </c>
      <c r="T54" s="106">
        <v>0</v>
      </c>
      <c r="U54" s="106">
        <v>0</v>
      </c>
      <c r="V54" s="106">
        <v>0</v>
      </c>
      <c r="W54" s="106">
        <v>0</v>
      </c>
      <c r="X54" s="106">
        <v>0</v>
      </c>
      <c r="Y54" s="106">
        <v>0</v>
      </c>
      <c r="Z54" s="106">
        <v>0</v>
      </c>
      <c r="AA54" s="106">
        <v>0</v>
      </c>
      <c r="AB54" s="106">
        <v>0</v>
      </c>
      <c r="AC54" s="106">
        <v>0</v>
      </c>
      <c r="AD54" s="106">
        <v>0</v>
      </c>
      <c r="AE54" s="106">
        <v>0</v>
      </c>
      <c r="AF54" s="106">
        <v>0</v>
      </c>
      <c r="AG54" s="106">
        <v>0</v>
      </c>
      <c r="AH54" s="106">
        <v>0</v>
      </c>
      <c r="AI54" s="106">
        <v>0</v>
      </c>
      <c r="AJ54" s="106">
        <v>0</v>
      </c>
      <c r="AK54" s="106">
        <v>0</v>
      </c>
      <c r="AL54" s="106">
        <v>0</v>
      </c>
      <c r="AM54" s="106">
        <v>0</v>
      </c>
      <c r="AN54" s="106">
        <v>0</v>
      </c>
      <c r="AO54" s="106">
        <v>0</v>
      </c>
      <c r="AP54" s="106">
        <v>0</v>
      </c>
      <c r="AQ54" s="106">
        <v>0</v>
      </c>
      <c r="AR54" s="106">
        <v>0</v>
      </c>
      <c r="AS54" s="106">
        <v>0</v>
      </c>
      <c r="AT54" s="106">
        <v>0</v>
      </c>
      <c r="AU54" s="106">
        <v>0</v>
      </c>
      <c r="AV54" s="106">
        <v>0</v>
      </c>
      <c r="AW54" s="106">
        <v>0</v>
      </c>
      <c r="AX54" s="106">
        <v>0</v>
      </c>
      <c r="AY54" s="106">
        <v>0</v>
      </c>
      <c r="AZ54" s="106">
        <v>0</v>
      </c>
      <c r="BA54" s="106">
        <v>0</v>
      </c>
      <c r="BB54" s="106">
        <v>0</v>
      </c>
      <c r="BC54" s="106">
        <v>0</v>
      </c>
      <c r="BD54" s="106">
        <v>0</v>
      </c>
      <c r="BE54" s="106">
        <v>0</v>
      </c>
      <c r="BF54" s="106">
        <v>0</v>
      </c>
      <c r="BG54" s="106">
        <v>0</v>
      </c>
      <c r="BH54" s="106">
        <v>0</v>
      </c>
      <c r="BI54" s="106">
        <v>0</v>
      </c>
      <c r="BJ54" s="106">
        <v>0</v>
      </c>
      <c r="BK54" s="106">
        <v>0</v>
      </c>
      <c r="BL54" s="106">
        <v>0</v>
      </c>
      <c r="BM54" s="106">
        <v>0</v>
      </c>
      <c r="BN54" s="106">
        <v>0</v>
      </c>
      <c r="BO54" s="106">
        <v>0</v>
      </c>
      <c r="BP54" s="106">
        <v>0</v>
      </c>
      <c r="BQ54" s="106">
        <v>0</v>
      </c>
      <c r="BR54" s="106">
        <v>0</v>
      </c>
      <c r="BS54" s="106">
        <v>0</v>
      </c>
      <c r="BT54" s="106">
        <v>0</v>
      </c>
      <c r="BU54" s="106">
        <v>0</v>
      </c>
      <c r="BV54" s="106">
        <v>0</v>
      </c>
      <c r="BW54" s="106">
        <v>0</v>
      </c>
      <c r="BX54" s="106">
        <v>0</v>
      </c>
      <c r="BY54" s="106">
        <v>0</v>
      </c>
      <c r="BZ54" s="106">
        <v>0</v>
      </c>
      <c r="CA54" s="106">
        <v>0</v>
      </c>
      <c r="CB54" s="106">
        <v>0</v>
      </c>
      <c r="CC54" s="106">
        <v>0</v>
      </c>
      <c r="CD54" s="106">
        <v>0</v>
      </c>
      <c r="CE54" s="106">
        <v>0</v>
      </c>
      <c r="CF54" s="106">
        <v>0</v>
      </c>
      <c r="CG54" s="106">
        <v>0</v>
      </c>
      <c r="CH54" s="106">
        <v>0</v>
      </c>
      <c r="CI54" s="106">
        <v>0</v>
      </c>
      <c r="CJ54" s="106">
        <v>0</v>
      </c>
      <c r="CK54" s="106">
        <v>0</v>
      </c>
      <c r="CL54" s="106">
        <v>0</v>
      </c>
      <c r="CM54" s="106">
        <v>0</v>
      </c>
      <c r="CN54" s="106">
        <v>0</v>
      </c>
      <c r="CO54" s="106">
        <v>0</v>
      </c>
      <c r="CP54" s="106">
        <v>0</v>
      </c>
      <c r="CQ54" s="106">
        <v>0</v>
      </c>
      <c r="CR54" s="106">
        <v>0</v>
      </c>
      <c r="CS54" s="106">
        <v>0</v>
      </c>
      <c r="CT54" s="106">
        <v>0</v>
      </c>
      <c r="CU54" s="106">
        <v>0</v>
      </c>
    </row>
    <row r="55" spans="2:99" x14ac:dyDescent="0.2">
      <c r="C55" s="105" t="s">
        <v>220</v>
      </c>
      <c r="D55" s="106">
        <v>0</v>
      </c>
      <c r="E55" s="106">
        <v>0</v>
      </c>
      <c r="F55" s="106">
        <v>0</v>
      </c>
      <c r="G55" s="106">
        <v>0</v>
      </c>
      <c r="H55" s="106">
        <v>0</v>
      </c>
      <c r="I55" s="106">
        <v>0</v>
      </c>
      <c r="J55" s="106">
        <v>0</v>
      </c>
      <c r="K55" s="106">
        <v>0</v>
      </c>
      <c r="L55" s="106">
        <v>0</v>
      </c>
      <c r="M55" s="106">
        <v>0</v>
      </c>
      <c r="N55" s="106">
        <v>0</v>
      </c>
      <c r="O55" s="106">
        <v>0</v>
      </c>
      <c r="P55" s="106">
        <v>0</v>
      </c>
      <c r="Q55" s="106">
        <v>0</v>
      </c>
      <c r="R55" s="106">
        <v>0</v>
      </c>
      <c r="S55" s="106">
        <v>0</v>
      </c>
      <c r="T55" s="106">
        <v>0</v>
      </c>
      <c r="U55" s="106">
        <v>0</v>
      </c>
      <c r="V55" s="106">
        <v>0</v>
      </c>
      <c r="W55" s="106">
        <v>0</v>
      </c>
      <c r="X55" s="106">
        <v>0</v>
      </c>
      <c r="Y55" s="106">
        <v>0</v>
      </c>
      <c r="Z55" s="106">
        <v>0</v>
      </c>
      <c r="AA55" s="106">
        <v>0</v>
      </c>
      <c r="AB55" s="106">
        <v>0</v>
      </c>
      <c r="AC55" s="106">
        <v>0</v>
      </c>
      <c r="AD55" s="106">
        <v>0</v>
      </c>
      <c r="AE55" s="106">
        <v>0</v>
      </c>
      <c r="AF55" s="106">
        <v>0</v>
      </c>
      <c r="AG55" s="106">
        <v>0</v>
      </c>
      <c r="AH55" s="106">
        <v>0</v>
      </c>
      <c r="AI55" s="106">
        <v>0</v>
      </c>
      <c r="AJ55" s="106">
        <v>0</v>
      </c>
      <c r="AK55" s="106">
        <v>0</v>
      </c>
      <c r="AL55" s="106">
        <v>0</v>
      </c>
      <c r="AM55" s="106">
        <v>0</v>
      </c>
      <c r="AN55" s="106">
        <v>0</v>
      </c>
      <c r="AO55" s="106">
        <v>0</v>
      </c>
      <c r="AP55" s="106">
        <v>0</v>
      </c>
      <c r="AQ55" s="106">
        <v>0</v>
      </c>
      <c r="AR55" s="106">
        <v>0</v>
      </c>
      <c r="AS55" s="106">
        <v>0</v>
      </c>
      <c r="AT55" s="106">
        <v>0</v>
      </c>
      <c r="AU55" s="106">
        <v>0</v>
      </c>
      <c r="AV55" s="106">
        <v>0</v>
      </c>
      <c r="AW55" s="106">
        <v>0</v>
      </c>
      <c r="AX55" s="106">
        <v>0</v>
      </c>
      <c r="AY55" s="106">
        <v>0</v>
      </c>
      <c r="AZ55" s="106">
        <v>0</v>
      </c>
      <c r="BA55" s="106">
        <v>0</v>
      </c>
      <c r="BB55" s="106">
        <v>0</v>
      </c>
      <c r="BC55" s="106">
        <v>0</v>
      </c>
      <c r="BD55" s="106">
        <v>0</v>
      </c>
      <c r="BE55" s="106">
        <v>0</v>
      </c>
      <c r="BF55" s="106">
        <v>0</v>
      </c>
      <c r="BG55" s="106">
        <v>0</v>
      </c>
      <c r="BH55" s="106">
        <v>0</v>
      </c>
      <c r="BI55" s="106">
        <v>0</v>
      </c>
      <c r="BJ55" s="106">
        <v>0</v>
      </c>
      <c r="BK55" s="106">
        <v>0</v>
      </c>
      <c r="BL55" s="106">
        <v>0</v>
      </c>
      <c r="BM55" s="106">
        <v>0</v>
      </c>
      <c r="BN55" s="106">
        <v>0</v>
      </c>
      <c r="BO55" s="106">
        <v>0</v>
      </c>
      <c r="BP55" s="106">
        <v>0</v>
      </c>
      <c r="BQ55" s="106">
        <v>0</v>
      </c>
      <c r="BR55" s="106">
        <v>0</v>
      </c>
      <c r="BS55" s="106">
        <v>0</v>
      </c>
      <c r="BT55" s="106">
        <v>0</v>
      </c>
      <c r="BU55" s="106">
        <v>0</v>
      </c>
      <c r="BV55" s="106">
        <v>0</v>
      </c>
      <c r="BW55" s="106">
        <v>0</v>
      </c>
      <c r="BX55" s="106">
        <v>0</v>
      </c>
      <c r="BY55" s="106">
        <v>0</v>
      </c>
      <c r="BZ55" s="106">
        <v>0</v>
      </c>
      <c r="CA55" s="106">
        <v>0</v>
      </c>
      <c r="CB55" s="106">
        <v>0</v>
      </c>
      <c r="CC55" s="106">
        <v>0</v>
      </c>
      <c r="CD55" s="106">
        <v>0</v>
      </c>
      <c r="CE55" s="106">
        <v>0</v>
      </c>
      <c r="CF55" s="106">
        <v>0</v>
      </c>
      <c r="CG55" s="106">
        <v>0</v>
      </c>
      <c r="CH55" s="106">
        <v>0</v>
      </c>
      <c r="CI55" s="106">
        <v>0</v>
      </c>
      <c r="CJ55" s="106">
        <v>0</v>
      </c>
      <c r="CK55" s="106">
        <v>0</v>
      </c>
      <c r="CL55" s="106">
        <v>0</v>
      </c>
      <c r="CM55" s="106">
        <v>0</v>
      </c>
      <c r="CN55" s="106">
        <v>0</v>
      </c>
      <c r="CO55" s="106">
        <v>0</v>
      </c>
      <c r="CP55" s="106">
        <v>0</v>
      </c>
      <c r="CQ55" s="106">
        <v>0</v>
      </c>
      <c r="CR55" s="106">
        <v>0</v>
      </c>
      <c r="CS55" s="106">
        <v>0</v>
      </c>
      <c r="CT55" s="106">
        <v>0</v>
      </c>
      <c r="CU55" s="106">
        <v>0</v>
      </c>
    </row>
    <row r="56" spans="2:99" x14ac:dyDescent="0.2">
      <c r="C56" s="105" t="s">
        <v>221</v>
      </c>
      <c r="D56" s="106">
        <v>0</v>
      </c>
      <c r="E56" s="106">
        <v>0</v>
      </c>
      <c r="F56" s="106">
        <v>0</v>
      </c>
      <c r="G56" s="106">
        <v>0</v>
      </c>
      <c r="H56" s="106">
        <v>0</v>
      </c>
      <c r="I56" s="106">
        <v>0</v>
      </c>
      <c r="J56" s="106">
        <v>0</v>
      </c>
      <c r="K56" s="106">
        <v>0</v>
      </c>
      <c r="L56" s="106">
        <v>0</v>
      </c>
      <c r="M56" s="106">
        <v>0</v>
      </c>
      <c r="N56" s="106">
        <v>0</v>
      </c>
      <c r="O56" s="106">
        <v>0</v>
      </c>
      <c r="P56" s="106">
        <v>0</v>
      </c>
      <c r="Q56" s="106">
        <v>0</v>
      </c>
      <c r="R56" s="106">
        <v>0</v>
      </c>
      <c r="S56" s="106">
        <v>0</v>
      </c>
      <c r="T56" s="106">
        <v>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AS56" s="106">
        <v>0</v>
      </c>
      <c r="AT56" s="106">
        <v>0</v>
      </c>
      <c r="AU56" s="106">
        <v>0</v>
      </c>
      <c r="AV56" s="106">
        <v>0</v>
      </c>
      <c r="AW56" s="106">
        <v>0</v>
      </c>
      <c r="AX56" s="106">
        <v>0</v>
      </c>
      <c r="AY56" s="106">
        <v>0</v>
      </c>
      <c r="AZ56" s="106">
        <v>0</v>
      </c>
      <c r="BA56" s="106">
        <v>0</v>
      </c>
      <c r="BB56" s="106">
        <v>0</v>
      </c>
      <c r="BC56" s="106">
        <v>0</v>
      </c>
      <c r="BD56" s="106">
        <v>0</v>
      </c>
      <c r="BE56" s="106">
        <v>0</v>
      </c>
      <c r="BF56" s="106">
        <v>0</v>
      </c>
      <c r="BG56" s="106">
        <v>0</v>
      </c>
      <c r="BH56" s="106">
        <v>0</v>
      </c>
      <c r="BI56" s="106">
        <v>0</v>
      </c>
      <c r="BJ56" s="106">
        <v>0</v>
      </c>
      <c r="BK56" s="106">
        <v>0</v>
      </c>
      <c r="BL56" s="106">
        <v>0</v>
      </c>
      <c r="BM56" s="106">
        <v>0</v>
      </c>
      <c r="BN56" s="106">
        <v>0</v>
      </c>
      <c r="BO56" s="106">
        <v>0</v>
      </c>
      <c r="BP56" s="106">
        <v>0</v>
      </c>
      <c r="BQ56" s="106">
        <v>0</v>
      </c>
      <c r="BR56" s="106">
        <v>0</v>
      </c>
      <c r="BS56" s="106">
        <v>0</v>
      </c>
      <c r="BT56" s="106">
        <v>0</v>
      </c>
      <c r="BU56" s="106">
        <v>0</v>
      </c>
      <c r="BV56" s="106">
        <v>0</v>
      </c>
      <c r="BW56" s="106">
        <v>0</v>
      </c>
      <c r="BX56" s="106">
        <v>0</v>
      </c>
      <c r="BY56" s="106">
        <v>0</v>
      </c>
      <c r="BZ56" s="106">
        <v>0</v>
      </c>
      <c r="CA56" s="106">
        <v>0</v>
      </c>
      <c r="CB56" s="106">
        <v>0</v>
      </c>
      <c r="CC56" s="106">
        <v>0</v>
      </c>
      <c r="CD56" s="106">
        <v>0</v>
      </c>
      <c r="CE56" s="106">
        <v>0</v>
      </c>
      <c r="CF56" s="106">
        <v>0</v>
      </c>
      <c r="CG56" s="106">
        <v>0</v>
      </c>
      <c r="CH56" s="106">
        <v>0</v>
      </c>
      <c r="CI56" s="106">
        <v>0</v>
      </c>
      <c r="CJ56" s="106">
        <v>0</v>
      </c>
      <c r="CK56" s="106">
        <v>0</v>
      </c>
      <c r="CL56" s="106">
        <v>0</v>
      </c>
      <c r="CM56" s="106">
        <v>0</v>
      </c>
      <c r="CN56" s="106">
        <v>0</v>
      </c>
      <c r="CO56" s="106">
        <v>0</v>
      </c>
      <c r="CP56" s="106">
        <v>0</v>
      </c>
      <c r="CQ56" s="106">
        <v>0</v>
      </c>
      <c r="CR56" s="106">
        <v>0</v>
      </c>
      <c r="CS56" s="106">
        <v>0</v>
      </c>
      <c r="CT56" s="106">
        <v>0</v>
      </c>
      <c r="CU56" s="106">
        <v>0</v>
      </c>
    </row>
    <row r="57" spans="2:99" x14ac:dyDescent="0.2">
      <c r="C57" s="105" t="s">
        <v>222</v>
      </c>
      <c r="D57" s="106">
        <v>0</v>
      </c>
      <c r="E57" s="106">
        <v>0</v>
      </c>
      <c r="F57" s="106">
        <v>0</v>
      </c>
      <c r="G57" s="106">
        <v>0</v>
      </c>
      <c r="H57" s="106">
        <v>0</v>
      </c>
      <c r="I57" s="106">
        <v>0</v>
      </c>
      <c r="J57" s="106">
        <v>0</v>
      </c>
      <c r="K57" s="106">
        <v>0</v>
      </c>
      <c r="L57" s="106">
        <v>0</v>
      </c>
      <c r="M57" s="106">
        <v>0</v>
      </c>
      <c r="N57" s="106">
        <v>0</v>
      </c>
      <c r="O57" s="106">
        <v>0</v>
      </c>
      <c r="P57" s="106">
        <v>0</v>
      </c>
      <c r="Q57" s="106">
        <v>0</v>
      </c>
      <c r="R57" s="106">
        <v>0</v>
      </c>
      <c r="S57" s="106">
        <v>0</v>
      </c>
      <c r="T57" s="106">
        <v>0</v>
      </c>
      <c r="U57" s="106">
        <v>0</v>
      </c>
      <c r="V57" s="106">
        <v>0</v>
      </c>
      <c r="W57" s="106">
        <v>0</v>
      </c>
      <c r="X57" s="106">
        <v>0</v>
      </c>
      <c r="Y57" s="106">
        <v>0</v>
      </c>
      <c r="Z57" s="106">
        <v>0</v>
      </c>
      <c r="AA57" s="106">
        <v>0</v>
      </c>
      <c r="AB57" s="106">
        <v>0</v>
      </c>
      <c r="AC57" s="106">
        <v>0</v>
      </c>
      <c r="AD57" s="106">
        <v>0</v>
      </c>
      <c r="AE57" s="106">
        <v>0</v>
      </c>
      <c r="AF57" s="106">
        <v>0</v>
      </c>
      <c r="AG57" s="106">
        <v>0</v>
      </c>
      <c r="AH57" s="106">
        <v>0</v>
      </c>
      <c r="AI57" s="106">
        <v>0</v>
      </c>
      <c r="AJ57" s="106">
        <v>0</v>
      </c>
      <c r="AK57" s="106">
        <v>0</v>
      </c>
      <c r="AL57" s="106">
        <v>0</v>
      </c>
      <c r="AM57" s="106">
        <v>0</v>
      </c>
      <c r="AN57" s="106">
        <v>0</v>
      </c>
      <c r="AO57" s="106">
        <v>0</v>
      </c>
      <c r="AP57" s="106">
        <v>0</v>
      </c>
      <c r="AQ57" s="106">
        <v>0</v>
      </c>
      <c r="AR57" s="106">
        <v>0</v>
      </c>
      <c r="AS57" s="106">
        <v>0</v>
      </c>
      <c r="AT57" s="106">
        <v>0</v>
      </c>
      <c r="AU57" s="106">
        <v>0</v>
      </c>
      <c r="AV57" s="106">
        <v>0</v>
      </c>
      <c r="AW57" s="106">
        <v>0</v>
      </c>
      <c r="AX57" s="106">
        <v>0</v>
      </c>
      <c r="AY57" s="106">
        <v>0</v>
      </c>
      <c r="AZ57" s="106">
        <v>0</v>
      </c>
      <c r="BA57" s="106">
        <v>0</v>
      </c>
      <c r="BB57" s="106">
        <v>0</v>
      </c>
      <c r="BC57" s="106">
        <v>0</v>
      </c>
      <c r="BD57" s="106">
        <v>0</v>
      </c>
      <c r="BE57" s="106">
        <v>0</v>
      </c>
      <c r="BF57" s="106">
        <v>0</v>
      </c>
      <c r="BG57" s="106">
        <v>0</v>
      </c>
      <c r="BH57" s="106">
        <v>0</v>
      </c>
      <c r="BI57" s="106">
        <v>0</v>
      </c>
      <c r="BJ57" s="106">
        <v>0</v>
      </c>
      <c r="BK57" s="106">
        <v>0</v>
      </c>
      <c r="BL57" s="106">
        <v>0</v>
      </c>
      <c r="BM57" s="106">
        <v>0</v>
      </c>
      <c r="BN57" s="106">
        <v>0</v>
      </c>
      <c r="BO57" s="106">
        <v>0</v>
      </c>
      <c r="BP57" s="106">
        <v>0</v>
      </c>
      <c r="BQ57" s="106">
        <v>0</v>
      </c>
      <c r="BR57" s="106">
        <v>0</v>
      </c>
      <c r="BS57" s="106">
        <v>0</v>
      </c>
      <c r="BT57" s="106">
        <v>0</v>
      </c>
      <c r="BU57" s="106">
        <v>0</v>
      </c>
      <c r="BV57" s="106">
        <v>0</v>
      </c>
      <c r="BW57" s="106">
        <v>0</v>
      </c>
      <c r="BX57" s="106">
        <v>0</v>
      </c>
      <c r="BY57" s="106">
        <v>0</v>
      </c>
      <c r="BZ57" s="106">
        <v>0</v>
      </c>
      <c r="CA57" s="106">
        <v>0</v>
      </c>
      <c r="CB57" s="106">
        <v>0</v>
      </c>
      <c r="CC57" s="106">
        <v>0</v>
      </c>
      <c r="CD57" s="106">
        <v>0</v>
      </c>
      <c r="CE57" s="106">
        <v>0</v>
      </c>
      <c r="CF57" s="106">
        <v>0</v>
      </c>
      <c r="CG57" s="106">
        <v>0</v>
      </c>
      <c r="CH57" s="106">
        <v>0</v>
      </c>
      <c r="CI57" s="106">
        <v>0</v>
      </c>
      <c r="CJ57" s="106">
        <v>0</v>
      </c>
      <c r="CK57" s="106">
        <v>0</v>
      </c>
      <c r="CL57" s="106">
        <v>0</v>
      </c>
      <c r="CM57" s="106">
        <v>0</v>
      </c>
      <c r="CN57" s="106">
        <v>0</v>
      </c>
      <c r="CO57" s="106">
        <v>0</v>
      </c>
      <c r="CP57" s="106">
        <v>0</v>
      </c>
      <c r="CQ57" s="106">
        <v>0</v>
      </c>
      <c r="CR57" s="106">
        <v>0</v>
      </c>
      <c r="CS57" s="106">
        <v>0</v>
      </c>
      <c r="CT57" s="106">
        <v>0</v>
      </c>
      <c r="CU57" s="106">
        <v>0</v>
      </c>
    </row>
    <row r="58" spans="2:99" x14ac:dyDescent="0.2">
      <c r="C58" s="105" t="s">
        <v>223</v>
      </c>
      <c r="D58" s="106">
        <v>0</v>
      </c>
      <c r="E58" s="106">
        <v>0</v>
      </c>
      <c r="F58" s="106">
        <v>0</v>
      </c>
      <c r="G58" s="106">
        <v>0</v>
      </c>
      <c r="H58" s="106">
        <v>0</v>
      </c>
      <c r="I58" s="106">
        <v>0</v>
      </c>
      <c r="J58" s="106">
        <v>0</v>
      </c>
      <c r="K58" s="106">
        <v>0</v>
      </c>
      <c r="L58" s="106">
        <v>0</v>
      </c>
      <c r="M58" s="106">
        <v>0</v>
      </c>
      <c r="N58" s="106">
        <v>0</v>
      </c>
      <c r="O58" s="106">
        <v>0</v>
      </c>
      <c r="P58" s="106">
        <v>0</v>
      </c>
      <c r="Q58" s="106">
        <v>0</v>
      </c>
      <c r="R58" s="106">
        <v>0</v>
      </c>
      <c r="S58" s="106">
        <v>0</v>
      </c>
      <c r="T58" s="106">
        <v>0</v>
      </c>
      <c r="U58" s="106">
        <v>0</v>
      </c>
      <c r="V58" s="106">
        <v>0</v>
      </c>
      <c r="W58" s="106">
        <v>0</v>
      </c>
      <c r="X58" s="106">
        <v>0</v>
      </c>
      <c r="Y58" s="106">
        <v>0</v>
      </c>
      <c r="Z58" s="106">
        <v>0</v>
      </c>
      <c r="AA58" s="106">
        <v>0</v>
      </c>
      <c r="AB58" s="106">
        <v>0</v>
      </c>
      <c r="AC58" s="106">
        <v>0</v>
      </c>
      <c r="AD58" s="106">
        <v>0</v>
      </c>
      <c r="AE58" s="106">
        <v>0</v>
      </c>
      <c r="AF58" s="106">
        <v>0</v>
      </c>
      <c r="AG58" s="106">
        <v>0</v>
      </c>
      <c r="AH58" s="106">
        <v>0</v>
      </c>
      <c r="AI58" s="106">
        <v>0</v>
      </c>
      <c r="AJ58" s="106">
        <v>0</v>
      </c>
      <c r="AK58" s="106">
        <v>0</v>
      </c>
      <c r="AL58" s="106">
        <v>0</v>
      </c>
      <c r="AM58" s="106">
        <v>0</v>
      </c>
      <c r="AN58" s="106">
        <v>0</v>
      </c>
      <c r="AO58" s="106">
        <v>0</v>
      </c>
      <c r="AP58" s="106">
        <v>0</v>
      </c>
      <c r="AQ58" s="106">
        <v>0</v>
      </c>
      <c r="AR58" s="106">
        <v>0</v>
      </c>
      <c r="AS58" s="106">
        <v>0</v>
      </c>
      <c r="AT58" s="106">
        <v>0</v>
      </c>
      <c r="AU58" s="106">
        <v>0</v>
      </c>
      <c r="AV58" s="106">
        <v>0</v>
      </c>
      <c r="AW58" s="106">
        <v>0</v>
      </c>
      <c r="AX58" s="106">
        <v>0</v>
      </c>
      <c r="AY58" s="106">
        <v>0</v>
      </c>
      <c r="AZ58" s="106">
        <v>0</v>
      </c>
      <c r="BA58" s="106">
        <v>0</v>
      </c>
      <c r="BB58" s="106">
        <v>0</v>
      </c>
      <c r="BC58" s="106">
        <v>0</v>
      </c>
      <c r="BD58" s="106">
        <v>0</v>
      </c>
      <c r="BE58" s="106">
        <v>0</v>
      </c>
      <c r="BF58" s="106">
        <v>0</v>
      </c>
      <c r="BG58" s="106">
        <v>0</v>
      </c>
      <c r="BH58" s="106">
        <v>0</v>
      </c>
      <c r="BI58" s="106">
        <v>0</v>
      </c>
      <c r="BJ58" s="106">
        <v>0</v>
      </c>
      <c r="BK58" s="106">
        <v>0</v>
      </c>
      <c r="BL58" s="106">
        <v>0</v>
      </c>
      <c r="BM58" s="106">
        <v>0</v>
      </c>
      <c r="BN58" s="106">
        <v>0</v>
      </c>
      <c r="BO58" s="106">
        <v>0</v>
      </c>
      <c r="BP58" s="106">
        <v>0</v>
      </c>
      <c r="BQ58" s="106">
        <v>0</v>
      </c>
      <c r="BR58" s="106">
        <v>0</v>
      </c>
      <c r="BS58" s="106">
        <v>0</v>
      </c>
      <c r="BT58" s="106">
        <v>0</v>
      </c>
      <c r="BU58" s="106">
        <v>0</v>
      </c>
      <c r="BV58" s="106">
        <v>0</v>
      </c>
      <c r="BW58" s="106">
        <v>0</v>
      </c>
      <c r="BX58" s="106">
        <v>0</v>
      </c>
      <c r="BY58" s="106">
        <v>0</v>
      </c>
      <c r="BZ58" s="106">
        <v>0</v>
      </c>
      <c r="CA58" s="106">
        <v>0</v>
      </c>
      <c r="CB58" s="106">
        <v>0</v>
      </c>
      <c r="CC58" s="106">
        <v>0</v>
      </c>
      <c r="CD58" s="106">
        <v>0</v>
      </c>
      <c r="CE58" s="106">
        <v>0</v>
      </c>
      <c r="CF58" s="106">
        <v>0</v>
      </c>
      <c r="CG58" s="106">
        <v>0</v>
      </c>
      <c r="CH58" s="106">
        <v>0</v>
      </c>
      <c r="CI58" s="106">
        <v>0</v>
      </c>
      <c r="CJ58" s="106">
        <v>0</v>
      </c>
      <c r="CK58" s="106">
        <v>0</v>
      </c>
      <c r="CL58" s="106">
        <v>0</v>
      </c>
      <c r="CM58" s="106">
        <v>0</v>
      </c>
      <c r="CN58" s="106">
        <v>0</v>
      </c>
      <c r="CO58" s="106">
        <v>0</v>
      </c>
      <c r="CP58" s="106">
        <v>0</v>
      </c>
      <c r="CQ58" s="106">
        <v>0</v>
      </c>
      <c r="CR58" s="106">
        <v>0</v>
      </c>
      <c r="CS58" s="106">
        <v>0</v>
      </c>
      <c r="CT58" s="106">
        <v>0</v>
      </c>
      <c r="CU58" s="106">
        <v>0</v>
      </c>
    </row>
    <row r="59" spans="2:99" x14ac:dyDescent="0.2">
      <c r="C59" s="105" t="s">
        <v>224</v>
      </c>
      <c r="D59" s="106">
        <v>0</v>
      </c>
      <c r="E59" s="106">
        <v>0</v>
      </c>
      <c r="F59" s="106">
        <v>0</v>
      </c>
      <c r="G59" s="106">
        <v>0</v>
      </c>
      <c r="H59" s="106">
        <v>0</v>
      </c>
      <c r="I59" s="106">
        <v>0</v>
      </c>
      <c r="J59" s="106">
        <v>0</v>
      </c>
      <c r="K59" s="106">
        <v>0</v>
      </c>
      <c r="L59" s="106">
        <v>0</v>
      </c>
      <c r="M59" s="106">
        <v>0</v>
      </c>
      <c r="N59" s="106">
        <v>0</v>
      </c>
      <c r="O59" s="106">
        <v>0</v>
      </c>
      <c r="P59" s="106">
        <v>0</v>
      </c>
      <c r="Q59" s="106">
        <v>0</v>
      </c>
      <c r="R59" s="106">
        <v>0</v>
      </c>
      <c r="S59" s="106">
        <v>0</v>
      </c>
      <c r="T59" s="106">
        <v>0</v>
      </c>
      <c r="U59" s="106">
        <v>0</v>
      </c>
      <c r="V59" s="106">
        <v>0</v>
      </c>
      <c r="W59" s="106">
        <v>0</v>
      </c>
      <c r="X59" s="106">
        <v>0</v>
      </c>
      <c r="Y59" s="106">
        <v>0</v>
      </c>
      <c r="Z59" s="106">
        <v>0</v>
      </c>
      <c r="AA59" s="106">
        <v>0</v>
      </c>
      <c r="AB59" s="106">
        <v>0</v>
      </c>
      <c r="AC59" s="106">
        <v>0</v>
      </c>
      <c r="AD59" s="106">
        <v>0</v>
      </c>
      <c r="AE59" s="106">
        <v>0</v>
      </c>
      <c r="AF59" s="106">
        <v>0</v>
      </c>
      <c r="AG59" s="106">
        <v>0</v>
      </c>
      <c r="AH59" s="106">
        <v>0</v>
      </c>
      <c r="AI59" s="106">
        <v>0</v>
      </c>
      <c r="AJ59" s="106">
        <v>0</v>
      </c>
      <c r="AK59" s="106">
        <v>0</v>
      </c>
      <c r="AL59" s="106">
        <v>0</v>
      </c>
      <c r="AM59" s="106">
        <v>0</v>
      </c>
      <c r="AN59" s="106">
        <v>0</v>
      </c>
      <c r="AO59" s="106">
        <v>0</v>
      </c>
      <c r="AP59" s="106">
        <v>0</v>
      </c>
      <c r="AQ59" s="106">
        <v>0</v>
      </c>
      <c r="AR59" s="106">
        <v>0</v>
      </c>
      <c r="AS59" s="106">
        <v>0</v>
      </c>
      <c r="AT59" s="106">
        <v>0</v>
      </c>
      <c r="AU59" s="106">
        <v>0</v>
      </c>
      <c r="AV59" s="106">
        <v>0</v>
      </c>
      <c r="AW59" s="106">
        <v>0</v>
      </c>
      <c r="AX59" s="106">
        <v>0</v>
      </c>
      <c r="AY59" s="106">
        <v>0</v>
      </c>
      <c r="AZ59" s="106">
        <v>0</v>
      </c>
      <c r="BA59" s="106">
        <v>0</v>
      </c>
      <c r="BB59" s="106">
        <v>0</v>
      </c>
      <c r="BC59" s="106">
        <v>0</v>
      </c>
      <c r="BD59" s="106">
        <v>0</v>
      </c>
      <c r="BE59" s="106">
        <v>0</v>
      </c>
      <c r="BF59" s="106">
        <v>0</v>
      </c>
      <c r="BG59" s="106">
        <v>0</v>
      </c>
      <c r="BH59" s="106">
        <v>0</v>
      </c>
      <c r="BI59" s="106">
        <v>0</v>
      </c>
      <c r="BJ59" s="106">
        <v>0</v>
      </c>
      <c r="BK59" s="106">
        <v>0</v>
      </c>
      <c r="BL59" s="106">
        <v>0</v>
      </c>
      <c r="BM59" s="106">
        <v>0</v>
      </c>
      <c r="BN59" s="106">
        <v>0</v>
      </c>
      <c r="BO59" s="106">
        <v>0</v>
      </c>
      <c r="BP59" s="106">
        <v>0</v>
      </c>
      <c r="BQ59" s="106">
        <v>0</v>
      </c>
      <c r="BR59" s="106">
        <v>0</v>
      </c>
      <c r="BS59" s="106">
        <v>0</v>
      </c>
      <c r="BT59" s="106">
        <v>0</v>
      </c>
      <c r="BU59" s="106">
        <v>0</v>
      </c>
      <c r="BV59" s="106">
        <v>0</v>
      </c>
      <c r="BW59" s="106">
        <v>0</v>
      </c>
      <c r="BX59" s="106">
        <v>0</v>
      </c>
      <c r="BY59" s="106">
        <v>0</v>
      </c>
      <c r="BZ59" s="106">
        <v>0</v>
      </c>
      <c r="CA59" s="106">
        <v>0</v>
      </c>
      <c r="CB59" s="106">
        <v>0</v>
      </c>
      <c r="CC59" s="106">
        <v>0</v>
      </c>
      <c r="CD59" s="106">
        <v>0</v>
      </c>
      <c r="CE59" s="106">
        <v>0</v>
      </c>
      <c r="CF59" s="106">
        <v>0</v>
      </c>
      <c r="CG59" s="106">
        <v>0</v>
      </c>
      <c r="CH59" s="106">
        <v>0</v>
      </c>
      <c r="CI59" s="106">
        <v>0</v>
      </c>
      <c r="CJ59" s="106">
        <v>0</v>
      </c>
      <c r="CK59" s="106">
        <v>0</v>
      </c>
      <c r="CL59" s="106">
        <v>0</v>
      </c>
      <c r="CM59" s="106">
        <v>0</v>
      </c>
      <c r="CN59" s="106">
        <v>0</v>
      </c>
      <c r="CO59" s="106">
        <v>0</v>
      </c>
      <c r="CP59" s="106">
        <v>0</v>
      </c>
      <c r="CQ59" s="106">
        <v>0</v>
      </c>
      <c r="CR59" s="106">
        <v>0</v>
      </c>
      <c r="CS59" s="106">
        <v>0</v>
      </c>
      <c r="CT59" s="106">
        <v>0</v>
      </c>
      <c r="CU59" s="106">
        <v>0</v>
      </c>
    </row>
    <row r="60" spans="2:99" x14ac:dyDescent="0.2">
      <c r="C60" s="105" t="s">
        <v>225</v>
      </c>
      <c r="D60" s="106">
        <v>0</v>
      </c>
      <c r="E60" s="106">
        <v>0</v>
      </c>
      <c r="F60" s="106">
        <v>0</v>
      </c>
      <c r="G60" s="106">
        <v>0</v>
      </c>
      <c r="H60" s="106">
        <v>0</v>
      </c>
      <c r="I60" s="106">
        <v>0</v>
      </c>
      <c r="J60" s="106">
        <v>0</v>
      </c>
      <c r="K60" s="106">
        <v>0</v>
      </c>
      <c r="L60" s="106">
        <v>0</v>
      </c>
      <c r="M60" s="106">
        <v>0</v>
      </c>
      <c r="N60" s="106">
        <v>0</v>
      </c>
      <c r="O60" s="106">
        <v>0</v>
      </c>
      <c r="P60" s="106">
        <v>0</v>
      </c>
      <c r="Q60" s="106">
        <v>0</v>
      </c>
      <c r="R60" s="106">
        <v>0</v>
      </c>
      <c r="S60" s="106">
        <v>0</v>
      </c>
      <c r="T60" s="106">
        <v>0</v>
      </c>
      <c r="U60" s="106">
        <v>0</v>
      </c>
      <c r="V60" s="106">
        <v>0</v>
      </c>
      <c r="W60" s="106">
        <v>0</v>
      </c>
      <c r="X60" s="106">
        <v>0</v>
      </c>
      <c r="Y60" s="106">
        <v>0</v>
      </c>
      <c r="Z60" s="106">
        <v>0</v>
      </c>
      <c r="AA60" s="106">
        <v>0</v>
      </c>
      <c r="AB60" s="106">
        <v>0</v>
      </c>
      <c r="AC60" s="106">
        <v>0</v>
      </c>
      <c r="AD60" s="106">
        <v>0</v>
      </c>
      <c r="AE60" s="106">
        <v>0</v>
      </c>
      <c r="AF60" s="106">
        <v>0</v>
      </c>
      <c r="AG60" s="106">
        <v>0</v>
      </c>
      <c r="AH60" s="106">
        <v>0</v>
      </c>
      <c r="AI60" s="106">
        <v>0</v>
      </c>
      <c r="AJ60" s="106">
        <v>0</v>
      </c>
      <c r="AK60" s="106">
        <v>0</v>
      </c>
      <c r="AL60" s="106">
        <v>0</v>
      </c>
      <c r="AM60" s="106">
        <v>0</v>
      </c>
      <c r="AN60" s="106">
        <v>0</v>
      </c>
      <c r="AO60" s="106">
        <v>0</v>
      </c>
      <c r="AP60" s="106">
        <v>0</v>
      </c>
      <c r="AQ60" s="106">
        <v>0</v>
      </c>
      <c r="AR60" s="106">
        <v>0</v>
      </c>
      <c r="AS60" s="106">
        <v>0</v>
      </c>
      <c r="AT60" s="106">
        <v>0</v>
      </c>
      <c r="AU60" s="106">
        <v>0</v>
      </c>
      <c r="AV60" s="106">
        <v>0</v>
      </c>
      <c r="AW60" s="106">
        <v>0</v>
      </c>
      <c r="AX60" s="106">
        <v>0</v>
      </c>
      <c r="AY60" s="106">
        <v>0</v>
      </c>
      <c r="AZ60" s="106">
        <v>0</v>
      </c>
      <c r="BA60" s="106">
        <v>0</v>
      </c>
      <c r="BB60" s="106">
        <v>0</v>
      </c>
      <c r="BC60" s="106">
        <v>0</v>
      </c>
      <c r="BD60" s="106">
        <v>0</v>
      </c>
      <c r="BE60" s="106">
        <v>0</v>
      </c>
      <c r="BF60" s="106">
        <v>0</v>
      </c>
      <c r="BG60" s="106">
        <v>0</v>
      </c>
      <c r="BH60" s="106">
        <v>0</v>
      </c>
      <c r="BI60" s="106">
        <v>0</v>
      </c>
      <c r="BJ60" s="106">
        <v>0</v>
      </c>
      <c r="BK60" s="106">
        <v>0</v>
      </c>
      <c r="BL60" s="106">
        <v>0</v>
      </c>
      <c r="BM60" s="106">
        <v>0</v>
      </c>
      <c r="BN60" s="106">
        <v>0</v>
      </c>
      <c r="BO60" s="106">
        <v>0</v>
      </c>
      <c r="BP60" s="106">
        <v>0</v>
      </c>
      <c r="BQ60" s="106">
        <v>0</v>
      </c>
      <c r="BR60" s="106">
        <v>0</v>
      </c>
      <c r="BS60" s="106">
        <v>0</v>
      </c>
      <c r="BT60" s="106">
        <v>0</v>
      </c>
      <c r="BU60" s="106">
        <v>0</v>
      </c>
      <c r="BV60" s="106">
        <v>0</v>
      </c>
      <c r="BW60" s="106">
        <v>0</v>
      </c>
      <c r="BX60" s="106">
        <v>0</v>
      </c>
      <c r="BY60" s="106">
        <v>0</v>
      </c>
      <c r="BZ60" s="106">
        <v>0</v>
      </c>
      <c r="CA60" s="106">
        <v>0</v>
      </c>
      <c r="CB60" s="106">
        <v>0</v>
      </c>
      <c r="CC60" s="106">
        <v>0</v>
      </c>
      <c r="CD60" s="106">
        <v>0</v>
      </c>
      <c r="CE60" s="106">
        <v>0</v>
      </c>
      <c r="CF60" s="106">
        <v>0</v>
      </c>
      <c r="CG60" s="106">
        <v>0</v>
      </c>
      <c r="CH60" s="106">
        <v>0</v>
      </c>
      <c r="CI60" s="106">
        <v>0</v>
      </c>
      <c r="CJ60" s="106">
        <v>0</v>
      </c>
      <c r="CK60" s="106">
        <v>0</v>
      </c>
      <c r="CL60" s="106">
        <v>0</v>
      </c>
      <c r="CM60" s="106">
        <v>0</v>
      </c>
      <c r="CN60" s="106">
        <v>0</v>
      </c>
      <c r="CO60" s="106">
        <v>0</v>
      </c>
      <c r="CP60" s="106">
        <v>0</v>
      </c>
      <c r="CQ60" s="106">
        <v>0</v>
      </c>
      <c r="CR60" s="106">
        <v>0</v>
      </c>
      <c r="CS60" s="106">
        <v>0</v>
      </c>
      <c r="CT60" s="106">
        <v>0</v>
      </c>
      <c r="CU60" s="106">
        <v>0</v>
      </c>
    </row>
    <row r="61" spans="2:99" x14ac:dyDescent="0.2">
      <c r="C61" s="105" t="s">
        <v>226</v>
      </c>
      <c r="D61" s="106">
        <v>0</v>
      </c>
      <c r="E61" s="106">
        <v>0</v>
      </c>
      <c r="F61" s="106">
        <v>0</v>
      </c>
      <c r="G61" s="106">
        <v>0</v>
      </c>
      <c r="H61" s="106">
        <v>0</v>
      </c>
      <c r="I61" s="106">
        <v>0</v>
      </c>
      <c r="J61" s="106">
        <v>0</v>
      </c>
      <c r="K61" s="106">
        <v>0</v>
      </c>
      <c r="L61" s="106">
        <v>0</v>
      </c>
      <c r="M61" s="106">
        <v>0</v>
      </c>
      <c r="N61" s="106">
        <v>0</v>
      </c>
      <c r="O61" s="106">
        <v>0</v>
      </c>
      <c r="P61" s="106">
        <v>0</v>
      </c>
      <c r="Q61" s="106">
        <v>0</v>
      </c>
      <c r="R61" s="106">
        <v>0</v>
      </c>
      <c r="S61" s="106">
        <v>0</v>
      </c>
      <c r="T61" s="106">
        <v>0</v>
      </c>
      <c r="U61" s="106">
        <v>0</v>
      </c>
      <c r="V61" s="106">
        <v>0</v>
      </c>
      <c r="W61" s="106">
        <v>0</v>
      </c>
      <c r="X61" s="106">
        <v>0</v>
      </c>
      <c r="Y61" s="106">
        <v>0</v>
      </c>
      <c r="Z61" s="106">
        <v>0</v>
      </c>
      <c r="AA61" s="106">
        <v>0</v>
      </c>
      <c r="AB61" s="106">
        <v>0</v>
      </c>
      <c r="AC61" s="106">
        <v>0</v>
      </c>
      <c r="AD61" s="106">
        <v>0</v>
      </c>
      <c r="AE61" s="106">
        <v>0</v>
      </c>
      <c r="AF61" s="106">
        <v>0</v>
      </c>
      <c r="AG61" s="106">
        <v>0</v>
      </c>
      <c r="AH61" s="106">
        <v>0</v>
      </c>
      <c r="AI61" s="106">
        <v>0</v>
      </c>
      <c r="AJ61" s="106">
        <v>0</v>
      </c>
      <c r="AK61" s="106">
        <v>0</v>
      </c>
      <c r="AL61" s="106">
        <v>0</v>
      </c>
      <c r="AM61" s="106">
        <v>0</v>
      </c>
      <c r="AN61" s="106">
        <v>0</v>
      </c>
      <c r="AO61" s="106">
        <v>0</v>
      </c>
      <c r="AP61" s="106">
        <v>0</v>
      </c>
      <c r="AQ61" s="106">
        <v>0</v>
      </c>
      <c r="AR61" s="106">
        <v>0</v>
      </c>
      <c r="AS61" s="106">
        <v>0</v>
      </c>
      <c r="AT61" s="106">
        <v>0</v>
      </c>
      <c r="AU61" s="106">
        <v>0</v>
      </c>
      <c r="AV61" s="106">
        <v>0</v>
      </c>
      <c r="AW61" s="106">
        <v>0</v>
      </c>
      <c r="AX61" s="106">
        <v>0</v>
      </c>
      <c r="AY61" s="106">
        <v>0</v>
      </c>
      <c r="AZ61" s="106">
        <v>0</v>
      </c>
      <c r="BA61" s="106">
        <v>0</v>
      </c>
      <c r="BB61" s="106">
        <v>0</v>
      </c>
      <c r="BC61" s="106">
        <v>0</v>
      </c>
      <c r="BD61" s="106">
        <v>0</v>
      </c>
      <c r="BE61" s="106">
        <v>0</v>
      </c>
      <c r="BF61" s="106">
        <v>0</v>
      </c>
      <c r="BG61" s="106">
        <v>0</v>
      </c>
      <c r="BH61" s="106">
        <v>0</v>
      </c>
      <c r="BI61" s="106">
        <v>0</v>
      </c>
      <c r="BJ61" s="106">
        <v>0</v>
      </c>
      <c r="BK61" s="106">
        <v>0</v>
      </c>
      <c r="BL61" s="106">
        <v>0</v>
      </c>
      <c r="BM61" s="106">
        <v>0</v>
      </c>
      <c r="BN61" s="106">
        <v>0</v>
      </c>
      <c r="BO61" s="106">
        <v>0</v>
      </c>
      <c r="BP61" s="106">
        <v>0</v>
      </c>
      <c r="BQ61" s="106">
        <v>0</v>
      </c>
      <c r="BR61" s="106">
        <v>0</v>
      </c>
      <c r="BS61" s="106">
        <v>0</v>
      </c>
      <c r="BT61" s="106">
        <v>0</v>
      </c>
      <c r="BU61" s="106">
        <v>0</v>
      </c>
      <c r="BV61" s="106">
        <v>0</v>
      </c>
      <c r="BW61" s="106">
        <v>0</v>
      </c>
      <c r="BX61" s="106">
        <v>0</v>
      </c>
      <c r="BY61" s="106">
        <v>0</v>
      </c>
      <c r="BZ61" s="106">
        <v>0</v>
      </c>
      <c r="CA61" s="106">
        <v>0</v>
      </c>
      <c r="CB61" s="106">
        <v>0</v>
      </c>
      <c r="CC61" s="106">
        <v>0</v>
      </c>
      <c r="CD61" s="106">
        <v>0</v>
      </c>
      <c r="CE61" s="106">
        <v>0</v>
      </c>
      <c r="CF61" s="106">
        <v>0</v>
      </c>
      <c r="CG61" s="106">
        <v>0</v>
      </c>
      <c r="CH61" s="106">
        <v>0</v>
      </c>
      <c r="CI61" s="106">
        <v>0</v>
      </c>
      <c r="CJ61" s="106">
        <v>0</v>
      </c>
      <c r="CK61" s="106">
        <v>0</v>
      </c>
      <c r="CL61" s="106">
        <v>0</v>
      </c>
      <c r="CM61" s="106">
        <v>0</v>
      </c>
      <c r="CN61" s="106">
        <v>0</v>
      </c>
      <c r="CO61" s="106">
        <v>0</v>
      </c>
      <c r="CP61" s="106">
        <v>0</v>
      </c>
      <c r="CQ61" s="106">
        <v>0</v>
      </c>
      <c r="CR61" s="106">
        <v>0</v>
      </c>
      <c r="CS61" s="106">
        <v>0</v>
      </c>
      <c r="CT61" s="106">
        <v>0</v>
      </c>
      <c r="CU61" s="106">
        <v>0</v>
      </c>
    </row>
    <row r="62" spans="2:99" x14ac:dyDescent="0.2">
      <c r="C62" s="105" t="s">
        <v>227</v>
      </c>
      <c r="D62" s="106">
        <v>0</v>
      </c>
      <c r="E62" s="106">
        <v>0</v>
      </c>
      <c r="F62" s="106">
        <v>0</v>
      </c>
      <c r="G62" s="106">
        <v>0</v>
      </c>
      <c r="H62" s="106">
        <v>0</v>
      </c>
      <c r="I62" s="106">
        <v>0</v>
      </c>
      <c r="J62" s="106">
        <v>0</v>
      </c>
      <c r="K62" s="106">
        <v>0</v>
      </c>
      <c r="L62" s="106">
        <v>0</v>
      </c>
      <c r="M62" s="106">
        <v>0</v>
      </c>
      <c r="N62" s="106">
        <v>0</v>
      </c>
      <c r="O62" s="106">
        <v>0</v>
      </c>
      <c r="P62" s="106">
        <v>0</v>
      </c>
      <c r="Q62" s="106">
        <v>0</v>
      </c>
      <c r="R62" s="106">
        <v>0</v>
      </c>
      <c r="S62" s="106">
        <v>0</v>
      </c>
      <c r="T62" s="106">
        <v>0</v>
      </c>
      <c r="U62" s="106">
        <v>0</v>
      </c>
      <c r="V62" s="106">
        <v>0</v>
      </c>
      <c r="W62" s="106">
        <v>0</v>
      </c>
      <c r="X62" s="106">
        <v>0</v>
      </c>
      <c r="Y62" s="106">
        <v>0</v>
      </c>
      <c r="Z62" s="106">
        <v>0</v>
      </c>
      <c r="AA62" s="106">
        <v>0</v>
      </c>
      <c r="AB62" s="106">
        <v>0</v>
      </c>
      <c r="AC62" s="106">
        <v>0</v>
      </c>
      <c r="AD62" s="106">
        <v>0</v>
      </c>
      <c r="AE62" s="106">
        <v>0</v>
      </c>
      <c r="AF62" s="106">
        <v>0</v>
      </c>
      <c r="AG62" s="106">
        <v>0</v>
      </c>
      <c r="AH62" s="106">
        <v>0</v>
      </c>
      <c r="AI62" s="106">
        <v>0</v>
      </c>
      <c r="AJ62" s="106">
        <v>0</v>
      </c>
      <c r="AK62" s="106">
        <v>0</v>
      </c>
      <c r="AL62" s="106">
        <v>0</v>
      </c>
      <c r="AM62" s="106">
        <v>0</v>
      </c>
      <c r="AN62" s="106">
        <v>0</v>
      </c>
      <c r="AO62" s="106">
        <v>0</v>
      </c>
      <c r="AP62" s="106">
        <v>0</v>
      </c>
      <c r="AQ62" s="106">
        <v>0</v>
      </c>
      <c r="AR62" s="106">
        <v>0</v>
      </c>
      <c r="AS62" s="106">
        <v>0</v>
      </c>
      <c r="AT62" s="106">
        <v>0</v>
      </c>
      <c r="AU62" s="106">
        <v>0</v>
      </c>
      <c r="AV62" s="106">
        <v>0</v>
      </c>
      <c r="AW62" s="106">
        <v>0</v>
      </c>
      <c r="AX62" s="106">
        <v>0</v>
      </c>
      <c r="AY62" s="106">
        <v>0</v>
      </c>
      <c r="AZ62" s="106">
        <v>0</v>
      </c>
      <c r="BA62" s="106">
        <v>0</v>
      </c>
      <c r="BB62" s="106">
        <v>0</v>
      </c>
      <c r="BC62" s="106">
        <v>0</v>
      </c>
      <c r="BD62" s="106">
        <v>0</v>
      </c>
      <c r="BE62" s="106">
        <v>0</v>
      </c>
      <c r="BF62" s="106">
        <v>0</v>
      </c>
      <c r="BG62" s="106">
        <v>0</v>
      </c>
      <c r="BH62" s="106">
        <v>0</v>
      </c>
      <c r="BI62" s="106">
        <v>0</v>
      </c>
      <c r="BJ62" s="106">
        <v>0</v>
      </c>
      <c r="BK62" s="106">
        <v>0</v>
      </c>
      <c r="BL62" s="106">
        <v>0</v>
      </c>
      <c r="BM62" s="106">
        <v>0</v>
      </c>
      <c r="BN62" s="106">
        <v>0</v>
      </c>
      <c r="BO62" s="106">
        <v>0</v>
      </c>
      <c r="BP62" s="106">
        <v>0</v>
      </c>
      <c r="BQ62" s="106">
        <v>0</v>
      </c>
      <c r="BR62" s="106">
        <v>0</v>
      </c>
      <c r="BS62" s="106">
        <v>0</v>
      </c>
      <c r="BT62" s="106">
        <v>0</v>
      </c>
      <c r="BU62" s="106">
        <v>0</v>
      </c>
      <c r="BV62" s="106">
        <v>0</v>
      </c>
      <c r="BW62" s="106">
        <v>0</v>
      </c>
      <c r="BX62" s="106">
        <v>0</v>
      </c>
      <c r="BY62" s="106">
        <v>0</v>
      </c>
      <c r="BZ62" s="106">
        <v>0</v>
      </c>
      <c r="CA62" s="106">
        <v>0</v>
      </c>
      <c r="CB62" s="106">
        <v>0</v>
      </c>
      <c r="CC62" s="106">
        <v>0</v>
      </c>
      <c r="CD62" s="106">
        <v>0</v>
      </c>
      <c r="CE62" s="106">
        <v>0</v>
      </c>
      <c r="CF62" s="106">
        <v>0</v>
      </c>
      <c r="CG62" s="106">
        <v>0</v>
      </c>
      <c r="CH62" s="106">
        <v>0</v>
      </c>
      <c r="CI62" s="106">
        <v>0</v>
      </c>
      <c r="CJ62" s="106">
        <v>0</v>
      </c>
      <c r="CK62" s="106">
        <v>0</v>
      </c>
      <c r="CL62" s="106">
        <v>0</v>
      </c>
      <c r="CM62" s="106">
        <v>0</v>
      </c>
      <c r="CN62" s="106">
        <v>0</v>
      </c>
      <c r="CO62" s="106">
        <v>0</v>
      </c>
      <c r="CP62" s="106">
        <v>0</v>
      </c>
      <c r="CQ62" s="106">
        <v>0</v>
      </c>
      <c r="CR62" s="106">
        <v>0</v>
      </c>
      <c r="CS62" s="106">
        <v>0</v>
      </c>
      <c r="CT62" s="106">
        <v>0</v>
      </c>
      <c r="CU62" s="106">
        <v>0</v>
      </c>
    </row>
    <row r="63" spans="2:99" x14ac:dyDescent="0.2">
      <c r="C63" s="105" t="s">
        <v>228</v>
      </c>
      <c r="D63" s="106">
        <v>0</v>
      </c>
      <c r="E63" s="106">
        <v>0</v>
      </c>
      <c r="F63" s="106">
        <v>0</v>
      </c>
      <c r="G63" s="106">
        <v>0</v>
      </c>
      <c r="H63" s="106">
        <v>0</v>
      </c>
      <c r="I63" s="106">
        <v>0</v>
      </c>
      <c r="J63" s="106">
        <v>0</v>
      </c>
      <c r="K63" s="106">
        <v>0</v>
      </c>
      <c r="L63" s="106">
        <v>0</v>
      </c>
      <c r="M63" s="106">
        <v>0</v>
      </c>
      <c r="N63" s="106">
        <v>0</v>
      </c>
      <c r="O63" s="106">
        <v>0</v>
      </c>
      <c r="P63" s="106">
        <v>0</v>
      </c>
      <c r="Q63" s="106">
        <v>0</v>
      </c>
      <c r="R63" s="106">
        <v>0</v>
      </c>
      <c r="S63" s="106">
        <v>0</v>
      </c>
      <c r="T63" s="106">
        <v>0</v>
      </c>
      <c r="U63" s="106">
        <v>0</v>
      </c>
      <c r="V63" s="106">
        <v>0</v>
      </c>
      <c r="W63" s="106">
        <v>0</v>
      </c>
      <c r="X63" s="106">
        <v>0</v>
      </c>
      <c r="Y63" s="106">
        <v>0</v>
      </c>
      <c r="Z63" s="106">
        <v>0</v>
      </c>
      <c r="AA63" s="106">
        <v>0</v>
      </c>
      <c r="AB63" s="106">
        <v>0</v>
      </c>
      <c r="AC63" s="106">
        <v>0</v>
      </c>
      <c r="AD63" s="106">
        <v>0</v>
      </c>
      <c r="AE63" s="106">
        <v>0</v>
      </c>
      <c r="AF63" s="106">
        <v>0</v>
      </c>
      <c r="AG63" s="106">
        <v>0</v>
      </c>
      <c r="AH63" s="106">
        <v>0</v>
      </c>
      <c r="AI63" s="106">
        <v>0</v>
      </c>
      <c r="AJ63" s="106">
        <v>0</v>
      </c>
      <c r="AK63" s="106">
        <v>0</v>
      </c>
      <c r="AL63" s="106">
        <v>0</v>
      </c>
      <c r="AM63" s="106">
        <v>0</v>
      </c>
      <c r="AN63" s="106">
        <v>0</v>
      </c>
      <c r="AO63" s="106">
        <v>0</v>
      </c>
      <c r="AP63" s="106">
        <v>0</v>
      </c>
      <c r="AQ63" s="106">
        <v>0</v>
      </c>
      <c r="AR63" s="106">
        <v>0</v>
      </c>
      <c r="AS63" s="106">
        <v>0</v>
      </c>
      <c r="AT63" s="106">
        <v>0</v>
      </c>
      <c r="AU63" s="106">
        <v>0</v>
      </c>
      <c r="AV63" s="106">
        <v>0</v>
      </c>
      <c r="AW63" s="106">
        <v>0</v>
      </c>
      <c r="AX63" s="106">
        <v>0</v>
      </c>
      <c r="AY63" s="106">
        <v>0</v>
      </c>
      <c r="AZ63" s="106">
        <v>0</v>
      </c>
      <c r="BA63" s="106">
        <v>0</v>
      </c>
      <c r="BB63" s="106">
        <v>0</v>
      </c>
      <c r="BC63" s="106">
        <v>0</v>
      </c>
      <c r="BD63" s="106">
        <v>0</v>
      </c>
      <c r="BE63" s="106">
        <v>0</v>
      </c>
      <c r="BF63" s="106">
        <v>0</v>
      </c>
      <c r="BG63" s="106">
        <v>0</v>
      </c>
      <c r="BH63" s="106">
        <v>0</v>
      </c>
      <c r="BI63" s="106">
        <v>0</v>
      </c>
      <c r="BJ63" s="106">
        <v>0</v>
      </c>
      <c r="BK63" s="106">
        <v>0</v>
      </c>
      <c r="BL63" s="106">
        <v>0</v>
      </c>
      <c r="BM63" s="106">
        <v>0</v>
      </c>
      <c r="BN63" s="106">
        <v>0</v>
      </c>
      <c r="BO63" s="106">
        <v>0</v>
      </c>
      <c r="BP63" s="106">
        <v>0</v>
      </c>
      <c r="BQ63" s="106">
        <v>0</v>
      </c>
      <c r="BR63" s="106">
        <v>0</v>
      </c>
      <c r="BS63" s="106">
        <v>0</v>
      </c>
      <c r="BT63" s="106">
        <v>0</v>
      </c>
      <c r="BU63" s="106">
        <v>0</v>
      </c>
      <c r="BV63" s="106">
        <v>0</v>
      </c>
      <c r="BW63" s="106">
        <v>0</v>
      </c>
      <c r="BX63" s="106">
        <v>0</v>
      </c>
      <c r="BY63" s="106">
        <v>0</v>
      </c>
      <c r="BZ63" s="106">
        <v>0</v>
      </c>
      <c r="CA63" s="106">
        <v>0</v>
      </c>
      <c r="CB63" s="106">
        <v>0</v>
      </c>
      <c r="CC63" s="106">
        <v>0</v>
      </c>
      <c r="CD63" s="106">
        <v>0</v>
      </c>
      <c r="CE63" s="106">
        <v>0</v>
      </c>
      <c r="CF63" s="106">
        <v>0</v>
      </c>
      <c r="CG63" s="106">
        <v>0</v>
      </c>
      <c r="CH63" s="106">
        <v>0</v>
      </c>
      <c r="CI63" s="106">
        <v>0</v>
      </c>
      <c r="CJ63" s="106">
        <v>0</v>
      </c>
      <c r="CK63" s="106">
        <v>0</v>
      </c>
      <c r="CL63" s="106">
        <v>0</v>
      </c>
      <c r="CM63" s="106">
        <v>0</v>
      </c>
      <c r="CN63" s="106">
        <v>0</v>
      </c>
      <c r="CO63" s="106">
        <v>0</v>
      </c>
      <c r="CP63" s="106">
        <v>0</v>
      </c>
      <c r="CQ63" s="106">
        <v>0</v>
      </c>
      <c r="CR63" s="106">
        <v>0</v>
      </c>
      <c r="CS63" s="106">
        <v>0</v>
      </c>
      <c r="CT63" s="106">
        <v>0</v>
      </c>
      <c r="CU63" s="106">
        <v>0</v>
      </c>
    </row>
    <row r="64" spans="2:99" x14ac:dyDescent="0.2">
      <c r="C64" s="105" t="s">
        <v>229</v>
      </c>
      <c r="D64" s="106">
        <v>0</v>
      </c>
      <c r="E64" s="106">
        <v>0</v>
      </c>
      <c r="F64" s="106">
        <v>0</v>
      </c>
      <c r="G64" s="106">
        <v>0</v>
      </c>
      <c r="H64" s="106">
        <v>0</v>
      </c>
      <c r="I64" s="106">
        <v>0</v>
      </c>
      <c r="J64" s="106">
        <v>0</v>
      </c>
      <c r="K64" s="106">
        <v>0</v>
      </c>
      <c r="L64" s="106">
        <v>0</v>
      </c>
      <c r="M64" s="106">
        <v>0</v>
      </c>
      <c r="N64" s="106">
        <v>0</v>
      </c>
      <c r="O64" s="106">
        <v>0</v>
      </c>
      <c r="P64" s="106">
        <v>0</v>
      </c>
      <c r="Q64" s="106">
        <v>0</v>
      </c>
      <c r="R64" s="106">
        <v>0</v>
      </c>
      <c r="S64" s="106">
        <v>0</v>
      </c>
      <c r="T64" s="106">
        <v>0</v>
      </c>
      <c r="U64" s="106">
        <v>0</v>
      </c>
      <c r="V64" s="106">
        <v>0</v>
      </c>
      <c r="W64" s="106">
        <v>0</v>
      </c>
      <c r="X64" s="106">
        <v>0</v>
      </c>
      <c r="Y64" s="106">
        <v>0</v>
      </c>
      <c r="Z64" s="106">
        <v>0</v>
      </c>
      <c r="AA64" s="106">
        <v>0</v>
      </c>
      <c r="AB64" s="106">
        <v>0</v>
      </c>
      <c r="AC64" s="106">
        <v>0</v>
      </c>
      <c r="AD64" s="106">
        <v>0</v>
      </c>
      <c r="AE64" s="106">
        <v>0</v>
      </c>
      <c r="AF64" s="106">
        <v>0</v>
      </c>
      <c r="AG64" s="106">
        <v>0</v>
      </c>
      <c r="AH64" s="106">
        <v>0</v>
      </c>
      <c r="AI64" s="106">
        <v>0</v>
      </c>
      <c r="AJ64" s="106">
        <v>0</v>
      </c>
      <c r="AK64" s="106">
        <v>0</v>
      </c>
      <c r="AL64" s="106">
        <v>0</v>
      </c>
      <c r="AM64" s="106">
        <v>0</v>
      </c>
      <c r="AN64" s="106">
        <v>0</v>
      </c>
      <c r="AO64" s="106">
        <v>0</v>
      </c>
      <c r="AP64" s="106">
        <v>0</v>
      </c>
      <c r="AQ64" s="106">
        <v>0</v>
      </c>
      <c r="AR64" s="106">
        <v>0</v>
      </c>
      <c r="AS64" s="106">
        <v>0</v>
      </c>
      <c r="AT64" s="106">
        <v>0</v>
      </c>
      <c r="AU64" s="106">
        <v>0</v>
      </c>
      <c r="AV64" s="106">
        <v>0</v>
      </c>
      <c r="AW64" s="106">
        <v>0</v>
      </c>
      <c r="AX64" s="106">
        <v>0</v>
      </c>
      <c r="AY64" s="106">
        <v>0</v>
      </c>
      <c r="AZ64" s="106">
        <v>0</v>
      </c>
      <c r="BA64" s="106">
        <v>0</v>
      </c>
      <c r="BB64" s="106">
        <v>0</v>
      </c>
      <c r="BC64" s="106">
        <v>0</v>
      </c>
      <c r="BD64" s="106">
        <v>0</v>
      </c>
      <c r="BE64" s="106">
        <v>0</v>
      </c>
      <c r="BF64" s="106">
        <v>0</v>
      </c>
      <c r="BG64" s="106">
        <v>0</v>
      </c>
      <c r="BH64" s="106">
        <v>0</v>
      </c>
      <c r="BI64" s="106">
        <v>0</v>
      </c>
      <c r="BJ64" s="106">
        <v>0</v>
      </c>
      <c r="BK64" s="106">
        <v>0</v>
      </c>
      <c r="BL64" s="106">
        <v>0</v>
      </c>
      <c r="BM64" s="106">
        <v>0</v>
      </c>
      <c r="BN64" s="106">
        <v>0</v>
      </c>
      <c r="BO64" s="106">
        <v>0</v>
      </c>
      <c r="BP64" s="106">
        <v>0</v>
      </c>
      <c r="BQ64" s="106">
        <v>0</v>
      </c>
      <c r="BR64" s="106">
        <v>0</v>
      </c>
      <c r="BS64" s="106">
        <v>0</v>
      </c>
      <c r="BT64" s="106">
        <v>0</v>
      </c>
      <c r="BU64" s="106">
        <v>0</v>
      </c>
      <c r="BV64" s="106">
        <v>0</v>
      </c>
      <c r="BW64" s="106">
        <v>0</v>
      </c>
      <c r="BX64" s="106">
        <v>0</v>
      </c>
      <c r="BY64" s="106">
        <v>0</v>
      </c>
      <c r="BZ64" s="106">
        <v>0</v>
      </c>
      <c r="CA64" s="106">
        <v>0</v>
      </c>
      <c r="CB64" s="106">
        <v>0</v>
      </c>
      <c r="CC64" s="106">
        <v>0</v>
      </c>
      <c r="CD64" s="106">
        <v>0</v>
      </c>
      <c r="CE64" s="106">
        <v>0</v>
      </c>
      <c r="CF64" s="106">
        <v>0</v>
      </c>
      <c r="CG64" s="106">
        <v>0</v>
      </c>
      <c r="CH64" s="106">
        <v>0</v>
      </c>
      <c r="CI64" s="106">
        <v>0</v>
      </c>
      <c r="CJ64" s="106">
        <v>0</v>
      </c>
      <c r="CK64" s="106">
        <v>0</v>
      </c>
      <c r="CL64" s="106">
        <v>0</v>
      </c>
      <c r="CM64" s="106">
        <v>0</v>
      </c>
      <c r="CN64" s="106">
        <v>0</v>
      </c>
      <c r="CO64" s="106">
        <v>0</v>
      </c>
      <c r="CP64" s="106">
        <v>0</v>
      </c>
      <c r="CQ64" s="106">
        <v>0</v>
      </c>
      <c r="CR64" s="106">
        <v>0</v>
      </c>
      <c r="CS64" s="106">
        <v>0</v>
      </c>
      <c r="CT64" s="106">
        <v>0</v>
      </c>
      <c r="CU64" s="106">
        <v>0</v>
      </c>
    </row>
    <row r="65" spans="2:99" x14ac:dyDescent="0.2">
      <c r="C65" s="105" t="s">
        <v>230</v>
      </c>
      <c r="D65" s="106">
        <v>0</v>
      </c>
      <c r="E65" s="106">
        <v>0</v>
      </c>
      <c r="F65" s="106">
        <v>0</v>
      </c>
      <c r="G65" s="106">
        <v>0</v>
      </c>
      <c r="H65" s="106">
        <v>0</v>
      </c>
      <c r="I65" s="106">
        <v>0</v>
      </c>
      <c r="J65" s="106">
        <v>0</v>
      </c>
      <c r="K65" s="106">
        <v>0</v>
      </c>
      <c r="L65" s="106">
        <v>0</v>
      </c>
      <c r="M65" s="106">
        <v>0</v>
      </c>
      <c r="N65" s="106">
        <v>0</v>
      </c>
      <c r="O65" s="106">
        <v>0</v>
      </c>
      <c r="P65" s="106">
        <v>0</v>
      </c>
      <c r="Q65" s="106">
        <v>0</v>
      </c>
      <c r="R65" s="106">
        <v>0</v>
      </c>
      <c r="S65" s="106">
        <v>0</v>
      </c>
      <c r="T65" s="106">
        <v>0</v>
      </c>
      <c r="U65" s="106">
        <v>0</v>
      </c>
      <c r="V65" s="106">
        <v>0</v>
      </c>
      <c r="W65" s="106">
        <v>0</v>
      </c>
      <c r="X65" s="106">
        <v>0</v>
      </c>
      <c r="Y65" s="106">
        <v>0</v>
      </c>
      <c r="Z65" s="106">
        <v>0</v>
      </c>
      <c r="AA65" s="106">
        <v>0</v>
      </c>
      <c r="AB65" s="106">
        <v>0</v>
      </c>
      <c r="AC65" s="106">
        <v>0</v>
      </c>
      <c r="AD65" s="106">
        <v>0</v>
      </c>
      <c r="AE65" s="106">
        <v>0</v>
      </c>
      <c r="AF65" s="106">
        <v>0</v>
      </c>
      <c r="AG65" s="106">
        <v>0</v>
      </c>
      <c r="AH65" s="106">
        <v>0</v>
      </c>
      <c r="AI65" s="106">
        <v>0</v>
      </c>
      <c r="AJ65" s="106">
        <v>0</v>
      </c>
      <c r="AK65" s="106">
        <v>0</v>
      </c>
      <c r="AL65" s="106">
        <v>0</v>
      </c>
      <c r="AM65" s="106">
        <v>0</v>
      </c>
      <c r="AN65" s="106">
        <v>0</v>
      </c>
      <c r="AO65" s="106">
        <v>0</v>
      </c>
      <c r="AP65" s="106">
        <v>0</v>
      </c>
      <c r="AQ65" s="106">
        <v>0</v>
      </c>
      <c r="AR65" s="106">
        <v>0</v>
      </c>
      <c r="AS65" s="106">
        <v>0</v>
      </c>
      <c r="AT65" s="106">
        <v>0</v>
      </c>
      <c r="AU65" s="106">
        <v>0</v>
      </c>
      <c r="AV65" s="106">
        <v>0</v>
      </c>
      <c r="AW65" s="106">
        <v>0</v>
      </c>
      <c r="AX65" s="106">
        <v>0</v>
      </c>
      <c r="AY65" s="106">
        <v>0</v>
      </c>
      <c r="AZ65" s="106">
        <v>0</v>
      </c>
      <c r="BA65" s="106">
        <v>0</v>
      </c>
      <c r="BB65" s="106">
        <v>0</v>
      </c>
      <c r="BC65" s="106">
        <v>0</v>
      </c>
      <c r="BD65" s="106">
        <v>0</v>
      </c>
      <c r="BE65" s="106">
        <v>0</v>
      </c>
      <c r="BF65" s="106">
        <v>0</v>
      </c>
      <c r="BG65" s="106">
        <v>0</v>
      </c>
      <c r="BH65" s="106">
        <v>0</v>
      </c>
      <c r="BI65" s="106">
        <v>0</v>
      </c>
      <c r="BJ65" s="106">
        <v>0</v>
      </c>
      <c r="BK65" s="106">
        <v>0</v>
      </c>
      <c r="BL65" s="106">
        <v>0</v>
      </c>
      <c r="BM65" s="106">
        <v>0</v>
      </c>
      <c r="BN65" s="106">
        <v>0</v>
      </c>
      <c r="BO65" s="106">
        <v>0</v>
      </c>
      <c r="BP65" s="106">
        <v>0</v>
      </c>
      <c r="BQ65" s="106">
        <v>0</v>
      </c>
      <c r="BR65" s="106">
        <v>0</v>
      </c>
      <c r="BS65" s="106">
        <v>0</v>
      </c>
      <c r="BT65" s="106">
        <v>0</v>
      </c>
      <c r="BU65" s="106">
        <v>0</v>
      </c>
      <c r="BV65" s="106">
        <v>0</v>
      </c>
      <c r="BW65" s="106">
        <v>0</v>
      </c>
      <c r="BX65" s="106">
        <v>0</v>
      </c>
      <c r="BY65" s="106">
        <v>0</v>
      </c>
      <c r="BZ65" s="106">
        <v>0</v>
      </c>
      <c r="CA65" s="106">
        <v>0</v>
      </c>
      <c r="CB65" s="106">
        <v>0</v>
      </c>
      <c r="CC65" s="106">
        <v>0</v>
      </c>
      <c r="CD65" s="106">
        <v>0</v>
      </c>
      <c r="CE65" s="106">
        <v>0</v>
      </c>
      <c r="CF65" s="106">
        <v>0</v>
      </c>
      <c r="CG65" s="106">
        <v>0</v>
      </c>
      <c r="CH65" s="106">
        <v>0</v>
      </c>
      <c r="CI65" s="106">
        <v>0</v>
      </c>
      <c r="CJ65" s="106">
        <v>0</v>
      </c>
      <c r="CK65" s="106">
        <v>0</v>
      </c>
      <c r="CL65" s="106">
        <v>0</v>
      </c>
      <c r="CM65" s="106">
        <v>0</v>
      </c>
      <c r="CN65" s="106">
        <v>0</v>
      </c>
      <c r="CO65" s="106">
        <v>0</v>
      </c>
      <c r="CP65" s="106">
        <v>0</v>
      </c>
      <c r="CQ65" s="106">
        <v>0</v>
      </c>
      <c r="CR65" s="106">
        <v>0</v>
      </c>
      <c r="CS65" s="106">
        <v>0</v>
      </c>
      <c r="CT65" s="106">
        <v>0</v>
      </c>
      <c r="CU65" s="106">
        <v>0</v>
      </c>
    </row>
    <row r="66" spans="2:99" x14ac:dyDescent="0.2">
      <c r="C66" s="105" t="s">
        <v>231</v>
      </c>
      <c r="D66" s="106">
        <v>0</v>
      </c>
      <c r="E66" s="106">
        <v>0</v>
      </c>
      <c r="F66" s="106">
        <v>0</v>
      </c>
      <c r="G66" s="106">
        <v>0</v>
      </c>
      <c r="H66" s="106">
        <v>0</v>
      </c>
      <c r="I66" s="106">
        <v>0</v>
      </c>
      <c r="J66" s="106">
        <v>0</v>
      </c>
      <c r="K66" s="106">
        <v>0</v>
      </c>
      <c r="L66" s="106">
        <v>0</v>
      </c>
      <c r="M66" s="106">
        <v>0</v>
      </c>
      <c r="N66" s="106">
        <v>0</v>
      </c>
      <c r="O66" s="106">
        <v>0</v>
      </c>
      <c r="P66" s="106">
        <v>0</v>
      </c>
      <c r="Q66" s="106">
        <v>0</v>
      </c>
      <c r="R66" s="106">
        <v>0</v>
      </c>
      <c r="S66" s="106">
        <v>0</v>
      </c>
      <c r="T66" s="106">
        <v>0</v>
      </c>
      <c r="U66" s="106">
        <v>0</v>
      </c>
      <c r="V66" s="106">
        <v>0</v>
      </c>
      <c r="W66" s="106">
        <v>0</v>
      </c>
      <c r="X66" s="106">
        <v>0</v>
      </c>
      <c r="Y66" s="106">
        <v>0</v>
      </c>
      <c r="Z66" s="106">
        <v>0</v>
      </c>
      <c r="AA66" s="106">
        <v>0</v>
      </c>
      <c r="AB66" s="106">
        <v>0</v>
      </c>
      <c r="AC66" s="106">
        <v>0</v>
      </c>
      <c r="AD66" s="106">
        <v>0</v>
      </c>
      <c r="AE66" s="106">
        <v>0</v>
      </c>
      <c r="AF66" s="106">
        <v>0</v>
      </c>
      <c r="AG66" s="106">
        <v>0</v>
      </c>
      <c r="AH66" s="106">
        <v>0</v>
      </c>
      <c r="AI66" s="106">
        <v>0</v>
      </c>
      <c r="AJ66" s="106">
        <v>0</v>
      </c>
      <c r="AK66" s="106">
        <v>0</v>
      </c>
      <c r="AL66" s="106">
        <v>0</v>
      </c>
      <c r="AM66" s="106">
        <v>0</v>
      </c>
      <c r="AN66" s="106">
        <v>0</v>
      </c>
      <c r="AO66" s="106">
        <v>0</v>
      </c>
      <c r="AP66" s="106">
        <v>0</v>
      </c>
      <c r="AQ66" s="106">
        <v>0</v>
      </c>
      <c r="AR66" s="106">
        <v>0</v>
      </c>
      <c r="AS66" s="106">
        <v>0</v>
      </c>
      <c r="AT66" s="106">
        <v>0</v>
      </c>
      <c r="AU66" s="106">
        <v>0</v>
      </c>
      <c r="AV66" s="106">
        <v>0</v>
      </c>
      <c r="AW66" s="106">
        <v>0</v>
      </c>
      <c r="AX66" s="106">
        <v>0</v>
      </c>
      <c r="AY66" s="106">
        <v>0</v>
      </c>
      <c r="AZ66" s="106">
        <v>0</v>
      </c>
      <c r="BA66" s="106">
        <v>0</v>
      </c>
      <c r="BB66" s="106">
        <v>0</v>
      </c>
      <c r="BC66" s="106">
        <v>0</v>
      </c>
      <c r="BD66" s="106">
        <v>0</v>
      </c>
      <c r="BE66" s="106">
        <v>0</v>
      </c>
      <c r="BF66" s="106">
        <v>0</v>
      </c>
      <c r="BG66" s="106">
        <v>0</v>
      </c>
      <c r="BH66" s="106">
        <v>0</v>
      </c>
      <c r="BI66" s="106">
        <v>0</v>
      </c>
      <c r="BJ66" s="106">
        <v>0</v>
      </c>
      <c r="BK66" s="106">
        <v>0</v>
      </c>
      <c r="BL66" s="106">
        <v>0</v>
      </c>
      <c r="BM66" s="106">
        <v>0</v>
      </c>
      <c r="BN66" s="106">
        <v>0</v>
      </c>
      <c r="BO66" s="106">
        <v>0</v>
      </c>
      <c r="BP66" s="106">
        <v>0</v>
      </c>
      <c r="BQ66" s="106">
        <v>0</v>
      </c>
      <c r="BR66" s="106">
        <v>0</v>
      </c>
      <c r="BS66" s="106">
        <v>0</v>
      </c>
      <c r="BT66" s="106">
        <v>0</v>
      </c>
      <c r="BU66" s="106">
        <v>0</v>
      </c>
      <c r="BV66" s="106">
        <v>0</v>
      </c>
      <c r="BW66" s="106">
        <v>0</v>
      </c>
      <c r="BX66" s="106">
        <v>0</v>
      </c>
      <c r="BY66" s="106">
        <v>0</v>
      </c>
      <c r="BZ66" s="106">
        <v>0</v>
      </c>
      <c r="CA66" s="106">
        <v>0</v>
      </c>
      <c r="CB66" s="106">
        <v>0</v>
      </c>
      <c r="CC66" s="106">
        <v>0</v>
      </c>
      <c r="CD66" s="106">
        <v>0</v>
      </c>
      <c r="CE66" s="106">
        <v>0</v>
      </c>
      <c r="CF66" s="106">
        <v>0</v>
      </c>
      <c r="CG66" s="106">
        <v>0</v>
      </c>
      <c r="CH66" s="106">
        <v>0</v>
      </c>
      <c r="CI66" s="106">
        <v>0</v>
      </c>
      <c r="CJ66" s="106">
        <v>0</v>
      </c>
      <c r="CK66" s="106">
        <v>0</v>
      </c>
      <c r="CL66" s="106">
        <v>0</v>
      </c>
      <c r="CM66" s="106">
        <v>0</v>
      </c>
      <c r="CN66" s="106">
        <v>0</v>
      </c>
      <c r="CO66" s="106">
        <v>0</v>
      </c>
      <c r="CP66" s="106">
        <v>0</v>
      </c>
      <c r="CQ66" s="106">
        <v>0</v>
      </c>
      <c r="CR66" s="106">
        <v>0</v>
      </c>
      <c r="CS66" s="106">
        <v>0</v>
      </c>
      <c r="CT66" s="106">
        <v>0</v>
      </c>
      <c r="CU66" s="106">
        <v>0</v>
      </c>
    </row>
    <row r="67" spans="2:99" x14ac:dyDescent="0.2">
      <c r="C67" s="105" t="s">
        <v>232</v>
      </c>
      <c r="D67" s="106">
        <v>0</v>
      </c>
      <c r="E67" s="106">
        <v>0</v>
      </c>
      <c r="F67" s="106">
        <v>0</v>
      </c>
      <c r="G67" s="106">
        <v>0</v>
      </c>
      <c r="H67" s="106">
        <v>0</v>
      </c>
      <c r="I67" s="106">
        <v>0</v>
      </c>
      <c r="J67" s="106">
        <v>0</v>
      </c>
      <c r="K67" s="106">
        <v>0</v>
      </c>
      <c r="L67" s="106">
        <v>0</v>
      </c>
      <c r="M67" s="106">
        <v>0</v>
      </c>
      <c r="N67" s="106">
        <v>0</v>
      </c>
      <c r="O67" s="106">
        <v>0</v>
      </c>
      <c r="P67" s="106">
        <v>0</v>
      </c>
      <c r="Q67" s="106">
        <v>0</v>
      </c>
      <c r="R67" s="106">
        <v>0</v>
      </c>
      <c r="S67" s="106">
        <v>0</v>
      </c>
      <c r="T67" s="106">
        <v>0</v>
      </c>
      <c r="U67" s="106">
        <v>0</v>
      </c>
      <c r="V67" s="106">
        <v>0</v>
      </c>
      <c r="W67" s="106">
        <v>0</v>
      </c>
      <c r="X67" s="106">
        <v>0</v>
      </c>
      <c r="Y67" s="106">
        <v>0</v>
      </c>
      <c r="Z67" s="106">
        <v>0</v>
      </c>
      <c r="AA67" s="106">
        <v>0</v>
      </c>
      <c r="AB67" s="106">
        <v>0</v>
      </c>
      <c r="AC67" s="106">
        <v>0</v>
      </c>
      <c r="AD67" s="106">
        <v>0</v>
      </c>
      <c r="AE67" s="106">
        <v>0</v>
      </c>
      <c r="AF67" s="106">
        <v>0</v>
      </c>
      <c r="AG67" s="106">
        <v>0</v>
      </c>
      <c r="AH67" s="106">
        <v>0</v>
      </c>
      <c r="AI67" s="106">
        <v>0</v>
      </c>
      <c r="AJ67" s="106">
        <v>0</v>
      </c>
      <c r="AK67" s="106">
        <v>0</v>
      </c>
      <c r="AL67" s="106">
        <v>0</v>
      </c>
      <c r="AM67" s="106">
        <v>0</v>
      </c>
      <c r="AN67" s="106">
        <v>0</v>
      </c>
      <c r="AO67" s="106">
        <v>0</v>
      </c>
      <c r="AP67" s="106">
        <v>0</v>
      </c>
      <c r="AQ67" s="106">
        <v>0</v>
      </c>
      <c r="AR67" s="106">
        <v>0</v>
      </c>
      <c r="AS67" s="106">
        <v>0</v>
      </c>
      <c r="AT67" s="106">
        <v>0</v>
      </c>
      <c r="AU67" s="106">
        <v>0</v>
      </c>
      <c r="AV67" s="106">
        <v>0</v>
      </c>
      <c r="AW67" s="106">
        <v>0</v>
      </c>
      <c r="AX67" s="106">
        <v>0</v>
      </c>
      <c r="AY67" s="106">
        <v>0</v>
      </c>
      <c r="AZ67" s="106">
        <v>0</v>
      </c>
      <c r="BA67" s="106">
        <v>0</v>
      </c>
      <c r="BB67" s="106">
        <v>0</v>
      </c>
      <c r="BC67" s="106">
        <v>0</v>
      </c>
      <c r="BD67" s="106">
        <v>0</v>
      </c>
      <c r="BE67" s="106">
        <v>0</v>
      </c>
      <c r="BF67" s="106">
        <v>0</v>
      </c>
      <c r="BG67" s="106">
        <v>0</v>
      </c>
      <c r="BH67" s="106">
        <v>0</v>
      </c>
      <c r="BI67" s="106">
        <v>0</v>
      </c>
      <c r="BJ67" s="106">
        <v>0</v>
      </c>
      <c r="BK67" s="106">
        <v>0</v>
      </c>
      <c r="BL67" s="106">
        <v>0</v>
      </c>
      <c r="BM67" s="106">
        <v>0</v>
      </c>
      <c r="BN67" s="106">
        <v>0</v>
      </c>
      <c r="BO67" s="106">
        <v>0</v>
      </c>
      <c r="BP67" s="106">
        <v>0</v>
      </c>
      <c r="BQ67" s="106">
        <v>0</v>
      </c>
      <c r="BR67" s="106">
        <v>0</v>
      </c>
      <c r="BS67" s="106">
        <v>0</v>
      </c>
      <c r="BT67" s="106">
        <v>0</v>
      </c>
      <c r="BU67" s="106">
        <v>0</v>
      </c>
      <c r="BV67" s="106">
        <v>0</v>
      </c>
      <c r="BW67" s="106">
        <v>0</v>
      </c>
      <c r="BX67" s="106">
        <v>0</v>
      </c>
      <c r="BY67" s="106">
        <v>0</v>
      </c>
      <c r="BZ67" s="106">
        <v>0</v>
      </c>
      <c r="CA67" s="106">
        <v>0</v>
      </c>
      <c r="CB67" s="106">
        <v>0</v>
      </c>
      <c r="CC67" s="106">
        <v>0</v>
      </c>
      <c r="CD67" s="106">
        <v>0</v>
      </c>
      <c r="CE67" s="106">
        <v>0</v>
      </c>
      <c r="CF67" s="106">
        <v>0</v>
      </c>
      <c r="CG67" s="106">
        <v>0</v>
      </c>
      <c r="CH67" s="106">
        <v>0</v>
      </c>
      <c r="CI67" s="106">
        <v>0</v>
      </c>
      <c r="CJ67" s="106">
        <v>0</v>
      </c>
      <c r="CK67" s="106">
        <v>0</v>
      </c>
      <c r="CL67" s="106">
        <v>0</v>
      </c>
      <c r="CM67" s="106">
        <v>0</v>
      </c>
      <c r="CN67" s="106">
        <v>0</v>
      </c>
      <c r="CO67" s="106">
        <v>0</v>
      </c>
      <c r="CP67" s="106">
        <v>0</v>
      </c>
      <c r="CQ67" s="106">
        <v>0</v>
      </c>
      <c r="CR67" s="106">
        <v>0</v>
      </c>
      <c r="CS67" s="106">
        <v>0</v>
      </c>
      <c r="CT67" s="106">
        <v>0</v>
      </c>
      <c r="CU67" s="106">
        <v>0</v>
      </c>
    </row>
    <row r="68" spans="2:99" x14ac:dyDescent="0.2">
      <c r="C68" s="105" t="s">
        <v>233</v>
      </c>
      <c r="D68" s="106">
        <v>0</v>
      </c>
      <c r="E68" s="106">
        <v>0</v>
      </c>
      <c r="F68" s="106">
        <v>0</v>
      </c>
      <c r="G68" s="106">
        <v>0</v>
      </c>
      <c r="H68" s="106">
        <v>0</v>
      </c>
      <c r="I68" s="106">
        <v>0</v>
      </c>
      <c r="J68" s="106">
        <v>0</v>
      </c>
      <c r="K68" s="106">
        <v>0</v>
      </c>
      <c r="L68" s="106">
        <v>0</v>
      </c>
      <c r="M68" s="106">
        <v>0</v>
      </c>
      <c r="N68" s="106">
        <v>0</v>
      </c>
      <c r="O68" s="106">
        <v>0</v>
      </c>
      <c r="P68" s="106">
        <v>0</v>
      </c>
      <c r="Q68" s="106">
        <v>0</v>
      </c>
      <c r="R68" s="106">
        <v>0</v>
      </c>
      <c r="S68" s="106">
        <v>0</v>
      </c>
      <c r="T68" s="106">
        <v>0</v>
      </c>
      <c r="U68" s="106">
        <v>0</v>
      </c>
      <c r="V68" s="106">
        <v>0</v>
      </c>
      <c r="W68" s="106">
        <v>0</v>
      </c>
      <c r="X68" s="106">
        <v>0</v>
      </c>
      <c r="Y68" s="106">
        <v>0</v>
      </c>
      <c r="Z68" s="106">
        <v>0</v>
      </c>
      <c r="AA68" s="106">
        <v>0</v>
      </c>
      <c r="AB68" s="106">
        <v>0</v>
      </c>
      <c r="AC68" s="106">
        <v>0</v>
      </c>
      <c r="AD68" s="106">
        <v>0</v>
      </c>
      <c r="AE68" s="106">
        <v>0</v>
      </c>
      <c r="AF68" s="106">
        <v>0</v>
      </c>
      <c r="AG68" s="106">
        <v>0</v>
      </c>
      <c r="AH68" s="106">
        <v>0</v>
      </c>
      <c r="AI68" s="106">
        <v>0</v>
      </c>
      <c r="AJ68" s="106">
        <v>0</v>
      </c>
      <c r="AK68" s="106">
        <v>0</v>
      </c>
      <c r="AL68" s="106">
        <v>0</v>
      </c>
      <c r="AM68" s="106">
        <v>0</v>
      </c>
      <c r="AN68" s="106">
        <v>0</v>
      </c>
      <c r="AO68" s="106">
        <v>0</v>
      </c>
      <c r="AP68" s="106">
        <v>0</v>
      </c>
      <c r="AQ68" s="106">
        <v>0</v>
      </c>
      <c r="AR68" s="106">
        <v>0</v>
      </c>
      <c r="AS68" s="106">
        <v>0</v>
      </c>
      <c r="AT68" s="106">
        <v>0</v>
      </c>
      <c r="AU68" s="106">
        <v>0</v>
      </c>
      <c r="AV68" s="106">
        <v>0</v>
      </c>
      <c r="AW68" s="106">
        <v>0</v>
      </c>
      <c r="AX68" s="106">
        <v>0</v>
      </c>
      <c r="AY68" s="106">
        <v>0</v>
      </c>
      <c r="AZ68" s="106">
        <v>0</v>
      </c>
      <c r="BA68" s="106">
        <v>0</v>
      </c>
      <c r="BB68" s="106">
        <v>0</v>
      </c>
      <c r="BC68" s="106">
        <v>0</v>
      </c>
      <c r="BD68" s="106">
        <v>0</v>
      </c>
      <c r="BE68" s="106">
        <v>0</v>
      </c>
      <c r="BF68" s="106">
        <v>0</v>
      </c>
      <c r="BG68" s="106">
        <v>0</v>
      </c>
      <c r="BH68" s="106">
        <v>0</v>
      </c>
      <c r="BI68" s="106">
        <v>0</v>
      </c>
      <c r="BJ68" s="106">
        <v>0</v>
      </c>
      <c r="BK68" s="106">
        <v>0</v>
      </c>
      <c r="BL68" s="106">
        <v>0</v>
      </c>
      <c r="BM68" s="106">
        <v>0</v>
      </c>
      <c r="BN68" s="106">
        <v>0</v>
      </c>
      <c r="BO68" s="106">
        <v>0</v>
      </c>
      <c r="BP68" s="106">
        <v>0</v>
      </c>
      <c r="BQ68" s="106">
        <v>0</v>
      </c>
      <c r="BR68" s="106">
        <v>0</v>
      </c>
      <c r="BS68" s="106">
        <v>0</v>
      </c>
      <c r="BT68" s="106">
        <v>0</v>
      </c>
      <c r="BU68" s="106">
        <v>0</v>
      </c>
      <c r="BV68" s="106">
        <v>0</v>
      </c>
      <c r="BW68" s="106">
        <v>0</v>
      </c>
      <c r="BX68" s="106">
        <v>0</v>
      </c>
      <c r="BY68" s="106">
        <v>0</v>
      </c>
      <c r="BZ68" s="106">
        <v>0</v>
      </c>
      <c r="CA68" s="106">
        <v>0</v>
      </c>
      <c r="CB68" s="106">
        <v>0</v>
      </c>
      <c r="CC68" s="106">
        <v>0</v>
      </c>
      <c r="CD68" s="106">
        <v>0</v>
      </c>
      <c r="CE68" s="106">
        <v>0</v>
      </c>
      <c r="CF68" s="106">
        <v>0</v>
      </c>
      <c r="CG68" s="106">
        <v>0</v>
      </c>
      <c r="CH68" s="106">
        <v>0</v>
      </c>
      <c r="CI68" s="106">
        <v>0</v>
      </c>
      <c r="CJ68" s="106">
        <v>0</v>
      </c>
      <c r="CK68" s="106">
        <v>0</v>
      </c>
      <c r="CL68" s="106">
        <v>0</v>
      </c>
      <c r="CM68" s="106">
        <v>0</v>
      </c>
      <c r="CN68" s="106">
        <v>0</v>
      </c>
      <c r="CO68" s="106">
        <v>0</v>
      </c>
      <c r="CP68" s="106">
        <v>0</v>
      </c>
      <c r="CQ68" s="106">
        <v>0</v>
      </c>
      <c r="CR68" s="106">
        <v>0</v>
      </c>
      <c r="CS68" s="106">
        <v>0</v>
      </c>
      <c r="CT68" s="106">
        <v>0</v>
      </c>
      <c r="CU68" s="106">
        <v>0</v>
      </c>
    </row>
    <row r="69" spans="2:99" x14ac:dyDescent="0.2">
      <c r="C69" s="105" t="s">
        <v>234</v>
      </c>
      <c r="D69" s="106">
        <v>0</v>
      </c>
      <c r="E69" s="106">
        <v>0</v>
      </c>
      <c r="F69" s="106">
        <v>0</v>
      </c>
      <c r="G69" s="106">
        <v>0</v>
      </c>
      <c r="H69" s="106">
        <v>0</v>
      </c>
      <c r="I69" s="106">
        <v>0</v>
      </c>
      <c r="J69" s="106">
        <v>0</v>
      </c>
      <c r="K69" s="106">
        <v>0</v>
      </c>
      <c r="L69" s="106">
        <v>0</v>
      </c>
      <c r="M69" s="106">
        <v>0</v>
      </c>
      <c r="N69" s="106">
        <v>0</v>
      </c>
      <c r="O69" s="106">
        <v>0</v>
      </c>
      <c r="P69" s="106">
        <v>0</v>
      </c>
      <c r="Q69" s="106">
        <v>0</v>
      </c>
      <c r="R69" s="106">
        <v>0</v>
      </c>
      <c r="S69" s="106">
        <v>0</v>
      </c>
      <c r="T69" s="106">
        <v>0</v>
      </c>
      <c r="U69" s="106">
        <v>0</v>
      </c>
      <c r="V69" s="106">
        <v>0</v>
      </c>
      <c r="W69" s="106">
        <v>0</v>
      </c>
      <c r="X69" s="106">
        <v>0</v>
      </c>
      <c r="Y69" s="106">
        <v>0</v>
      </c>
      <c r="Z69" s="106">
        <v>0</v>
      </c>
      <c r="AA69" s="106">
        <v>0</v>
      </c>
      <c r="AB69" s="106">
        <v>0</v>
      </c>
      <c r="AC69" s="106">
        <v>0</v>
      </c>
      <c r="AD69" s="106">
        <v>0</v>
      </c>
      <c r="AE69" s="106">
        <v>0</v>
      </c>
      <c r="AF69" s="106">
        <v>0</v>
      </c>
      <c r="AG69" s="106">
        <v>0</v>
      </c>
      <c r="AH69" s="106">
        <v>0</v>
      </c>
      <c r="AI69" s="106">
        <v>0</v>
      </c>
      <c r="AJ69" s="106">
        <v>0</v>
      </c>
      <c r="AK69" s="106">
        <v>0</v>
      </c>
      <c r="AL69" s="106">
        <v>0</v>
      </c>
      <c r="AM69" s="106">
        <v>0</v>
      </c>
      <c r="AN69" s="106">
        <v>0</v>
      </c>
      <c r="AO69" s="106">
        <v>0</v>
      </c>
      <c r="AP69" s="106">
        <v>0</v>
      </c>
      <c r="AQ69" s="106">
        <v>0</v>
      </c>
      <c r="AR69" s="106">
        <v>0</v>
      </c>
      <c r="AS69" s="106">
        <v>0</v>
      </c>
      <c r="AT69" s="106">
        <v>0</v>
      </c>
      <c r="AU69" s="106">
        <v>0</v>
      </c>
      <c r="AV69" s="106">
        <v>0</v>
      </c>
      <c r="AW69" s="106">
        <v>0</v>
      </c>
      <c r="AX69" s="106">
        <v>0</v>
      </c>
      <c r="AY69" s="106">
        <v>0</v>
      </c>
      <c r="AZ69" s="106">
        <v>0</v>
      </c>
      <c r="BA69" s="106">
        <v>0</v>
      </c>
      <c r="BB69" s="106">
        <v>0</v>
      </c>
      <c r="BC69" s="106">
        <v>0</v>
      </c>
      <c r="BD69" s="106">
        <v>0</v>
      </c>
      <c r="BE69" s="106">
        <v>0</v>
      </c>
      <c r="BF69" s="106">
        <v>0</v>
      </c>
      <c r="BG69" s="106">
        <v>0</v>
      </c>
      <c r="BH69" s="106">
        <v>0</v>
      </c>
      <c r="BI69" s="106">
        <v>0</v>
      </c>
      <c r="BJ69" s="106">
        <v>0</v>
      </c>
      <c r="BK69" s="106">
        <v>0</v>
      </c>
      <c r="BL69" s="106">
        <v>0</v>
      </c>
      <c r="BM69" s="106">
        <v>0</v>
      </c>
      <c r="BN69" s="106">
        <v>0</v>
      </c>
      <c r="BO69" s="106">
        <v>0</v>
      </c>
      <c r="BP69" s="106">
        <v>0</v>
      </c>
      <c r="BQ69" s="106">
        <v>0</v>
      </c>
      <c r="BR69" s="106">
        <v>0</v>
      </c>
      <c r="BS69" s="106">
        <v>0</v>
      </c>
      <c r="BT69" s="106">
        <v>0</v>
      </c>
      <c r="BU69" s="106">
        <v>0</v>
      </c>
      <c r="BV69" s="106">
        <v>0</v>
      </c>
      <c r="BW69" s="106">
        <v>0</v>
      </c>
      <c r="BX69" s="106">
        <v>0</v>
      </c>
      <c r="BY69" s="106">
        <v>0</v>
      </c>
      <c r="BZ69" s="106">
        <v>0</v>
      </c>
      <c r="CA69" s="106">
        <v>0</v>
      </c>
      <c r="CB69" s="106">
        <v>0</v>
      </c>
      <c r="CC69" s="106">
        <v>0</v>
      </c>
      <c r="CD69" s="106">
        <v>0</v>
      </c>
      <c r="CE69" s="106">
        <v>0</v>
      </c>
      <c r="CF69" s="106">
        <v>0</v>
      </c>
      <c r="CG69" s="106">
        <v>0</v>
      </c>
      <c r="CH69" s="106">
        <v>0</v>
      </c>
      <c r="CI69" s="106">
        <v>0</v>
      </c>
      <c r="CJ69" s="106">
        <v>0</v>
      </c>
      <c r="CK69" s="106">
        <v>0</v>
      </c>
      <c r="CL69" s="106">
        <v>0</v>
      </c>
      <c r="CM69" s="106">
        <v>0</v>
      </c>
      <c r="CN69" s="106">
        <v>0</v>
      </c>
      <c r="CO69" s="106">
        <v>0</v>
      </c>
      <c r="CP69" s="106">
        <v>0</v>
      </c>
      <c r="CQ69" s="106">
        <v>0</v>
      </c>
      <c r="CR69" s="106">
        <v>0</v>
      </c>
      <c r="CS69" s="106">
        <v>0</v>
      </c>
      <c r="CT69" s="106">
        <v>0</v>
      </c>
      <c r="CU69" s="106">
        <v>0</v>
      </c>
    </row>
    <row r="70" spans="2:99" x14ac:dyDescent="0.2">
      <c r="C70" s="105" t="s">
        <v>235</v>
      </c>
      <c r="D70" s="106">
        <v>0</v>
      </c>
      <c r="E70" s="106">
        <v>0</v>
      </c>
      <c r="F70" s="106">
        <v>0</v>
      </c>
      <c r="G70" s="106">
        <v>0</v>
      </c>
      <c r="H70" s="106">
        <v>0</v>
      </c>
      <c r="I70" s="106">
        <v>0</v>
      </c>
      <c r="J70" s="106">
        <v>0</v>
      </c>
      <c r="K70" s="106">
        <v>0</v>
      </c>
      <c r="L70" s="106">
        <v>0</v>
      </c>
      <c r="M70" s="106">
        <v>0</v>
      </c>
      <c r="N70" s="106">
        <v>0</v>
      </c>
      <c r="O70" s="106">
        <v>0</v>
      </c>
      <c r="P70" s="106">
        <v>0</v>
      </c>
      <c r="Q70" s="106">
        <v>0</v>
      </c>
      <c r="R70" s="106">
        <v>0</v>
      </c>
      <c r="S70" s="106">
        <v>0</v>
      </c>
      <c r="T70" s="106">
        <v>0</v>
      </c>
      <c r="U70" s="106">
        <v>0</v>
      </c>
      <c r="V70" s="106">
        <v>0</v>
      </c>
      <c r="W70" s="106">
        <v>0</v>
      </c>
      <c r="X70" s="106">
        <v>0</v>
      </c>
      <c r="Y70" s="106">
        <v>0</v>
      </c>
      <c r="Z70" s="106">
        <v>0</v>
      </c>
      <c r="AA70" s="106">
        <v>0</v>
      </c>
      <c r="AB70" s="106">
        <v>0</v>
      </c>
      <c r="AC70" s="106">
        <v>0</v>
      </c>
      <c r="AD70" s="106">
        <v>0</v>
      </c>
      <c r="AE70" s="106">
        <v>0</v>
      </c>
      <c r="AF70" s="106">
        <v>0</v>
      </c>
      <c r="AG70" s="106">
        <v>0</v>
      </c>
      <c r="AH70" s="106">
        <v>0</v>
      </c>
      <c r="AI70" s="106">
        <v>0</v>
      </c>
      <c r="AJ70" s="106">
        <v>0</v>
      </c>
      <c r="AK70" s="106">
        <v>0</v>
      </c>
      <c r="AL70" s="106">
        <v>0</v>
      </c>
      <c r="AM70" s="106">
        <v>0</v>
      </c>
      <c r="AN70" s="106">
        <v>0</v>
      </c>
      <c r="AO70" s="106">
        <v>0</v>
      </c>
      <c r="AP70" s="106">
        <v>0</v>
      </c>
      <c r="AQ70" s="106">
        <v>0</v>
      </c>
      <c r="AR70" s="106">
        <v>0</v>
      </c>
      <c r="AS70" s="106">
        <v>0</v>
      </c>
      <c r="AT70" s="106">
        <v>0</v>
      </c>
      <c r="AU70" s="106">
        <v>0</v>
      </c>
      <c r="AV70" s="106">
        <v>0</v>
      </c>
      <c r="AW70" s="106">
        <v>0</v>
      </c>
      <c r="AX70" s="106">
        <v>0</v>
      </c>
      <c r="AY70" s="106">
        <v>0</v>
      </c>
      <c r="AZ70" s="106">
        <v>0</v>
      </c>
      <c r="BA70" s="106">
        <v>0</v>
      </c>
      <c r="BB70" s="106">
        <v>0</v>
      </c>
      <c r="BC70" s="106">
        <v>0</v>
      </c>
      <c r="BD70" s="106">
        <v>0</v>
      </c>
      <c r="BE70" s="106">
        <v>0</v>
      </c>
      <c r="BF70" s="106">
        <v>0</v>
      </c>
      <c r="BG70" s="106">
        <v>0</v>
      </c>
      <c r="BH70" s="106">
        <v>0</v>
      </c>
      <c r="BI70" s="106">
        <v>0</v>
      </c>
      <c r="BJ70" s="106">
        <v>0</v>
      </c>
      <c r="BK70" s="106">
        <v>0</v>
      </c>
      <c r="BL70" s="106">
        <v>0</v>
      </c>
      <c r="BM70" s="106">
        <v>0</v>
      </c>
      <c r="BN70" s="106">
        <v>0</v>
      </c>
      <c r="BO70" s="106">
        <v>0</v>
      </c>
      <c r="BP70" s="106">
        <v>0</v>
      </c>
      <c r="BQ70" s="106">
        <v>0</v>
      </c>
      <c r="BR70" s="106">
        <v>0</v>
      </c>
      <c r="BS70" s="106">
        <v>0</v>
      </c>
      <c r="BT70" s="106">
        <v>0</v>
      </c>
      <c r="BU70" s="106">
        <v>0</v>
      </c>
      <c r="BV70" s="106">
        <v>0</v>
      </c>
      <c r="BW70" s="106">
        <v>0</v>
      </c>
      <c r="BX70" s="106">
        <v>0</v>
      </c>
      <c r="BY70" s="106">
        <v>0</v>
      </c>
      <c r="BZ70" s="106">
        <v>0</v>
      </c>
      <c r="CA70" s="106">
        <v>0</v>
      </c>
      <c r="CB70" s="106">
        <v>0</v>
      </c>
      <c r="CC70" s="106">
        <v>0</v>
      </c>
      <c r="CD70" s="106">
        <v>0</v>
      </c>
      <c r="CE70" s="106">
        <v>0</v>
      </c>
      <c r="CF70" s="106">
        <v>0</v>
      </c>
      <c r="CG70" s="106">
        <v>0</v>
      </c>
      <c r="CH70" s="106">
        <v>0</v>
      </c>
      <c r="CI70" s="106">
        <v>0</v>
      </c>
      <c r="CJ70" s="106">
        <v>0</v>
      </c>
      <c r="CK70" s="106">
        <v>0</v>
      </c>
      <c r="CL70" s="106">
        <v>0</v>
      </c>
      <c r="CM70" s="106">
        <v>0</v>
      </c>
      <c r="CN70" s="106">
        <v>0</v>
      </c>
      <c r="CO70" s="106">
        <v>0</v>
      </c>
      <c r="CP70" s="106">
        <v>0</v>
      </c>
      <c r="CQ70" s="106">
        <v>0</v>
      </c>
      <c r="CR70" s="106">
        <v>0</v>
      </c>
      <c r="CS70" s="106">
        <v>0</v>
      </c>
      <c r="CT70" s="106">
        <v>0</v>
      </c>
      <c r="CU70" s="106">
        <v>0</v>
      </c>
    </row>
    <row r="71" spans="2:99" x14ac:dyDescent="0.2">
      <c r="B71" s="105" t="s">
        <v>130</v>
      </c>
      <c r="C71" s="105" t="s">
        <v>236</v>
      </c>
      <c r="D71" s="106">
        <v>0</v>
      </c>
      <c r="E71" s="106">
        <v>0</v>
      </c>
      <c r="F71" s="106">
        <v>0</v>
      </c>
      <c r="G71" s="106">
        <v>0</v>
      </c>
      <c r="H71" s="106">
        <v>0</v>
      </c>
      <c r="I71" s="106">
        <v>0</v>
      </c>
      <c r="J71" s="106">
        <v>0</v>
      </c>
      <c r="K71" s="106">
        <v>0</v>
      </c>
      <c r="L71" s="106">
        <v>0</v>
      </c>
      <c r="M71" s="106">
        <v>0</v>
      </c>
      <c r="N71" s="106">
        <v>0</v>
      </c>
      <c r="O71" s="106">
        <v>0</v>
      </c>
      <c r="P71" s="106">
        <v>0</v>
      </c>
      <c r="Q71" s="106">
        <v>0</v>
      </c>
      <c r="R71" s="106">
        <v>0</v>
      </c>
      <c r="S71" s="106">
        <v>0</v>
      </c>
      <c r="T71" s="106">
        <v>0</v>
      </c>
      <c r="U71" s="106">
        <v>0</v>
      </c>
      <c r="V71" s="106">
        <v>0</v>
      </c>
      <c r="W71" s="106">
        <v>0</v>
      </c>
      <c r="X71" s="106">
        <v>0</v>
      </c>
      <c r="Y71" s="106">
        <v>0</v>
      </c>
      <c r="Z71" s="106">
        <v>0</v>
      </c>
      <c r="AA71" s="106">
        <v>0</v>
      </c>
      <c r="AB71" s="106">
        <v>0</v>
      </c>
      <c r="AC71" s="106">
        <v>0</v>
      </c>
      <c r="AD71" s="106">
        <v>0</v>
      </c>
      <c r="AE71" s="106">
        <v>0</v>
      </c>
      <c r="AF71" s="106">
        <v>0</v>
      </c>
      <c r="AG71" s="106">
        <v>0</v>
      </c>
      <c r="AH71" s="106">
        <v>0</v>
      </c>
      <c r="AI71" s="106">
        <v>0</v>
      </c>
      <c r="AJ71" s="106">
        <v>0</v>
      </c>
      <c r="AK71" s="106">
        <v>0</v>
      </c>
      <c r="AL71" s="106">
        <v>0</v>
      </c>
      <c r="AM71" s="106">
        <v>0</v>
      </c>
      <c r="AN71" s="106">
        <v>0</v>
      </c>
      <c r="AO71" s="106">
        <v>0</v>
      </c>
      <c r="AP71" s="106">
        <v>0</v>
      </c>
      <c r="AQ71" s="106">
        <v>0</v>
      </c>
      <c r="AR71" s="106">
        <v>0</v>
      </c>
      <c r="AS71" s="106">
        <v>0</v>
      </c>
      <c r="AT71" s="106">
        <v>0</v>
      </c>
      <c r="AU71" s="106">
        <v>0</v>
      </c>
      <c r="AV71" s="106">
        <v>0</v>
      </c>
      <c r="AW71" s="106">
        <v>0</v>
      </c>
      <c r="AX71" s="106">
        <v>0</v>
      </c>
      <c r="AY71" s="106">
        <v>0</v>
      </c>
      <c r="AZ71" s="106">
        <v>0</v>
      </c>
      <c r="BA71" s="106">
        <v>0</v>
      </c>
      <c r="BB71" s="106">
        <v>0</v>
      </c>
      <c r="BC71" s="106">
        <v>0</v>
      </c>
      <c r="BD71" s="106">
        <v>0</v>
      </c>
      <c r="BE71" s="106">
        <v>0</v>
      </c>
      <c r="BF71" s="106">
        <v>0</v>
      </c>
      <c r="BG71" s="106">
        <v>0</v>
      </c>
      <c r="BH71" s="106">
        <v>0</v>
      </c>
      <c r="BI71" s="106">
        <v>0</v>
      </c>
      <c r="BJ71" s="106">
        <v>0</v>
      </c>
      <c r="BK71" s="106">
        <v>0</v>
      </c>
      <c r="BL71" s="106">
        <v>0</v>
      </c>
      <c r="BM71" s="106">
        <v>0</v>
      </c>
      <c r="BN71" s="106">
        <v>0</v>
      </c>
      <c r="BO71" s="106">
        <v>0</v>
      </c>
      <c r="BP71" s="106">
        <v>0</v>
      </c>
      <c r="BQ71" s="106">
        <v>0</v>
      </c>
      <c r="BR71" s="106">
        <v>0</v>
      </c>
      <c r="BS71" s="106">
        <v>0</v>
      </c>
      <c r="BT71" s="106">
        <v>0</v>
      </c>
      <c r="BU71" s="106">
        <v>0</v>
      </c>
      <c r="BV71" s="106">
        <v>0</v>
      </c>
      <c r="BW71" s="106">
        <v>0</v>
      </c>
      <c r="BX71" s="106">
        <v>0</v>
      </c>
      <c r="BY71" s="106">
        <v>0</v>
      </c>
      <c r="BZ71" s="106">
        <v>0</v>
      </c>
      <c r="CA71" s="106">
        <v>0</v>
      </c>
      <c r="CB71" s="106">
        <v>0</v>
      </c>
      <c r="CC71" s="106">
        <v>0</v>
      </c>
      <c r="CD71" s="106">
        <v>0</v>
      </c>
      <c r="CE71" s="106">
        <v>0</v>
      </c>
      <c r="CF71" s="106">
        <v>0</v>
      </c>
      <c r="CG71" s="106">
        <v>0</v>
      </c>
      <c r="CH71" s="106">
        <v>0</v>
      </c>
      <c r="CI71" s="106">
        <v>0</v>
      </c>
      <c r="CJ71" s="106">
        <v>0</v>
      </c>
      <c r="CK71" s="106">
        <v>0</v>
      </c>
      <c r="CL71" s="106">
        <v>0</v>
      </c>
      <c r="CM71" s="106">
        <v>0</v>
      </c>
      <c r="CN71" s="106">
        <v>0</v>
      </c>
      <c r="CO71" s="106">
        <v>0</v>
      </c>
      <c r="CP71" s="106">
        <v>0</v>
      </c>
      <c r="CQ71" s="106">
        <v>0</v>
      </c>
      <c r="CR71" s="106">
        <v>0</v>
      </c>
      <c r="CS71" s="106">
        <v>0</v>
      </c>
      <c r="CT71" s="106">
        <v>0</v>
      </c>
      <c r="CU71" s="106">
        <v>0</v>
      </c>
    </row>
    <row r="72" spans="2:99" x14ac:dyDescent="0.2">
      <c r="C72" s="105" t="s">
        <v>237</v>
      </c>
      <c r="D72" s="106">
        <v>0</v>
      </c>
      <c r="E72" s="106">
        <v>0</v>
      </c>
      <c r="F72" s="106">
        <v>0</v>
      </c>
      <c r="G72" s="106">
        <v>0</v>
      </c>
      <c r="H72" s="106">
        <v>0</v>
      </c>
      <c r="I72" s="106">
        <v>0</v>
      </c>
      <c r="J72" s="106">
        <v>0</v>
      </c>
      <c r="K72" s="106">
        <v>0</v>
      </c>
      <c r="L72" s="106">
        <v>0</v>
      </c>
      <c r="M72" s="106">
        <v>0</v>
      </c>
      <c r="N72" s="106">
        <v>0</v>
      </c>
      <c r="O72" s="106">
        <v>0</v>
      </c>
      <c r="P72" s="106">
        <v>0</v>
      </c>
      <c r="Q72" s="106">
        <v>0</v>
      </c>
      <c r="R72" s="106">
        <v>0</v>
      </c>
      <c r="S72" s="106">
        <v>0</v>
      </c>
      <c r="T72" s="106">
        <v>0</v>
      </c>
      <c r="U72" s="106">
        <v>0</v>
      </c>
      <c r="V72" s="106">
        <v>0</v>
      </c>
      <c r="W72" s="106">
        <v>0</v>
      </c>
      <c r="X72" s="106">
        <v>0</v>
      </c>
      <c r="Y72" s="106">
        <v>0</v>
      </c>
      <c r="Z72" s="106">
        <v>0</v>
      </c>
      <c r="AA72" s="106">
        <v>0</v>
      </c>
      <c r="AB72" s="106">
        <v>0</v>
      </c>
      <c r="AC72" s="106">
        <v>0</v>
      </c>
      <c r="AD72" s="106">
        <v>0</v>
      </c>
      <c r="AE72" s="106">
        <v>0</v>
      </c>
      <c r="AF72" s="106">
        <v>0</v>
      </c>
      <c r="AG72" s="106">
        <v>0</v>
      </c>
      <c r="AH72" s="106">
        <v>0</v>
      </c>
      <c r="AI72" s="106">
        <v>0</v>
      </c>
      <c r="AJ72" s="106">
        <v>0</v>
      </c>
      <c r="AK72" s="106">
        <v>0</v>
      </c>
      <c r="AL72" s="106">
        <v>0</v>
      </c>
      <c r="AM72" s="106">
        <v>0</v>
      </c>
      <c r="AN72" s="106">
        <v>0</v>
      </c>
      <c r="AO72" s="106">
        <v>0</v>
      </c>
      <c r="AP72" s="106">
        <v>0</v>
      </c>
      <c r="AQ72" s="106">
        <v>0</v>
      </c>
      <c r="AR72" s="106">
        <v>0</v>
      </c>
      <c r="AS72" s="106">
        <v>0</v>
      </c>
      <c r="AT72" s="106">
        <v>0</v>
      </c>
      <c r="AU72" s="106">
        <v>0</v>
      </c>
      <c r="AV72" s="106">
        <v>0</v>
      </c>
      <c r="AW72" s="106">
        <v>0</v>
      </c>
      <c r="AX72" s="106">
        <v>0</v>
      </c>
      <c r="AY72" s="106">
        <v>0</v>
      </c>
      <c r="AZ72" s="106">
        <v>0</v>
      </c>
      <c r="BA72" s="106">
        <v>0</v>
      </c>
      <c r="BB72" s="106">
        <v>0</v>
      </c>
      <c r="BC72" s="106">
        <v>0</v>
      </c>
      <c r="BD72" s="106">
        <v>0</v>
      </c>
      <c r="BE72" s="106">
        <v>0</v>
      </c>
      <c r="BF72" s="106">
        <v>0</v>
      </c>
      <c r="BG72" s="106">
        <v>0</v>
      </c>
      <c r="BH72" s="106">
        <v>0</v>
      </c>
      <c r="BI72" s="106">
        <v>0</v>
      </c>
      <c r="BJ72" s="106">
        <v>0</v>
      </c>
      <c r="BK72" s="106">
        <v>0</v>
      </c>
      <c r="BL72" s="106">
        <v>0</v>
      </c>
      <c r="BM72" s="106">
        <v>0</v>
      </c>
      <c r="BN72" s="106">
        <v>0</v>
      </c>
      <c r="BO72" s="106">
        <v>0</v>
      </c>
      <c r="BP72" s="106">
        <v>0</v>
      </c>
      <c r="BQ72" s="106">
        <v>0</v>
      </c>
      <c r="BR72" s="106">
        <v>0</v>
      </c>
      <c r="BS72" s="106">
        <v>0</v>
      </c>
      <c r="BT72" s="106">
        <v>0</v>
      </c>
      <c r="BU72" s="106">
        <v>0</v>
      </c>
      <c r="BV72" s="106">
        <v>0</v>
      </c>
      <c r="BW72" s="106">
        <v>0</v>
      </c>
      <c r="BX72" s="106">
        <v>0</v>
      </c>
      <c r="BY72" s="106">
        <v>0</v>
      </c>
      <c r="BZ72" s="106">
        <v>0</v>
      </c>
      <c r="CA72" s="106">
        <v>0</v>
      </c>
      <c r="CB72" s="106">
        <v>0</v>
      </c>
      <c r="CC72" s="106">
        <v>0</v>
      </c>
      <c r="CD72" s="106">
        <v>0</v>
      </c>
      <c r="CE72" s="106">
        <v>0</v>
      </c>
      <c r="CF72" s="106">
        <v>0</v>
      </c>
      <c r="CG72" s="106">
        <v>0</v>
      </c>
      <c r="CH72" s="106">
        <v>0</v>
      </c>
      <c r="CI72" s="106">
        <v>0</v>
      </c>
      <c r="CJ72" s="106">
        <v>0</v>
      </c>
      <c r="CK72" s="106">
        <v>0</v>
      </c>
      <c r="CL72" s="106">
        <v>0</v>
      </c>
      <c r="CM72" s="106">
        <v>0</v>
      </c>
      <c r="CN72" s="106">
        <v>0</v>
      </c>
      <c r="CO72" s="106">
        <v>0</v>
      </c>
      <c r="CP72" s="106">
        <v>0</v>
      </c>
      <c r="CQ72" s="106">
        <v>0</v>
      </c>
      <c r="CR72" s="106">
        <v>0</v>
      </c>
      <c r="CS72" s="106">
        <v>0</v>
      </c>
      <c r="CT72" s="106">
        <v>0</v>
      </c>
      <c r="CU72" s="106">
        <v>0</v>
      </c>
    </row>
    <row r="73" spans="2:99" x14ac:dyDescent="0.2">
      <c r="C73" s="105" t="s">
        <v>238</v>
      </c>
      <c r="D73" s="106">
        <v>0</v>
      </c>
      <c r="E73" s="106">
        <v>0</v>
      </c>
      <c r="F73" s="106">
        <v>0</v>
      </c>
      <c r="G73" s="106">
        <v>0</v>
      </c>
      <c r="H73" s="106">
        <v>0</v>
      </c>
      <c r="I73" s="106">
        <v>0</v>
      </c>
      <c r="J73" s="106">
        <v>0</v>
      </c>
      <c r="K73" s="106">
        <v>0</v>
      </c>
      <c r="L73" s="106">
        <v>0</v>
      </c>
      <c r="M73" s="106">
        <v>0</v>
      </c>
      <c r="N73" s="106">
        <v>0</v>
      </c>
      <c r="O73" s="106">
        <v>0</v>
      </c>
      <c r="P73" s="106">
        <v>0</v>
      </c>
      <c r="Q73" s="106">
        <v>0</v>
      </c>
      <c r="R73" s="106">
        <v>0</v>
      </c>
      <c r="S73" s="106">
        <v>0</v>
      </c>
      <c r="T73" s="106">
        <v>0</v>
      </c>
      <c r="U73" s="106">
        <v>0</v>
      </c>
      <c r="V73" s="106">
        <v>0</v>
      </c>
      <c r="W73" s="106">
        <v>0</v>
      </c>
      <c r="X73" s="106">
        <v>0</v>
      </c>
      <c r="Y73" s="106">
        <v>0</v>
      </c>
      <c r="Z73" s="106">
        <v>0</v>
      </c>
      <c r="AA73" s="106">
        <v>0</v>
      </c>
      <c r="AB73" s="106">
        <v>0</v>
      </c>
      <c r="AC73" s="106">
        <v>0</v>
      </c>
      <c r="AD73" s="106">
        <v>0</v>
      </c>
      <c r="AE73" s="106">
        <v>0</v>
      </c>
      <c r="AF73" s="106">
        <v>0</v>
      </c>
      <c r="AG73" s="106">
        <v>0</v>
      </c>
      <c r="AH73" s="106">
        <v>0</v>
      </c>
      <c r="AI73" s="106">
        <v>0</v>
      </c>
      <c r="AJ73" s="106">
        <v>0</v>
      </c>
      <c r="AK73" s="106">
        <v>0</v>
      </c>
      <c r="AL73" s="106">
        <v>0</v>
      </c>
      <c r="AM73" s="106">
        <v>0</v>
      </c>
      <c r="AN73" s="106">
        <v>0</v>
      </c>
      <c r="AO73" s="106">
        <v>0</v>
      </c>
      <c r="AP73" s="106">
        <v>0</v>
      </c>
      <c r="AQ73" s="106">
        <v>0</v>
      </c>
      <c r="AR73" s="106">
        <v>0</v>
      </c>
      <c r="AS73" s="106">
        <v>0</v>
      </c>
      <c r="AT73" s="106">
        <v>0</v>
      </c>
      <c r="AU73" s="106">
        <v>0</v>
      </c>
      <c r="AV73" s="106">
        <v>0</v>
      </c>
      <c r="AW73" s="106">
        <v>0</v>
      </c>
      <c r="AX73" s="106">
        <v>0</v>
      </c>
      <c r="AY73" s="106">
        <v>0</v>
      </c>
      <c r="AZ73" s="106">
        <v>0</v>
      </c>
      <c r="BA73" s="106">
        <v>0</v>
      </c>
      <c r="BB73" s="106">
        <v>0</v>
      </c>
      <c r="BC73" s="106">
        <v>0</v>
      </c>
      <c r="BD73" s="106">
        <v>0</v>
      </c>
      <c r="BE73" s="106">
        <v>0</v>
      </c>
      <c r="BF73" s="106">
        <v>0</v>
      </c>
      <c r="BG73" s="106">
        <v>0</v>
      </c>
      <c r="BH73" s="106">
        <v>0</v>
      </c>
      <c r="BI73" s="106">
        <v>0</v>
      </c>
      <c r="BJ73" s="106">
        <v>0</v>
      </c>
      <c r="BK73" s="106">
        <v>0</v>
      </c>
      <c r="BL73" s="106">
        <v>0</v>
      </c>
      <c r="BM73" s="106">
        <v>0</v>
      </c>
      <c r="BN73" s="106">
        <v>0</v>
      </c>
      <c r="BO73" s="106">
        <v>0</v>
      </c>
      <c r="BP73" s="106">
        <v>0</v>
      </c>
      <c r="BQ73" s="106">
        <v>0</v>
      </c>
      <c r="BR73" s="106">
        <v>0</v>
      </c>
      <c r="BS73" s="106">
        <v>0</v>
      </c>
      <c r="BT73" s="106">
        <v>0</v>
      </c>
      <c r="BU73" s="106">
        <v>0</v>
      </c>
      <c r="BV73" s="106">
        <v>0</v>
      </c>
      <c r="BW73" s="106">
        <v>0</v>
      </c>
      <c r="BX73" s="106">
        <v>0</v>
      </c>
      <c r="BY73" s="106">
        <v>0</v>
      </c>
      <c r="BZ73" s="106">
        <v>0</v>
      </c>
      <c r="CA73" s="106">
        <v>0</v>
      </c>
      <c r="CB73" s="106">
        <v>0</v>
      </c>
      <c r="CC73" s="106">
        <v>0</v>
      </c>
      <c r="CD73" s="106">
        <v>0</v>
      </c>
      <c r="CE73" s="106">
        <v>0</v>
      </c>
      <c r="CF73" s="106">
        <v>0</v>
      </c>
      <c r="CG73" s="106">
        <v>0</v>
      </c>
      <c r="CH73" s="106">
        <v>0</v>
      </c>
      <c r="CI73" s="106">
        <v>0</v>
      </c>
      <c r="CJ73" s="106">
        <v>0</v>
      </c>
      <c r="CK73" s="106">
        <v>0</v>
      </c>
      <c r="CL73" s="106">
        <v>0</v>
      </c>
      <c r="CM73" s="106">
        <v>0</v>
      </c>
      <c r="CN73" s="106">
        <v>0</v>
      </c>
      <c r="CO73" s="106">
        <v>0</v>
      </c>
      <c r="CP73" s="106">
        <v>0</v>
      </c>
      <c r="CQ73" s="106">
        <v>0</v>
      </c>
      <c r="CR73" s="106">
        <v>0</v>
      </c>
      <c r="CS73" s="106">
        <v>0</v>
      </c>
      <c r="CT73" s="106">
        <v>0</v>
      </c>
      <c r="CU73" s="106">
        <v>0</v>
      </c>
    </row>
    <row r="74" spans="2:99" x14ac:dyDescent="0.2">
      <c r="C74" s="105" t="s">
        <v>239</v>
      </c>
      <c r="D74" s="106">
        <v>0</v>
      </c>
      <c r="E74" s="106">
        <v>0</v>
      </c>
      <c r="F74" s="106">
        <v>0</v>
      </c>
      <c r="G74" s="106">
        <v>0</v>
      </c>
      <c r="H74" s="106">
        <v>0</v>
      </c>
      <c r="I74" s="106">
        <v>0</v>
      </c>
      <c r="J74" s="106">
        <v>0</v>
      </c>
      <c r="K74" s="106">
        <v>0</v>
      </c>
      <c r="L74" s="106">
        <v>0</v>
      </c>
      <c r="M74" s="106">
        <v>0</v>
      </c>
      <c r="N74" s="106">
        <v>0</v>
      </c>
      <c r="O74" s="106">
        <v>0</v>
      </c>
      <c r="P74" s="106">
        <v>0</v>
      </c>
      <c r="Q74" s="106">
        <v>0</v>
      </c>
      <c r="R74" s="106">
        <v>0</v>
      </c>
      <c r="S74" s="106">
        <v>0</v>
      </c>
      <c r="T74" s="106">
        <v>0</v>
      </c>
      <c r="U74" s="106">
        <v>0</v>
      </c>
      <c r="V74" s="106">
        <v>0</v>
      </c>
      <c r="W74" s="106">
        <v>0</v>
      </c>
      <c r="X74" s="106">
        <v>0</v>
      </c>
      <c r="Y74" s="106">
        <v>0</v>
      </c>
      <c r="Z74" s="106">
        <v>0</v>
      </c>
      <c r="AA74" s="106">
        <v>0</v>
      </c>
      <c r="AB74" s="106">
        <v>0</v>
      </c>
      <c r="AC74" s="106">
        <v>0</v>
      </c>
      <c r="AD74" s="106">
        <v>0</v>
      </c>
      <c r="AE74" s="106">
        <v>0</v>
      </c>
      <c r="AF74" s="106">
        <v>0</v>
      </c>
      <c r="AG74" s="106">
        <v>0</v>
      </c>
      <c r="AH74" s="106">
        <v>0</v>
      </c>
      <c r="AI74" s="106">
        <v>0</v>
      </c>
      <c r="AJ74" s="106">
        <v>0</v>
      </c>
      <c r="AK74" s="106">
        <v>0</v>
      </c>
      <c r="AL74" s="106">
        <v>0</v>
      </c>
      <c r="AM74" s="106">
        <v>0</v>
      </c>
      <c r="AN74" s="106">
        <v>0</v>
      </c>
      <c r="AO74" s="106">
        <v>0</v>
      </c>
      <c r="AP74" s="106">
        <v>0</v>
      </c>
      <c r="AQ74" s="106">
        <v>0</v>
      </c>
      <c r="AR74" s="106">
        <v>0</v>
      </c>
      <c r="AS74" s="106">
        <v>0</v>
      </c>
      <c r="AT74" s="106">
        <v>0</v>
      </c>
      <c r="AU74" s="106">
        <v>0</v>
      </c>
      <c r="AV74" s="106">
        <v>0</v>
      </c>
      <c r="AW74" s="106">
        <v>0</v>
      </c>
      <c r="AX74" s="106">
        <v>0</v>
      </c>
      <c r="AY74" s="106">
        <v>0</v>
      </c>
      <c r="AZ74" s="106">
        <v>0</v>
      </c>
      <c r="BA74" s="106">
        <v>0</v>
      </c>
      <c r="BB74" s="106">
        <v>0</v>
      </c>
      <c r="BC74" s="106">
        <v>0</v>
      </c>
      <c r="BD74" s="106">
        <v>0</v>
      </c>
      <c r="BE74" s="106">
        <v>0</v>
      </c>
      <c r="BF74" s="106">
        <v>0</v>
      </c>
      <c r="BG74" s="106">
        <v>0</v>
      </c>
      <c r="BH74" s="106">
        <v>0</v>
      </c>
      <c r="BI74" s="106">
        <v>0</v>
      </c>
      <c r="BJ74" s="106">
        <v>0</v>
      </c>
      <c r="BK74" s="106">
        <v>0</v>
      </c>
      <c r="BL74" s="106">
        <v>0</v>
      </c>
      <c r="BM74" s="106">
        <v>0</v>
      </c>
      <c r="BN74" s="106">
        <v>0</v>
      </c>
      <c r="BO74" s="106">
        <v>0</v>
      </c>
      <c r="BP74" s="106">
        <v>0</v>
      </c>
      <c r="BQ74" s="106">
        <v>0</v>
      </c>
      <c r="BR74" s="106">
        <v>0</v>
      </c>
      <c r="BS74" s="106">
        <v>0</v>
      </c>
      <c r="BT74" s="106">
        <v>0</v>
      </c>
      <c r="BU74" s="106">
        <v>0</v>
      </c>
      <c r="BV74" s="106">
        <v>0</v>
      </c>
      <c r="BW74" s="106">
        <v>0</v>
      </c>
      <c r="BX74" s="106">
        <v>0</v>
      </c>
      <c r="BY74" s="106">
        <v>0</v>
      </c>
      <c r="BZ74" s="106">
        <v>0</v>
      </c>
      <c r="CA74" s="106">
        <v>0</v>
      </c>
      <c r="CB74" s="106">
        <v>0</v>
      </c>
      <c r="CC74" s="106">
        <v>0</v>
      </c>
      <c r="CD74" s="106">
        <v>0</v>
      </c>
      <c r="CE74" s="106">
        <v>0</v>
      </c>
      <c r="CF74" s="106">
        <v>0</v>
      </c>
      <c r="CG74" s="106">
        <v>0</v>
      </c>
      <c r="CH74" s="106">
        <v>0</v>
      </c>
      <c r="CI74" s="106">
        <v>0</v>
      </c>
      <c r="CJ74" s="106">
        <v>0</v>
      </c>
      <c r="CK74" s="106">
        <v>0</v>
      </c>
      <c r="CL74" s="106">
        <v>0</v>
      </c>
      <c r="CM74" s="106">
        <v>0</v>
      </c>
      <c r="CN74" s="106">
        <v>0</v>
      </c>
      <c r="CO74" s="106">
        <v>0</v>
      </c>
      <c r="CP74" s="106">
        <v>0</v>
      </c>
      <c r="CQ74" s="106">
        <v>0</v>
      </c>
      <c r="CR74" s="106">
        <v>0</v>
      </c>
      <c r="CS74" s="106">
        <v>0</v>
      </c>
      <c r="CT74" s="106">
        <v>0</v>
      </c>
      <c r="CU74" s="106">
        <v>0</v>
      </c>
    </row>
    <row r="75" spans="2:99" x14ac:dyDescent="0.2">
      <c r="C75" s="105" t="s">
        <v>240</v>
      </c>
      <c r="D75" s="106">
        <v>0</v>
      </c>
      <c r="E75" s="106">
        <v>0</v>
      </c>
      <c r="F75" s="106">
        <v>0</v>
      </c>
      <c r="G75" s="106">
        <v>0</v>
      </c>
      <c r="H75" s="106">
        <v>0</v>
      </c>
      <c r="I75" s="106">
        <v>0</v>
      </c>
      <c r="J75" s="106">
        <v>0</v>
      </c>
      <c r="K75" s="106">
        <v>0</v>
      </c>
      <c r="L75" s="106">
        <v>0</v>
      </c>
      <c r="M75" s="106">
        <v>0</v>
      </c>
      <c r="N75" s="106">
        <v>0</v>
      </c>
      <c r="O75" s="106">
        <v>0</v>
      </c>
      <c r="P75" s="106">
        <v>0</v>
      </c>
      <c r="Q75" s="106">
        <v>0</v>
      </c>
      <c r="R75" s="106">
        <v>0</v>
      </c>
      <c r="S75" s="106">
        <v>0</v>
      </c>
      <c r="T75" s="106">
        <v>0</v>
      </c>
      <c r="U75" s="106">
        <v>0</v>
      </c>
      <c r="V75" s="106">
        <v>0</v>
      </c>
      <c r="W75" s="106">
        <v>0</v>
      </c>
      <c r="X75" s="106">
        <v>0</v>
      </c>
      <c r="Y75" s="106">
        <v>0</v>
      </c>
      <c r="Z75" s="106">
        <v>0</v>
      </c>
      <c r="AA75" s="106">
        <v>0</v>
      </c>
      <c r="AB75" s="106">
        <v>0</v>
      </c>
      <c r="AC75" s="106">
        <v>0</v>
      </c>
      <c r="AD75" s="106">
        <v>0</v>
      </c>
      <c r="AE75" s="106">
        <v>0</v>
      </c>
      <c r="AF75" s="106">
        <v>0</v>
      </c>
      <c r="AG75" s="106">
        <v>0</v>
      </c>
      <c r="AH75" s="106">
        <v>0</v>
      </c>
      <c r="AI75" s="106">
        <v>0</v>
      </c>
      <c r="AJ75" s="106">
        <v>0</v>
      </c>
      <c r="AK75" s="106">
        <v>0</v>
      </c>
      <c r="AL75" s="106">
        <v>0</v>
      </c>
      <c r="AM75" s="106">
        <v>0</v>
      </c>
      <c r="AN75" s="106">
        <v>0</v>
      </c>
      <c r="AO75" s="106">
        <v>0</v>
      </c>
      <c r="AP75" s="106">
        <v>0</v>
      </c>
      <c r="AQ75" s="106">
        <v>0</v>
      </c>
      <c r="AR75" s="106">
        <v>0</v>
      </c>
      <c r="AS75" s="106">
        <v>0</v>
      </c>
      <c r="AT75" s="106">
        <v>0</v>
      </c>
      <c r="AU75" s="106">
        <v>0</v>
      </c>
      <c r="AV75" s="106">
        <v>0</v>
      </c>
      <c r="AW75" s="106">
        <v>0</v>
      </c>
      <c r="AX75" s="106">
        <v>0</v>
      </c>
      <c r="AY75" s="106">
        <v>0</v>
      </c>
      <c r="AZ75" s="106">
        <v>0</v>
      </c>
      <c r="BA75" s="106">
        <v>0</v>
      </c>
      <c r="BB75" s="106">
        <v>0</v>
      </c>
      <c r="BC75" s="106">
        <v>0</v>
      </c>
      <c r="BD75" s="106">
        <v>0</v>
      </c>
      <c r="BE75" s="106">
        <v>0</v>
      </c>
      <c r="BF75" s="106">
        <v>0</v>
      </c>
      <c r="BG75" s="106">
        <v>0</v>
      </c>
      <c r="BH75" s="106">
        <v>0</v>
      </c>
      <c r="BI75" s="106">
        <v>0</v>
      </c>
      <c r="BJ75" s="106">
        <v>0</v>
      </c>
      <c r="BK75" s="106">
        <v>0</v>
      </c>
      <c r="BL75" s="106">
        <v>0</v>
      </c>
      <c r="BM75" s="106">
        <v>0</v>
      </c>
      <c r="BN75" s="106">
        <v>0</v>
      </c>
      <c r="BO75" s="106">
        <v>0</v>
      </c>
      <c r="BP75" s="106">
        <v>0</v>
      </c>
      <c r="BQ75" s="106">
        <v>0</v>
      </c>
      <c r="BR75" s="106">
        <v>0</v>
      </c>
      <c r="BS75" s="106">
        <v>0</v>
      </c>
      <c r="BT75" s="106">
        <v>0</v>
      </c>
      <c r="BU75" s="106">
        <v>0</v>
      </c>
      <c r="BV75" s="106">
        <v>0</v>
      </c>
      <c r="BW75" s="106">
        <v>0</v>
      </c>
      <c r="BX75" s="106">
        <v>0</v>
      </c>
      <c r="BY75" s="106">
        <v>0</v>
      </c>
      <c r="BZ75" s="106">
        <v>0</v>
      </c>
      <c r="CA75" s="106">
        <v>0</v>
      </c>
      <c r="CB75" s="106">
        <v>0</v>
      </c>
      <c r="CC75" s="106">
        <v>0</v>
      </c>
      <c r="CD75" s="106">
        <v>0</v>
      </c>
      <c r="CE75" s="106">
        <v>0</v>
      </c>
      <c r="CF75" s="106">
        <v>0</v>
      </c>
      <c r="CG75" s="106">
        <v>0</v>
      </c>
      <c r="CH75" s="106">
        <v>0</v>
      </c>
      <c r="CI75" s="106">
        <v>0</v>
      </c>
      <c r="CJ75" s="106">
        <v>0</v>
      </c>
      <c r="CK75" s="106">
        <v>0</v>
      </c>
      <c r="CL75" s="106">
        <v>0</v>
      </c>
      <c r="CM75" s="106">
        <v>0</v>
      </c>
      <c r="CN75" s="106">
        <v>0</v>
      </c>
      <c r="CO75" s="106">
        <v>0</v>
      </c>
      <c r="CP75" s="106">
        <v>0</v>
      </c>
      <c r="CQ75" s="106">
        <v>0</v>
      </c>
      <c r="CR75" s="106">
        <v>0</v>
      </c>
      <c r="CS75" s="106">
        <v>0</v>
      </c>
      <c r="CT75" s="106">
        <v>0</v>
      </c>
      <c r="CU75" s="106">
        <v>0</v>
      </c>
    </row>
    <row r="76" spans="2:99" x14ac:dyDescent="0.2">
      <c r="C76" s="105" t="s">
        <v>241</v>
      </c>
      <c r="D76" s="106">
        <v>0</v>
      </c>
      <c r="E76" s="106">
        <v>0</v>
      </c>
      <c r="F76" s="106">
        <v>0</v>
      </c>
      <c r="G76" s="106">
        <v>0</v>
      </c>
      <c r="H76" s="106">
        <v>0</v>
      </c>
      <c r="I76" s="106">
        <v>0</v>
      </c>
      <c r="J76" s="106">
        <v>0</v>
      </c>
      <c r="K76" s="106">
        <v>0</v>
      </c>
      <c r="L76" s="106">
        <v>0</v>
      </c>
      <c r="M76" s="106">
        <v>0</v>
      </c>
      <c r="N76" s="106">
        <v>0</v>
      </c>
      <c r="O76" s="106">
        <v>0</v>
      </c>
      <c r="P76" s="106">
        <v>0</v>
      </c>
      <c r="Q76" s="106">
        <v>0</v>
      </c>
      <c r="R76" s="106">
        <v>0</v>
      </c>
      <c r="S76" s="106">
        <v>0</v>
      </c>
      <c r="T76" s="106">
        <v>0</v>
      </c>
      <c r="U76" s="106">
        <v>0</v>
      </c>
      <c r="V76" s="106">
        <v>0</v>
      </c>
      <c r="W76" s="106">
        <v>0</v>
      </c>
      <c r="X76" s="106">
        <v>0</v>
      </c>
      <c r="Y76" s="106">
        <v>0</v>
      </c>
      <c r="Z76" s="106">
        <v>0</v>
      </c>
      <c r="AA76" s="106">
        <v>0</v>
      </c>
      <c r="AB76" s="106">
        <v>0</v>
      </c>
      <c r="AC76" s="106">
        <v>0</v>
      </c>
      <c r="AD76" s="106">
        <v>0</v>
      </c>
      <c r="AE76" s="106">
        <v>0</v>
      </c>
      <c r="AF76" s="106">
        <v>0</v>
      </c>
      <c r="AG76" s="106">
        <v>0</v>
      </c>
      <c r="AH76" s="106">
        <v>0</v>
      </c>
      <c r="AI76" s="106">
        <v>0</v>
      </c>
      <c r="AJ76" s="106">
        <v>0</v>
      </c>
      <c r="AK76" s="106">
        <v>0</v>
      </c>
      <c r="AL76" s="106">
        <v>0</v>
      </c>
      <c r="AM76" s="106">
        <v>0</v>
      </c>
      <c r="AN76" s="106">
        <v>0</v>
      </c>
      <c r="AO76" s="106">
        <v>0</v>
      </c>
      <c r="AP76" s="106">
        <v>0</v>
      </c>
      <c r="AQ76" s="106">
        <v>0</v>
      </c>
      <c r="AR76" s="106">
        <v>0</v>
      </c>
      <c r="AS76" s="106">
        <v>0</v>
      </c>
      <c r="AT76" s="106">
        <v>0</v>
      </c>
      <c r="AU76" s="106">
        <v>0</v>
      </c>
      <c r="AV76" s="106">
        <v>0</v>
      </c>
      <c r="AW76" s="106">
        <v>0</v>
      </c>
      <c r="AX76" s="106">
        <v>0</v>
      </c>
      <c r="AY76" s="106">
        <v>0</v>
      </c>
      <c r="AZ76" s="106">
        <v>0</v>
      </c>
      <c r="BA76" s="106">
        <v>0</v>
      </c>
      <c r="BB76" s="106">
        <v>0</v>
      </c>
      <c r="BC76" s="106">
        <v>0</v>
      </c>
      <c r="BD76" s="106">
        <v>0</v>
      </c>
      <c r="BE76" s="106">
        <v>0</v>
      </c>
      <c r="BF76" s="106">
        <v>0</v>
      </c>
      <c r="BG76" s="106">
        <v>0</v>
      </c>
      <c r="BH76" s="106">
        <v>0</v>
      </c>
      <c r="BI76" s="106">
        <v>0</v>
      </c>
      <c r="BJ76" s="106">
        <v>0</v>
      </c>
      <c r="BK76" s="106">
        <v>0</v>
      </c>
      <c r="BL76" s="106">
        <v>0</v>
      </c>
      <c r="BM76" s="106">
        <v>0</v>
      </c>
      <c r="BN76" s="106">
        <v>0</v>
      </c>
      <c r="BO76" s="106">
        <v>0</v>
      </c>
      <c r="BP76" s="106">
        <v>0</v>
      </c>
      <c r="BQ76" s="106">
        <v>0</v>
      </c>
      <c r="BR76" s="106">
        <v>0</v>
      </c>
      <c r="BS76" s="106">
        <v>0</v>
      </c>
      <c r="BT76" s="106">
        <v>0</v>
      </c>
      <c r="BU76" s="106">
        <v>0</v>
      </c>
      <c r="BV76" s="106">
        <v>0</v>
      </c>
      <c r="BW76" s="106">
        <v>0</v>
      </c>
      <c r="BX76" s="106">
        <v>0</v>
      </c>
      <c r="BY76" s="106">
        <v>0</v>
      </c>
      <c r="BZ76" s="106">
        <v>0</v>
      </c>
      <c r="CA76" s="106">
        <v>0</v>
      </c>
      <c r="CB76" s="106">
        <v>0</v>
      </c>
      <c r="CC76" s="106">
        <v>0</v>
      </c>
      <c r="CD76" s="106">
        <v>0</v>
      </c>
      <c r="CE76" s="106">
        <v>0</v>
      </c>
      <c r="CF76" s="106">
        <v>0</v>
      </c>
      <c r="CG76" s="106">
        <v>0</v>
      </c>
      <c r="CH76" s="106">
        <v>0</v>
      </c>
      <c r="CI76" s="106">
        <v>0</v>
      </c>
      <c r="CJ76" s="106">
        <v>0</v>
      </c>
      <c r="CK76" s="106">
        <v>0</v>
      </c>
      <c r="CL76" s="106">
        <v>0</v>
      </c>
      <c r="CM76" s="106">
        <v>0</v>
      </c>
      <c r="CN76" s="106">
        <v>0</v>
      </c>
      <c r="CO76" s="106">
        <v>0</v>
      </c>
      <c r="CP76" s="106">
        <v>0</v>
      </c>
      <c r="CQ76" s="106">
        <v>0</v>
      </c>
      <c r="CR76" s="106">
        <v>0</v>
      </c>
      <c r="CS76" s="106">
        <v>0</v>
      </c>
      <c r="CT76" s="106">
        <v>0</v>
      </c>
      <c r="CU76" s="106">
        <v>0</v>
      </c>
    </row>
    <row r="77" spans="2:99" x14ac:dyDescent="0.2">
      <c r="C77" s="105" t="s">
        <v>242</v>
      </c>
      <c r="D77" s="106">
        <v>0</v>
      </c>
      <c r="E77" s="106">
        <v>0</v>
      </c>
      <c r="F77" s="106">
        <v>0</v>
      </c>
      <c r="G77" s="106">
        <v>0</v>
      </c>
      <c r="H77" s="106">
        <v>0</v>
      </c>
      <c r="I77" s="106">
        <v>0</v>
      </c>
      <c r="J77" s="106">
        <v>0</v>
      </c>
      <c r="K77" s="106">
        <v>0</v>
      </c>
      <c r="L77" s="106">
        <v>0</v>
      </c>
      <c r="M77" s="106">
        <v>0</v>
      </c>
      <c r="N77" s="106">
        <v>0</v>
      </c>
      <c r="O77" s="106">
        <v>0</v>
      </c>
      <c r="P77" s="106">
        <v>0</v>
      </c>
      <c r="Q77" s="106">
        <v>0</v>
      </c>
      <c r="R77" s="106">
        <v>0</v>
      </c>
      <c r="S77" s="106">
        <v>0</v>
      </c>
      <c r="T77" s="106">
        <v>0</v>
      </c>
      <c r="U77" s="106">
        <v>0</v>
      </c>
      <c r="V77" s="106">
        <v>0</v>
      </c>
      <c r="W77" s="106">
        <v>0</v>
      </c>
      <c r="X77" s="106">
        <v>0</v>
      </c>
      <c r="Y77" s="106">
        <v>0</v>
      </c>
      <c r="Z77" s="106">
        <v>0</v>
      </c>
      <c r="AA77" s="106">
        <v>0</v>
      </c>
      <c r="AB77" s="106">
        <v>0</v>
      </c>
      <c r="AC77" s="106">
        <v>0</v>
      </c>
      <c r="AD77" s="106">
        <v>0</v>
      </c>
      <c r="AE77" s="106">
        <v>0</v>
      </c>
      <c r="AF77" s="106">
        <v>0</v>
      </c>
      <c r="AG77" s="106">
        <v>0</v>
      </c>
      <c r="AH77" s="106">
        <v>0</v>
      </c>
      <c r="AI77" s="106">
        <v>0</v>
      </c>
      <c r="AJ77" s="106">
        <v>0</v>
      </c>
      <c r="AK77" s="106">
        <v>0</v>
      </c>
      <c r="AL77" s="106">
        <v>0</v>
      </c>
      <c r="AM77" s="106">
        <v>0</v>
      </c>
      <c r="AN77" s="106">
        <v>0</v>
      </c>
      <c r="AO77" s="106">
        <v>0</v>
      </c>
      <c r="AP77" s="106">
        <v>0</v>
      </c>
      <c r="AQ77" s="106">
        <v>0</v>
      </c>
      <c r="AR77" s="106">
        <v>0</v>
      </c>
      <c r="AS77" s="106">
        <v>0</v>
      </c>
      <c r="AT77" s="106">
        <v>0</v>
      </c>
      <c r="AU77" s="106">
        <v>0</v>
      </c>
      <c r="AV77" s="106">
        <v>0</v>
      </c>
      <c r="AW77" s="106">
        <v>0</v>
      </c>
      <c r="AX77" s="106">
        <v>0</v>
      </c>
      <c r="AY77" s="106">
        <v>0</v>
      </c>
      <c r="AZ77" s="106">
        <v>0</v>
      </c>
      <c r="BA77" s="106">
        <v>0</v>
      </c>
      <c r="BB77" s="106">
        <v>0</v>
      </c>
      <c r="BC77" s="106">
        <v>0</v>
      </c>
      <c r="BD77" s="106">
        <v>0</v>
      </c>
      <c r="BE77" s="106">
        <v>0</v>
      </c>
      <c r="BF77" s="106">
        <v>0</v>
      </c>
      <c r="BG77" s="106">
        <v>0</v>
      </c>
      <c r="BH77" s="106">
        <v>0</v>
      </c>
      <c r="BI77" s="106">
        <v>0</v>
      </c>
      <c r="BJ77" s="106">
        <v>0</v>
      </c>
      <c r="BK77" s="106">
        <v>0</v>
      </c>
      <c r="BL77" s="106">
        <v>0</v>
      </c>
      <c r="BM77" s="106">
        <v>0</v>
      </c>
      <c r="BN77" s="106">
        <v>0</v>
      </c>
      <c r="BO77" s="106">
        <v>0</v>
      </c>
      <c r="BP77" s="106">
        <v>0</v>
      </c>
      <c r="BQ77" s="106">
        <v>0</v>
      </c>
      <c r="BR77" s="106">
        <v>0</v>
      </c>
      <c r="BS77" s="106">
        <v>0</v>
      </c>
      <c r="BT77" s="106">
        <v>0</v>
      </c>
      <c r="BU77" s="106">
        <v>0</v>
      </c>
      <c r="BV77" s="106">
        <v>0</v>
      </c>
      <c r="BW77" s="106">
        <v>0</v>
      </c>
      <c r="BX77" s="106">
        <v>0</v>
      </c>
      <c r="BY77" s="106">
        <v>0</v>
      </c>
      <c r="BZ77" s="106">
        <v>0</v>
      </c>
      <c r="CA77" s="106">
        <v>0</v>
      </c>
      <c r="CB77" s="106">
        <v>0</v>
      </c>
      <c r="CC77" s="106">
        <v>0</v>
      </c>
      <c r="CD77" s="106">
        <v>0</v>
      </c>
      <c r="CE77" s="106">
        <v>0</v>
      </c>
      <c r="CF77" s="106">
        <v>0</v>
      </c>
      <c r="CG77" s="106">
        <v>0</v>
      </c>
      <c r="CH77" s="106">
        <v>0</v>
      </c>
      <c r="CI77" s="106">
        <v>0</v>
      </c>
      <c r="CJ77" s="106">
        <v>0</v>
      </c>
      <c r="CK77" s="106">
        <v>0</v>
      </c>
      <c r="CL77" s="106">
        <v>0</v>
      </c>
      <c r="CM77" s="106">
        <v>0</v>
      </c>
      <c r="CN77" s="106">
        <v>0</v>
      </c>
      <c r="CO77" s="106">
        <v>0</v>
      </c>
      <c r="CP77" s="106">
        <v>0</v>
      </c>
      <c r="CQ77" s="106">
        <v>0</v>
      </c>
      <c r="CR77" s="106">
        <v>0</v>
      </c>
      <c r="CS77" s="106">
        <v>0</v>
      </c>
      <c r="CT77" s="106">
        <v>0</v>
      </c>
      <c r="CU77" s="106">
        <v>0</v>
      </c>
    </row>
    <row r="78" spans="2:99" x14ac:dyDescent="0.2">
      <c r="C78" s="105" t="s">
        <v>243</v>
      </c>
      <c r="D78" s="106">
        <v>0</v>
      </c>
      <c r="E78" s="106">
        <v>0</v>
      </c>
      <c r="F78" s="106">
        <v>0</v>
      </c>
      <c r="G78" s="106">
        <v>0</v>
      </c>
      <c r="H78" s="106">
        <v>0</v>
      </c>
      <c r="I78" s="106">
        <v>0</v>
      </c>
      <c r="J78" s="106">
        <v>0</v>
      </c>
      <c r="K78" s="106">
        <v>0</v>
      </c>
      <c r="L78" s="106">
        <v>0</v>
      </c>
      <c r="M78" s="106">
        <v>0</v>
      </c>
      <c r="N78" s="106">
        <v>0</v>
      </c>
      <c r="O78" s="106">
        <v>0</v>
      </c>
      <c r="P78" s="106">
        <v>0</v>
      </c>
      <c r="Q78" s="106">
        <v>0</v>
      </c>
      <c r="R78" s="106">
        <v>0</v>
      </c>
      <c r="S78" s="106">
        <v>0</v>
      </c>
      <c r="T78" s="106">
        <v>0</v>
      </c>
      <c r="U78" s="106">
        <v>0</v>
      </c>
      <c r="V78" s="106">
        <v>0</v>
      </c>
      <c r="W78" s="106">
        <v>0</v>
      </c>
      <c r="X78" s="106">
        <v>0</v>
      </c>
      <c r="Y78" s="106">
        <v>0</v>
      </c>
      <c r="Z78" s="106">
        <v>0</v>
      </c>
      <c r="AA78" s="106">
        <v>0</v>
      </c>
      <c r="AB78" s="106">
        <v>0</v>
      </c>
      <c r="AC78" s="106">
        <v>0</v>
      </c>
      <c r="AD78" s="106">
        <v>0</v>
      </c>
      <c r="AE78" s="106">
        <v>0</v>
      </c>
      <c r="AF78" s="106">
        <v>0</v>
      </c>
      <c r="AG78" s="106">
        <v>0</v>
      </c>
      <c r="AH78" s="106">
        <v>0</v>
      </c>
      <c r="AI78" s="106">
        <v>0</v>
      </c>
      <c r="AJ78" s="106">
        <v>0</v>
      </c>
      <c r="AK78" s="106">
        <v>0</v>
      </c>
      <c r="AL78" s="106">
        <v>0</v>
      </c>
      <c r="AM78" s="106">
        <v>0</v>
      </c>
      <c r="AN78" s="106">
        <v>0</v>
      </c>
      <c r="AO78" s="106">
        <v>0</v>
      </c>
      <c r="AP78" s="106">
        <v>0</v>
      </c>
      <c r="AQ78" s="106">
        <v>0</v>
      </c>
      <c r="AR78" s="106">
        <v>0</v>
      </c>
      <c r="AS78" s="106">
        <v>0</v>
      </c>
      <c r="AT78" s="106">
        <v>0</v>
      </c>
      <c r="AU78" s="106">
        <v>0</v>
      </c>
      <c r="AV78" s="106">
        <v>0</v>
      </c>
      <c r="AW78" s="106">
        <v>0</v>
      </c>
      <c r="AX78" s="106">
        <v>0</v>
      </c>
      <c r="AY78" s="106">
        <v>0</v>
      </c>
      <c r="AZ78" s="106">
        <v>0</v>
      </c>
      <c r="BA78" s="106">
        <v>0</v>
      </c>
      <c r="BB78" s="106">
        <v>0</v>
      </c>
      <c r="BC78" s="106">
        <v>0</v>
      </c>
      <c r="BD78" s="106">
        <v>0</v>
      </c>
      <c r="BE78" s="106">
        <v>0</v>
      </c>
      <c r="BF78" s="106">
        <v>0</v>
      </c>
      <c r="BG78" s="106">
        <v>0</v>
      </c>
      <c r="BH78" s="106">
        <v>0</v>
      </c>
      <c r="BI78" s="106">
        <v>0</v>
      </c>
      <c r="BJ78" s="106">
        <v>0</v>
      </c>
      <c r="BK78" s="106">
        <v>0</v>
      </c>
      <c r="BL78" s="106">
        <v>0</v>
      </c>
      <c r="BM78" s="106">
        <v>0</v>
      </c>
      <c r="BN78" s="106">
        <v>0</v>
      </c>
      <c r="BO78" s="106">
        <v>0</v>
      </c>
      <c r="BP78" s="106">
        <v>0</v>
      </c>
      <c r="BQ78" s="106">
        <v>0</v>
      </c>
      <c r="BR78" s="106">
        <v>0</v>
      </c>
      <c r="BS78" s="106">
        <v>0</v>
      </c>
      <c r="BT78" s="106">
        <v>0</v>
      </c>
      <c r="BU78" s="106">
        <v>0</v>
      </c>
      <c r="BV78" s="106">
        <v>0</v>
      </c>
      <c r="BW78" s="106">
        <v>0</v>
      </c>
      <c r="BX78" s="106">
        <v>0</v>
      </c>
      <c r="BY78" s="106">
        <v>0</v>
      </c>
      <c r="BZ78" s="106">
        <v>0</v>
      </c>
      <c r="CA78" s="106">
        <v>0</v>
      </c>
      <c r="CB78" s="106">
        <v>0</v>
      </c>
      <c r="CC78" s="106">
        <v>0</v>
      </c>
      <c r="CD78" s="106">
        <v>0</v>
      </c>
      <c r="CE78" s="106">
        <v>0</v>
      </c>
      <c r="CF78" s="106">
        <v>0</v>
      </c>
      <c r="CG78" s="106">
        <v>0</v>
      </c>
      <c r="CH78" s="106">
        <v>0</v>
      </c>
      <c r="CI78" s="106">
        <v>0</v>
      </c>
      <c r="CJ78" s="106">
        <v>0</v>
      </c>
      <c r="CK78" s="106">
        <v>0</v>
      </c>
      <c r="CL78" s="106">
        <v>0</v>
      </c>
      <c r="CM78" s="106">
        <v>0</v>
      </c>
      <c r="CN78" s="106">
        <v>0</v>
      </c>
      <c r="CO78" s="106">
        <v>0</v>
      </c>
      <c r="CP78" s="106">
        <v>0</v>
      </c>
      <c r="CQ78" s="106">
        <v>0</v>
      </c>
      <c r="CR78" s="106">
        <v>0</v>
      </c>
      <c r="CS78" s="106">
        <v>0</v>
      </c>
      <c r="CT78" s="106">
        <v>0</v>
      </c>
      <c r="CU78" s="106">
        <v>0</v>
      </c>
    </row>
    <row r="79" spans="2:99" x14ac:dyDescent="0.2">
      <c r="C79" s="105" t="s">
        <v>244</v>
      </c>
      <c r="D79" s="106">
        <v>0</v>
      </c>
      <c r="E79" s="106">
        <v>0</v>
      </c>
      <c r="F79" s="106">
        <v>0</v>
      </c>
      <c r="G79" s="106">
        <v>0</v>
      </c>
      <c r="H79" s="106">
        <v>0</v>
      </c>
      <c r="I79" s="106">
        <v>0</v>
      </c>
      <c r="J79" s="106">
        <v>0</v>
      </c>
      <c r="K79" s="106">
        <v>0</v>
      </c>
      <c r="L79" s="106">
        <v>0</v>
      </c>
      <c r="M79" s="106">
        <v>0</v>
      </c>
      <c r="N79" s="106">
        <v>0</v>
      </c>
      <c r="O79" s="106">
        <v>0</v>
      </c>
      <c r="P79" s="106">
        <v>0</v>
      </c>
      <c r="Q79" s="106">
        <v>0</v>
      </c>
      <c r="R79" s="106">
        <v>0</v>
      </c>
      <c r="S79" s="106">
        <v>0</v>
      </c>
      <c r="T79" s="106">
        <v>0</v>
      </c>
      <c r="U79" s="106">
        <v>0</v>
      </c>
      <c r="V79" s="106">
        <v>0</v>
      </c>
      <c r="W79" s="106">
        <v>0</v>
      </c>
      <c r="X79" s="106">
        <v>0</v>
      </c>
      <c r="Y79" s="106">
        <v>0</v>
      </c>
      <c r="Z79" s="106">
        <v>0</v>
      </c>
      <c r="AA79" s="106">
        <v>0</v>
      </c>
      <c r="AB79" s="106">
        <v>0</v>
      </c>
      <c r="AC79" s="106">
        <v>0</v>
      </c>
      <c r="AD79" s="106">
        <v>0</v>
      </c>
      <c r="AE79" s="106">
        <v>0</v>
      </c>
      <c r="AF79" s="106">
        <v>0</v>
      </c>
      <c r="AG79" s="106">
        <v>0</v>
      </c>
      <c r="AH79" s="106">
        <v>0</v>
      </c>
      <c r="AI79" s="106">
        <v>0</v>
      </c>
      <c r="AJ79" s="106">
        <v>0</v>
      </c>
      <c r="AK79" s="106">
        <v>0</v>
      </c>
      <c r="AL79" s="106">
        <v>0</v>
      </c>
      <c r="AM79" s="106">
        <v>0</v>
      </c>
      <c r="AN79" s="106">
        <v>0</v>
      </c>
      <c r="AO79" s="106">
        <v>0</v>
      </c>
      <c r="AP79" s="106">
        <v>0</v>
      </c>
      <c r="AQ79" s="106">
        <v>0</v>
      </c>
      <c r="AR79" s="106">
        <v>0</v>
      </c>
      <c r="AS79" s="106">
        <v>0</v>
      </c>
      <c r="AT79" s="106">
        <v>0</v>
      </c>
      <c r="AU79" s="106">
        <v>0</v>
      </c>
      <c r="AV79" s="106">
        <v>0</v>
      </c>
      <c r="AW79" s="106">
        <v>0</v>
      </c>
      <c r="AX79" s="106">
        <v>0</v>
      </c>
      <c r="AY79" s="106">
        <v>0</v>
      </c>
      <c r="AZ79" s="106">
        <v>0</v>
      </c>
      <c r="BA79" s="106">
        <v>0</v>
      </c>
      <c r="BB79" s="106">
        <v>0</v>
      </c>
      <c r="BC79" s="106">
        <v>0</v>
      </c>
      <c r="BD79" s="106">
        <v>0</v>
      </c>
      <c r="BE79" s="106">
        <v>0</v>
      </c>
      <c r="BF79" s="106">
        <v>0</v>
      </c>
      <c r="BG79" s="106">
        <v>0</v>
      </c>
      <c r="BH79" s="106">
        <v>0</v>
      </c>
      <c r="BI79" s="106">
        <v>0</v>
      </c>
      <c r="BJ79" s="106">
        <v>0</v>
      </c>
      <c r="BK79" s="106">
        <v>0</v>
      </c>
      <c r="BL79" s="106">
        <v>0</v>
      </c>
      <c r="BM79" s="106">
        <v>0</v>
      </c>
      <c r="BN79" s="106">
        <v>0</v>
      </c>
      <c r="BO79" s="106">
        <v>0</v>
      </c>
      <c r="BP79" s="106">
        <v>0</v>
      </c>
      <c r="BQ79" s="106">
        <v>0</v>
      </c>
      <c r="BR79" s="106">
        <v>0</v>
      </c>
      <c r="BS79" s="106">
        <v>0</v>
      </c>
      <c r="BT79" s="106">
        <v>0</v>
      </c>
      <c r="BU79" s="106">
        <v>0</v>
      </c>
      <c r="BV79" s="106">
        <v>0</v>
      </c>
      <c r="BW79" s="106">
        <v>0</v>
      </c>
      <c r="BX79" s="106">
        <v>0</v>
      </c>
      <c r="BY79" s="106">
        <v>0</v>
      </c>
      <c r="BZ79" s="106">
        <v>0</v>
      </c>
      <c r="CA79" s="106">
        <v>0</v>
      </c>
      <c r="CB79" s="106">
        <v>0</v>
      </c>
      <c r="CC79" s="106">
        <v>0</v>
      </c>
      <c r="CD79" s="106">
        <v>0</v>
      </c>
      <c r="CE79" s="106">
        <v>0</v>
      </c>
      <c r="CF79" s="106">
        <v>0</v>
      </c>
      <c r="CG79" s="106">
        <v>0</v>
      </c>
      <c r="CH79" s="106">
        <v>0</v>
      </c>
      <c r="CI79" s="106">
        <v>0</v>
      </c>
      <c r="CJ79" s="106">
        <v>0</v>
      </c>
      <c r="CK79" s="106">
        <v>0</v>
      </c>
      <c r="CL79" s="106">
        <v>0</v>
      </c>
      <c r="CM79" s="106">
        <v>0</v>
      </c>
      <c r="CN79" s="106">
        <v>0</v>
      </c>
      <c r="CO79" s="106">
        <v>0</v>
      </c>
      <c r="CP79" s="106">
        <v>0</v>
      </c>
      <c r="CQ79" s="106">
        <v>0</v>
      </c>
      <c r="CR79" s="106">
        <v>0</v>
      </c>
      <c r="CS79" s="106">
        <v>0</v>
      </c>
      <c r="CT79" s="106">
        <v>0</v>
      </c>
      <c r="CU79" s="106">
        <v>0</v>
      </c>
    </row>
    <row r="80" spans="2:99" x14ac:dyDescent="0.2">
      <c r="C80" s="105" t="s">
        <v>245</v>
      </c>
      <c r="D80" s="106">
        <v>0</v>
      </c>
      <c r="E80" s="106">
        <v>0</v>
      </c>
      <c r="F80" s="106">
        <v>0</v>
      </c>
      <c r="G80" s="106">
        <v>0</v>
      </c>
      <c r="H80" s="106">
        <v>0</v>
      </c>
      <c r="I80" s="106">
        <v>0</v>
      </c>
      <c r="J80" s="106">
        <v>0</v>
      </c>
      <c r="K80" s="106">
        <v>0</v>
      </c>
      <c r="L80" s="106">
        <v>0</v>
      </c>
      <c r="M80" s="106">
        <v>0</v>
      </c>
      <c r="N80" s="106">
        <v>0</v>
      </c>
      <c r="O80" s="106">
        <v>0</v>
      </c>
      <c r="P80" s="106">
        <v>0</v>
      </c>
      <c r="Q80" s="106">
        <v>0</v>
      </c>
      <c r="R80" s="106">
        <v>0</v>
      </c>
      <c r="S80" s="106">
        <v>0</v>
      </c>
      <c r="T80" s="106">
        <v>0</v>
      </c>
      <c r="U80" s="106">
        <v>0</v>
      </c>
      <c r="V80" s="106">
        <v>0</v>
      </c>
      <c r="W80" s="106">
        <v>0</v>
      </c>
      <c r="X80" s="106">
        <v>0</v>
      </c>
      <c r="Y80" s="106">
        <v>0</v>
      </c>
      <c r="Z80" s="106">
        <v>0</v>
      </c>
      <c r="AA80" s="106">
        <v>0</v>
      </c>
      <c r="AB80" s="106">
        <v>0</v>
      </c>
      <c r="AC80" s="106">
        <v>0</v>
      </c>
      <c r="AD80" s="106">
        <v>0</v>
      </c>
      <c r="AE80" s="106">
        <v>0</v>
      </c>
      <c r="AF80" s="106">
        <v>0</v>
      </c>
      <c r="AG80" s="106">
        <v>0</v>
      </c>
      <c r="AH80" s="106">
        <v>0</v>
      </c>
      <c r="AI80" s="106">
        <v>0</v>
      </c>
      <c r="AJ80" s="106">
        <v>0</v>
      </c>
      <c r="AK80" s="106">
        <v>0</v>
      </c>
      <c r="AL80" s="106">
        <v>0</v>
      </c>
      <c r="AM80" s="106">
        <v>0</v>
      </c>
      <c r="AN80" s="106">
        <v>0</v>
      </c>
      <c r="AO80" s="106">
        <v>0</v>
      </c>
      <c r="AP80" s="106">
        <v>0</v>
      </c>
      <c r="AQ80" s="106">
        <v>0</v>
      </c>
      <c r="AR80" s="106">
        <v>0</v>
      </c>
      <c r="AS80" s="106">
        <v>0</v>
      </c>
      <c r="AT80" s="106">
        <v>0</v>
      </c>
      <c r="AU80" s="106">
        <v>0</v>
      </c>
      <c r="AV80" s="106">
        <v>0</v>
      </c>
      <c r="AW80" s="106">
        <v>0</v>
      </c>
      <c r="AX80" s="106">
        <v>0</v>
      </c>
      <c r="AY80" s="106">
        <v>0</v>
      </c>
      <c r="AZ80" s="106">
        <v>0</v>
      </c>
      <c r="BA80" s="106">
        <v>0</v>
      </c>
      <c r="BB80" s="106">
        <v>0</v>
      </c>
      <c r="BC80" s="106">
        <v>0</v>
      </c>
      <c r="BD80" s="106">
        <v>0</v>
      </c>
      <c r="BE80" s="106">
        <v>0</v>
      </c>
      <c r="BF80" s="106">
        <v>0</v>
      </c>
      <c r="BG80" s="106">
        <v>0</v>
      </c>
      <c r="BH80" s="106">
        <v>0</v>
      </c>
      <c r="BI80" s="106">
        <v>0</v>
      </c>
      <c r="BJ80" s="106">
        <v>0</v>
      </c>
      <c r="BK80" s="106">
        <v>0</v>
      </c>
      <c r="BL80" s="106">
        <v>0</v>
      </c>
      <c r="BM80" s="106">
        <v>0</v>
      </c>
      <c r="BN80" s="106">
        <v>0</v>
      </c>
      <c r="BO80" s="106">
        <v>0</v>
      </c>
      <c r="BP80" s="106">
        <v>0</v>
      </c>
      <c r="BQ80" s="106">
        <v>0</v>
      </c>
      <c r="BR80" s="106">
        <v>0</v>
      </c>
      <c r="BS80" s="106">
        <v>0</v>
      </c>
      <c r="BT80" s="106">
        <v>0</v>
      </c>
      <c r="BU80" s="106">
        <v>0</v>
      </c>
      <c r="BV80" s="106">
        <v>0</v>
      </c>
      <c r="BW80" s="106">
        <v>0</v>
      </c>
      <c r="BX80" s="106">
        <v>0</v>
      </c>
      <c r="BY80" s="106">
        <v>0</v>
      </c>
      <c r="BZ80" s="106">
        <v>0</v>
      </c>
      <c r="CA80" s="106">
        <v>0</v>
      </c>
      <c r="CB80" s="106">
        <v>0</v>
      </c>
      <c r="CC80" s="106">
        <v>0</v>
      </c>
      <c r="CD80" s="106">
        <v>0</v>
      </c>
      <c r="CE80" s="106">
        <v>0</v>
      </c>
      <c r="CF80" s="106">
        <v>0</v>
      </c>
      <c r="CG80" s="106">
        <v>0</v>
      </c>
      <c r="CH80" s="106">
        <v>0</v>
      </c>
      <c r="CI80" s="106">
        <v>0</v>
      </c>
      <c r="CJ80" s="106">
        <v>0</v>
      </c>
      <c r="CK80" s="106">
        <v>0</v>
      </c>
      <c r="CL80" s="106">
        <v>0</v>
      </c>
      <c r="CM80" s="106">
        <v>0</v>
      </c>
      <c r="CN80" s="106">
        <v>0</v>
      </c>
      <c r="CO80" s="106">
        <v>0</v>
      </c>
      <c r="CP80" s="106">
        <v>0</v>
      </c>
      <c r="CQ80" s="106">
        <v>0</v>
      </c>
      <c r="CR80" s="106">
        <v>0</v>
      </c>
      <c r="CS80" s="106">
        <v>0</v>
      </c>
      <c r="CT80" s="106">
        <v>0</v>
      </c>
      <c r="CU80" s="106">
        <v>0</v>
      </c>
    </row>
    <row r="81" spans="2:99" x14ac:dyDescent="0.2">
      <c r="C81" s="105" t="s">
        <v>246</v>
      </c>
      <c r="D81" s="106">
        <v>0</v>
      </c>
      <c r="E81" s="106">
        <v>0</v>
      </c>
      <c r="F81" s="106">
        <v>0</v>
      </c>
      <c r="G81" s="106">
        <v>0</v>
      </c>
      <c r="H81" s="106">
        <v>0</v>
      </c>
      <c r="I81" s="106">
        <v>0</v>
      </c>
      <c r="J81" s="106">
        <v>0</v>
      </c>
      <c r="K81" s="106">
        <v>0</v>
      </c>
      <c r="L81" s="106">
        <v>0</v>
      </c>
      <c r="M81" s="106">
        <v>0</v>
      </c>
      <c r="N81" s="106">
        <v>0</v>
      </c>
      <c r="O81" s="106">
        <v>0</v>
      </c>
      <c r="P81" s="106">
        <v>0</v>
      </c>
      <c r="Q81" s="106">
        <v>0</v>
      </c>
      <c r="R81" s="106">
        <v>0</v>
      </c>
      <c r="S81" s="106">
        <v>0</v>
      </c>
      <c r="T81" s="106">
        <v>0</v>
      </c>
      <c r="U81" s="106">
        <v>0</v>
      </c>
      <c r="V81" s="106">
        <v>0</v>
      </c>
      <c r="W81" s="106">
        <v>0</v>
      </c>
      <c r="X81" s="106">
        <v>0</v>
      </c>
      <c r="Y81" s="106">
        <v>0</v>
      </c>
      <c r="Z81" s="106">
        <v>0</v>
      </c>
      <c r="AA81" s="106">
        <v>0</v>
      </c>
      <c r="AB81" s="106">
        <v>0</v>
      </c>
      <c r="AC81" s="106">
        <v>0</v>
      </c>
      <c r="AD81" s="106">
        <v>0</v>
      </c>
      <c r="AE81" s="106">
        <v>0</v>
      </c>
      <c r="AF81" s="106">
        <v>0</v>
      </c>
      <c r="AG81" s="106">
        <v>0</v>
      </c>
      <c r="AH81" s="106">
        <v>0</v>
      </c>
      <c r="AI81" s="106">
        <v>0</v>
      </c>
      <c r="AJ81" s="106">
        <v>0</v>
      </c>
      <c r="AK81" s="106">
        <v>0</v>
      </c>
      <c r="AL81" s="106">
        <v>0</v>
      </c>
      <c r="AM81" s="106">
        <v>0</v>
      </c>
      <c r="AN81" s="106">
        <v>0</v>
      </c>
      <c r="AO81" s="106">
        <v>0</v>
      </c>
      <c r="AP81" s="106">
        <v>0</v>
      </c>
      <c r="AQ81" s="106">
        <v>0</v>
      </c>
      <c r="AR81" s="106">
        <v>0</v>
      </c>
      <c r="AS81" s="106">
        <v>0</v>
      </c>
      <c r="AT81" s="106">
        <v>0</v>
      </c>
      <c r="AU81" s="106">
        <v>0</v>
      </c>
      <c r="AV81" s="106">
        <v>0</v>
      </c>
      <c r="AW81" s="106">
        <v>0</v>
      </c>
      <c r="AX81" s="106">
        <v>0</v>
      </c>
      <c r="AY81" s="106">
        <v>0</v>
      </c>
      <c r="AZ81" s="106">
        <v>0</v>
      </c>
      <c r="BA81" s="106">
        <v>0</v>
      </c>
      <c r="BB81" s="106">
        <v>0</v>
      </c>
      <c r="BC81" s="106">
        <v>0</v>
      </c>
      <c r="BD81" s="106">
        <v>0</v>
      </c>
      <c r="BE81" s="106">
        <v>0</v>
      </c>
      <c r="BF81" s="106">
        <v>0</v>
      </c>
      <c r="BG81" s="106">
        <v>0</v>
      </c>
      <c r="BH81" s="106">
        <v>0</v>
      </c>
      <c r="BI81" s="106">
        <v>0</v>
      </c>
      <c r="BJ81" s="106">
        <v>0</v>
      </c>
      <c r="BK81" s="106">
        <v>0</v>
      </c>
      <c r="BL81" s="106">
        <v>0</v>
      </c>
      <c r="BM81" s="106">
        <v>0</v>
      </c>
      <c r="BN81" s="106">
        <v>0</v>
      </c>
      <c r="BO81" s="106">
        <v>0</v>
      </c>
      <c r="BP81" s="106">
        <v>0</v>
      </c>
      <c r="BQ81" s="106">
        <v>0</v>
      </c>
      <c r="BR81" s="106">
        <v>0</v>
      </c>
      <c r="BS81" s="106">
        <v>0</v>
      </c>
      <c r="BT81" s="106">
        <v>0</v>
      </c>
      <c r="BU81" s="106">
        <v>0</v>
      </c>
      <c r="BV81" s="106">
        <v>0</v>
      </c>
      <c r="BW81" s="106">
        <v>0</v>
      </c>
      <c r="BX81" s="106">
        <v>0</v>
      </c>
      <c r="BY81" s="106">
        <v>0</v>
      </c>
      <c r="BZ81" s="106">
        <v>0</v>
      </c>
      <c r="CA81" s="106">
        <v>0</v>
      </c>
      <c r="CB81" s="106">
        <v>0</v>
      </c>
      <c r="CC81" s="106">
        <v>0</v>
      </c>
      <c r="CD81" s="106">
        <v>0</v>
      </c>
      <c r="CE81" s="106">
        <v>0</v>
      </c>
      <c r="CF81" s="106">
        <v>0</v>
      </c>
      <c r="CG81" s="106">
        <v>0</v>
      </c>
      <c r="CH81" s="106">
        <v>0</v>
      </c>
      <c r="CI81" s="106">
        <v>0</v>
      </c>
      <c r="CJ81" s="106">
        <v>0</v>
      </c>
      <c r="CK81" s="106">
        <v>0</v>
      </c>
      <c r="CL81" s="106">
        <v>0</v>
      </c>
      <c r="CM81" s="106">
        <v>0</v>
      </c>
      <c r="CN81" s="106">
        <v>0</v>
      </c>
      <c r="CO81" s="106">
        <v>0</v>
      </c>
      <c r="CP81" s="106">
        <v>0</v>
      </c>
      <c r="CQ81" s="106">
        <v>0</v>
      </c>
      <c r="CR81" s="106">
        <v>0</v>
      </c>
      <c r="CS81" s="106">
        <v>0</v>
      </c>
      <c r="CT81" s="106">
        <v>0</v>
      </c>
      <c r="CU81" s="106">
        <v>0</v>
      </c>
    </row>
    <row r="82" spans="2:99" x14ac:dyDescent="0.2">
      <c r="C82" s="105" t="s">
        <v>247</v>
      </c>
      <c r="D82" s="106">
        <v>0</v>
      </c>
      <c r="E82" s="106">
        <v>0</v>
      </c>
      <c r="F82" s="106">
        <v>0</v>
      </c>
      <c r="G82" s="106">
        <v>0</v>
      </c>
      <c r="H82" s="106">
        <v>0</v>
      </c>
      <c r="I82" s="106">
        <v>0</v>
      </c>
      <c r="J82" s="106">
        <v>0</v>
      </c>
      <c r="K82" s="106">
        <v>0</v>
      </c>
      <c r="L82" s="106">
        <v>0</v>
      </c>
      <c r="M82" s="106">
        <v>0</v>
      </c>
      <c r="N82" s="106">
        <v>0</v>
      </c>
      <c r="O82" s="106">
        <v>0</v>
      </c>
      <c r="P82" s="106">
        <v>0</v>
      </c>
      <c r="Q82" s="106">
        <v>0</v>
      </c>
      <c r="R82" s="106">
        <v>0</v>
      </c>
      <c r="S82" s="106">
        <v>0</v>
      </c>
      <c r="T82" s="106">
        <v>0</v>
      </c>
      <c r="U82" s="106">
        <v>0</v>
      </c>
      <c r="V82" s="106">
        <v>0</v>
      </c>
      <c r="W82" s="106">
        <v>0</v>
      </c>
      <c r="X82" s="106">
        <v>0</v>
      </c>
      <c r="Y82" s="106">
        <v>0</v>
      </c>
      <c r="Z82" s="106">
        <v>0</v>
      </c>
      <c r="AA82" s="106">
        <v>0</v>
      </c>
      <c r="AB82" s="106">
        <v>0</v>
      </c>
      <c r="AC82" s="106">
        <v>0</v>
      </c>
      <c r="AD82" s="106">
        <v>0</v>
      </c>
      <c r="AE82" s="106">
        <v>0</v>
      </c>
      <c r="AF82" s="106">
        <v>0</v>
      </c>
      <c r="AG82" s="106">
        <v>0</v>
      </c>
      <c r="AH82" s="106">
        <v>0</v>
      </c>
      <c r="AI82" s="106">
        <v>0</v>
      </c>
      <c r="AJ82" s="106">
        <v>0</v>
      </c>
      <c r="AK82" s="106">
        <v>0</v>
      </c>
      <c r="AL82" s="106">
        <v>0</v>
      </c>
      <c r="AM82" s="106">
        <v>0</v>
      </c>
      <c r="AN82" s="106">
        <v>0</v>
      </c>
      <c r="AO82" s="106">
        <v>0</v>
      </c>
      <c r="AP82" s="106">
        <v>0</v>
      </c>
      <c r="AQ82" s="106">
        <v>0</v>
      </c>
      <c r="AR82" s="106">
        <v>0</v>
      </c>
      <c r="AS82" s="106">
        <v>0</v>
      </c>
      <c r="AT82" s="106">
        <v>0</v>
      </c>
      <c r="AU82" s="106">
        <v>0</v>
      </c>
      <c r="AV82" s="106">
        <v>0</v>
      </c>
      <c r="AW82" s="106">
        <v>0</v>
      </c>
      <c r="AX82" s="106">
        <v>0</v>
      </c>
      <c r="AY82" s="106">
        <v>0</v>
      </c>
      <c r="AZ82" s="106">
        <v>0</v>
      </c>
      <c r="BA82" s="106">
        <v>0</v>
      </c>
      <c r="BB82" s="106">
        <v>0</v>
      </c>
      <c r="BC82" s="106">
        <v>0</v>
      </c>
      <c r="BD82" s="106">
        <v>0</v>
      </c>
      <c r="BE82" s="106">
        <v>0</v>
      </c>
      <c r="BF82" s="106">
        <v>0</v>
      </c>
      <c r="BG82" s="106">
        <v>0</v>
      </c>
      <c r="BH82" s="106">
        <v>0</v>
      </c>
      <c r="BI82" s="106">
        <v>0</v>
      </c>
      <c r="BJ82" s="106">
        <v>0</v>
      </c>
      <c r="BK82" s="106">
        <v>0</v>
      </c>
      <c r="BL82" s="106">
        <v>0</v>
      </c>
      <c r="BM82" s="106">
        <v>0</v>
      </c>
      <c r="BN82" s="106">
        <v>0</v>
      </c>
      <c r="BO82" s="106">
        <v>0</v>
      </c>
      <c r="BP82" s="106">
        <v>0</v>
      </c>
      <c r="BQ82" s="106">
        <v>0</v>
      </c>
      <c r="BR82" s="106">
        <v>0</v>
      </c>
      <c r="BS82" s="106">
        <v>0</v>
      </c>
      <c r="BT82" s="106">
        <v>0</v>
      </c>
      <c r="BU82" s="106">
        <v>0</v>
      </c>
      <c r="BV82" s="106">
        <v>0</v>
      </c>
      <c r="BW82" s="106">
        <v>0</v>
      </c>
      <c r="BX82" s="106">
        <v>0</v>
      </c>
      <c r="BY82" s="106">
        <v>0</v>
      </c>
      <c r="BZ82" s="106">
        <v>0</v>
      </c>
      <c r="CA82" s="106">
        <v>0</v>
      </c>
      <c r="CB82" s="106">
        <v>0</v>
      </c>
      <c r="CC82" s="106">
        <v>0</v>
      </c>
      <c r="CD82" s="106">
        <v>0</v>
      </c>
      <c r="CE82" s="106">
        <v>0</v>
      </c>
      <c r="CF82" s="106">
        <v>0</v>
      </c>
      <c r="CG82" s="106">
        <v>0</v>
      </c>
      <c r="CH82" s="106">
        <v>0</v>
      </c>
      <c r="CI82" s="106">
        <v>0</v>
      </c>
      <c r="CJ82" s="106">
        <v>0</v>
      </c>
      <c r="CK82" s="106">
        <v>0</v>
      </c>
      <c r="CL82" s="106">
        <v>0</v>
      </c>
      <c r="CM82" s="106">
        <v>0</v>
      </c>
      <c r="CN82" s="106">
        <v>0</v>
      </c>
      <c r="CO82" s="106">
        <v>0</v>
      </c>
      <c r="CP82" s="106">
        <v>0</v>
      </c>
      <c r="CQ82" s="106">
        <v>0</v>
      </c>
      <c r="CR82" s="106">
        <v>0</v>
      </c>
      <c r="CS82" s="106">
        <v>0</v>
      </c>
      <c r="CT82" s="106">
        <v>0</v>
      </c>
      <c r="CU82" s="106">
        <v>0</v>
      </c>
    </row>
    <row r="83" spans="2:99" x14ac:dyDescent="0.2">
      <c r="C83" s="105" t="s">
        <v>248</v>
      </c>
      <c r="D83" s="106">
        <v>0</v>
      </c>
      <c r="E83" s="106">
        <v>0</v>
      </c>
      <c r="F83" s="106">
        <v>0</v>
      </c>
      <c r="G83" s="106">
        <v>0</v>
      </c>
      <c r="H83" s="106">
        <v>0</v>
      </c>
      <c r="I83" s="106">
        <v>0</v>
      </c>
      <c r="J83" s="106">
        <v>0</v>
      </c>
      <c r="K83" s="106">
        <v>0</v>
      </c>
      <c r="L83" s="106">
        <v>0</v>
      </c>
      <c r="M83" s="106">
        <v>0</v>
      </c>
      <c r="N83" s="106">
        <v>0</v>
      </c>
      <c r="O83" s="106">
        <v>0</v>
      </c>
      <c r="P83" s="106">
        <v>0</v>
      </c>
      <c r="Q83" s="106">
        <v>0</v>
      </c>
      <c r="R83" s="106">
        <v>0</v>
      </c>
      <c r="S83" s="106">
        <v>0</v>
      </c>
      <c r="T83" s="106">
        <v>0</v>
      </c>
      <c r="U83" s="106">
        <v>0</v>
      </c>
      <c r="V83" s="106">
        <v>0</v>
      </c>
      <c r="W83" s="106">
        <v>0</v>
      </c>
      <c r="X83" s="106">
        <v>0</v>
      </c>
      <c r="Y83" s="106">
        <v>0</v>
      </c>
      <c r="Z83" s="106">
        <v>0</v>
      </c>
      <c r="AA83" s="106">
        <v>0</v>
      </c>
      <c r="AB83" s="106">
        <v>0</v>
      </c>
      <c r="AC83" s="106">
        <v>0</v>
      </c>
      <c r="AD83" s="106">
        <v>0</v>
      </c>
      <c r="AE83" s="106">
        <v>0</v>
      </c>
      <c r="AF83" s="106">
        <v>0</v>
      </c>
      <c r="AG83" s="106">
        <v>0</v>
      </c>
      <c r="AH83" s="106">
        <v>0</v>
      </c>
      <c r="AI83" s="106">
        <v>0</v>
      </c>
      <c r="AJ83" s="106">
        <v>0</v>
      </c>
      <c r="AK83" s="106">
        <v>0</v>
      </c>
      <c r="AL83" s="106">
        <v>0</v>
      </c>
      <c r="AM83" s="106">
        <v>0</v>
      </c>
      <c r="AN83" s="106">
        <v>0</v>
      </c>
      <c r="AO83" s="106">
        <v>0</v>
      </c>
      <c r="AP83" s="106">
        <v>0</v>
      </c>
      <c r="AQ83" s="106">
        <v>0</v>
      </c>
      <c r="AR83" s="106">
        <v>0</v>
      </c>
      <c r="AS83" s="106">
        <v>0</v>
      </c>
      <c r="AT83" s="106">
        <v>0</v>
      </c>
      <c r="AU83" s="106">
        <v>0</v>
      </c>
      <c r="AV83" s="106">
        <v>0</v>
      </c>
      <c r="AW83" s="106">
        <v>0</v>
      </c>
      <c r="AX83" s="106">
        <v>0</v>
      </c>
      <c r="AY83" s="106">
        <v>0</v>
      </c>
      <c r="AZ83" s="106">
        <v>0</v>
      </c>
      <c r="BA83" s="106">
        <v>0</v>
      </c>
      <c r="BB83" s="106">
        <v>0</v>
      </c>
      <c r="BC83" s="106">
        <v>0</v>
      </c>
      <c r="BD83" s="106">
        <v>0</v>
      </c>
      <c r="BE83" s="106">
        <v>0</v>
      </c>
      <c r="BF83" s="106">
        <v>0</v>
      </c>
      <c r="BG83" s="106">
        <v>0</v>
      </c>
      <c r="BH83" s="106">
        <v>0</v>
      </c>
      <c r="BI83" s="106">
        <v>0</v>
      </c>
      <c r="BJ83" s="106">
        <v>0</v>
      </c>
      <c r="BK83" s="106">
        <v>0</v>
      </c>
      <c r="BL83" s="106">
        <v>0</v>
      </c>
      <c r="BM83" s="106">
        <v>0</v>
      </c>
      <c r="BN83" s="106">
        <v>0</v>
      </c>
      <c r="BO83" s="106">
        <v>0</v>
      </c>
      <c r="BP83" s="106">
        <v>0</v>
      </c>
      <c r="BQ83" s="106">
        <v>0</v>
      </c>
      <c r="BR83" s="106">
        <v>0</v>
      </c>
      <c r="BS83" s="106">
        <v>0</v>
      </c>
      <c r="BT83" s="106">
        <v>0</v>
      </c>
      <c r="BU83" s="106">
        <v>0</v>
      </c>
      <c r="BV83" s="106">
        <v>0</v>
      </c>
      <c r="BW83" s="106">
        <v>0</v>
      </c>
      <c r="BX83" s="106">
        <v>0</v>
      </c>
      <c r="BY83" s="106">
        <v>0</v>
      </c>
      <c r="BZ83" s="106">
        <v>0</v>
      </c>
      <c r="CA83" s="106">
        <v>0</v>
      </c>
      <c r="CB83" s="106">
        <v>0</v>
      </c>
      <c r="CC83" s="106">
        <v>0</v>
      </c>
      <c r="CD83" s="106">
        <v>0</v>
      </c>
      <c r="CE83" s="106">
        <v>0</v>
      </c>
      <c r="CF83" s="106">
        <v>0</v>
      </c>
      <c r="CG83" s="106">
        <v>0</v>
      </c>
      <c r="CH83" s="106">
        <v>0</v>
      </c>
      <c r="CI83" s="106">
        <v>0</v>
      </c>
      <c r="CJ83" s="106">
        <v>0</v>
      </c>
      <c r="CK83" s="106">
        <v>0</v>
      </c>
      <c r="CL83" s="106">
        <v>0</v>
      </c>
      <c r="CM83" s="106">
        <v>0</v>
      </c>
      <c r="CN83" s="106">
        <v>0</v>
      </c>
      <c r="CO83" s="106">
        <v>0</v>
      </c>
      <c r="CP83" s="106">
        <v>0</v>
      </c>
      <c r="CQ83" s="106">
        <v>0</v>
      </c>
      <c r="CR83" s="106">
        <v>0</v>
      </c>
      <c r="CS83" s="106">
        <v>0</v>
      </c>
      <c r="CT83" s="106">
        <v>0</v>
      </c>
      <c r="CU83" s="106">
        <v>0</v>
      </c>
    </row>
    <row r="84" spans="2:99" x14ac:dyDescent="0.2">
      <c r="C84" s="105" t="s">
        <v>249</v>
      </c>
      <c r="D84" s="106">
        <v>0</v>
      </c>
      <c r="E84" s="106">
        <v>0</v>
      </c>
      <c r="F84" s="106">
        <v>0</v>
      </c>
      <c r="G84" s="106">
        <v>0</v>
      </c>
      <c r="H84" s="106">
        <v>0</v>
      </c>
      <c r="I84" s="106">
        <v>0</v>
      </c>
      <c r="J84" s="106">
        <v>0</v>
      </c>
      <c r="K84" s="106">
        <v>0</v>
      </c>
      <c r="L84" s="106">
        <v>0</v>
      </c>
      <c r="M84" s="106">
        <v>0</v>
      </c>
      <c r="N84" s="106">
        <v>0</v>
      </c>
      <c r="O84" s="106">
        <v>0</v>
      </c>
      <c r="P84" s="106">
        <v>0</v>
      </c>
      <c r="Q84" s="106">
        <v>0</v>
      </c>
      <c r="R84" s="106">
        <v>0</v>
      </c>
      <c r="S84" s="106">
        <v>0</v>
      </c>
      <c r="T84" s="106">
        <v>0</v>
      </c>
      <c r="U84" s="106">
        <v>0</v>
      </c>
      <c r="V84" s="106">
        <v>0</v>
      </c>
      <c r="W84" s="106">
        <v>0</v>
      </c>
      <c r="X84" s="106">
        <v>0</v>
      </c>
      <c r="Y84" s="106">
        <v>0</v>
      </c>
      <c r="Z84" s="106">
        <v>0</v>
      </c>
      <c r="AA84" s="106">
        <v>0</v>
      </c>
      <c r="AB84" s="106">
        <v>0</v>
      </c>
      <c r="AC84" s="106">
        <v>0</v>
      </c>
      <c r="AD84" s="106">
        <v>0</v>
      </c>
      <c r="AE84" s="106">
        <v>0</v>
      </c>
      <c r="AF84" s="106">
        <v>0</v>
      </c>
      <c r="AG84" s="106">
        <v>0</v>
      </c>
      <c r="AH84" s="106">
        <v>0</v>
      </c>
      <c r="AI84" s="106">
        <v>0</v>
      </c>
      <c r="AJ84" s="106">
        <v>0</v>
      </c>
      <c r="AK84" s="106">
        <v>0</v>
      </c>
      <c r="AL84" s="106">
        <v>0</v>
      </c>
      <c r="AM84" s="106">
        <v>0</v>
      </c>
      <c r="AN84" s="106">
        <v>0</v>
      </c>
      <c r="AO84" s="106">
        <v>0</v>
      </c>
      <c r="AP84" s="106">
        <v>0</v>
      </c>
      <c r="AQ84" s="106">
        <v>0</v>
      </c>
      <c r="AR84" s="106">
        <v>0</v>
      </c>
      <c r="AS84" s="106">
        <v>0</v>
      </c>
      <c r="AT84" s="106">
        <v>0</v>
      </c>
      <c r="AU84" s="106">
        <v>0</v>
      </c>
      <c r="AV84" s="106">
        <v>0</v>
      </c>
      <c r="AW84" s="106">
        <v>0</v>
      </c>
      <c r="AX84" s="106">
        <v>0</v>
      </c>
      <c r="AY84" s="106">
        <v>0</v>
      </c>
      <c r="AZ84" s="106">
        <v>0</v>
      </c>
      <c r="BA84" s="106">
        <v>0</v>
      </c>
      <c r="BB84" s="106">
        <v>0</v>
      </c>
      <c r="BC84" s="106">
        <v>0</v>
      </c>
      <c r="BD84" s="106">
        <v>0</v>
      </c>
      <c r="BE84" s="106">
        <v>0</v>
      </c>
      <c r="BF84" s="106">
        <v>0</v>
      </c>
      <c r="BG84" s="106">
        <v>0</v>
      </c>
      <c r="BH84" s="106">
        <v>0</v>
      </c>
      <c r="BI84" s="106">
        <v>0</v>
      </c>
      <c r="BJ84" s="106">
        <v>0</v>
      </c>
      <c r="BK84" s="106">
        <v>0</v>
      </c>
      <c r="BL84" s="106">
        <v>0</v>
      </c>
      <c r="BM84" s="106">
        <v>0</v>
      </c>
      <c r="BN84" s="106">
        <v>0</v>
      </c>
      <c r="BO84" s="106">
        <v>0</v>
      </c>
      <c r="BP84" s="106">
        <v>0</v>
      </c>
      <c r="BQ84" s="106">
        <v>0</v>
      </c>
      <c r="BR84" s="106">
        <v>0</v>
      </c>
      <c r="BS84" s="106">
        <v>0</v>
      </c>
      <c r="BT84" s="106">
        <v>0</v>
      </c>
      <c r="BU84" s="106">
        <v>0</v>
      </c>
      <c r="BV84" s="106">
        <v>0</v>
      </c>
      <c r="BW84" s="106">
        <v>0</v>
      </c>
      <c r="BX84" s="106">
        <v>0</v>
      </c>
      <c r="BY84" s="106">
        <v>0</v>
      </c>
      <c r="BZ84" s="106">
        <v>0</v>
      </c>
      <c r="CA84" s="106">
        <v>0</v>
      </c>
      <c r="CB84" s="106">
        <v>0</v>
      </c>
      <c r="CC84" s="106">
        <v>0</v>
      </c>
      <c r="CD84" s="106">
        <v>0</v>
      </c>
      <c r="CE84" s="106">
        <v>0</v>
      </c>
      <c r="CF84" s="106">
        <v>0</v>
      </c>
      <c r="CG84" s="106">
        <v>0</v>
      </c>
      <c r="CH84" s="106">
        <v>0</v>
      </c>
      <c r="CI84" s="106">
        <v>0</v>
      </c>
      <c r="CJ84" s="106">
        <v>0</v>
      </c>
      <c r="CK84" s="106">
        <v>0</v>
      </c>
      <c r="CL84" s="106">
        <v>0</v>
      </c>
      <c r="CM84" s="106">
        <v>0</v>
      </c>
      <c r="CN84" s="106">
        <v>0</v>
      </c>
      <c r="CO84" s="106">
        <v>0</v>
      </c>
      <c r="CP84" s="106">
        <v>0</v>
      </c>
      <c r="CQ84" s="106">
        <v>0</v>
      </c>
      <c r="CR84" s="106">
        <v>0</v>
      </c>
      <c r="CS84" s="106">
        <v>0</v>
      </c>
      <c r="CT84" s="106">
        <v>0</v>
      </c>
      <c r="CU84" s="106">
        <v>0</v>
      </c>
    </row>
    <row r="85" spans="2:99" x14ac:dyDescent="0.2">
      <c r="C85" s="105" t="s">
        <v>250</v>
      </c>
      <c r="D85" s="106">
        <v>0</v>
      </c>
      <c r="E85" s="106">
        <v>0</v>
      </c>
      <c r="F85" s="106">
        <v>0</v>
      </c>
      <c r="G85" s="106">
        <v>0</v>
      </c>
      <c r="H85" s="106">
        <v>0</v>
      </c>
      <c r="I85" s="106">
        <v>0</v>
      </c>
      <c r="J85" s="106">
        <v>0</v>
      </c>
      <c r="K85" s="106">
        <v>0</v>
      </c>
      <c r="L85" s="106">
        <v>0</v>
      </c>
      <c r="M85" s="106">
        <v>0</v>
      </c>
      <c r="N85" s="106">
        <v>0</v>
      </c>
      <c r="O85" s="106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  <c r="U85" s="106">
        <v>0</v>
      </c>
      <c r="V85" s="106">
        <v>0</v>
      </c>
      <c r="W85" s="106">
        <v>0</v>
      </c>
      <c r="X85" s="106">
        <v>0</v>
      </c>
      <c r="Y85" s="106">
        <v>0</v>
      </c>
      <c r="Z85" s="106">
        <v>0</v>
      </c>
      <c r="AA85" s="106">
        <v>0</v>
      </c>
      <c r="AB85" s="106">
        <v>0</v>
      </c>
      <c r="AC85" s="106">
        <v>0</v>
      </c>
      <c r="AD85" s="106">
        <v>0</v>
      </c>
      <c r="AE85" s="106">
        <v>0</v>
      </c>
      <c r="AF85" s="106">
        <v>0</v>
      </c>
      <c r="AG85" s="106">
        <v>0</v>
      </c>
      <c r="AH85" s="106">
        <v>0</v>
      </c>
      <c r="AI85" s="106">
        <v>0</v>
      </c>
      <c r="AJ85" s="106">
        <v>0</v>
      </c>
      <c r="AK85" s="106">
        <v>0</v>
      </c>
      <c r="AL85" s="106">
        <v>0</v>
      </c>
      <c r="AM85" s="106">
        <v>0</v>
      </c>
      <c r="AN85" s="106">
        <v>0</v>
      </c>
      <c r="AO85" s="106">
        <v>0</v>
      </c>
      <c r="AP85" s="106">
        <v>0</v>
      </c>
      <c r="AQ85" s="106">
        <v>0</v>
      </c>
      <c r="AR85" s="106">
        <v>0</v>
      </c>
      <c r="AS85" s="106">
        <v>0</v>
      </c>
      <c r="AT85" s="106">
        <v>0</v>
      </c>
      <c r="AU85" s="106">
        <v>0</v>
      </c>
      <c r="AV85" s="106">
        <v>0</v>
      </c>
      <c r="AW85" s="106">
        <v>0</v>
      </c>
      <c r="AX85" s="106">
        <v>0</v>
      </c>
      <c r="AY85" s="106">
        <v>0</v>
      </c>
      <c r="AZ85" s="106">
        <v>0</v>
      </c>
      <c r="BA85" s="106">
        <v>0</v>
      </c>
      <c r="BB85" s="106">
        <v>0</v>
      </c>
      <c r="BC85" s="106">
        <v>0</v>
      </c>
      <c r="BD85" s="106">
        <v>0</v>
      </c>
      <c r="BE85" s="106">
        <v>0</v>
      </c>
      <c r="BF85" s="106">
        <v>0</v>
      </c>
      <c r="BG85" s="106">
        <v>0</v>
      </c>
      <c r="BH85" s="106">
        <v>0</v>
      </c>
      <c r="BI85" s="106">
        <v>0</v>
      </c>
      <c r="BJ85" s="106">
        <v>0</v>
      </c>
      <c r="BK85" s="106">
        <v>0</v>
      </c>
      <c r="BL85" s="106">
        <v>0</v>
      </c>
      <c r="BM85" s="106">
        <v>0</v>
      </c>
      <c r="BN85" s="106">
        <v>0</v>
      </c>
      <c r="BO85" s="106">
        <v>0</v>
      </c>
      <c r="BP85" s="106">
        <v>0</v>
      </c>
      <c r="BQ85" s="106">
        <v>0</v>
      </c>
      <c r="BR85" s="106">
        <v>0</v>
      </c>
      <c r="BS85" s="106">
        <v>0</v>
      </c>
      <c r="BT85" s="106">
        <v>0</v>
      </c>
      <c r="BU85" s="106">
        <v>0</v>
      </c>
      <c r="BV85" s="106">
        <v>0</v>
      </c>
      <c r="BW85" s="106">
        <v>0</v>
      </c>
      <c r="BX85" s="106">
        <v>0</v>
      </c>
      <c r="BY85" s="106">
        <v>0</v>
      </c>
      <c r="BZ85" s="106">
        <v>0</v>
      </c>
      <c r="CA85" s="106">
        <v>0</v>
      </c>
      <c r="CB85" s="106">
        <v>0</v>
      </c>
      <c r="CC85" s="106">
        <v>0</v>
      </c>
      <c r="CD85" s="106">
        <v>0</v>
      </c>
      <c r="CE85" s="106">
        <v>0</v>
      </c>
      <c r="CF85" s="106">
        <v>0</v>
      </c>
      <c r="CG85" s="106">
        <v>0</v>
      </c>
      <c r="CH85" s="106">
        <v>0</v>
      </c>
      <c r="CI85" s="106">
        <v>0</v>
      </c>
      <c r="CJ85" s="106">
        <v>0</v>
      </c>
      <c r="CK85" s="106">
        <v>0</v>
      </c>
      <c r="CL85" s="106">
        <v>0</v>
      </c>
      <c r="CM85" s="106">
        <v>0</v>
      </c>
      <c r="CN85" s="106">
        <v>0</v>
      </c>
      <c r="CO85" s="106">
        <v>0</v>
      </c>
      <c r="CP85" s="106">
        <v>0</v>
      </c>
      <c r="CQ85" s="106">
        <v>0</v>
      </c>
      <c r="CR85" s="106">
        <v>0</v>
      </c>
      <c r="CS85" s="106">
        <v>0</v>
      </c>
      <c r="CT85" s="106">
        <v>0</v>
      </c>
      <c r="CU85" s="106">
        <v>0</v>
      </c>
    </row>
    <row r="86" spans="2:99" x14ac:dyDescent="0.2">
      <c r="C86" s="105" t="s">
        <v>251</v>
      </c>
      <c r="D86" s="106">
        <v>0</v>
      </c>
      <c r="E86" s="106">
        <v>0</v>
      </c>
      <c r="F86" s="106">
        <v>0</v>
      </c>
      <c r="G86" s="106">
        <v>0</v>
      </c>
      <c r="H86" s="106">
        <v>0</v>
      </c>
      <c r="I86" s="106">
        <v>0</v>
      </c>
      <c r="J86" s="106">
        <v>0</v>
      </c>
      <c r="K86" s="106">
        <v>0</v>
      </c>
      <c r="L86" s="106">
        <v>0</v>
      </c>
      <c r="M86" s="106">
        <v>0</v>
      </c>
      <c r="N86" s="106">
        <v>0</v>
      </c>
      <c r="O86" s="106">
        <v>0</v>
      </c>
      <c r="P86" s="106">
        <v>0</v>
      </c>
      <c r="Q86" s="106">
        <v>0</v>
      </c>
      <c r="R86" s="106">
        <v>0</v>
      </c>
      <c r="S86" s="106">
        <v>0</v>
      </c>
      <c r="T86" s="106">
        <v>0</v>
      </c>
      <c r="U86" s="106">
        <v>0</v>
      </c>
      <c r="V86" s="106">
        <v>0</v>
      </c>
      <c r="W86" s="106">
        <v>0</v>
      </c>
      <c r="X86" s="106">
        <v>0</v>
      </c>
      <c r="Y86" s="106">
        <v>0</v>
      </c>
      <c r="Z86" s="106">
        <v>0</v>
      </c>
      <c r="AA86" s="106">
        <v>0</v>
      </c>
      <c r="AB86" s="106">
        <v>0</v>
      </c>
      <c r="AC86" s="106">
        <v>0</v>
      </c>
      <c r="AD86" s="106">
        <v>0</v>
      </c>
      <c r="AE86" s="106">
        <v>0</v>
      </c>
      <c r="AF86" s="106">
        <v>0</v>
      </c>
      <c r="AG86" s="106">
        <v>0</v>
      </c>
      <c r="AH86" s="106">
        <v>0</v>
      </c>
      <c r="AI86" s="106">
        <v>0</v>
      </c>
      <c r="AJ86" s="106">
        <v>0</v>
      </c>
      <c r="AK86" s="106">
        <v>0</v>
      </c>
      <c r="AL86" s="106">
        <v>0</v>
      </c>
      <c r="AM86" s="106">
        <v>0</v>
      </c>
      <c r="AN86" s="106">
        <v>0</v>
      </c>
      <c r="AO86" s="106">
        <v>0</v>
      </c>
      <c r="AP86" s="106">
        <v>0</v>
      </c>
      <c r="AQ86" s="106">
        <v>0</v>
      </c>
      <c r="AR86" s="106">
        <v>0</v>
      </c>
      <c r="AS86" s="106">
        <v>0</v>
      </c>
      <c r="AT86" s="106">
        <v>0</v>
      </c>
      <c r="AU86" s="106">
        <v>0</v>
      </c>
      <c r="AV86" s="106">
        <v>0</v>
      </c>
      <c r="AW86" s="106">
        <v>0</v>
      </c>
      <c r="AX86" s="106">
        <v>0</v>
      </c>
      <c r="AY86" s="106">
        <v>0</v>
      </c>
      <c r="AZ86" s="106">
        <v>0</v>
      </c>
      <c r="BA86" s="106">
        <v>0</v>
      </c>
      <c r="BB86" s="106">
        <v>0</v>
      </c>
      <c r="BC86" s="106">
        <v>0</v>
      </c>
      <c r="BD86" s="106">
        <v>0</v>
      </c>
      <c r="BE86" s="106">
        <v>0</v>
      </c>
      <c r="BF86" s="106">
        <v>0</v>
      </c>
      <c r="BG86" s="106">
        <v>0</v>
      </c>
      <c r="BH86" s="106">
        <v>0</v>
      </c>
      <c r="BI86" s="106">
        <v>0</v>
      </c>
      <c r="BJ86" s="106">
        <v>0</v>
      </c>
      <c r="BK86" s="106">
        <v>0</v>
      </c>
      <c r="BL86" s="106">
        <v>0</v>
      </c>
      <c r="BM86" s="106">
        <v>0</v>
      </c>
      <c r="BN86" s="106">
        <v>0</v>
      </c>
      <c r="BO86" s="106">
        <v>0</v>
      </c>
      <c r="BP86" s="106">
        <v>0</v>
      </c>
      <c r="BQ86" s="106">
        <v>0</v>
      </c>
      <c r="BR86" s="106">
        <v>0</v>
      </c>
      <c r="BS86" s="106">
        <v>0</v>
      </c>
      <c r="BT86" s="106">
        <v>0</v>
      </c>
      <c r="BU86" s="106">
        <v>0</v>
      </c>
      <c r="BV86" s="106">
        <v>0</v>
      </c>
      <c r="BW86" s="106">
        <v>0</v>
      </c>
      <c r="BX86" s="106">
        <v>0</v>
      </c>
      <c r="BY86" s="106">
        <v>0</v>
      </c>
      <c r="BZ86" s="106">
        <v>0</v>
      </c>
      <c r="CA86" s="106">
        <v>0</v>
      </c>
      <c r="CB86" s="106">
        <v>0</v>
      </c>
      <c r="CC86" s="106">
        <v>0</v>
      </c>
      <c r="CD86" s="106">
        <v>0</v>
      </c>
      <c r="CE86" s="106">
        <v>0</v>
      </c>
      <c r="CF86" s="106">
        <v>0</v>
      </c>
      <c r="CG86" s="106">
        <v>0</v>
      </c>
      <c r="CH86" s="106">
        <v>0</v>
      </c>
      <c r="CI86" s="106">
        <v>0</v>
      </c>
      <c r="CJ86" s="106">
        <v>0</v>
      </c>
      <c r="CK86" s="106">
        <v>0</v>
      </c>
      <c r="CL86" s="106">
        <v>0</v>
      </c>
      <c r="CM86" s="106">
        <v>0</v>
      </c>
      <c r="CN86" s="106">
        <v>0</v>
      </c>
      <c r="CO86" s="106">
        <v>0</v>
      </c>
      <c r="CP86" s="106">
        <v>0</v>
      </c>
      <c r="CQ86" s="106">
        <v>0</v>
      </c>
      <c r="CR86" s="106">
        <v>0</v>
      </c>
      <c r="CS86" s="106">
        <v>0</v>
      </c>
      <c r="CT86" s="106">
        <v>0</v>
      </c>
      <c r="CU86" s="106">
        <v>0</v>
      </c>
    </row>
    <row r="87" spans="2:99" x14ac:dyDescent="0.2">
      <c r="B87" s="105" t="s">
        <v>131</v>
      </c>
      <c r="C87" s="105" t="s">
        <v>252</v>
      </c>
      <c r="D87" s="106">
        <v>0</v>
      </c>
      <c r="E87" s="106">
        <v>0</v>
      </c>
      <c r="F87" s="106">
        <v>0</v>
      </c>
      <c r="G87" s="106">
        <v>0</v>
      </c>
      <c r="H87" s="106">
        <v>0</v>
      </c>
      <c r="I87" s="106">
        <v>0</v>
      </c>
      <c r="J87" s="106">
        <v>0</v>
      </c>
      <c r="K87" s="106">
        <v>0</v>
      </c>
      <c r="L87" s="106">
        <v>0</v>
      </c>
      <c r="M87" s="106">
        <v>0</v>
      </c>
      <c r="N87" s="106">
        <v>0</v>
      </c>
      <c r="O87" s="106">
        <v>0</v>
      </c>
      <c r="P87" s="106">
        <v>0</v>
      </c>
      <c r="Q87" s="106">
        <v>0</v>
      </c>
      <c r="R87" s="106">
        <v>0</v>
      </c>
      <c r="S87" s="106">
        <v>0</v>
      </c>
      <c r="T87" s="106">
        <v>0</v>
      </c>
      <c r="U87" s="106">
        <v>0</v>
      </c>
      <c r="V87" s="106">
        <v>0</v>
      </c>
      <c r="W87" s="106">
        <v>0</v>
      </c>
      <c r="X87" s="106">
        <v>0</v>
      </c>
      <c r="Y87" s="106">
        <v>0</v>
      </c>
      <c r="Z87" s="106">
        <v>0</v>
      </c>
      <c r="AA87" s="106">
        <v>0</v>
      </c>
      <c r="AB87" s="106">
        <v>0</v>
      </c>
      <c r="AC87" s="106">
        <v>0</v>
      </c>
      <c r="AD87" s="106">
        <v>0</v>
      </c>
      <c r="AE87" s="106">
        <v>0</v>
      </c>
      <c r="AF87" s="106">
        <v>0</v>
      </c>
      <c r="AG87" s="106">
        <v>0</v>
      </c>
      <c r="AH87" s="106">
        <v>0</v>
      </c>
      <c r="AI87" s="106">
        <v>0</v>
      </c>
      <c r="AJ87" s="106">
        <v>0</v>
      </c>
      <c r="AK87" s="106">
        <v>0</v>
      </c>
      <c r="AL87" s="106">
        <v>0</v>
      </c>
      <c r="AM87" s="106">
        <v>0</v>
      </c>
      <c r="AN87" s="106">
        <v>0</v>
      </c>
      <c r="AO87" s="106">
        <v>0</v>
      </c>
      <c r="AP87" s="106">
        <v>0</v>
      </c>
      <c r="AQ87" s="106">
        <v>0</v>
      </c>
      <c r="AR87" s="106">
        <v>0</v>
      </c>
      <c r="AS87" s="106">
        <v>0</v>
      </c>
      <c r="AT87" s="106">
        <v>0</v>
      </c>
      <c r="AU87" s="106">
        <v>0</v>
      </c>
      <c r="AV87" s="106">
        <v>0</v>
      </c>
      <c r="AW87" s="106">
        <v>0</v>
      </c>
      <c r="AX87" s="106">
        <v>0</v>
      </c>
      <c r="AY87" s="106">
        <v>0</v>
      </c>
      <c r="AZ87" s="106">
        <v>0</v>
      </c>
      <c r="BA87" s="106">
        <v>0</v>
      </c>
      <c r="BB87" s="106">
        <v>0</v>
      </c>
      <c r="BC87" s="106">
        <v>0</v>
      </c>
      <c r="BD87" s="106">
        <v>0</v>
      </c>
      <c r="BE87" s="106">
        <v>0</v>
      </c>
      <c r="BF87" s="106">
        <v>0</v>
      </c>
      <c r="BG87" s="106">
        <v>0</v>
      </c>
      <c r="BH87" s="106">
        <v>0</v>
      </c>
      <c r="BI87" s="106">
        <v>0</v>
      </c>
      <c r="BJ87" s="106">
        <v>0</v>
      </c>
      <c r="BK87" s="106">
        <v>0</v>
      </c>
      <c r="BL87" s="106">
        <v>0</v>
      </c>
      <c r="BM87" s="106">
        <v>0</v>
      </c>
      <c r="BN87" s="106">
        <v>0</v>
      </c>
      <c r="BO87" s="106">
        <v>0</v>
      </c>
      <c r="BP87" s="106">
        <v>0</v>
      </c>
      <c r="BQ87" s="106">
        <v>0</v>
      </c>
      <c r="BR87" s="106">
        <v>0</v>
      </c>
      <c r="BS87" s="106">
        <v>0</v>
      </c>
      <c r="BT87" s="106">
        <v>0</v>
      </c>
      <c r="BU87" s="106">
        <v>0</v>
      </c>
      <c r="BV87" s="106">
        <v>0</v>
      </c>
      <c r="BW87" s="106">
        <v>0</v>
      </c>
      <c r="BX87" s="106">
        <v>0</v>
      </c>
      <c r="BY87" s="106">
        <v>0</v>
      </c>
      <c r="BZ87" s="106">
        <v>0</v>
      </c>
      <c r="CA87" s="106">
        <v>0</v>
      </c>
      <c r="CB87" s="106">
        <v>0</v>
      </c>
      <c r="CC87" s="106">
        <v>0</v>
      </c>
      <c r="CD87" s="106">
        <v>0</v>
      </c>
      <c r="CE87" s="106">
        <v>0</v>
      </c>
      <c r="CF87" s="106">
        <v>0</v>
      </c>
      <c r="CG87" s="106">
        <v>0</v>
      </c>
      <c r="CH87" s="106">
        <v>0</v>
      </c>
      <c r="CI87" s="106">
        <v>0</v>
      </c>
      <c r="CJ87" s="106">
        <v>0</v>
      </c>
      <c r="CK87" s="106">
        <v>0</v>
      </c>
      <c r="CL87" s="106">
        <v>0</v>
      </c>
      <c r="CM87" s="106">
        <v>0</v>
      </c>
      <c r="CN87" s="106">
        <v>0</v>
      </c>
      <c r="CO87" s="106">
        <v>0</v>
      </c>
      <c r="CP87" s="106">
        <v>0</v>
      </c>
      <c r="CQ87" s="106">
        <v>0</v>
      </c>
      <c r="CR87" s="106">
        <v>0</v>
      </c>
      <c r="CS87" s="106">
        <v>0</v>
      </c>
      <c r="CT87" s="106">
        <v>0</v>
      </c>
      <c r="CU87" s="106">
        <v>0</v>
      </c>
    </row>
    <row r="88" spans="2:99" x14ac:dyDescent="0.2">
      <c r="C88" s="105" t="s">
        <v>253</v>
      </c>
      <c r="D88" s="106">
        <v>0</v>
      </c>
      <c r="E88" s="106">
        <v>0</v>
      </c>
      <c r="F88" s="106">
        <v>0</v>
      </c>
      <c r="G88" s="106">
        <v>0</v>
      </c>
      <c r="H88" s="106">
        <v>0</v>
      </c>
      <c r="I88" s="106">
        <v>0</v>
      </c>
      <c r="J88" s="106">
        <v>0</v>
      </c>
      <c r="K88" s="106">
        <v>0</v>
      </c>
      <c r="L88" s="106">
        <v>0</v>
      </c>
      <c r="M88" s="106">
        <v>0</v>
      </c>
      <c r="N88" s="106">
        <v>0</v>
      </c>
      <c r="O88" s="106">
        <v>0</v>
      </c>
      <c r="P88" s="106">
        <v>0</v>
      </c>
      <c r="Q88" s="106">
        <v>0</v>
      </c>
      <c r="R88" s="106">
        <v>0</v>
      </c>
      <c r="S88" s="106">
        <v>0</v>
      </c>
      <c r="T88" s="106">
        <v>0</v>
      </c>
      <c r="U88" s="106">
        <v>0</v>
      </c>
      <c r="V88" s="106">
        <v>0</v>
      </c>
      <c r="W88" s="106">
        <v>0</v>
      </c>
      <c r="X88" s="106">
        <v>0</v>
      </c>
      <c r="Y88" s="106">
        <v>0</v>
      </c>
      <c r="Z88" s="106">
        <v>0</v>
      </c>
      <c r="AA88" s="106">
        <v>0</v>
      </c>
      <c r="AB88" s="106">
        <v>0</v>
      </c>
      <c r="AC88" s="106">
        <v>0</v>
      </c>
      <c r="AD88" s="106">
        <v>0</v>
      </c>
      <c r="AE88" s="106">
        <v>0</v>
      </c>
      <c r="AF88" s="106">
        <v>0</v>
      </c>
      <c r="AG88" s="106">
        <v>0</v>
      </c>
      <c r="AH88" s="106">
        <v>0</v>
      </c>
      <c r="AI88" s="106">
        <v>0</v>
      </c>
      <c r="AJ88" s="106">
        <v>0</v>
      </c>
      <c r="AK88" s="106">
        <v>0</v>
      </c>
      <c r="AL88" s="106">
        <v>0</v>
      </c>
      <c r="AM88" s="106">
        <v>0</v>
      </c>
      <c r="AN88" s="106">
        <v>0</v>
      </c>
      <c r="AO88" s="106">
        <v>0</v>
      </c>
      <c r="AP88" s="106">
        <v>0</v>
      </c>
      <c r="AQ88" s="106">
        <v>0</v>
      </c>
      <c r="AR88" s="106">
        <v>0</v>
      </c>
      <c r="AS88" s="106">
        <v>0</v>
      </c>
      <c r="AT88" s="106">
        <v>0</v>
      </c>
      <c r="AU88" s="106">
        <v>0</v>
      </c>
      <c r="AV88" s="106">
        <v>0</v>
      </c>
      <c r="AW88" s="106">
        <v>0</v>
      </c>
      <c r="AX88" s="106">
        <v>0</v>
      </c>
      <c r="AY88" s="106">
        <v>0</v>
      </c>
      <c r="AZ88" s="106">
        <v>0</v>
      </c>
      <c r="BA88" s="106">
        <v>0</v>
      </c>
      <c r="BB88" s="106">
        <v>0</v>
      </c>
      <c r="BC88" s="106">
        <v>0</v>
      </c>
      <c r="BD88" s="106">
        <v>0</v>
      </c>
      <c r="BE88" s="106">
        <v>0</v>
      </c>
      <c r="BF88" s="106">
        <v>0</v>
      </c>
      <c r="BG88" s="106">
        <v>0</v>
      </c>
      <c r="BH88" s="106">
        <v>0</v>
      </c>
      <c r="BI88" s="106">
        <v>0</v>
      </c>
      <c r="BJ88" s="106">
        <v>0</v>
      </c>
      <c r="BK88" s="106">
        <v>0</v>
      </c>
      <c r="BL88" s="106">
        <v>0</v>
      </c>
      <c r="BM88" s="106">
        <v>0</v>
      </c>
      <c r="BN88" s="106">
        <v>0</v>
      </c>
      <c r="BO88" s="106">
        <v>0</v>
      </c>
      <c r="BP88" s="106">
        <v>0</v>
      </c>
      <c r="BQ88" s="106">
        <v>0</v>
      </c>
      <c r="BR88" s="106">
        <v>0</v>
      </c>
      <c r="BS88" s="106">
        <v>0</v>
      </c>
      <c r="BT88" s="106">
        <v>0</v>
      </c>
      <c r="BU88" s="106">
        <v>0</v>
      </c>
      <c r="BV88" s="106">
        <v>0</v>
      </c>
      <c r="BW88" s="106">
        <v>0</v>
      </c>
      <c r="BX88" s="106">
        <v>0</v>
      </c>
      <c r="BY88" s="106">
        <v>0</v>
      </c>
      <c r="BZ88" s="106">
        <v>0</v>
      </c>
      <c r="CA88" s="106">
        <v>0</v>
      </c>
      <c r="CB88" s="106">
        <v>0</v>
      </c>
      <c r="CC88" s="106">
        <v>0</v>
      </c>
      <c r="CD88" s="106">
        <v>0</v>
      </c>
      <c r="CE88" s="106">
        <v>0</v>
      </c>
      <c r="CF88" s="106">
        <v>0</v>
      </c>
      <c r="CG88" s="106">
        <v>0</v>
      </c>
      <c r="CH88" s="106">
        <v>0</v>
      </c>
      <c r="CI88" s="106">
        <v>0</v>
      </c>
      <c r="CJ88" s="106">
        <v>0</v>
      </c>
      <c r="CK88" s="106">
        <v>0</v>
      </c>
      <c r="CL88" s="106">
        <v>0</v>
      </c>
      <c r="CM88" s="106">
        <v>0</v>
      </c>
      <c r="CN88" s="106">
        <v>0</v>
      </c>
      <c r="CO88" s="106">
        <v>0</v>
      </c>
      <c r="CP88" s="106">
        <v>0</v>
      </c>
      <c r="CQ88" s="106">
        <v>0</v>
      </c>
      <c r="CR88" s="106">
        <v>0</v>
      </c>
      <c r="CS88" s="106">
        <v>0</v>
      </c>
      <c r="CT88" s="106">
        <v>0</v>
      </c>
      <c r="CU88" s="106">
        <v>0</v>
      </c>
    </row>
    <row r="89" spans="2:99" x14ac:dyDescent="0.2">
      <c r="C89" s="105" t="s">
        <v>254</v>
      </c>
      <c r="D89" s="106">
        <v>0</v>
      </c>
      <c r="E89" s="106">
        <v>0</v>
      </c>
      <c r="F89" s="106">
        <v>0</v>
      </c>
      <c r="G89" s="106">
        <v>0</v>
      </c>
      <c r="H89" s="106">
        <v>0</v>
      </c>
      <c r="I89" s="106">
        <v>0</v>
      </c>
      <c r="J89" s="106">
        <v>0</v>
      </c>
      <c r="K89" s="106">
        <v>0</v>
      </c>
      <c r="L89" s="106">
        <v>0</v>
      </c>
      <c r="M89" s="106">
        <v>0</v>
      </c>
      <c r="N89" s="106">
        <v>0</v>
      </c>
      <c r="O89" s="106">
        <v>0</v>
      </c>
      <c r="P89" s="106">
        <v>0</v>
      </c>
      <c r="Q89" s="106">
        <v>0</v>
      </c>
      <c r="R89" s="106">
        <v>0</v>
      </c>
      <c r="S89" s="106">
        <v>0</v>
      </c>
      <c r="T89" s="106">
        <v>0</v>
      </c>
      <c r="U89" s="106">
        <v>0</v>
      </c>
      <c r="V89" s="106">
        <v>0</v>
      </c>
      <c r="W89" s="106">
        <v>0</v>
      </c>
      <c r="X89" s="106">
        <v>0</v>
      </c>
      <c r="Y89" s="106">
        <v>0</v>
      </c>
      <c r="Z89" s="106">
        <v>0</v>
      </c>
      <c r="AA89" s="106">
        <v>0</v>
      </c>
      <c r="AB89" s="106">
        <v>0</v>
      </c>
      <c r="AC89" s="106">
        <v>0</v>
      </c>
      <c r="AD89" s="106">
        <v>0</v>
      </c>
      <c r="AE89" s="106">
        <v>0</v>
      </c>
      <c r="AF89" s="106">
        <v>0</v>
      </c>
      <c r="AG89" s="106">
        <v>0</v>
      </c>
      <c r="AH89" s="106">
        <v>0</v>
      </c>
      <c r="AI89" s="106">
        <v>0</v>
      </c>
      <c r="AJ89" s="106">
        <v>0</v>
      </c>
      <c r="AK89" s="106">
        <v>0</v>
      </c>
      <c r="AL89" s="106">
        <v>0</v>
      </c>
      <c r="AM89" s="106">
        <v>0</v>
      </c>
      <c r="AN89" s="106">
        <v>0</v>
      </c>
      <c r="AO89" s="106">
        <v>0</v>
      </c>
      <c r="AP89" s="106">
        <v>0</v>
      </c>
      <c r="AQ89" s="106">
        <v>0</v>
      </c>
      <c r="AR89" s="106">
        <v>0</v>
      </c>
      <c r="AS89" s="106">
        <v>0</v>
      </c>
      <c r="AT89" s="106">
        <v>0</v>
      </c>
      <c r="AU89" s="106">
        <v>0</v>
      </c>
      <c r="AV89" s="106">
        <v>0</v>
      </c>
      <c r="AW89" s="106">
        <v>0</v>
      </c>
      <c r="AX89" s="106">
        <v>0</v>
      </c>
      <c r="AY89" s="106">
        <v>0</v>
      </c>
      <c r="AZ89" s="106">
        <v>0</v>
      </c>
      <c r="BA89" s="106">
        <v>0</v>
      </c>
      <c r="BB89" s="106">
        <v>0</v>
      </c>
      <c r="BC89" s="106">
        <v>0</v>
      </c>
      <c r="BD89" s="106">
        <v>0</v>
      </c>
      <c r="BE89" s="106">
        <v>0</v>
      </c>
      <c r="BF89" s="106">
        <v>0</v>
      </c>
      <c r="BG89" s="106">
        <v>0</v>
      </c>
      <c r="BH89" s="106">
        <v>0</v>
      </c>
      <c r="BI89" s="106">
        <v>0</v>
      </c>
      <c r="BJ89" s="106">
        <v>0</v>
      </c>
      <c r="BK89" s="106">
        <v>0</v>
      </c>
      <c r="BL89" s="106">
        <v>0</v>
      </c>
      <c r="BM89" s="106">
        <v>0</v>
      </c>
      <c r="BN89" s="106">
        <v>0</v>
      </c>
      <c r="BO89" s="106">
        <v>0</v>
      </c>
      <c r="BP89" s="106">
        <v>0</v>
      </c>
      <c r="BQ89" s="106">
        <v>0</v>
      </c>
      <c r="BR89" s="106">
        <v>0</v>
      </c>
      <c r="BS89" s="106">
        <v>0</v>
      </c>
      <c r="BT89" s="106">
        <v>0</v>
      </c>
      <c r="BU89" s="106">
        <v>0</v>
      </c>
      <c r="BV89" s="106">
        <v>0</v>
      </c>
      <c r="BW89" s="106">
        <v>0</v>
      </c>
      <c r="BX89" s="106">
        <v>0</v>
      </c>
      <c r="BY89" s="106">
        <v>0</v>
      </c>
      <c r="BZ89" s="106">
        <v>0</v>
      </c>
      <c r="CA89" s="106">
        <v>0</v>
      </c>
      <c r="CB89" s="106">
        <v>0</v>
      </c>
      <c r="CC89" s="106">
        <v>0</v>
      </c>
      <c r="CD89" s="106">
        <v>0</v>
      </c>
      <c r="CE89" s="106">
        <v>0</v>
      </c>
      <c r="CF89" s="106">
        <v>0</v>
      </c>
      <c r="CG89" s="106">
        <v>0</v>
      </c>
      <c r="CH89" s="106">
        <v>0</v>
      </c>
      <c r="CI89" s="106">
        <v>0</v>
      </c>
      <c r="CJ89" s="106">
        <v>0</v>
      </c>
      <c r="CK89" s="106">
        <v>0</v>
      </c>
      <c r="CL89" s="106">
        <v>0</v>
      </c>
      <c r="CM89" s="106">
        <v>0</v>
      </c>
      <c r="CN89" s="106">
        <v>0</v>
      </c>
      <c r="CO89" s="106">
        <v>0</v>
      </c>
      <c r="CP89" s="106">
        <v>0</v>
      </c>
      <c r="CQ89" s="106">
        <v>0</v>
      </c>
      <c r="CR89" s="106">
        <v>0</v>
      </c>
      <c r="CS89" s="106">
        <v>0</v>
      </c>
      <c r="CT89" s="106">
        <v>0</v>
      </c>
      <c r="CU89" s="106">
        <v>0</v>
      </c>
    </row>
    <row r="90" spans="2:99" x14ac:dyDescent="0.2">
      <c r="C90" s="105" t="s">
        <v>255</v>
      </c>
      <c r="D90" s="106">
        <v>0</v>
      </c>
      <c r="E90" s="106">
        <v>0</v>
      </c>
      <c r="F90" s="106">
        <v>0</v>
      </c>
      <c r="G90" s="106">
        <v>0</v>
      </c>
      <c r="H90" s="106">
        <v>0</v>
      </c>
      <c r="I90" s="106">
        <v>0</v>
      </c>
      <c r="J90" s="106">
        <v>0</v>
      </c>
      <c r="K90" s="106">
        <v>0</v>
      </c>
      <c r="L90" s="106">
        <v>0</v>
      </c>
      <c r="M90" s="106">
        <v>0</v>
      </c>
      <c r="N90" s="106">
        <v>0</v>
      </c>
      <c r="O90" s="106">
        <v>0</v>
      </c>
      <c r="P90" s="106">
        <v>0</v>
      </c>
      <c r="Q90" s="106">
        <v>0</v>
      </c>
      <c r="R90" s="106">
        <v>0</v>
      </c>
      <c r="S90" s="106">
        <v>0</v>
      </c>
      <c r="T90" s="106">
        <v>0</v>
      </c>
      <c r="U90" s="106">
        <v>0</v>
      </c>
      <c r="V90" s="106">
        <v>0</v>
      </c>
      <c r="W90" s="106">
        <v>0</v>
      </c>
      <c r="X90" s="106">
        <v>0</v>
      </c>
      <c r="Y90" s="106">
        <v>0</v>
      </c>
      <c r="Z90" s="106">
        <v>0</v>
      </c>
      <c r="AA90" s="106">
        <v>0</v>
      </c>
      <c r="AB90" s="106">
        <v>0</v>
      </c>
      <c r="AC90" s="106">
        <v>0</v>
      </c>
      <c r="AD90" s="106">
        <v>0</v>
      </c>
      <c r="AE90" s="106">
        <v>0</v>
      </c>
      <c r="AF90" s="106">
        <v>0</v>
      </c>
      <c r="AG90" s="106">
        <v>0</v>
      </c>
      <c r="AH90" s="106">
        <v>0</v>
      </c>
      <c r="AI90" s="106">
        <v>0</v>
      </c>
      <c r="AJ90" s="106">
        <v>0</v>
      </c>
      <c r="AK90" s="106">
        <v>0</v>
      </c>
      <c r="AL90" s="106">
        <v>0</v>
      </c>
      <c r="AM90" s="106">
        <v>0</v>
      </c>
      <c r="AN90" s="106">
        <v>0</v>
      </c>
      <c r="AO90" s="106">
        <v>0</v>
      </c>
      <c r="AP90" s="106">
        <v>0</v>
      </c>
      <c r="AQ90" s="106">
        <v>0</v>
      </c>
      <c r="AR90" s="106">
        <v>0</v>
      </c>
      <c r="AS90" s="106">
        <v>0</v>
      </c>
      <c r="AT90" s="106">
        <v>0</v>
      </c>
      <c r="AU90" s="106">
        <v>0</v>
      </c>
      <c r="AV90" s="106">
        <v>0</v>
      </c>
      <c r="AW90" s="106">
        <v>0</v>
      </c>
      <c r="AX90" s="106">
        <v>0</v>
      </c>
      <c r="AY90" s="106">
        <v>0</v>
      </c>
      <c r="AZ90" s="106">
        <v>0</v>
      </c>
      <c r="BA90" s="106">
        <v>0</v>
      </c>
      <c r="BB90" s="106">
        <v>0</v>
      </c>
      <c r="BC90" s="106">
        <v>0</v>
      </c>
      <c r="BD90" s="106">
        <v>0</v>
      </c>
      <c r="BE90" s="106">
        <v>0</v>
      </c>
      <c r="BF90" s="106">
        <v>0</v>
      </c>
      <c r="BG90" s="106">
        <v>0</v>
      </c>
      <c r="BH90" s="106">
        <v>0</v>
      </c>
      <c r="BI90" s="106">
        <v>0</v>
      </c>
      <c r="BJ90" s="106">
        <v>0</v>
      </c>
      <c r="BK90" s="106">
        <v>0</v>
      </c>
      <c r="BL90" s="106">
        <v>0</v>
      </c>
      <c r="BM90" s="106">
        <v>0</v>
      </c>
      <c r="BN90" s="106">
        <v>0</v>
      </c>
      <c r="BO90" s="106">
        <v>0</v>
      </c>
      <c r="BP90" s="106">
        <v>0</v>
      </c>
      <c r="BQ90" s="106">
        <v>0</v>
      </c>
      <c r="BR90" s="106">
        <v>0</v>
      </c>
      <c r="BS90" s="106">
        <v>0</v>
      </c>
      <c r="BT90" s="106">
        <v>0</v>
      </c>
      <c r="BU90" s="106">
        <v>0</v>
      </c>
      <c r="BV90" s="106">
        <v>0</v>
      </c>
      <c r="BW90" s="106">
        <v>0</v>
      </c>
      <c r="BX90" s="106">
        <v>0</v>
      </c>
      <c r="BY90" s="106">
        <v>0</v>
      </c>
      <c r="BZ90" s="106">
        <v>0</v>
      </c>
      <c r="CA90" s="106">
        <v>0</v>
      </c>
      <c r="CB90" s="106">
        <v>0</v>
      </c>
      <c r="CC90" s="106">
        <v>0</v>
      </c>
      <c r="CD90" s="106">
        <v>0</v>
      </c>
      <c r="CE90" s="106">
        <v>0</v>
      </c>
      <c r="CF90" s="106">
        <v>0</v>
      </c>
      <c r="CG90" s="106">
        <v>0</v>
      </c>
      <c r="CH90" s="106">
        <v>0</v>
      </c>
      <c r="CI90" s="106">
        <v>0</v>
      </c>
      <c r="CJ90" s="106">
        <v>0</v>
      </c>
      <c r="CK90" s="106">
        <v>0</v>
      </c>
      <c r="CL90" s="106">
        <v>0</v>
      </c>
      <c r="CM90" s="106">
        <v>0</v>
      </c>
      <c r="CN90" s="106">
        <v>0</v>
      </c>
      <c r="CO90" s="106">
        <v>0</v>
      </c>
      <c r="CP90" s="106">
        <v>0</v>
      </c>
      <c r="CQ90" s="106">
        <v>0</v>
      </c>
      <c r="CR90" s="106">
        <v>0</v>
      </c>
      <c r="CS90" s="106">
        <v>0</v>
      </c>
      <c r="CT90" s="106">
        <v>0</v>
      </c>
      <c r="CU90" s="106">
        <v>0</v>
      </c>
    </row>
    <row r="91" spans="2:99" x14ac:dyDescent="0.2">
      <c r="C91" s="105" t="s">
        <v>256</v>
      </c>
      <c r="D91" s="106">
        <v>0</v>
      </c>
      <c r="E91" s="106">
        <v>0</v>
      </c>
      <c r="F91" s="106">
        <v>0</v>
      </c>
      <c r="G91" s="106">
        <v>0</v>
      </c>
      <c r="H91" s="106">
        <v>0</v>
      </c>
      <c r="I91" s="106">
        <v>0</v>
      </c>
      <c r="J91" s="106">
        <v>0</v>
      </c>
      <c r="K91" s="106">
        <v>0</v>
      </c>
      <c r="L91" s="106">
        <v>0</v>
      </c>
      <c r="M91" s="106">
        <v>0</v>
      </c>
      <c r="N91" s="106">
        <v>0</v>
      </c>
      <c r="O91" s="106">
        <v>0</v>
      </c>
      <c r="P91" s="106">
        <v>0</v>
      </c>
      <c r="Q91" s="106">
        <v>0</v>
      </c>
      <c r="R91" s="106">
        <v>0</v>
      </c>
      <c r="S91" s="106">
        <v>0</v>
      </c>
      <c r="T91" s="106">
        <v>0</v>
      </c>
      <c r="U91" s="106">
        <v>0</v>
      </c>
      <c r="V91" s="106">
        <v>0</v>
      </c>
      <c r="W91" s="106">
        <v>0</v>
      </c>
      <c r="X91" s="106">
        <v>0</v>
      </c>
      <c r="Y91" s="106">
        <v>0</v>
      </c>
      <c r="Z91" s="106">
        <v>0</v>
      </c>
      <c r="AA91" s="106">
        <v>0</v>
      </c>
      <c r="AB91" s="106">
        <v>0</v>
      </c>
      <c r="AC91" s="106">
        <v>0</v>
      </c>
      <c r="AD91" s="106">
        <v>0</v>
      </c>
      <c r="AE91" s="106">
        <v>0</v>
      </c>
      <c r="AF91" s="106">
        <v>0</v>
      </c>
      <c r="AG91" s="106">
        <v>0</v>
      </c>
      <c r="AH91" s="106">
        <v>0</v>
      </c>
      <c r="AI91" s="106">
        <v>0</v>
      </c>
      <c r="AJ91" s="106">
        <v>0</v>
      </c>
      <c r="AK91" s="106">
        <v>0</v>
      </c>
      <c r="AL91" s="106">
        <v>0</v>
      </c>
      <c r="AM91" s="106">
        <v>0</v>
      </c>
      <c r="AN91" s="106">
        <v>0</v>
      </c>
      <c r="AO91" s="106">
        <v>0</v>
      </c>
      <c r="AP91" s="106">
        <v>0</v>
      </c>
      <c r="AQ91" s="106">
        <v>0</v>
      </c>
      <c r="AR91" s="106">
        <v>0</v>
      </c>
      <c r="AS91" s="106">
        <v>0</v>
      </c>
      <c r="AT91" s="106">
        <v>0</v>
      </c>
      <c r="AU91" s="106">
        <v>0</v>
      </c>
      <c r="AV91" s="106">
        <v>0</v>
      </c>
      <c r="AW91" s="106">
        <v>0</v>
      </c>
      <c r="AX91" s="106">
        <v>0</v>
      </c>
      <c r="AY91" s="106">
        <v>0</v>
      </c>
      <c r="AZ91" s="106">
        <v>0</v>
      </c>
      <c r="BA91" s="106">
        <v>0</v>
      </c>
      <c r="BB91" s="106">
        <v>0</v>
      </c>
      <c r="BC91" s="106">
        <v>0</v>
      </c>
      <c r="BD91" s="106">
        <v>0</v>
      </c>
      <c r="BE91" s="106">
        <v>0</v>
      </c>
      <c r="BF91" s="106">
        <v>0</v>
      </c>
      <c r="BG91" s="106">
        <v>0</v>
      </c>
      <c r="BH91" s="106">
        <v>0</v>
      </c>
      <c r="BI91" s="106">
        <v>0</v>
      </c>
      <c r="BJ91" s="106">
        <v>0</v>
      </c>
      <c r="BK91" s="106">
        <v>0</v>
      </c>
      <c r="BL91" s="106">
        <v>0</v>
      </c>
      <c r="BM91" s="106">
        <v>0</v>
      </c>
      <c r="BN91" s="106">
        <v>0</v>
      </c>
      <c r="BO91" s="106">
        <v>0</v>
      </c>
      <c r="BP91" s="106">
        <v>0</v>
      </c>
      <c r="BQ91" s="106">
        <v>0</v>
      </c>
      <c r="BR91" s="106">
        <v>0</v>
      </c>
      <c r="BS91" s="106">
        <v>0</v>
      </c>
      <c r="BT91" s="106">
        <v>0</v>
      </c>
      <c r="BU91" s="106">
        <v>0</v>
      </c>
      <c r="BV91" s="106">
        <v>0</v>
      </c>
      <c r="BW91" s="106">
        <v>0</v>
      </c>
      <c r="BX91" s="106">
        <v>0</v>
      </c>
      <c r="BY91" s="106">
        <v>0</v>
      </c>
      <c r="BZ91" s="106">
        <v>0</v>
      </c>
      <c r="CA91" s="106">
        <v>0</v>
      </c>
      <c r="CB91" s="106">
        <v>0</v>
      </c>
      <c r="CC91" s="106">
        <v>0</v>
      </c>
      <c r="CD91" s="106">
        <v>0</v>
      </c>
      <c r="CE91" s="106">
        <v>0</v>
      </c>
      <c r="CF91" s="106">
        <v>0</v>
      </c>
      <c r="CG91" s="106">
        <v>0</v>
      </c>
      <c r="CH91" s="106">
        <v>0</v>
      </c>
      <c r="CI91" s="106">
        <v>0</v>
      </c>
      <c r="CJ91" s="106">
        <v>0</v>
      </c>
      <c r="CK91" s="106">
        <v>0</v>
      </c>
      <c r="CL91" s="106">
        <v>0</v>
      </c>
      <c r="CM91" s="106">
        <v>0</v>
      </c>
      <c r="CN91" s="106">
        <v>0</v>
      </c>
      <c r="CO91" s="106">
        <v>0</v>
      </c>
      <c r="CP91" s="106">
        <v>0</v>
      </c>
      <c r="CQ91" s="106">
        <v>0</v>
      </c>
      <c r="CR91" s="106">
        <v>0</v>
      </c>
      <c r="CS91" s="106">
        <v>0</v>
      </c>
      <c r="CT91" s="106">
        <v>0</v>
      </c>
      <c r="CU91" s="106">
        <v>0</v>
      </c>
    </row>
    <row r="92" spans="2:99" x14ac:dyDescent="0.2">
      <c r="C92" s="105" t="s">
        <v>257</v>
      </c>
      <c r="D92" s="106">
        <v>0</v>
      </c>
      <c r="E92" s="106">
        <v>0</v>
      </c>
      <c r="F92" s="106">
        <v>0</v>
      </c>
      <c r="G92" s="106">
        <v>0</v>
      </c>
      <c r="H92" s="106">
        <v>0</v>
      </c>
      <c r="I92" s="106">
        <v>0</v>
      </c>
      <c r="J92" s="106">
        <v>0</v>
      </c>
      <c r="K92" s="106">
        <v>0</v>
      </c>
      <c r="L92" s="106">
        <v>0</v>
      </c>
      <c r="M92" s="106">
        <v>0</v>
      </c>
      <c r="N92" s="106">
        <v>0</v>
      </c>
      <c r="O92" s="106">
        <v>0</v>
      </c>
      <c r="P92" s="106">
        <v>0</v>
      </c>
      <c r="Q92" s="106">
        <v>0</v>
      </c>
      <c r="R92" s="106">
        <v>0</v>
      </c>
      <c r="S92" s="106">
        <v>0</v>
      </c>
      <c r="T92" s="106">
        <v>0</v>
      </c>
      <c r="U92" s="106">
        <v>0</v>
      </c>
      <c r="V92" s="106">
        <v>0</v>
      </c>
      <c r="W92" s="106">
        <v>0</v>
      </c>
      <c r="X92" s="106">
        <v>0</v>
      </c>
      <c r="Y92" s="106">
        <v>0</v>
      </c>
      <c r="Z92" s="106">
        <v>0</v>
      </c>
      <c r="AA92" s="106">
        <v>0</v>
      </c>
      <c r="AB92" s="106">
        <v>0</v>
      </c>
      <c r="AC92" s="106">
        <v>0</v>
      </c>
      <c r="AD92" s="106">
        <v>0</v>
      </c>
      <c r="AE92" s="106">
        <v>0</v>
      </c>
      <c r="AF92" s="106">
        <v>0</v>
      </c>
      <c r="AG92" s="106">
        <v>0</v>
      </c>
      <c r="AH92" s="106">
        <v>0</v>
      </c>
      <c r="AI92" s="106">
        <v>0</v>
      </c>
      <c r="AJ92" s="106">
        <v>0</v>
      </c>
      <c r="AK92" s="106">
        <v>0</v>
      </c>
      <c r="AL92" s="106">
        <v>0</v>
      </c>
      <c r="AM92" s="106">
        <v>0</v>
      </c>
      <c r="AN92" s="106">
        <v>0</v>
      </c>
      <c r="AO92" s="106">
        <v>0</v>
      </c>
      <c r="AP92" s="106">
        <v>0</v>
      </c>
      <c r="AQ92" s="106">
        <v>0</v>
      </c>
      <c r="AR92" s="106">
        <v>0</v>
      </c>
      <c r="AS92" s="106">
        <v>0</v>
      </c>
      <c r="AT92" s="106">
        <v>0</v>
      </c>
      <c r="AU92" s="106">
        <v>0</v>
      </c>
      <c r="AV92" s="106">
        <v>0</v>
      </c>
      <c r="AW92" s="106">
        <v>0</v>
      </c>
      <c r="AX92" s="106">
        <v>0</v>
      </c>
      <c r="AY92" s="106">
        <v>0</v>
      </c>
      <c r="AZ92" s="106">
        <v>0</v>
      </c>
      <c r="BA92" s="106">
        <v>0</v>
      </c>
      <c r="BB92" s="106">
        <v>0</v>
      </c>
      <c r="BC92" s="106">
        <v>0</v>
      </c>
      <c r="BD92" s="106">
        <v>0</v>
      </c>
      <c r="BE92" s="106">
        <v>0</v>
      </c>
      <c r="BF92" s="106">
        <v>0</v>
      </c>
      <c r="BG92" s="106">
        <v>0</v>
      </c>
      <c r="BH92" s="106">
        <v>0</v>
      </c>
      <c r="BI92" s="106">
        <v>0</v>
      </c>
      <c r="BJ92" s="106">
        <v>0</v>
      </c>
      <c r="BK92" s="106">
        <v>0</v>
      </c>
      <c r="BL92" s="106">
        <v>0</v>
      </c>
      <c r="BM92" s="106">
        <v>0</v>
      </c>
      <c r="BN92" s="106">
        <v>0</v>
      </c>
      <c r="BO92" s="106">
        <v>0</v>
      </c>
      <c r="BP92" s="106">
        <v>0</v>
      </c>
      <c r="BQ92" s="106">
        <v>0</v>
      </c>
      <c r="BR92" s="106">
        <v>0</v>
      </c>
      <c r="BS92" s="106">
        <v>0</v>
      </c>
      <c r="BT92" s="106">
        <v>0</v>
      </c>
      <c r="BU92" s="106">
        <v>0</v>
      </c>
      <c r="BV92" s="106">
        <v>0</v>
      </c>
      <c r="BW92" s="106">
        <v>0</v>
      </c>
      <c r="BX92" s="106">
        <v>0</v>
      </c>
      <c r="BY92" s="106">
        <v>0</v>
      </c>
      <c r="BZ92" s="106">
        <v>0</v>
      </c>
      <c r="CA92" s="106">
        <v>0</v>
      </c>
      <c r="CB92" s="106">
        <v>0</v>
      </c>
      <c r="CC92" s="106">
        <v>0</v>
      </c>
      <c r="CD92" s="106">
        <v>0</v>
      </c>
      <c r="CE92" s="106">
        <v>0</v>
      </c>
      <c r="CF92" s="106">
        <v>0</v>
      </c>
      <c r="CG92" s="106">
        <v>0</v>
      </c>
      <c r="CH92" s="106">
        <v>0</v>
      </c>
      <c r="CI92" s="106">
        <v>0</v>
      </c>
      <c r="CJ92" s="106">
        <v>0</v>
      </c>
      <c r="CK92" s="106">
        <v>0</v>
      </c>
      <c r="CL92" s="106">
        <v>0</v>
      </c>
      <c r="CM92" s="106">
        <v>0</v>
      </c>
      <c r="CN92" s="106">
        <v>0</v>
      </c>
      <c r="CO92" s="106">
        <v>0</v>
      </c>
      <c r="CP92" s="106">
        <v>0</v>
      </c>
      <c r="CQ92" s="106">
        <v>0</v>
      </c>
      <c r="CR92" s="106">
        <v>0</v>
      </c>
      <c r="CS92" s="106">
        <v>0</v>
      </c>
      <c r="CT92" s="106">
        <v>0</v>
      </c>
      <c r="CU92" s="106">
        <v>0</v>
      </c>
    </row>
    <row r="93" spans="2:99" x14ac:dyDescent="0.2">
      <c r="C93" s="105" t="s">
        <v>258</v>
      </c>
      <c r="D93" s="106">
        <v>0</v>
      </c>
      <c r="E93" s="106">
        <v>0</v>
      </c>
      <c r="F93" s="106">
        <v>0</v>
      </c>
      <c r="G93" s="106">
        <v>0</v>
      </c>
      <c r="H93" s="106">
        <v>0</v>
      </c>
      <c r="I93" s="106">
        <v>0</v>
      </c>
      <c r="J93" s="106">
        <v>0</v>
      </c>
      <c r="K93" s="106">
        <v>0</v>
      </c>
      <c r="L93" s="106">
        <v>0</v>
      </c>
      <c r="M93" s="106">
        <v>0</v>
      </c>
      <c r="N93" s="106">
        <v>0</v>
      </c>
      <c r="O93" s="106">
        <v>0</v>
      </c>
      <c r="P93" s="106">
        <v>0</v>
      </c>
      <c r="Q93" s="106">
        <v>0</v>
      </c>
      <c r="R93" s="106">
        <v>0</v>
      </c>
      <c r="S93" s="106">
        <v>0</v>
      </c>
      <c r="T93" s="106">
        <v>0</v>
      </c>
      <c r="U93" s="106">
        <v>0</v>
      </c>
      <c r="V93" s="106">
        <v>0</v>
      </c>
      <c r="W93" s="106">
        <v>0</v>
      </c>
      <c r="X93" s="106">
        <v>0</v>
      </c>
      <c r="Y93" s="106">
        <v>0</v>
      </c>
      <c r="Z93" s="106">
        <v>0</v>
      </c>
      <c r="AA93" s="106">
        <v>0</v>
      </c>
      <c r="AB93" s="106">
        <v>0</v>
      </c>
      <c r="AC93" s="106">
        <v>0</v>
      </c>
      <c r="AD93" s="106">
        <v>0</v>
      </c>
      <c r="AE93" s="106">
        <v>0</v>
      </c>
      <c r="AF93" s="106">
        <v>0</v>
      </c>
      <c r="AG93" s="106">
        <v>0</v>
      </c>
      <c r="AH93" s="106">
        <v>0</v>
      </c>
      <c r="AI93" s="106">
        <v>0</v>
      </c>
      <c r="AJ93" s="106">
        <v>0</v>
      </c>
      <c r="AK93" s="106">
        <v>0</v>
      </c>
      <c r="AL93" s="106">
        <v>0</v>
      </c>
      <c r="AM93" s="106">
        <v>0</v>
      </c>
      <c r="AN93" s="106">
        <v>0</v>
      </c>
      <c r="AO93" s="106">
        <v>0</v>
      </c>
      <c r="AP93" s="106">
        <v>0</v>
      </c>
      <c r="AQ93" s="106">
        <v>0</v>
      </c>
      <c r="AR93" s="106">
        <v>0</v>
      </c>
      <c r="AS93" s="106">
        <v>0</v>
      </c>
      <c r="AT93" s="106">
        <v>0</v>
      </c>
      <c r="AU93" s="106">
        <v>0</v>
      </c>
      <c r="AV93" s="106">
        <v>0</v>
      </c>
      <c r="AW93" s="106">
        <v>0</v>
      </c>
      <c r="AX93" s="106">
        <v>0</v>
      </c>
      <c r="AY93" s="106">
        <v>0</v>
      </c>
      <c r="AZ93" s="106">
        <v>0</v>
      </c>
      <c r="BA93" s="106">
        <v>0</v>
      </c>
      <c r="BB93" s="106">
        <v>0</v>
      </c>
      <c r="BC93" s="106">
        <v>0</v>
      </c>
      <c r="BD93" s="106">
        <v>0</v>
      </c>
      <c r="BE93" s="106">
        <v>0</v>
      </c>
      <c r="BF93" s="106">
        <v>0</v>
      </c>
      <c r="BG93" s="106">
        <v>0</v>
      </c>
      <c r="BH93" s="106">
        <v>0</v>
      </c>
      <c r="BI93" s="106">
        <v>0</v>
      </c>
      <c r="BJ93" s="106">
        <v>0</v>
      </c>
      <c r="BK93" s="106">
        <v>0</v>
      </c>
      <c r="BL93" s="106">
        <v>0</v>
      </c>
      <c r="BM93" s="106">
        <v>0</v>
      </c>
      <c r="BN93" s="106">
        <v>0</v>
      </c>
      <c r="BO93" s="106">
        <v>0</v>
      </c>
      <c r="BP93" s="106">
        <v>0</v>
      </c>
      <c r="BQ93" s="106">
        <v>0</v>
      </c>
      <c r="BR93" s="106">
        <v>0</v>
      </c>
      <c r="BS93" s="106">
        <v>0</v>
      </c>
      <c r="BT93" s="106">
        <v>0</v>
      </c>
      <c r="BU93" s="106">
        <v>0</v>
      </c>
      <c r="BV93" s="106">
        <v>0</v>
      </c>
      <c r="BW93" s="106">
        <v>0</v>
      </c>
      <c r="BX93" s="106">
        <v>0</v>
      </c>
      <c r="BY93" s="106">
        <v>0</v>
      </c>
      <c r="BZ93" s="106">
        <v>0</v>
      </c>
      <c r="CA93" s="106">
        <v>0</v>
      </c>
      <c r="CB93" s="106">
        <v>0</v>
      </c>
      <c r="CC93" s="106">
        <v>0</v>
      </c>
      <c r="CD93" s="106">
        <v>0</v>
      </c>
      <c r="CE93" s="106">
        <v>0</v>
      </c>
      <c r="CF93" s="106">
        <v>0</v>
      </c>
      <c r="CG93" s="106">
        <v>0</v>
      </c>
      <c r="CH93" s="106">
        <v>0</v>
      </c>
      <c r="CI93" s="106">
        <v>0</v>
      </c>
      <c r="CJ93" s="106">
        <v>0</v>
      </c>
      <c r="CK93" s="106">
        <v>0</v>
      </c>
      <c r="CL93" s="106">
        <v>0</v>
      </c>
      <c r="CM93" s="106">
        <v>0</v>
      </c>
      <c r="CN93" s="106">
        <v>0</v>
      </c>
      <c r="CO93" s="106">
        <v>0</v>
      </c>
      <c r="CP93" s="106">
        <v>0</v>
      </c>
      <c r="CQ93" s="106">
        <v>0</v>
      </c>
      <c r="CR93" s="106">
        <v>0</v>
      </c>
      <c r="CS93" s="106">
        <v>0</v>
      </c>
      <c r="CT93" s="106">
        <v>0</v>
      </c>
      <c r="CU93" s="106">
        <v>0</v>
      </c>
    </row>
    <row r="94" spans="2:99" x14ac:dyDescent="0.2">
      <c r="C94" s="105" t="s">
        <v>259</v>
      </c>
      <c r="D94" s="106">
        <v>0</v>
      </c>
      <c r="E94" s="106">
        <v>0</v>
      </c>
      <c r="F94" s="106">
        <v>0</v>
      </c>
      <c r="G94" s="106">
        <v>0</v>
      </c>
      <c r="H94" s="106">
        <v>0</v>
      </c>
      <c r="I94" s="106">
        <v>0</v>
      </c>
      <c r="J94" s="106">
        <v>0</v>
      </c>
      <c r="K94" s="106">
        <v>0</v>
      </c>
      <c r="L94" s="106">
        <v>0</v>
      </c>
      <c r="M94" s="106">
        <v>0</v>
      </c>
      <c r="N94" s="106">
        <v>0</v>
      </c>
      <c r="O94" s="106">
        <v>0</v>
      </c>
      <c r="P94" s="106">
        <v>0</v>
      </c>
      <c r="Q94" s="106">
        <v>0</v>
      </c>
      <c r="R94" s="106">
        <v>0</v>
      </c>
      <c r="S94" s="106">
        <v>0</v>
      </c>
      <c r="T94" s="106">
        <v>0</v>
      </c>
      <c r="U94" s="106">
        <v>0</v>
      </c>
      <c r="V94" s="106">
        <v>0</v>
      </c>
      <c r="W94" s="106">
        <v>0</v>
      </c>
      <c r="X94" s="106">
        <v>0</v>
      </c>
      <c r="Y94" s="106">
        <v>0</v>
      </c>
      <c r="Z94" s="106">
        <v>0</v>
      </c>
      <c r="AA94" s="106">
        <v>0</v>
      </c>
      <c r="AB94" s="106">
        <v>0</v>
      </c>
      <c r="AC94" s="106">
        <v>0</v>
      </c>
      <c r="AD94" s="106">
        <v>0</v>
      </c>
      <c r="AE94" s="106">
        <v>0</v>
      </c>
      <c r="AF94" s="106">
        <v>0</v>
      </c>
      <c r="AG94" s="106">
        <v>0</v>
      </c>
      <c r="AH94" s="106">
        <v>0</v>
      </c>
      <c r="AI94" s="106">
        <v>0</v>
      </c>
      <c r="AJ94" s="106">
        <v>0</v>
      </c>
      <c r="AK94" s="106">
        <v>0</v>
      </c>
      <c r="AL94" s="106">
        <v>0</v>
      </c>
      <c r="AM94" s="106">
        <v>0</v>
      </c>
      <c r="AN94" s="106">
        <v>0</v>
      </c>
      <c r="AO94" s="106">
        <v>0</v>
      </c>
      <c r="AP94" s="106">
        <v>0</v>
      </c>
      <c r="AQ94" s="106">
        <v>0</v>
      </c>
      <c r="AR94" s="106">
        <v>0</v>
      </c>
      <c r="AS94" s="106">
        <v>0</v>
      </c>
      <c r="AT94" s="106">
        <v>0</v>
      </c>
      <c r="AU94" s="106">
        <v>0</v>
      </c>
      <c r="AV94" s="106">
        <v>0</v>
      </c>
      <c r="AW94" s="106">
        <v>0</v>
      </c>
      <c r="AX94" s="106">
        <v>0</v>
      </c>
      <c r="AY94" s="106">
        <v>0</v>
      </c>
      <c r="AZ94" s="106">
        <v>0</v>
      </c>
      <c r="BA94" s="106">
        <v>0</v>
      </c>
      <c r="BB94" s="106">
        <v>0</v>
      </c>
      <c r="BC94" s="106">
        <v>0</v>
      </c>
      <c r="BD94" s="106">
        <v>0</v>
      </c>
      <c r="BE94" s="106">
        <v>0</v>
      </c>
      <c r="BF94" s="106">
        <v>0</v>
      </c>
      <c r="BG94" s="106">
        <v>0</v>
      </c>
      <c r="BH94" s="106">
        <v>0</v>
      </c>
      <c r="BI94" s="106">
        <v>0</v>
      </c>
      <c r="BJ94" s="106">
        <v>0</v>
      </c>
      <c r="BK94" s="106">
        <v>0</v>
      </c>
      <c r="BL94" s="106">
        <v>0</v>
      </c>
      <c r="BM94" s="106">
        <v>0</v>
      </c>
      <c r="BN94" s="106">
        <v>0</v>
      </c>
      <c r="BO94" s="106">
        <v>0</v>
      </c>
      <c r="BP94" s="106">
        <v>0</v>
      </c>
      <c r="BQ94" s="106">
        <v>0</v>
      </c>
      <c r="BR94" s="106">
        <v>0</v>
      </c>
      <c r="BS94" s="106">
        <v>0</v>
      </c>
      <c r="BT94" s="106">
        <v>0</v>
      </c>
      <c r="BU94" s="106">
        <v>0</v>
      </c>
      <c r="BV94" s="106">
        <v>0</v>
      </c>
      <c r="BW94" s="106">
        <v>0</v>
      </c>
      <c r="BX94" s="106">
        <v>0</v>
      </c>
      <c r="BY94" s="106">
        <v>0</v>
      </c>
      <c r="BZ94" s="106">
        <v>0</v>
      </c>
      <c r="CA94" s="106">
        <v>0</v>
      </c>
      <c r="CB94" s="106">
        <v>0</v>
      </c>
      <c r="CC94" s="106">
        <v>0</v>
      </c>
      <c r="CD94" s="106">
        <v>0</v>
      </c>
      <c r="CE94" s="106">
        <v>0</v>
      </c>
      <c r="CF94" s="106">
        <v>0</v>
      </c>
      <c r="CG94" s="106">
        <v>0</v>
      </c>
      <c r="CH94" s="106">
        <v>0</v>
      </c>
      <c r="CI94" s="106">
        <v>0</v>
      </c>
      <c r="CJ94" s="106">
        <v>0</v>
      </c>
      <c r="CK94" s="106">
        <v>0</v>
      </c>
      <c r="CL94" s="106">
        <v>0</v>
      </c>
      <c r="CM94" s="106">
        <v>0</v>
      </c>
      <c r="CN94" s="106">
        <v>0</v>
      </c>
      <c r="CO94" s="106">
        <v>0</v>
      </c>
      <c r="CP94" s="106">
        <v>0</v>
      </c>
      <c r="CQ94" s="106">
        <v>0</v>
      </c>
      <c r="CR94" s="106">
        <v>0</v>
      </c>
      <c r="CS94" s="106">
        <v>0</v>
      </c>
      <c r="CT94" s="106">
        <v>0</v>
      </c>
      <c r="CU94" s="106">
        <v>0</v>
      </c>
    </row>
    <row r="95" spans="2:99" x14ac:dyDescent="0.2">
      <c r="B95" s="105" t="s">
        <v>132</v>
      </c>
      <c r="C95" s="105" t="s">
        <v>260</v>
      </c>
      <c r="D95" s="106">
        <v>0</v>
      </c>
      <c r="E95" s="106">
        <v>0</v>
      </c>
      <c r="F95" s="106">
        <v>0</v>
      </c>
      <c r="G95" s="106">
        <v>0</v>
      </c>
      <c r="H95" s="106">
        <v>0</v>
      </c>
      <c r="I95" s="106">
        <v>0</v>
      </c>
      <c r="J95" s="106">
        <v>0</v>
      </c>
      <c r="K95" s="106">
        <v>0</v>
      </c>
      <c r="L95" s="106">
        <v>0</v>
      </c>
      <c r="M95" s="106">
        <v>0</v>
      </c>
      <c r="N95" s="106">
        <v>0</v>
      </c>
      <c r="O95" s="106">
        <v>0</v>
      </c>
      <c r="P95" s="106">
        <v>0</v>
      </c>
      <c r="Q95" s="106">
        <v>0</v>
      </c>
      <c r="R95" s="106">
        <v>0</v>
      </c>
      <c r="S95" s="106">
        <v>0</v>
      </c>
      <c r="T95" s="106">
        <v>0</v>
      </c>
      <c r="U95" s="106">
        <v>0</v>
      </c>
      <c r="V95" s="106">
        <v>0</v>
      </c>
      <c r="W95" s="106">
        <v>0</v>
      </c>
      <c r="X95" s="106">
        <v>0</v>
      </c>
      <c r="Y95" s="106">
        <v>0</v>
      </c>
      <c r="Z95" s="106">
        <v>0</v>
      </c>
      <c r="AA95" s="106">
        <v>0</v>
      </c>
      <c r="AB95" s="106">
        <v>0</v>
      </c>
      <c r="AC95" s="106">
        <v>0</v>
      </c>
      <c r="AD95" s="106">
        <v>0</v>
      </c>
      <c r="AE95" s="106">
        <v>0</v>
      </c>
      <c r="AF95" s="106">
        <v>0</v>
      </c>
      <c r="AG95" s="106">
        <v>0</v>
      </c>
      <c r="AH95" s="106">
        <v>0</v>
      </c>
      <c r="AI95" s="106">
        <v>0</v>
      </c>
      <c r="AJ95" s="106">
        <v>0</v>
      </c>
      <c r="AK95" s="106">
        <v>0</v>
      </c>
      <c r="AL95" s="106">
        <v>0</v>
      </c>
      <c r="AM95" s="106">
        <v>0</v>
      </c>
      <c r="AN95" s="106">
        <v>0</v>
      </c>
      <c r="AO95" s="106">
        <v>0</v>
      </c>
      <c r="AP95" s="106">
        <v>0</v>
      </c>
      <c r="AQ95" s="106">
        <v>0</v>
      </c>
      <c r="AR95" s="106">
        <v>0</v>
      </c>
      <c r="AS95" s="106">
        <v>0</v>
      </c>
      <c r="AT95" s="106">
        <v>0</v>
      </c>
      <c r="AU95" s="106">
        <v>0</v>
      </c>
      <c r="AV95" s="106">
        <v>0</v>
      </c>
      <c r="AW95" s="106">
        <v>0</v>
      </c>
      <c r="AX95" s="106">
        <v>0</v>
      </c>
      <c r="AY95" s="106">
        <v>0</v>
      </c>
      <c r="AZ95" s="106">
        <v>0</v>
      </c>
      <c r="BA95" s="106">
        <v>0</v>
      </c>
      <c r="BB95" s="106">
        <v>0</v>
      </c>
      <c r="BC95" s="106">
        <v>0</v>
      </c>
      <c r="BD95" s="106">
        <v>0</v>
      </c>
      <c r="BE95" s="106">
        <v>0</v>
      </c>
      <c r="BF95" s="106">
        <v>0</v>
      </c>
      <c r="BG95" s="106">
        <v>0</v>
      </c>
      <c r="BH95" s="106">
        <v>0</v>
      </c>
      <c r="BI95" s="106">
        <v>0</v>
      </c>
      <c r="BJ95" s="106">
        <v>0</v>
      </c>
      <c r="BK95" s="106">
        <v>0</v>
      </c>
      <c r="BL95" s="106">
        <v>0</v>
      </c>
      <c r="BM95" s="106">
        <v>0</v>
      </c>
      <c r="BN95" s="106">
        <v>0</v>
      </c>
      <c r="BO95" s="106">
        <v>0</v>
      </c>
      <c r="BP95" s="106">
        <v>0</v>
      </c>
      <c r="BQ95" s="106">
        <v>0</v>
      </c>
      <c r="BR95" s="106">
        <v>0</v>
      </c>
      <c r="BS95" s="106">
        <v>0</v>
      </c>
      <c r="BT95" s="106">
        <v>0</v>
      </c>
      <c r="BU95" s="106">
        <v>0</v>
      </c>
      <c r="BV95" s="106">
        <v>0</v>
      </c>
      <c r="BW95" s="106">
        <v>0</v>
      </c>
      <c r="BX95" s="106">
        <v>0</v>
      </c>
      <c r="BY95" s="106">
        <v>0</v>
      </c>
      <c r="BZ95" s="106">
        <v>0</v>
      </c>
      <c r="CA95" s="106">
        <v>0</v>
      </c>
      <c r="CB95" s="106">
        <v>0</v>
      </c>
      <c r="CC95" s="106">
        <v>0</v>
      </c>
      <c r="CD95" s="106">
        <v>0</v>
      </c>
      <c r="CE95" s="106">
        <v>0</v>
      </c>
      <c r="CF95" s="106">
        <v>0</v>
      </c>
      <c r="CG95" s="106">
        <v>0</v>
      </c>
      <c r="CH95" s="106">
        <v>0</v>
      </c>
      <c r="CI95" s="106">
        <v>0</v>
      </c>
      <c r="CJ95" s="106">
        <v>0</v>
      </c>
      <c r="CK95" s="106">
        <v>0</v>
      </c>
      <c r="CL95" s="106">
        <v>0</v>
      </c>
      <c r="CM95" s="106">
        <v>0</v>
      </c>
      <c r="CN95" s="106">
        <v>0</v>
      </c>
      <c r="CO95" s="106">
        <v>0</v>
      </c>
      <c r="CP95" s="106">
        <v>0</v>
      </c>
      <c r="CQ95" s="106">
        <v>0</v>
      </c>
      <c r="CR95" s="106">
        <v>0</v>
      </c>
      <c r="CS95" s="106">
        <v>0</v>
      </c>
      <c r="CT95" s="106">
        <v>0</v>
      </c>
      <c r="CU95" s="106">
        <v>0</v>
      </c>
    </row>
    <row r="96" spans="2:99" x14ac:dyDescent="0.2">
      <c r="C96" s="105" t="s">
        <v>261</v>
      </c>
      <c r="D96" s="106">
        <v>0</v>
      </c>
      <c r="E96" s="106">
        <v>0</v>
      </c>
      <c r="F96" s="106">
        <v>0</v>
      </c>
      <c r="G96" s="106">
        <v>0</v>
      </c>
      <c r="H96" s="106">
        <v>0</v>
      </c>
      <c r="I96" s="106">
        <v>0</v>
      </c>
      <c r="J96" s="106">
        <v>0</v>
      </c>
      <c r="K96" s="106">
        <v>0</v>
      </c>
      <c r="L96" s="106">
        <v>0</v>
      </c>
      <c r="M96" s="106">
        <v>0</v>
      </c>
      <c r="N96" s="106">
        <v>0</v>
      </c>
      <c r="O96" s="106">
        <v>0</v>
      </c>
      <c r="P96" s="106">
        <v>0</v>
      </c>
      <c r="Q96" s="106">
        <v>0</v>
      </c>
      <c r="R96" s="106">
        <v>0</v>
      </c>
      <c r="S96" s="106">
        <v>0</v>
      </c>
      <c r="T96" s="106">
        <v>0</v>
      </c>
      <c r="U96" s="106">
        <v>0</v>
      </c>
      <c r="V96" s="106">
        <v>0</v>
      </c>
      <c r="W96" s="106">
        <v>0</v>
      </c>
      <c r="X96" s="106">
        <v>0</v>
      </c>
      <c r="Y96" s="106">
        <v>0</v>
      </c>
      <c r="Z96" s="106">
        <v>0</v>
      </c>
      <c r="AA96" s="106">
        <v>0</v>
      </c>
      <c r="AB96" s="106">
        <v>0</v>
      </c>
      <c r="AC96" s="106">
        <v>0</v>
      </c>
      <c r="AD96" s="106">
        <v>0</v>
      </c>
      <c r="AE96" s="106">
        <v>0</v>
      </c>
      <c r="AF96" s="106">
        <v>0</v>
      </c>
      <c r="AG96" s="106">
        <v>0</v>
      </c>
      <c r="AH96" s="106">
        <v>0</v>
      </c>
      <c r="AI96" s="106">
        <v>0</v>
      </c>
      <c r="AJ96" s="106">
        <v>0</v>
      </c>
      <c r="AK96" s="106">
        <v>0</v>
      </c>
      <c r="AL96" s="106">
        <v>0</v>
      </c>
      <c r="AM96" s="106">
        <v>0</v>
      </c>
      <c r="AN96" s="106">
        <v>0</v>
      </c>
      <c r="AO96" s="106">
        <v>0</v>
      </c>
      <c r="AP96" s="106">
        <v>0</v>
      </c>
      <c r="AQ96" s="106">
        <v>0</v>
      </c>
      <c r="AR96" s="106">
        <v>0</v>
      </c>
      <c r="AS96" s="106">
        <v>0</v>
      </c>
      <c r="AT96" s="106">
        <v>0</v>
      </c>
      <c r="AU96" s="106">
        <v>0</v>
      </c>
      <c r="AV96" s="106">
        <v>0</v>
      </c>
      <c r="AW96" s="106">
        <v>0</v>
      </c>
      <c r="AX96" s="106">
        <v>0</v>
      </c>
      <c r="AY96" s="106">
        <v>0</v>
      </c>
      <c r="AZ96" s="106">
        <v>0</v>
      </c>
      <c r="BA96" s="106">
        <v>0</v>
      </c>
      <c r="BB96" s="106">
        <v>0</v>
      </c>
      <c r="BC96" s="106">
        <v>0</v>
      </c>
      <c r="BD96" s="106">
        <v>0</v>
      </c>
      <c r="BE96" s="106">
        <v>0</v>
      </c>
      <c r="BF96" s="106">
        <v>0</v>
      </c>
      <c r="BG96" s="106">
        <v>0</v>
      </c>
      <c r="BH96" s="106">
        <v>0</v>
      </c>
      <c r="BI96" s="106">
        <v>0</v>
      </c>
      <c r="BJ96" s="106">
        <v>0</v>
      </c>
      <c r="BK96" s="106">
        <v>0</v>
      </c>
      <c r="BL96" s="106">
        <v>0</v>
      </c>
      <c r="BM96" s="106">
        <v>0</v>
      </c>
      <c r="BN96" s="106">
        <v>0</v>
      </c>
      <c r="BO96" s="106">
        <v>0</v>
      </c>
      <c r="BP96" s="106">
        <v>0</v>
      </c>
      <c r="BQ96" s="106">
        <v>0</v>
      </c>
      <c r="BR96" s="106">
        <v>0</v>
      </c>
      <c r="BS96" s="106">
        <v>0</v>
      </c>
      <c r="BT96" s="106">
        <v>0</v>
      </c>
      <c r="BU96" s="106">
        <v>0</v>
      </c>
      <c r="BV96" s="106">
        <v>0</v>
      </c>
      <c r="BW96" s="106">
        <v>0</v>
      </c>
      <c r="BX96" s="106">
        <v>0</v>
      </c>
      <c r="BY96" s="106">
        <v>0</v>
      </c>
      <c r="BZ96" s="106">
        <v>0</v>
      </c>
      <c r="CA96" s="106">
        <v>0</v>
      </c>
      <c r="CB96" s="106">
        <v>0</v>
      </c>
      <c r="CC96" s="106">
        <v>0</v>
      </c>
      <c r="CD96" s="106">
        <v>0</v>
      </c>
      <c r="CE96" s="106">
        <v>0</v>
      </c>
      <c r="CF96" s="106">
        <v>0</v>
      </c>
      <c r="CG96" s="106">
        <v>0</v>
      </c>
      <c r="CH96" s="106">
        <v>0</v>
      </c>
      <c r="CI96" s="106">
        <v>0</v>
      </c>
      <c r="CJ96" s="106">
        <v>0</v>
      </c>
      <c r="CK96" s="106">
        <v>0</v>
      </c>
      <c r="CL96" s="106">
        <v>0</v>
      </c>
      <c r="CM96" s="106">
        <v>0</v>
      </c>
      <c r="CN96" s="106">
        <v>0</v>
      </c>
      <c r="CO96" s="106">
        <v>0</v>
      </c>
      <c r="CP96" s="106">
        <v>0</v>
      </c>
      <c r="CQ96" s="106">
        <v>0</v>
      </c>
      <c r="CR96" s="106">
        <v>0</v>
      </c>
      <c r="CS96" s="106">
        <v>0</v>
      </c>
      <c r="CT96" s="106">
        <v>0</v>
      </c>
      <c r="CU96" s="106">
        <v>0</v>
      </c>
    </row>
    <row r="97" spans="2:99" x14ac:dyDescent="0.2">
      <c r="C97" s="105" t="s">
        <v>262</v>
      </c>
      <c r="D97" s="106">
        <v>0</v>
      </c>
      <c r="E97" s="106">
        <v>0</v>
      </c>
      <c r="F97" s="106">
        <v>0</v>
      </c>
      <c r="G97" s="106">
        <v>0</v>
      </c>
      <c r="H97" s="106">
        <v>0</v>
      </c>
      <c r="I97" s="106">
        <v>0</v>
      </c>
      <c r="J97" s="106">
        <v>0</v>
      </c>
      <c r="K97" s="106">
        <v>0</v>
      </c>
      <c r="L97" s="106">
        <v>0</v>
      </c>
      <c r="M97" s="106">
        <v>0</v>
      </c>
      <c r="N97" s="106">
        <v>0</v>
      </c>
      <c r="O97" s="106">
        <v>0</v>
      </c>
      <c r="P97" s="106">
        <v>0</v>
      </c>
      <c r="Q97" s="106">
        <v>0</v>
      </c>
      <c r="R97" s="106">
        <v>0</v>
      </c>
      <c r="S97" s="106">
        <v>0</v>
      </c>
      <c r="T97" s="106">
        <v>0</v>
      </c>
      <c r="U97" s="106">
        <v>0</v>
      </c>
      <c r="V97" s="106">
        <v>0</v>
      </c>
      <c r="W97" s="106">
        <v>0</v>
      </c>
      <c r="X97" s="106">
        <v>0</v>
      </c>
      <c r="Y97" s="106">
        <v>0</v>
      </c>
      <c r="Z97" s="106">
        <v>0</v>
      </c>
      <c r="AA97" s="106">
        <v>0</v>
      </c>
      <c r="AB97" s="106">
        <v>0</v>
      </c>
      <c r="AC97" s="106">
        <v>0</v>
      </c>
      <c r="AD97" s="106">
        <v>0</v>
      </c>
      <c r="AE97" s="106">
        <v>0</v>
      </c>
      <c r="AF97" s="106">
        <v>0</v>
      </c>
      <c r="AG97" s="106">
        <v>0</v>
      </c>
      <c r="AH97" s="106">
        <v>0</v>
      </c>
      <c r="AI97" s="106">
        <v>0</v>
      </c>
      <c r="AJ97" s="106">
        <v>0</v>
      </c>
      <c r="AK97" s="106">
        <v>0</v>
      </c>
      <c r="AL97" s="106">
        <v>0</v>
      </c>
      <c r="AM97" s="106">
        <v>0</v>
      </c>
      <c r="AN97" s="106">
        <v>0</v>
      </c>
      <c r="AO97" s="106">
        <v>0</v>
      </c>
      <c r="AP97" s="106">
        <v>0</v>
      </c>
      <c r="AQ97" s="106">
        <v>0</v>
      </c>
      <c r="AR97" s="106">
        <v>0</v>
      </c>
      <c r="AS97" s="106">
        <v>0</v>
      </c>
      <c r="AT97" s="106">
        <v>0</v>
      </c>
      <c r="AU97" s="106">
        <v>0</v>
      </c>
      <c r="AV97" s="106">
        <v>0</v>
      </c>
      <c r="AW97" s="106">
        <v>0</v>
      </c>
      <c r="AX97" s="106">
        <v>0</v>
      </c>
      <c r="AY97" s="106">
        <v>0</v>
      </c>
      <c r="AZ97" s="106">
        <v>0</v>
      </c>
      <c r="BA97" s="106">
        <v>0</v>
      </c>
      <c r="BB97" s="106">
        <v>0</v>
      </c>
      <c r="BC97" s="106">
        <v>0</v>
      </c>
      <c r="BD97" s="106">
        <v>0</v>
      </c>
      <c r="BE97" s="106">
        <v>0</v>
      </c>
      <c r="BF97" s="106">
        <v>0</v>
      </c>
      <c r="BG97" s="106">
        <v>0</v>
      </c>
      <c r="BH97" s="106">
        <v>0</v>
      </c>
      <c r="BI97" s="106">
        <v>0</v>
      </c>
      <c r="BJ97" s="106">
        <v>0</v>
      </c>
      <c r="BK97" s="106">
        <v>0</v>
      </c>
      <c r="BL97" s="106">
        <v>0</v>
      </c>
      <c r="BM97" s="106">
        <v>0</v>
      </c>
      <c r="BN97" s="106">
        <v>0</v>
      </c>
      <c r="BO97" s="106">
        <v>0</v>
      </c>
      <c r="BP97" s="106">
        <v>0</v>
      </c>
      <c r="BQ97" s="106">
        <v>0</v>
      </c>
      <c r="BR97" s="106">
        <v>0</v>
      </c>
      <c r="BS97" s="106">
        <v>0</v>
      </c>
      <c r="BT97" s="106">
        <v>0</v>
      </c>
      <c r="BU97" s="106">
        <v>0</v>
      </c>
      <c r="BV97" s="106">
        <v>0</v>
      </c>
      <c r="BW97" s="106">
        <v>0</v>
      </c>
      <c r="BX97" s="106">
        <v>0</v>
      </c>
      <c r="BY97" s="106">
        <v>0</v>
      </c>
      <c r="BZ97" s="106">
        <v>0</v>
      </c>
      <c r="CA97" s="106">
        <v>0</v>
      </c>
      <c r="CB97" s="106">
        <v>0</v>
      </c>
      <c r="CC97" s="106">
        <v>0</v>
      </c>
      <c r="CD97" s="106">
        <v>0</v>
      </c>
      <c r="CE97" s="106">
        <v>0</v>
      </c>
      <c r="CF97" s="106">
        <v>0</v>
      </c>
      <c r="CG97" s="106">
        <v>0</v>
      </c>
      <c r="CH97" s="106">
        <v>0</v>
      </c>
      <c r="CI97" s="106">
        <v>0</v>
      </c>
      <c r="CJ97" s="106">
        <v>0</v>
      </c>
      <c r="CK97" s="106">
        <v>0</v>
      </c>
      <c r="CL97" s="106">
        <v>0</v>
      </c>
      <c r="CM97" s="106">
        <v>0</v>
      </c>
      <c r="CN97" s="106">
        <v>0</v>
      </c>
      <c r="CO97" s="106">
        <v>0</v>
      </c>
      <c r="CP97" s="106">
        <v>0</v>
      </c>
      <c r="CQ97" s="106">
        <v>0</v>
      </c>
      <c r="CR97" s="106">
        <v>0</v>
      </c>
      <c r="CS97" s="106">
        <v>0</v>
      </c>
      <c r="CT97" s="106">
        <v>0</v>
      </c>
      <c r="CU97" s="106">
        <v>0</v>
      </c>
    </row>
    <row r="98" spans="2:99" x14ac:dyDescent="0.2">
      <c r="C98" s="105" t="s">
        <v>263</v>
      </c>
      <c r="D98" s="106">
        <v>0</v>
      </c>
      <c r="E98" s="106">
        <v>0</v>
      </c>
      <c r="F98" s="106">
        <v>0</v>
      </c>
      <c r="G98" s="106">
        <v>0</v>
      </c>
      <c r="H98" s="106">
        <v>0</v>
      </c>
      <c r="I98" s="106">
        <v>0</v>
      </c>
      <c r="J98" s="106">
        <v>0</v>
      </c>
      <c r="K98" s="106">
        <v>0</v>
      </c>
      <c r="L98" s="106">
        <v>0</v>
      </c>
      <c r="M98" s="106">
        <v>0</v>
      </c>
      <c r="N98" s="106">
        <v>0</v>
      </c>
      <c r="O98" s="106">
        <v>0</v>
      </c>
      <c r="P98" s="106">
        <v>0</v>
      </c>
      <c r="Q98" s="106">
        <v>0</v>
      </c>
      <c r="R98" s="106">
        <v>0</v>
      </c>
      <c r="S98" s="106">
        <v>0</v>
      </c>
      <c r="T98" s="106">
        <v>0</v>
      </c>
      <c r="U98" s="106">
        <v>0</v>
      </c>
      <c r="V98" s="106">
        <v>0</v>
      </c>
      <c r="W98" s="106">
        <v>0</v>
      </c>
      <c r="X98" s="106">
        <v>0</v>
      </c>
      <c r="Y98" s="106">
        <v>0</v>
      </c>
      <c r="Z98" s="106">
        <v>0</v>
      </c>
      <c r="AA98" s="106">
        <v>0</v>
      </c>
      <c r="AB98" s="106">
        <v>0</v>
      </c>
      <c r="AC98" s="106">
        <v>0</v>
      </c>
      <c r="AD98" s="106">
        <v>0</v>
      </c>
      <c r="AE98" s="106">
        <v>0</v>
      </c>
      <c r="AF98" s="106">
        <v>0</v>
      </c>
      <c r="AG98" s="106">
        <v>0</v>
      </c>
      <c r="AH98" s="106">
        <v>0</v>
      </c>
      <c r="AI98" s="106">
        <v>0</v>
      </c>
      <c r="AJ98" s="106">
        <v>0</v>
      </c>
      <c r="AK98" s="106">
        <v>0</v>
      </c>
      <c r="AL98" s="106">
        <v>0</v>
      </c>
      <c r="AM98" s="106">
        <v>0</v>
      </c>
      <c r="AN98" s="106">
        <v>0</v>
      </c>
      <c r="AO98" s="106">
        <v>0</v>
      </c>
      <c r="AP98" s="106">
        <v>0</v>
      </c>
      <c r="AQ98" s="106">
        <v>0</v>
      </c>
      <c r="AR98" s="106">
        <v>0</v>
      </c>
      <c r="AS98" s="106">
        <v>0</v>
      </c>
      <c r="AT98" s="106">
        <v>0</v>
      </c>
      <c r="AU98" s="106">
        <v>0</v>
      </c>
      <c r="AV98" s="106">
        <v>0</v>
      </c>
      <c r="AW98" s="106">
        <v>0</v>
      </c>
      <c r="AX98" s="106">
        <v>0</v>
      </c>
      <c r="AY98" s="106">
        <v>0</v>
      </c>
      <c r="AZ98" s="106">
        <v>0</v>
      </c>
      <c r="BA98" s="106">
        <v>0</v>
      </c>
      <c r="BB98" s="106">
        <v>0</v>
      </c>
      <c r="BC98" s="106">
        <v>0</v>
      </c>
      <c r="BD98" s="106">
        <v>0</v>
      </c>
      <c r="BE98" s="106">
        <v>0</v>
      </c>
      <c r="BF98" s="106">
        <v>0</v>
      </c>
      <c r="BG98" s="106">
        <v>0</v>
      </c>
      <c r="BH98" s="106">
        <v>0</v>
      </c>
      <c r="BI98" s="106">
        <v>0</v>
      </c>
      <c r="BJ98" s="106">
        <v>0</v>
      </c>
      <c r="BK98" s="106">
        <v>0</v>
      </c>
      <c r="BL98" s="106">
        <v>0</v>
      </c>
      <c r="BM98" s="106">
        <v>0</v>
      </c>
      <c r="BN98" s="106">
        <v>0</v>
      </c>
      <c r="BO98" s="106">
        <v>0</v>
      </c>
      <c r="BP98" s="106">
        <v>0</v>
      </c>
      <c r="BQ98" s="106">
        <v>0</v>
      </c>
      <c r="BR98" s="106">
        <v>0</v>
      </c>
      <c r="BS98" s="106">
        <v>0</v>
      </c>
      <c r="BT98" s="106">
        <v>0</v>
      </c>
      <c r="BU98" s="106">
        <v>0</v>
      </c>
      <c r="BV98" s="106">
        <v>0</v>
      </c>
      <c r="BW98" s="106">
        <v>0</v>
      </c>
      <c r="BX98" s="106">
        <v>0</v>
      </c>
      <c r="BY98" s="106">
        <v>0</v>
      </c>
      <c r="BZ98" s="106">
        <v>0</v>
      </c>
      <c r="CA98" s="106">
        <v>0</v>
      </c>
      <c r="CB98" s="106">
        <v>0</v>
      </c>
      <c r="CC98" s="106">
        <v>0</v>
      </c>
      <c r="CD98" s="106">
        <v>0</v>
      </c>
      <c r="CE98" s="106">
        <v>0</v>
      </c>
      <c r="CF98" s="106">
        <v>0</v>
      </c>
      <c r="CG98" s="106">
        <v>0</v>
      </c>
      <c r="CH98" s="106">
        <v>0</v>
      </c>
      <c r="CI98" s="106">
        <v>0</v>
      </c>
      <c r="CJ98" s="106">
        <v>0</v>
      </c>
      <c r="CK98" s="106">
        <v>0</v>
      </c>
      <c r="CL98" s="106">
        <v>0</v>
      </c>
      <c r="CM98" s="106">
        <v>0</v>
      </c>
      <c r="CN98" s="106">
        <v>0</v>
      </c>
      <c r="CO98" s="106">
        <v>0</v>
      </c>
      <c r="CP98" s="106">
        <v>0</v>
      </c>
      <c r="CQ98" s="106">
        <v>0</v>
      </c>
      <c r="CR98" s="106">
        <v>0</v>
      </c>
      <c r="CS98" s="106">
        <v>0</v>
      </c>
      <c r="CT98" s="106">
        <v>0</v>
      </c>
      <c r="CU98" s="106">
        <v>0</v>
      </c>
    </row>
    <row r="99" spans="2:99" x14ac:dyDescent="0.2">
      <c r="C99" s="105" t="s">
        <v>264</v>
      </c>
      <c r="D99" s="106">
        <v>0</v>
      </c>
      <c r="E99" s="106">
        <v>0</v>
      </c>
      <c r="F99" s="106">
        <v>0</v>
      </c>
      <c r="G99" s="106">
        <v>0</v>
      </c>
      <c r="H99" s="106">
        <v>0</v>
      </c>
      <c r="I99" s="106">
        <v>0</v>
      </c>
      <c r="J99" s="106">
        <v>0</v>
      </c>
      <c r="K99" s="106">
        <v>0</v>
      </c>
      <c r="L99" s="106">
        <v>0</v>
      </c>
      <c r="M99" s="106">
        <v>0</v>
      </c>
      <c r="N99" s="106">
        <v>0</v>
      </c>
      <c r="O99" s="106">
        <v>0</v>
      </c>
      <c r="P99" s="106">
        <v>0</v>
      </c>
      <c r="Q99" s="106">
        <v>0</v>
      </c>
      <c r="R99" s="106">
        <v>0</v>
      </c>
      <c r="S99" s="106">
        <v>0</v>
      </c>
      <c r="T99" s="106">
        <v>0</v>
      </c>
      <c r="U99" s="106">
        <v>0</v>
      </c>
      <c r="V99" s="106">
        <v>0</v>
      </c>
      <c r="W99" s="106">
        <v>0</v>
      </c>
      <c r="X99" s="106">
        <v>0</v>
      </c>
      <c r="Y99" s="106">
        <v>0</v>
      </c>
      <c r="Z99" s="106">
        <v>0</v>
      </c>
      <c r="AA99" s="106">
        <v>0</v>
      </c>
      <c r="AB99" s="106">
        <v>0</v>
      </c>
      <c r="AC99" s="106">
        <v>0</v>
      </c>
      <c r="AD99" s="106">
        <v>0</v>
      </c>
      <c r="AE99" s="106">
        <v>0</v>
      </c>
      <c r="AF99" s="106">
        <v>0</v>
      </c>
      <c r="AG99" s="106">
        <v>0</v>
      </c>
      <c r="AH99" s="106">
        <v>0</v>
      </c>
      <c r="AI99" s="106">
        <v>0</v>
      </c>
      <c r="AJ99" s="106">
        <v>0</v>
      </c>
      <c r="AK99" s="106">
        <v>0</v>
      </c>
      <c r="AL99" s="106">
        <v>0</v>
      </c>
      <c r="AM99" s="106">
        <v>0</v>
      </c>
      <c r="AN99" s="106">
        <v>0</v>
      </c>
      <c r="AO99" s="106">
        <v>0</v>
      </c>
      <c r="AP99" s="106">
        <v>0</v>
      </c>
      <c r="AQ99" s="106">
        <v>0</v>
      </c>
      <c r="AR99" s="106">
        <v>0</v>
      </c>
      <c r="AS99" s="106">
        <v>0</v>
      </c>
      <c r="AT99" s="106">
        <v>0</v>
      </c>
      <c r="AU99" s="106">
        <v>0</v>
      </c>
      <c r="AV99" s="106">
        <v>0</v>
      </c>
      <c r="AW99" s="106">
        <v>0</v>
      </c>
      <c r="AX99" s="106">
        <v>0</v>
      </c>
      <c r="AY99" s="106">
        <v>0</v>
      </c>
      <c r="AZ99" s="106">
        <v>0</v>
      </c>
      <c r="BA99" s="106">
        <v>0</v>
      </c>
      <c r="BB99" s="106">
        <v>0</v>
      </c>
      <c r="BC99" s="106">
        <v>0</v>
      </c>
      <c r="BD99" s="106">
        <v>0</v>
      </c>
      <c r="BE99" s="106">
        <v>0</v>
      </c>
      <c r="BF99" s="106">
        <v>0</v>
      </c>
      <c r="BG99" s="106">
        <v>0</v>
      </c>
      <c r="BH99" s="106">
        <v>0</v>
      </c>
      <c r="BI99" s="106">
        <v>0</v>
      </c>
      <c r="BJ99" s="106">
        <v>0</v>
      </c>
      <c r="BK99" s="106">
        <v>0</v>
      </c>
      <c r="BL99" s="106">
        <v>0</v>
      </c>
      <c r="BM99" s="106">
        <v>0</v>
      </c>
      <c r="BN99" s="106">
        <v>0</v>
      </c>
      <c r="BO99" s="106">
        <v>0</v>
      </c>
      <c r="BP99" s="106">
        <v>0</v>
      </c>
      <c r="BQ99" s="106">
        <v>0</v>
      </c>
      <c r="BR99" s="106">
        <v>0</v>
      </c>
      <c r="BS99" s="106">
        <v>0</v>
      </c>
      <c r="BT99" s="106">
        <v>0</v>
      </c>
      <c r="BU99" s="106">
        <v>0</v>
      </c>
      <c r="BV99" s="106">
        <v>0</v>
      </c>
      <c r="BW99" s="106">
        <v>0</v>
      </c>
      <c r="BX99" s="106">
        <v>0</v>
      </c>
      <c r="BY99" s="106">
        <v>0</v>
      </c>
      <c r="BZ99" s="106">
        <v>0</v>
      </c>
      <c r="CA99" s="106">
        <v>0</v>
      </c>
      <c r="CB99" s="106">
        <v>0</v>
      </c>
      <c r="CC99" s="106">
        <v>0</v>
      </c>
      <c r="CD99" s="106">
        <v>0</v>
      </c>
      <c r="CE99" s="106">
        <v>0</v>
      </c>
      <c r="CF99" s="106">
        <v>0</v>
      </c>
      <c r="CG99" s="106">
        <v>0</v>
      </c>
      <c r="CH99" s="106">
        <v>0</v>
      </c>
      <c r="CI99" s="106">
        <v>0</v>
      </c>
      <c r="CJ99" s="106">
        <v>0</v>
      </c>
      <c r="CK99" s="106">
        <v>0</v>
      </c>
      <c r="CL99" s="106">
        <v>0</v>
      </c>
      <c r="CM99" s="106">
        <v>0</v>
      </c>
      <c r="CN99" s="106">
        <v>0</v>
      </c>
      <c r="CO99" s="106">
        <v>0</v>
      </c>
      <c r="CP99" s="106">
        <v>0</v>
      </c>
      <c r="CQ99" s="106">
        <v>0</v>
      </c>
      <c r="CR99" s="106">
        <v>0</v>
      </c>
      <c r="CS99" s="106">
        <v>0</v>
      </c>
      <c r="CT99" s="106">
        <v>0</v>
      </c>
      <c r="CU99" s="106">
        <v>0</v>
      </c>
    </row>
    <row r="100" spans="2:99" x14ac:dyDescent="0.2">
      <c r="C100" s="105" t="s">
        <v>265</v>
      </c>
      <c r="D100" s="106">
        <v>0</v>
      </c>
      <c r="E100" s="106">
        <v>0</v>
      </c>
      <c r="F100" s="106">
        <v>0</v>
      </c>
      <c r="G100" s="106">
        <v>0</v>
      </c>
      <c r="H100" s="106">
        <v>0</v>
      </c>
      <c r="I100" s="106">
        <v>0</v>
      </c>
      <c r="J100" s="106">
        <v>0</v>
      </c>
      <c r="K100" s="106">
        <v>0</v>
      </c>
      <c r="L100" s="106">
        <v>0</v>
      </c>
      <c r="M100" s="106">
        <v>0</v>
      </c>
      <c r="N100" s="106">
        <v>0</v>
      </c>
      <c r="O100" s="106">
        <v>0</v>
      </c>
      <c r="P100" s="106">
        <v>0</v>
      </c>
      <c r="Q100" s="106">
        <v>0</v>
      </c>
      <c r="R100" s="106">
        <v>0</v>
      </c>
      <c r="S100" s="106">
        <v>0</v>
      </c>
      <c r="T100" s="106">
        <v>0</v>
      </c>
      <c r="U100" s="106">
        <v>0</v>
      </c>
      <c r="V100" s="106">
        <v>0</v>
      </c>
      <c r="W100" s="106">
        <v>0</v>
      </c>
      <c r="X100" s="106">
        <v>0</v>
      </c>
      <c r="Y100" s="106">
        <v>0</v>
      </c>
      <c r="Z100" s="106">
        <v>0</v>
      </c>
      <c r="AA100" s="106">
        <v>0</v>
      </c>
      <c r="AB100" s="106">
        <v>0</v>
      </c>
      <c r="AC100" s="106">
        <v>0</v>
      </c>
      <c r="AD100" s="106">
        <v>0</v>
      </c>
      <c r="AE100" s="106">
        <v>0</v>
      </c>
      <c r="AF100" s="106">
        <v>0</v>
      </c>
      <c r="AG100" s="106">
        <v>0</v>
      </c>
      <c r="AH100" s="106">
        <v>0</v>
      </c>
      <c r="AI100" s="106">
        <v>0</v>
      </c>
      <c r="AJ100" s="106">
        <v>0</v>
      </c>
      <c r="AK100" s="106">
        <v>0</v>
      </c>
      <c r="AL100" s="106">
        <v>0</v>
      </c>
      <c r="AM100" s="106">
        <v>0</v>
      </c>
      <c r="AN100" s="106">
        <v>0</v>
      </c>
      <c r="AO100" s="106">
        <v>0</v>
      </c>
      <c r="AP100" s="106">
        <v>0</v>
      </c>
      <c r="AQ100" s="106">
        <v>0</v>
      </c>
      <c r="AR100" s="106">
        <v>0</v>
      </c>
      <c r="AS100" s="106">
        <v>0</v>
      </c>
      <c r="AT100" s="106">
        <v>0</v>
      </c>
      <c r="AU100" s="106">
        <v>0</v>
      </c>
      <c r="AV100" s="106">
        <v>0</v>
      </c>
      <c r="AW100" s="106">
        <v>0</v>
      </c>
      <c r="AX100" s="106">
        <v>0</v>
      </c>
      <c r="AY100" s="106">
        <v>0</v>
      </c>
      <c r="AZ100" s="106">
        <v>0</v>
      </c>
      <c r="BA100" s="106">
        <v>0</v>
      </c>
      <c r="BB100" s="106">
        <v>0</v>
      </c>
      <c r="BC100" s="106">
        <v>0</v>
      </c>
      <c r="BD100" s="106">
        <v>0</v>
      </c>
      <c r="BE100" s="106">
        <v>0</v>
      </c>
      <c r="BF100" s="106">
        <v>0</v>
      </c>
      <c r="BG100" s="106">
        <v>0</v>
      </c>
      <c r="BH100" s="106">
        <v>0</v>
      </c>
      <c r="BI100" s="106">
        <v>0</v>
      </c>
      <c r="BJ100" s="106">
        <v>0</v>
      </c>
      <c r="BK100" s="106">
        <v>0</v>
      </c>
      <c r="BL100" s="106">
        <v>0</v>
      </c>
      <c r="BM100" s="106">
        <v>0</v>
      </c>
      <c r="BN100" s="106">
        <v>0</v>
      </c>
      <c r="BO100" s="106">
        <v>0</v>
      </c>
      <c r="BP100" s="106">
        <v>0</v>
      </c>
      <c r="BQ100" s="106">
        <v>0</v>
      </c>
      <c r="BR100" s="106">
        <v>0</v>
      </c>
      <c r="BS100" s="106">
        <v>0</v>
      </c>
      <c r="BT100" s="106">
        <v>0</v>
      </c>
      <c r="BU100" s="106">
        <v>0</v>
      </c>
      <c r="BV100" s="106">
        <v>0</v>
      </c>
      <c r="BW100" s="106">
        <v>0</v>
      </c>
      <c r="BX100" s="106">
        <v>0</v>
      </c>
      <c r="BY100" s="106">
        <v>0</v>
      </c>
      <c r="BZ100" s="106">
        <v>0</v>
      </c>
      <c r="CA100" s="106">
        <v>0</v>
      </c>
      <c r="CB100" s="106">
        <v>0</v>
      </c>
      <c r="CC100" s="106">
        <v>0</v>
      </c>
      <c r="CD100" s="106">
        <v>0</v>
      </c>
      <c r="CE100" s="106">
        <v>0</v>
      </c>
      <c r="CF100" s="106">
        <v>0</v>
      </c>
      <c r="CG100" s="106">
        <v>0</v>
      </c>
      <c r="CH100" s="106">
        <v>0</v>
      </c>
      <c r="CI100" s="106">
        <v>0</v>
      </c>
      <c r="CJ100" s="106">
        <v>0</v>
      </c>
      <c r="CK100" s="106">
        <v>0</v>
      </c>
      <c r="CL100" s="106">
        <v>0</v>
      </c>
      <c r="CM100" s="106">
        <v>0</v>
      </c>
      <c r="CN100" s="106">
        <v>0</v>
      </c>
      <c r="CO100" s="106">
        <v>0</v>
      </c>
      <c r="CP100" s="106">
        <v>0</v>
      </c>
      <c r="CQ100" s="106">
        <v>0</v>
      </c>
      <c r="CR100" s="106">
        <v>0</v>
      </c>
      <c r="CS100" s="106">
        <v>0</v>
      </c>
      <c r="CT100" s="106">
        <v>0</v>
      </c>
      <c r="CU100" s="106">
        <v>0</v>
      </c>
    </row>
    <row r="101" spans="2:99" x14ac:dyDescent="0.2">
      <c r="C101" s="105" t="s">
        <v>266</v>
      </c>
      <c r="D101" s="106">
        <v>0</v>
      </c>
      <c r="E101" s="106">
        <v>0</v>
      </c>
      <c r="F101" s="106">
        <v>0</v>
      </c>
      <c r="G101" s="106">
        <v>0</v>
      </c>
      <c r="H101" s="106">
        <v>0</v>
      </c>
      <c r="I101" s="106">
        <v>0</v>
      </c>
      <c r="J101" s="106">
        <v>0</v>
      </c>
      <c r="K101" s="106">
        <v>0</v>
      </c>
      <c r="L101" s="106">
        <v>0</v>
      </c>
      <c r="M101" s="106">
        <v>0</v>
      </c>
      <c r="N101" s="106">
        <v>0</v>
      </c>
      <c r="O101" s="106">
        <v>0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0</v>
      </c>
      <c r="AE101" s="106">
        <v>0</v>
      </c>
      <c r="AF101" s="106">
        <v>0</v>
      </c>
      <c r="AG101" s="106">
        <v>0</v>
      </c>
      <c r="AH101" s="106">
        <v>0</v>
      </c>
      <c r="AI101" s="106">
        <v>0</v>
      </c>
      <c r="AJ101" s="106">
        <v>0</v>
      </c>
      <c r="AK101" s="106">
        <v>0</v>
      </c>
      <c r="AL101" s="106">
        <v>0</v>
      </c>
      <c r="AM101" s="106">
        <v>0</v>
      </c>
      <c r="AN101" s="106">
        <v>0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0</v>
      </c>
      <c r="AW101" s="106">
        <v>0</v>
      </c>
      <c r="AX101" s="106">
        <v>0</v>
      </c>
      <c r="AY101" s="106">
        <v>0</v>
      </c>
      <c r="AZ101" s="106">
        <v>0</v>
      </c>
      <c r="BA101" s="106">
        <v>0</v>
      </c>
      <c r="BB101" s="106">
        <v>0</v>
      </c>
      <c r="BC101" s="106">
        <v>0</v>
      </c>
      <c r="BD101" s="106">
        <v>0</v>
      </c>
      <c r="BE101" s="106">
        <v>0</v>
      </c>
      <c r="BF101" s="106">
        <v>0</v>
      </c>
      <c r="BG101" s="106">
        <v>0</v>
      </c>
      <c r="BH101" s="106">
        <v>0</v>
      </c>
      <c r="BI101" s="106">
        <v>0</v>
      </c>
      <c r="BJ101" s="106">
        <v>0</v>
      </c>
      <c r="BK101" s="106">
        <v>0</v>
      </c>
      <c r="BL101" s="106">
        <v>0</v>
      </c>
      <c r="BM101" s="106">
        <v>0</v>
      </c>
      <c r="BN101" s="106">
        <v>0</v>
      </c>
      <c r="BO101" s="106">
        <v>0</v>
      </c>
      <c r="BP101" s="106">
        <v>0</v>
      </c>
      <c r="BQ101" s="106">
        <v>0</v>
      </c>
      <c r="BR101" s="106">
        <v>0</v>
      </c>
      <c r="BS101" s="106">
        <v>0</v>
      </c>
      <c r="BT101" s="106">
        <v>0</v>
      </c>
      <c r="BU101" s="106">
        <v>0</v>
      </c>
      <c r="BV101" s="106">
        <v>0</v>
      </c>
      <c r="BW101" s="106">
        <v>0</v>
      </c>
      <c r="BX101" s="106">
        <v>0</v>
      </c>
      <c r="BY101" s="106">
        <v>0</v>
      </c>
      <c r="BZ101" s="106">
        <v>0</v>
      </c>
      <c r="CA101" s="106">
        <v>0</v>
      </c>
      <c r="CB101" s="106">
        <v>0</v>
      </c>
      <c r="CC101" s="106">
        <v>0</v>
      </c>
      <c r="CD101" s="106">
        <v>0</v>
      </c>
      <c r="CE101" s="106">
        <v>0</v>
      </c>
      <c r="CF101" s="106">
        <v>0</v>
      </c>
      <c r="CG101" s="106">
        <v>0</v>
      </c>
      <c r="CH101" s="106">
        <v>0</v>
      </c>
      <c r="CI101" s="106">
        <v>0</v>
      </c>
      <c r="CJ101" s="106">
        <v>0</v>
      </c>
      <c r="CK101" s="106">
        <v>0</v>
      </c>
      <c r="CL101" s="106">
        <v>0</v>
      </c>
      <c r="CM101" s="106">
        <v>0</v>
      </c>
      <c r="CN101" s="106">
        <v>0</v>
      </c>
      <c r="CO101" s="106">
        <v>0</v>
      </c>
      <c r="CP101" s="106">
        <v>0</v>
      </c>
      <c r="CQ101" s="106">
        <v>0</v>
      </c>
      <c r="CR101" s="106">
        <v>0</v>
      </c>
      <c r="CS101" s="106">
        <v>0</v>
      </c>
      <c r="CT101" s="106">
        <v>0</v>
      </c>
      <c r="CU101" s="106">
        <v>0</v>
      </c>
    </row>
    <row r="102" spans="2:99" x14ac:dyDescent="0.2">
      <c r="C102" s="105" t="s">
        <v>267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  <c r="AZ102" s="106">
        <v>0</v>
      </c>
      <c r="BA102" s="106">
        <v>0</v>
      </c>
      <c r="BB102" s="106">
        <v>0</v>
      </c>
      <c r="BC102" s="106">
        <v>0</v>
      </c>
      <c r="BD102" s="106">
        <v>0</v>
      </c>
      <c r="BE102" s="106">
        <v>0</v>
      </c>
      <c r="BF102" s="106">
        <v>0</v>
      </c>
      <c r="BG102" s="106">
        <v>0</v>
      </c>
      <c r="BH102" s="106">
        <v>0</v>
      </c>
      <c r="BI102" s="106">
        <v>0</v>
      </c>
      <c r="BJ102" s="106">
        <v>0</v>
      </c>
      <c r="BK102" s="106">
        <v>0</v>
      </c>
      <c r="BL102" s="106">
        <v>0</v>
      </c>
      <c r="BM102" s="106">
        <v>0</v>
      </c>
      <c r="BN102" s="106">
        <v>0</v>
      </c>
      <c r="BO102" s="106">
        <v>0</v>
      </c>
      <c r="BP102" s="106">
        <v>0</v>
      </c>
      <c r="BQ102" s="106">
        <v>0</v>
      </c>
      <c r="BR102" s="106">
        <v>0</v>
      </c>
      <c r="BS102" s="106">
        <v>0</v>
      </c>
      <c r="BT102" s="106">
        <v>0</v>
      </c>
      <c r="BU102" s="106">
        <v>0</v>
      </c>
      <c r="BV102" s="106">
        <v>0</v>
      </c>
      <c r="BW102" s="106">
        <v>0</v>
      </c>
      <c r="BX102" s="106">
        <v>0</v>
      </c>
      <c r="BY102" s="106">
        <v>0</v>
      </c>
      <c r="BZ102" s="106">
        <v>0</v>
      </c>
      <c r="CA102" s="106">
        <v>0</v>
      </c>
      <c r="CB102" s="106">
        <v>0</v>
      </c>
      <c r="CC102" s="106">
        <v>0</v>
      </c>
      <c r="CD102" s="106">
        <v>0</v>
      </c>
      <c r="CE102" s="106">
        <v>0</v>
      </c>
      <c r="CF102" s="106">
        <v>0</v>
      </c>
      <c r="CG102" s="106">
        <v>0</v>
      </c>
      <c r="CH102" s="106">
        <v>0</v>
      </c>
      <c r="CI102" s="106">
        <v>0</v>
      </c>
      <c r="CJ102" s="106">
        <v>0</v>
      </c>
      <c r="CK102" s="106">
        <v>0</v>
      </c>
      <c r="CL102" s="106">
        <v>0</v>
      </c>
      <c r="CM102" s="106">
        <v>0</v>
      </c>
      <c r="CN102" s="106">
        <v>0</v>
      </c>
      <c r="CO102" s="106">
        <v>0</v>
      </c>
      <c r="CP102" s="106">
        <v>0</v>
      </c>
      <c r="CQ102" s="106">
        <v>0</v>
      </c>
      <c r="CR102" s="106">
        <v>0</v>
      </c>
      <c r="CS102" s="106">
        <v>0</v>
      </c>
      <c r="CT102" s="106">
        <v>0</v>
      </c>
      <c r="CU102" s="106">
        <v>0</v>
      </c>
    </row>
    <row r="103" spans="2:99" x14ac:dyDescent="0.2">
      <c r="C103" s="105" t="s">
        <v>268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  <c r="AZ103" s="106">
        <v>0</v>
      </c>
      <c r="BA103" s="106">
        <v>0</v>
      </c>
      <c r="BB103" s="106">
        <v>0</v>
      </c>
      <c r="BC103" s="106">
        <v>0</v>
      </c>
      <c r="BD103" s="106">
        <v>0</v>
      </c>
      <c r="BE103" s="106">
        <v>0</v>
      </c>
      <c r="BF103" s="106">
        <v>0</v>
      </c>
      <c r="BG103" s="106">
        <v>0</v>
      </c>
      <c r="BH103" s="106">
        <v>0</v>
      </c>
      <c r="BI103" s="106">
        <v>0</v>
      </c>
      <c r="BJ103" s="106">
        <v>0</v>
      </c>
      <c r="BK103" s="106">
        <v>0</v>
      </c>
      <c r="BL103" s="106">
        <v>0</v>
      </c>
      <c r="BM103" s="106">
        <v>0</v>
      </c>
      <c r="BN103" s="106">
        <v>0</v>
      </c>
      <c r="BO103" s="106">
        <v>0</v>
      </c>
      <c r="BP103" s="106">
        <v>0</v>
      </c>
      <c r="BQ103" s="106">
        <v>0</v>
      </c>
      <c r="BR103" s="106">
        <v>0</v>
      </c>
      <c r="BS103" s="106">
        <v>0</v>
      </c>
      <c r="BT103" s="106">
        <v>0</v>
      </c>
      <c r="BU103" s="106">
        <v>0</v>
      </c>
      <c r="BV103" s="106">
        <v>0</v>
      </c>
      <c r="BW103" s="106">
        <v>0</v>
      </c>
      <c r="BX103" s="106">
        <v>0</v>
      </c>
      <c r="BY103" s="106">
        <v>0</v>
      </c>
      <c r="BZ103" s="106">
        <v>0</v>
      </c>
      <c r="CA103" s="106">
        <v>0</v>
      </c>
      <c r="CB103" s="106">
        <v>0</v>
      </c>
      <c r="CC103" s="106">
        <v>0</v>
      </c>
      <c r="CD103" s="106">
        <v>0</v>
      </c>
      <c r="CE103" s="106">
        <v>0</v>
      </c>
      <c r="CF103" s="106">
        <v>0</v>
      </c>
      <c r="CG103" s="106">
        <v>0</v>
      </c>
      <c r="CH103" s="106">
        <v>0</v>
      </c>
      <c r="CI103" s="106">
        <v>0</v>
      </c>
      <c r="CJ103" s="106">
        <v>0</v>
      </c>
      <c r="CK103" s="106">
        <v>0</v>
      </c>
      <c r="CL103" s="106">
        <v>0</v>
      </c>
      <c r="CM103" s="106">
        <v>0</v>
      </c>
      <c r="CN103" s="106">
        <v>0</v>
      </c>
      <c r="CO103" s="106">
        <v>0</v>
      </c>
      <c r="CP103" s="106">
        <v>0</v>
      </c>
      <c r="CQ103" s="106">
        <v>0</v>
      </c>
      <c r="CR103" s="106">
        <v>0</v>
      </c>
      <c r="CS103" s="106">
        <v>0</v>
      </c>
      <c r="CT103" s="106">
        <v>0</v>
      </c>
      <c r="CU103" s="106">
        <v>0</v>
      </c>
    </row>
    <row r="104" spans="2:99" x14ac:dyDescent="0.2">
      <c r="C104" s="105" t="s">
        <v>269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  <c r="AZ104" s="106">
        <v>0</v>
      </c>
      <c r="BA104" s="106">
        <v>0</v>
      </c>
      <c r="BB104" s="106">
        <v>0</v>
      </c>
      <c r="BC104" s="106">
        <v>0</v>
      </c>
      <c r="BD104" s="106">
        <v>0</v>
      </c>
      <c r="BE104" s="106">
        <v>0</v>
      </c>
      <c r="BF104" s="106">
        <v>0</v>
      </c>
      <c r="BG104" s="106">
        <v>0</v>
      </c>
      <c r="BH104" s="106">
        <v>0</v>
      </c>
      <c r="BI104" s="106">
        <v>0</v>
      </c>
      <c r="BJ104" s="106">
        <v>0</v>
      </c>
      <c r="BK104" s="106">
        <v>0</v>
      </c>
      <c r="BL104" s="106">
        <v>0</v>
      </c>
      <c r="BM104" s="106">
        <v>0</v>
      </c>
      <c r="BN104" s="106">
        <v>0</v>
      </c>
      <c r="BO104" s="106">
        <v>0</v>
      </c>
      <c r="BP104" s="106">
        <v>0</v>
      </c>
      <c r="BQ104" s="106">
        <v>0</v>
      </c>
      <c r="BR104" s="106">
        <v>0</v>
      </c>
      <c r="BS104" s="106">
        <v>0</v>
      </c>
      <c r="BT104" s="106">
        <v>0</v>
      </c>
      <c r="BU104" s="106">
        <v>0</v>
      </c>
      <c r="BV104" s="106">
        <v>0</v>
      </c>
      <c r="BW104" s="106">
        <v>0</v>
      </c>
      <c r="BX104" s="106">
        <v>0</v>
      </c>
      <c r="BY104" s="106">
        <v>0</v>
      </c>
      <c r="BZ104" s="106">
        <v>0</v>
      </c>
      <c r="CA104" s="106">
        <v>0</v>
      </c>
      <c r="CB104" s="106">
        <v>0</v>
      </c>
      <c r="CC104" s="106">
        <v>0</v>
      </c>
      <c r="CD104" s="106">
        <v>0</v>
      </c>
      <c r="CE104" s="106">
        <v>0</v>
      </c>
      <c r="CF104" s="106">
        <v>0</v>
      </c>
      <c r="CG104" s="106">
        <v>0</v>
      </c>
      <c r="CH104" s="106">
        <v>0</v>
      </c>
      <c r="CI104" s="106">
        <v>0</v>
      </c>
      <c r="CJ104" s="106">
        <v>0</v>
      </c>
      <c r="CK104" s="106">
        <v>0</v>
      </c>
      <c r="CL104" s="106">
        <v>0</v>
      </c>
      <c r="CM104" s="106">
        <v>0</v>
      </c>
      <c r="CN104" s="106">
        <v>0</v>
      </c>
      <c r="CO104" s="106">
        <v>0</v>
      </c>
      <c r="CP104" s="106">
        <v>0</v>
      </c>
      <c r="CQ104" s="106">
        <v>0</v>
      </c>
      <c r="CR104" s="106">
        <v>0</v>
      </c>
      <c r="CS104" s="106">
        <v>0</v>
      </c>
      <c r="CT104" s="106">
        <v>0</v>
      </c>
      <c r="CU104" s="106">
        <v>0</v>
      </c>
    </row>
    <row r="105" spans="2:99" x14ac:dyDescent="0.2">
      <c r="C105" s="105" t="s">
        <v>270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  <c r="AZ105" s="106">
        <v>0</v>
      </c>
      <c r="BA105" s="106">
        <v>0</v>
      </c>
      <c r="BB105" s="106">
        <v>0</v>
      </c>
      <c r="BC105" s="106">
        <v>0</v>
      </c>
      <c r="BD105" s="106">
        <v>0</v>
      </c>
      <c r="BE105" s="106">
        <v>0</v>
      </c>
      <c r="BF105" s="106">
        <v>0</v>
      </c>
      <c r="BG105" s="106">
        <v>0</v>
      </c>
      <c r="BH105" s="106">
        <v>0</v>
      </c>
      <c r="BI105" s="106">
        <v>0</v>
      </c>
      <c r="BJ105" s="106">
        <v>0</v>
      </c>
      <c r="BK105" s="106">
        <v>0</v>
      </c>
      <c r="BL105" s="106">
        <v>0</v>
      </c>
      <c r="BM105" s="106">
        <v>0</v>
      </c>
      <c r="BN105" s="106">
        <v>0</v>
      </c>
      <c r="BO105" s="106">
        <v>0</v>
      </c>
      <c r="BP105" s="106">
        <v>0</v>
      </c>
      <c r="BQ105" s="106">
        <v>0</v>
      </c>
      <c r="BR105" s="106">
        <v>0</v>
      </c>
      <c r="BS105" s="106">
        <v>0</v>
      </c>
      <c r="BT105" s="106">
        <v>0</v>
      </c>
      <c r="BU105" s="106">
        <v>0</v>
      </c>
      <c r="BV105" s="106">
        <v>0</v>
      </c>
      <c r="BW105" s="106">
        <v>0</v>
      </c>
      <c r="BX105" s="106">
        <v>0</v>
      </c>
      <c r="BY105" s="106">
        <v>0</v>
      </c>
      <c r="BZ105" s="106">
        <v>0</v>
      </c>
      <c r="CA105" s="106">
        <v>0</v>
      </c>
      <c r="CB105" s="106">
        <v>0</v>
      </c>
      <c r="CC105" s="106">
        <v>0</v>
      </c>
      <c r="CD105" s="106">
        <v>0</v>
      </c>
      <c r="CE105" s="106">
        <v>0</v>
      </c>
      <c r="CF105" s="106">
        <v>0</v>
      </c>
      <c r="CG105" s="106">
        <v>0</v>
      </c>
      <c r="CH105" s="106">
        <v>0</v>
      </c>
      <c r="CI105" s="106">
        <v>0</v>
      </c>
      <c r="CJ105" s="106">
        <v>0</v>
      </c>
      <c r="CK105" s="106">
        <v>0</v>
      </c>
      <c r="CL105" s="106">
        <v>0</v>
      </c>
      <c r="CM105" s="106">
        <v>0</v>
      </c>
      <c r="CN105" s="106">
        <v>0</v>
      </c>
      <c r="CO105" s="106">
        <v>0</v>
      </c>
      <c r="CP105" s="106">
        <v>0</v>
      </c>
      <c r="CQ105" s="106">
        <v>0</v>
      </c>
      <c r="CR105" s="106">
        <v>0</v>
      </c>
      <c r="CS105" s="106">
        <v>0</v>
      </c>
      <c r="CT105" s="106">
        <v>0</v>
      </c>
      <c r="CU105" s="106">
        <v>0</v>
      </c>
    </row>
    <row r="107" spans="2:99" x14ac:dyDescent="0.2">
      <c r="B107" s="110" t="s">
        <v>275</v>
      </c>
    </row>
    <row r="108" spans="2:99" x14ac:dyDescent="0.2">
      <c r="C108" s="105" t="s">
        <v>276</v>
      </c>
      <c r="D108" s="105" t="s">
        <v>92</v>
      </c>
      <c r="E108" s="105" t="s">
        <v>93</v>
      </c>
      <c r="F108" s="105" t="s">
        <v>94</v>
      </c>
      <c r="G108" s="105" t="s">
        <v>95</v>
      </c>
      <c r="H108" s="105" t="s">
        <v>96</v>
      </c>
      <c r="I108" s="105" t="s">
        <v>97</v>
      </c>
      <c r="J108" s="105" t="s">
        <v>98</v>
      </c>
      <c r="K108" s="105" t="s">
        <v>99</v>
      </c>
      <c r="L108" s="105" t="s">
        <v>100</v>
      </c>
      <c r="M108" s="105" t="s">
        <v>101</v>
      </c>
      <c r="N108" s="105" t="s">
        <v>102</v>
      </c>
      <c r="O108" s="105" t="s">
        <v>103</v>
      </c>
    </row>
    <row r="109" spans="2:99" x14ac:dyDescent="0.2">
      <c r="C109" s="105" t="s">
        <v>126</v>
      </c>
      <c r="D109" s="106">
        <f>SUM(D$6:D$19)+SUM(F$6:F$19)+SUM(H$6:H$19)+SUM(J$6:J$19)</f>
        <v>0</v>
      </c>
      <c r="E109" s="106">
        <f>SUM(L$6:L$19)+SUM(N$6:N$19)+SUM(P$6:P$19)+SUM(R$6:R$19)</f>
        <v>0</v>
      </c>
      <c r="F109" s="106">
        <f>SUM(T$6:T$19)+SUM(V$6:V$19)+SUM(X$6:X$19)+SUM(Z$6:Z$19)</f>
        <v>0</v>
      </c>
      <c r="G109" s="106">
        <f>SUM(AB$6:AB$19)+SUM(AD$6:AD$19)+SUM(AF$6:AF$19)+SUM(AH$6:AH$19)</f>
        <v>0</v>
      </c>
      <c r="H109" s="106">
        <f>SUM(AJ$6:AJ$19)+SUM(AL$6:AL$19)+SUM(AN$6:AN$19)+SUM(AP$6:AP$19)</f>
        <v>0</v>
      </c>
      <c r="I109" s="106">
        <f>SUM(AR$6:AR$19)+SUM(AT$6:AT$19)+SUM(AV$6:AV$19)+SUM(AX$6:AX$19)</f>
        <v>0</v>
      </c>
      <c r="J109" s="106">
        <f>SUM(AZ$6:AZ$19)+SUM(BB$6:BB$19)+SUM(BD$6:BD$19)+SUM(BF$6:BF$19)</f>
        <v>0</v>
      </c>
      <c r="K109" s="106">
        <f>SUM(BH$6:BH$19)+SUM(BJ$6:BJ$19)+SUM(BL$6:BL$19)+SUM(BN$6:BN$19)</f>
        <v>0</v>
      </c>
      <c r="L109" s="106">
        <f>SUM(BP$6:BP$19)+SUM(BR$6:BR$19)+SUM(BT$6:BT$19)+SUM(BV$6:BV$19)</f>
        <v>0</v>
      </c>
      <c r="M109" s="106">
        <f>SUM(BX$6:BX$19)+SUM(BZ$6:BZ$19)+SUM(CB$6:CB$19)+SUM(CD$6:CD$19)</f>
        <v>0</v>
      </c>
      <c r="N109" s="106">
        <f>SUM(CF$6:CF$19)+SUM(CH$6:CH$19)+SUM(CJ$6:CJ$19)+SUM(CL$6:CL$19)</f>
        <v>0</v>
      </c>
      <c r="O109" s="106">
        <f>SUM(CN$6:CN$19)+SUM(CP$6:CP$19)+SUM(CR$6:CR$19)+SUM(CT$6:CT$19)</f>
        <v>0</v>
      </c>
    </row>
    <row r="110" spans="2:99" x14ac:dyDescent="0.2">
      <c r="C110" s="105" t="s">
        <v>127</v>
      </c>
      <c r="D110" s="106">
        <f>SUM(D$20:D$36)+SUM(F$20:F$36)+SUM(H$20:H$36)+SUM(J$20:J$36)</f>
        <v>0</v>
      </c>
      <c r="E110" s="106">
        <f>SUM(L$20:L$36)+SUM(N$20:N$36)+SUM(P$20:P$36)+SUM(R$20:R$36)</f>
        <v>0</v>
      </c>
      <c r="F110" s="106">
        <f>SUM(T$20:T$36)+SUM(V$20:V$36)+SUM(X$20:X$36)+SUM(Z$20:Z$36)</f>
        <v>0</v>
      </c>
      <c r="G110" s="106">
        <f>SUM(AB$20:AB$36)+SUM(AD$20:AD$36)+SUM(AF$20:AF$36)+SUM(AH$20:AH$36)</f>
        <v>0</v>
      </c>
      <c r="H110" s="106">
        <f>SUM(AJ$20:AJ$36)+SUM(AL$20:AL$36)+SUM(AN$20:AN$36)+SUM(AP$20:AP$36)</f>
        <v>0</v>
      </c>
      <c r="I110" s="106">
        <f>SUM(AR$20:AR$36)+SUM(AT$20:AT$36)+SUM(AV$20:AV$36)+SUM(AX$20:AX$36)</f>
        <v>0</v>
      </c>
      <c r="J110" s="106">
        <f>SUM(AZ$20:AZ$36)+SUM(BB$20:BB$36)+SUM(BD$20:BD$36)+SUM(BF$20:BF$36)</f>
        <v>0</v>
      </c>
      <c r="K110" s="106">
        <f>SUM(BH$20:BH$36)+SUM(BJ$20:BJ$36)+SUM(BL$20:BL$36)+SUM(BN$20:BN$36)</f>
        <v>0</v>
      </c>
      <c r="L110" s="106">
        <f>SUM(BP$20:BP$36)+SUM(BR$20:BR$36)+SUM(BT$20:BT$36)+SUM(BV$20:BV$36)</f>
        <v>0</v>
      </c>
      <c r="M110" s="106">
        <f>SUM(BX$20:BX$36)+SUM(BZ$20:BZ$36)+SUM(CB$20:CB$36)+SUM(CD$20:CD$36)</f>
        <v>0</v>
      </c>
      <c r="N110" s="106">
        <f>SUM(CF$20:CF$36)+SUM(CH$20:CH$36)+SUM(CJ$20:CJ$36)+SUM(CL$20:CL$36)</f>
        <v>0</v>
      </c>
      <c r="O110" s="106">
        <f>SUM(CN$20:CN$36)+SUM(CP$20:CP$36)+SUM(CR$20:CR$36)+SUM(CT$20:CT$36)</f>
        <v>0</v>
      </c>
    </row>
    <row r="111" spans="2:99" x14ac:dyDescent="0.2">
      <c r="C111" s="105" t="s">
        <v>128</v>
      </c>
      <c r="D111" s="106">
        <f>SUM(D$37:D$48)+SUM(F$37:F$48)+SUM(H$37:H$48)+SUM(J$37:J$48)</f>
        <v>0</v>
      </c>
      <c r="E111" s="106">
        <f>SUM(L$37:L$48)+SUM(N$37:N$48)+SUM(P$37:P$48)+SUM(R$37:R$48)</f>
        <v>0</v>
      </c>
      <c r="F111" s="106">
        <f>SUM(T$37:T$48)+SUM(V$37:V$48)+SUM(X$37:X$48)+SUM(Z$37:Z$48)</f>
        <v>0</v>
      </c>
      <c r="G111" s="106">
        <f>SUM(AB$37:AB$48)+SUM(AD$37:AD$48)+SUM(AF$37:AF$48)+SUM(AH$37:AH$48)</f>
        <v>0</v>
      </c>
      <c r="H111" s="106">
        <f>SUM(AJ$37:AJ$48)+SUM(AL$37:AL$48)+SUM(AN$37:AN$48)+SUM(AP$37:AP$48)</f>
        <v>0</v>
      </c>
      <c r="I111" s="106">
        <f>SUM(AR$37:AR$48)+SUM(AT$37:AT$48)+SUM(AV$37:AV$48)+SUM(AX$37:AX$48)</f>
        <v>0</v>
      </c>
      <c r="J111" s="106">
        <f>SUM(AZ$37:AZ$48)+SUM(BB$37:BB$48)+SUM(BD$37:BD$48)+SUM(BF$37:BF$48)</f>
        <v>0</v>
      </c>
      <c r="K111" s="106">
        <f>SUM(BH$37:BH$48)+SUM(BJ$37:BJ$48)+SUM(BL$37:BL$48)+SUM(BN$37:BN$48)</f>
        <v>0</v>
      </c>
      <c r="L111" s="106">
        <f>SUM(BP$37:BP$48)+SUM(BR$37:BR$48)+SUM(BT$37:BT$48)+SUM(BV$37:BV$48)</f>
        <v>0</v>
      </c>
      <c r="M111" s="106">
        <f>SUM(BX$37:BX$48)+SUM(BZ$37:BZ$48)+SUM(CB$37:CB$48)+SUM(CD$37:CD$48)</f>
        <v>0</v>
      </c>
      <c r="N111" s="106">
        <f>SUM(CF$37:CF$48)+SUM(CH$37:CH$48)+SUM(CJ$37:CJ$48)+SUM(CL$37:CL$48)</f>
        <v>0</v>
      </c>
      <c r="O111" s="106">
        <f>SUM(CN$37:CN$48)+SUM(CP$37:CP$48)+SUM(CR$37:CR$48)+SUM(CT$37:CT$48)</f>
        <v>0</v>
      </c>
    </row>
    <row r="112" spans="2:99" x14ac:dyDescent="0.2">
      <c r="C112" s="105" t="s">
        <v>129</v>
      </c>
      <c r="D112" s="106">
        <f>SUM(D$49:D$70)+SUM(F$49:F$70)+SUM(H$49:H$70)+SUM(J$49:J$70)</f>
        <v>0</v>
      </c>
      <c r="E112" s="106">
        <f>SUM(L$49:L$70)+SUM(N$49:N$70)+SUM(P$49:P$70)+SUM(R$49:R$70)</f>
        <v>0</v>
      </c>
      <c r="F112" s="106">
        <f>SUM(T$49:T$70)+SUM(V$49:V$70)+SUM(X$49:X$70)+SUM(Z$49:Z$70)</f>
        <v>0</v>
      </c>
      <c r="G112" s="106">
        <f>SUM(AB$49:AB$70)+SUM(AD$49:AD$70)+SUM(AF$49:AF$70)+SUM(AH$49:AH$70)</f>
        <v>0</v>
      </c>
      <c r="H112" s="106">
        <f>SUM(AJ$49:AJ$70)+SUM(AL$49:AL$70)+SUM(AN$49:AN$70)+SUM(AP$49:AP$70)</f>
        <v>0</v>
      </c>
      <c r="I112" s="106">
        <f>SUM(AR$49:AR$70)+SUM(AT$49:AT$70)+SUM(AV$49:AV$70)+SUM(AX$49:AX$70)</f>
        <v>0</v>
      </c>
      <c r="J112" s="106">
        <f>SUM(AZ$49:AZ$70)+SUM(BB$49:BB$70)+SUM(BD$49:BD$70)+SUM(BF$49:BF$70)</f>
        <v>0</v>
      </c>
      <c r="K112" s="106">
        <f>SUM(BH$49:BH$70)+SUM(BJ$49:BJ$70)+SUM(BL$49:BL$70)+SUM(BN$49:BN$70)</f>
        <v>0</v>
      </c>
      <c r="L112" s="106">
        <f>SUM(BP$49:BP$70)+SUM(BR$49:BR$70)+SUM(BT$49:BT$70)+SUM(BV$49:BV$70)</f>
        <v>0</v>
      </c>
      <c r="M112" s="106">
        <f>SUM(BX$49:BX$70)+SUM(BZ$49:BZ$70)+SUM(CB$49:CB$70)+SUM(CD$49:CD$70)</f>
        <v>0</v>
      </c>
      <c r="N112" s="106">
        <f>SUM(CF$49:CF$70)+SUM(CH$49:CH$70)+SUM(CJ$49:CJ$70)+SUM(CL$49:CL$70)</f>
        <v>0</v>
      </c>
      <c r="O112" s="106">
        <f>SUM(CN$49:CN$70)+SUM(CP$49:CP$70)+SUM(CR$49:CR$70)+SUM(CT$49:CT$70)</f>
        <v>0</v>
      </c>
    </row>
    <row r="113" spans="2:15" x14ac:dyDescent="0.2">
      <c r="C113" s="105" t="s">
        <v>130</v>
      </c>
      <c r="D113" s="106">
        <f>SUM(D$71:D$86)+SUM(F$71:F$86)+SUM(H$71:H$86)+SUM(J$71:J$86)</f>
        <v>0</v>
      </c>
      <c r="E113" s="106">
        <f>SUM(L$71:L$86)+SUM(N$71:N$86)+SUM(P$71:P$86)+SUM(R$71:R$86)</f>
        <v>0</v>
      </c>
      <c r="F113" s="106">
        <f>SUM(T$71:T$86)+SUM(V$71:V$86)+SUM(X$71:X$86)+SUM(Z$71:Z$86)</f>
        <v>0</v>
      </c>
      <c r="G113" s="106">
        <f>SUM(AB$71:AB$86)+SUM(AD$71:AD$86)+SUM(AF$71:AF$86)+SUM(AH$71:AH$86)</f>
        <v>0</v>
      </c>
      <c r="H113" s="106">
        <f>SUM(AJ$71:AJ$86)+SUM(AL$71:AL$86)+SUM(AN$71:AN$86)+SUM(AP$71:AP$86)</f>
        <v>0</v>
      </c>
      <c r="I113" s="106">
        <f>SUM(AR$71:AR$86)+SUM(AT$71:AT$86)+SUM(AV$71:AV$86)+SUM(AX$71:AX$86)</f>
        <v>0</v>
      </c>
      <c r="J113" s="106">
        <f>SUM(AZ$71:AZ$86)+SUM(BB$71:BB$86)+SUM(BD$71:BD$86)+SUM(BF$71:BF$86)</f>
        <v>0</v>
      </c>
      <c r="K113" s="106">
        <f>SUM(BH$71:BH$86)+SUM(BJ$71:BJ$86)+SUM(BL$71:BL$86)+SUM(BN$71:BN$86)</f>
        <v>0</v>
      </c>
      <c r="L113" s="106">
        <f>SUM(BP$71:BP$86)+SUM(BR$71:BR$86)+SUM(BT$71:BT$86)+SUM(BV$71:BV$86)</f>
        <v>0</v>
      </c>
      <c r="M113" s="106">
        <f>SUM(BX$71:BX$86)+SUM(BZ$71:BZ$86)+SUM(CB$71:CB$86)+SUM(CD$71:CD$86)</f>
        <v>0</v>
      </c>
      <c r="N113" s="106">
        <f>SUM(CF$71:CF$86)+SUM(CH$71:CH$86)+SUM(CJ$71:CJ$86)+SUM(CL$71:CL$86)</f>
        <v>0</v>
      </c>
      <c r="O113" s="106">
        <f>SUM(CN$71:CN$86)+SUM(CP$71:CP$86)+SUM(CR$71:CR$86)+SUM(CT$71:CT$86)</f>
        <v>0</v>
      </c>
    </row>
    <row r="114" spans="2:15" x14ac:dyDescent="0.2">
      <c r="C114" s="105" t="s">
        <v>131</v>
      </c>
      <c r="D114" s="106">
        <f>SUM(D$87:D$94)+SUM(F$87:F$94)+SUM(H$87:H$94)+SUM(J$87:J$94)</f>
        <v>0</v>
      </c>
      <c r="E114" s="106">
        <f>SUM(L$87:L$94)+SUM(N$87:N$94)+SUM(P$87:P$94)+SUM(R$87:R$94)</f>
        <v>0</v>
      </c>
      <c r="F114" s="106">
        <f>SUM(T$87:T$94)+SUM(V$87:V$94)+SUM(X$87:X$94)+SUM(Z$87:Z$94)</f>
        <v>0</v>
      </c>
      <c r="G114" s="106">
        <f>SUM(AB$87:AB$94)+SUM(AD$87:AD$94)+SUM(AF$87:AF$94)+SUM(AH$87:AH$94)</f>
        <v>0</v>
      </c>
      <c r="H114" s="106">
        <f>SUM(AJ$87:AJ$94)+SUM(AL$87:AL$94)+SUM(AN$87:AN$94)+SUM(AP$87:AP$94)</f>
        <v>0</v>
      </c>
      <c r="I114" s="106">
        <f>SUM(AR$87:AR$94)+SUM(AT$87:AT$94)+SUM(AV$87:AV$94)+SUM(AX$87:AX$94)</f>
        <v>0</v>
      </c>
      <c r="J114" s="106">
        <f>SUM(AZ$87:AZ$94)+SUM(BB$87:BB$94)+SUM(BD$87:BD$94)+SUM(BF$87:BF$94)</f>
        <v>0</v>
      </c>
      <c r="K114" s="106">
        <f>SUM(BH$87:BH$94)+SUM(BJ$87:BJ$94)+SUM(BL$87:BL$94)+SUM(BN$87:BN$94)</f>
        <v>0</v>
      </c>
      <c r="L114" s="106">
        <f>SUM(BP$87:BP$94)+SUM(BR$87:BR$94)+SUM(BT$87:BT$94)+SUM(BV$87:BV$94)</f>
        <v>0</v>
      </c>
      <c r="M114" s="106">
        <f>SUM(BX$87:BX$94)+SUM(BZ$87:BZ$94)+SUM(CB$87:CB$94)+SUM(CD$87:CD$94)</f>
        <v>0</v>
      </c>
      <c r="N114" s="106">
        <f>SUM(CF$87:CF$94)+SUM(CH$87:CH$94)+SUM(CJ$87:CJ$94)+SUM(CL$87:CL$94)</f>
        <v>0</v>
      </c>
      <c r="O114" s="106">
        <f>SUM(CN$87:CN$94)+SUM(CP$87:CP$94)+SUM(CR$87:CR$94)+SUM(CT$87:CT$94)</f>
        <v>0</v>
      </c>
    </row>
    <row r="115" spans="2:15" x14ac:dyDescent="0.2">
      <c r="C115" s="105" t="s">
        <v>132</v>
      </c>
      <c r="D115" s="106">
        <f>SUM(D$95:D$105)+SUM(F$95:F$105)+SUM(H$95:H$105)+SUM(J$95:J$105)</f>
        <v>0</v>
      </c>
      <c r="E115" s="106">
        <f>SUM(L$95:L$105)+SUM(N$95:N$105)+SUM(P$95:P$105)+SUM(R$95:R$105)</f>
        <v>0</v>
      </c>
      <c r="F115" s="106">
        <f>SUM(T$95:T$105)+SUM(V$95:V$105)+SUM(X$95:X$105)+SUM(Z$95:Z$105)</f>
        <v>0</v>
      </c>
      <c r="G115" s="106">
        <f>SUM(AB$95:AB$105)+SUM(AD$95:AD$105)+SUM(AF$95:AF$105)+SUM(AH$95:AH$105)</f>
        <v>0</v>
      </c>
      <c r="H115" s="106">
        <f>SUM(AJ$95:AJ$105)+SUM(AL$95:AL$105)+SUM(AN$95:AN$105)+SUM(AP$95:AP$105)</f>
        <v>0</v>
      </c>
      <c r="I115" s="106">
        <f>SUM(AR$95:AR$105)+SUM(AT$95:AT$105)+SUM(AV$95:AV$105)+SUM(AX$95:AX$105)</f>
        <v>0</v>
      </c>
      <c r="J115" s="106">
        <f>SUM(AZ$95:AZ$105)+SUM(BB$95:BB$105)+SUM(BD$95:BD$105)+SUM(BF$95:BF$105)</f>
        <v>0</v>
      </c>
      <c r="K115" s="106">
        <f>SUM(BH$95:BH$105)+SUM(BJ$95:BJ$105)+SUM(BL$95:BL$105)+SUM(BN$95:BN$105)</f>
        <v>0</v>
      </c>
      <c r="L115" s="106">
        <f>SUM(BP$95:BP$105)+SUM(BR$95:BR$105)+SUM(BT$95:BT$105)+SUM(BV$95:BV$105)</f>
        <v>0</v>
      </c>
      <c r="M115" s="106">
        <f>SUM(BX$95:BX$105)+SUM(BZ$95:BZ$105)+SUM(CB$95:CB$105)+SUM(CD$95:CD$105)</f>
        <v>0</v>
      </c>
      <c r="N115" s="106">
        <f>SUM(CF$95:CF$105)+SUM(CH$95:CH$105)+SUM(CJ$95:CJ$105)+SUM(CL$95:CL$105)</f>
        <v>0</v>
      </c>
      <c r="O115" s="106">
        <f>SUM(CN$95:CN$105)+SUM(CP$95:CP$105)+SUM(CR$95:CR$105)+SUM(CT$95:CT$105)</f>
        <v>0</v>
      </c>
    </row>
    <row r="116" spans="2:15" x14ac:dyDescent="0.2">
      <c r="C116" s="105" t="s">
        <v>277</v>
      </c>
      <c r="D116" s="106">
        <f t="shared" ref="D116:O116" si="0">SUM(D$109:D$115)</f>
        <v>0</v>
      </c>
      <c r="E116" s="106">
        <f t="shared" si="0"/>
        <v>0</v>
      </c>
      <c r="F116" s="106">
        <f t="shared" si="0"/>
        <v>0</v>
      </c>
      <c r="G116" s="106">
        <f t="shared" si="0"/>
        <v>0</v>
      </c>
      <c r="H116" s="106">
        <f t="shared" si="0"/>
        <v>0</v>
      </c>
      <c r="I116" s="106">
        <f t="shared" si="0"/>
        <v>0</v>
      </c>
      <c r="J116" s="106">
        <f t="shared" si="0"/>
        <v>0</v>
      </c>
      <c r="K116" s="106">
        <f t="shared" si="0"/>
        <v>0</v>
      </c>
      <c r="L116" s="106">
        <f t="shared" si="0"/>
        <v>0</v>
      </c>
      <c r="M116" s="106">
        <f t="shared" si="0"/>
        <v>0</v>
      </c>
      <c r="N116" s="106">
        <f t="shared" si="0"/>
        <v>0</v>
      </c>
      <c r="O116" s="106">
        <f t="shared" si="0"/>
        <v>0</v>
      </c>
    </row>
    <row r="118" spans="2:15" x14ac:dyDescent="0.2">
      <c r="B118" s="109" t="s">
        <v>278</v>
      </c>
    </row>
    <row r="119" spans="2:15" x14ac:dyDescent="0.2">
      <c r="C119" s="105" t="s">
        <v>276</v>
      </c>
      <c r="D119" s="105" t="s">
        <v>92</v>
      </c>
      <c r="E119" s="105" t="s">
        <v>93</v>
      </c>
      <c r="F119" s="105" t="s">
        <v>94</v>
      </c>
      <c r="G119" s="105" t="s">
        <v>95</v>
      </c>
      <c r="H119" s="105" t="s">
        <v>96</v>
      </c>
      <c r="I119" s="105" t="s">
        <v>97</v>
      </c>
      <c r="J119" s="105" t="s">
        <v>98</v>
      </c>
      <c r="K119" s="105" t="s">
        <v>99</v>
      </c>
      <c r="L119" s="105" t="s">
        <v>100</v>
      </c>
      <c r="M119" s="105" t="s">
        <v>101</v>
      </c>
      <c r="N119" s="105" t="s">
        <v>102</v>
      </c>
      <c r="O119" s="105" t="s">
        <v>103</v>
      </c>
    </row>
    <row r="120" spans="2:15" x14ac:dyDescent="0.2">
      <c r="C120" s="105" t="s">
        <v>126</v>
      </c>
      <c r="D120" s="106">
        <f>D109*pricing!D33*2000</f>
        <v>0</v>
      </c>
      <c r="E120" s="106">
        <f>E109*pricing!E33*2000</f>
        <v>0</v>
      </c>
      <c r="F120" s="106">
        <f>F109*pricing!F33*2000</f>
        <v>0</v>
      </c>
      <c r="G120" s="106">
        <f>G109*pricing!G33*2000</f>
        <v>0</v>
      </c>
      <c r="H120" s="106">
        <f>H109*pricing!H33*2000</f>
        <v>0</v>
      </c>
      <c r="I120" s="106">
        <f>I109*pricing!I33*2000</f>
        <v>0</v>
      </c>
      <c r="J120" s="106">
        <f>J109*pricing!J33*2000</f>
        <v>0</v>
      </c>
      <c r="K120" s="106">
        <f>K109*pricing!K33*2000</f>
        <v>0</v>
      </c>
      <c r="L120" s="106">
        <f>L109*pricing!L33*2000</f>
        <v>0</v>
      </c>
      <c r="M120" s="106">
        <f>M109*pricing!M33*2000</f>
        <v>0</v>
      </c>
      <c r="N120" s="106">
        <f>N109*pricing!N33*2000</f>
        <v>0</v>
      </c>
      <c r="O120" s="106">
        <f>O109*pricing!O33*2000</f>
        <v>0</v>
      </c>
    </row>
    <row r="121" spans="2:15" x14ac:dyDescent="0.2">
      <c r="C121" s="105" t="s">
        <v>127</v>
      </c>
      <c r="D121" s="106">
        <f>D110*pricing!D34*2000</f>
        <v>0</v>
      </c>
      <c r="E121" s="106">
        <f>E110*pricing!E34*2000</f>
        <v>0</v>
      </c>
      <c r="F121" s="106">
        <f>F110*pricing!F34*2000</f>
        <v>0</v>
      </c>
      <c r="G121" s="106">
        <f>G110*pricing!G34*2000</f>
        <v>0</v>
      </c>
      <c r="H121" s="106">
        <f>H110*pricing!H34*2000</f>
        <v>0</v>
      </c>
      <c r="I121" s="106">
        <f>I110*pricing!I34*2000</f>
        <v>0</v>
      </c>
      <c r="J121" s="106">
        <f>J110*pricing!J34*2000</f>
        <v>0</v>
      </c>
      <c r="K121" s="106">
        <f>K110*pricing!K34*2000</f>
        <v>0</v>
      </c>
      <c r="L121" s="106">
        <f>L110*pricing!L34*2000</f>
        <v>0</v>
      </c>
      <c r="M121" s="106">
        <f>M110*pricing!M34*2000</f>
        <v>0</v>
      </c>
      <c r="N121" s="106">
        <f>N110*pricing!N34*2000</f>
        <v>0</v>
      </c>
      <c r="O121" s="106">
        <f>O110*pricing!O34*2000</f>
        <v>0</v>
      </c>
    </row>
    <row r="122" spans="2:15" x14ac:dyDescent="0.2">
      <c r="C122" s="105" t="s">
        <v>128</v>
      </c>
      <c r="D122" s="106">
        <f>D111*pricing!D35*2000</f>
        <v>0</v>
      </c>
      <c r="E122" s="106">
        <f>E111*pricing!E35*2000</f>
        <v>0</v>
      </c>
      <c r="F122" s="106">
        <f>F111*pricing!F35*2000</f>
        <v>0</v>
      </c>
      <c r="G122" s="106">
        <f>G111*pricing!G35*2000</f>
        <v>0</v>
      </c>
      <c r="H122" s="106">
        <f>H111*pricing!H35*2000</f>
        <v>0</v>
      </c>
      <c r="I122" s="106">
        <f>I111*pricing!I35*2000</f>
        <v>0</v>
      </c>
      <c r="J122" s="106">
        <f>J111*pricing!J35*2000</f>
        <v>0</v>
      </c>
      <c r="K122" s="106">
        <f>K111*pricing!K35*2000</f>
        <v>0</v>
      </c>
      <c r="L122" s="106">
        <f>L111*pricing!L35*2000</f>
        <v>0</v>
      </c>
      <c r="M122" s="106">
        <f>M111*pricing!M35*2000</f>
        <v>0</v>
      </c>
      <c r="N122" s="106">
        <f>N111*pricing!N35*2000</f>
        <v>0</v>
      </c>
      <c r="O122" s="106">
        <f>O111*pricing!O35*2000</f>
        <v>0</v>
      </c>
    </row>
    <row r="123" spans="2:15" x14ac:dyDescent="0.2">
      <c r="C123" s="105" t="s">
        <v>129</v>
      </c>
      <c r="D123" s="106">
        <f>D112*pricing!D36*2000</f>
        <v>0</v>
      </c>
      <c r="E123" s="106">
        <f>E112*pricing!E36*2000</f>
        <v>0</v>
      </c>
      <c r="F123" s="106">
        <f>F112*pricing!F36*2000</f>
        <v>0</v>
      </c>
      <c r="G123" s="106">
        <f>G112*pricing!G36*2000</f>
        <v>0</v>
      </c>
      <c r="H123" s="106">
        <f>H112*pricing!H36*2000</f>
        <v>0</v>
      </c>
      <c r="I123" s="106">
        <f>I112*pricing!I36*2000</f>
        <v>0</v>
      </c>
      <c r="J123" s="106">
        <f>J112*pricing!J36*2000</f>
        <v>0</v>
      </c>
      <c r="K123" s="106">
        <f>K112*pricing!K36*2000</f>
        <v>0</v>
      </c>
      <c r="L123" s="106">
        <f>L112*pricing!L36*2000</f>
        <v>0</v>
      </c>
      <c r="M123" s="106">
        <f>M112*pricing!M36*2000</f>
        <v>0</v>
      </c>
      <c r="N123" s="106">
        <f>N112*pricing!N36*2000</f>
        <v>0</v>
      </c>
      <c r="O123" s="106">
        <f>O112*pricing!O36*2000</f>
        <v>0</v>
      </c>
    </row>
    <row r="124" spans="2:15" x14ac:dyDescent="0.2">
      <c r="C124" s="105" t="s">
        <v>130</v>
      </c>
      <c r="D124" s="106">
        <f>D113*pricing!D37*2000</f>
        <v>0</v>
      </c>
      <c r="E124" s="106">
        <f>E113*pricing!E37*2000</f>
        <v>0</v>
      </c>
      <c r="F124" s="106">
        <f>F113*pricing!F37*2000</f>
        <v>0</v>
      </c>
      <c r="G124" s="106">
        <f>G113*pricing!G37*2000</f>
        <v>0</v>
      </c>
      <c r="H124" s="106">
        <f>H113*pricing!H37*2000</f>
        <v>0</v>
      </c>
      <c r="I124" s="106">
        <f>I113*pricing!I37*2000</f>
        <v>0</v>
      </c>
      <c r="J124" s="106">
        <f>J113*pricing!J37*2000</f>
        <v>0</v>
      </c>
      <c r="K124" s="106">
        <f>K113*pricing!K37*2000</f>
        <v>0</v>
      </c>
      <c r="L124" s="106">
        <f>L113*pricing!L37*2000</f>
        <v>0</v>
      </c>
      <c r="M124" s="106">
        <f>M113*pricing!M37*2000</f>
        <v>0</v>
      </c>
      <c r="N124" s="106">
        <f>N113*pricing!N37*2000</f>
        <v>0</v>
      </c>
      <c r="O124" s="106">
        <f>O113*pricing!O37*2000</f>
        <v>0</v>
      </c>
    </row>
    <row r="125" spans="2:15" x14ac:dyDescent="0.2">
      <c r="C125" s="105" t="s">
        <v>131</v>
      </c>
      <c r="D125" s="106">
        <f>D114*pricing!D38*2000</f>
        <v>0</v>
      </c>
      <c r="E125" s="106">
        <f>E114*pricing!E38*2000</f>
        <v>0</v>
      </c>
      <c r="F125" s="106">
        <f>F114*pricing!F38*2000</f>
        <v>0</v>
      </c>
      <c r="G125" s="106">
        <f>G114*pricing!G38*2000</f>
        <v>0</v>
      </c>
      <c r="H125" s="106">
        <f>H114*pricing!H38*2000</f>
        <v>0</v>
      </c>
      <c r="I125" s="106">
        <f>I114*pricing!I38*2000</f>
        <v>0</v>
      </c>
      <c r="J125" s="106">
        <f>J114*pricing!J38*2000</f>
        <v>0</v>
      </c>
      <c r="K125" s="106">
        <f>K114*pricing!K38*2000</f>
        <v>0</v>
      </c>
      <c r="L125" s="106">
        <f>L114*pricing!L38*2000</f>
        <v>0</v>
      </c>
      <c r="M125" s="106">
        <f>M114*pricing!M38*2000</f>
        <v>0</v>
      </c>
      <c r="N125" s="106">
        <f>N114*pricing!N38*2000</f>
        <v>0</v>
      </c>
      <c r="O125" s="106">
        <f>O114*pricing!O38*2000</f>
        <v>0</v>
      </c>
    </row>
    <row r="126" spans="2:15" x14ac:dyDescent="0.2">
      <c r="C126" s="105" t="s">
        <v>132</v>
      </c>
      <c r="D126" s="106">
        <f>D115*pricing!D39*2000</f>
        <v>0</v>
      </c>
      <c r="E126" s="106">
        <f>E115*pricing!E39*2000</f>
        <v>0</v>
      </c>
      <c r="F126" s="106">
        <f>F115*pricing!F39*2000</f>
        <v>0</v>
      </c>
      <c r="G126" s="106">
        <f>G115*pricing!G39*2000</f>
        <v>0</v>
      </c>
      <c r="H126" s="106">
        <f>H115*pricing!H39*2000</f>
        <v>0</v>
      </c>
      <c r="I126" s="106">
        <f>I115*pricing!I39*2000</f>
        <v>0</v>
      </c>
      <c r="J126" s="106">
        <f>J115*pricing!J39*2000</f>
        <v>0</v>
      </c>
      <c r="K126" s="106">
        <f>K115*pricing!K39*2000</f>
        <v>0</v>
      </c>
      <c r="L126" s="106">
        <f>L115*pricing!L39*2000</f>
        <v>0</v>
      </c>
      <c r="M126" s="106">
        <f>M115*pricing!M39*2000</f>
        <v>0</v>
      </c>
      <c r="N126" s="106">
        <f>N115*pricing!N39*2000</f>
        <v>0</v>
      </c>
      <c r="O126" s="106">
        <f>O115*pricing!O39*2000</f>
        <v>0</v>
      </c>
    </row>
    <row r="127" spans="2:15" x14ac:dyDescent="0.2">
      <c r="C127" s="105" t="s">
        <v>277</v>
      </c>
      <c r="D127" s="106">
        <f>SUM(D$120:D$126)</f>
        <v>0</v>
      </c>
      <c r="E127" s="106">
        <f t="shared" ref="E127:O127" si="1">SUM(E$120:E$126)</f>
        <v>0</v>
      </c>
      <c r="F127" s="106">
        <f t="shared" si="1"/>
        <v>0</v>
      </c>
      <c r="G127" s="106">
        <f t="shared" si="1"/>
        <v>0</v>
      </c>
      <c r="H127" s="106">
        <f t="shared" si="1"/>
        <v>0</v>
      </c>
      <c r="I127" s="106">
        <f t="shared" si="1"/>
        <v>0</v>
      </c>
      <c r="J127" s="106">
        <f t="shared" si="1"/>
        <v>0</v>
      </c>
      <c r="K127" s="106">
        <f t="shared" si="1"/>
        <v>0</v>
      </c>
      <c r="L127" s="106">
        <f t="shared" si="1"/>
        <v>0</v>
      </c>
      <c r="M127" s="106">
        <f t="shared" si="1"/>
        <v>0</v>
      </c>
      <c r="N127" s="106">
        <f t="shared" si="1"/>
        <v>0</v>
      </c>
      <c r="O127" s="106">
        <f t="shared" si="1"/>
        <v>0</v>
      </c>
    </row>
    <row r="129" spans="2:15" x14ac:dyDescent="0.2">
      <c r="B129" s="109" t="s">
        <v>279</v>
      </c>
    </row>
    <row r="130" spans="2:15" x14ac:dyDescent="0.2">
      <c r="C130" s="111" t="s">
        <v>276</v>
      </c>
      <c r="D130" s="111" t="s">
        <v>92</v>
      </c>
      <c r="E130" s="111" t="s">
        <v>93</v>
      </c>
      <c r="F130" s="111" t="s">
        <v>94</v>
      </c>
      <c r="G130" s="111" t="s">
        <v>95</v>
      </c>
      <c r="H130" s="111" t="s">
        <v>96</v>
      </c>
      <c r="I130" s="111" t="s">
        <v>97</v>
      </c>
      <c r="J130" s="111" t="s">
        <v>98</v>
      </c>
      <c r="K130" s="111" t="s">
        <v>99</v>
      </c>
      <c r="L130" s="111" t="s">
        <v>100</v>
      </c>
      <c r="M130" s="111" t="s">
        <v>101</v>
      </c>
      <c r="N130" s="111" t="s">
        <v>102</v>
      </c>
      <c r="O130" s="111" t="s">
        <v>103</v>
      </c>
    </row>
    <row r="131" spans="2:15" x14ac:dyDescent="0.2">
      <c r="C131" s="111" t="s">
        <v>126</v>
      </c>
      <c r="D131" s="112">
        <f>SUM(E$6:E$19)+SUM(G$6:G$19)+SUM(I$6:I$19)+SUM(K$6:K$19)</f>
        <v>0</v>
      </c>
      <c r="E131" s="112">
        <f>SUM(M$6:M$19)+SUM(O$6:O$19)+SUM(Q$6:Q$19)+SUM(S$6:S$19)</f>
        <v>0</v>
      </c>
      <c r="F131" s="112">
        <f>SUM(U$6:U$19)+SUM(W$6:W$19)+SUM(Y$6:Y$19)+SUM(AA$6:AA$19)</f>
        <v>0</v>
      </c>
      <c r="G131" s="112">
        <f>SUM(AC$6:AC$19)+SUM(AE$6:AE$19)+SUM(AG$6:AG$19)+SUM(AI$6:AI$19)</f>
        <v>0</v>
      </c>
      <c r="H131" s="112">
        <f>SUM(AK$6:AK$19)+SUM(AM$6:AM$19)+SUM(AO$6:AO$19)+SUM(AQ$6:AQ$19)</f>
        <v>0</v>
      </c>
      <c r="I131" s="112">
        <f>SUM(AS$6:AS$19)+SUM(AU$6:AU$19)+SUM(AW$6:AW$19)+SUM(AY$6:AY$19)</f>
        <v>0</v>
      </c>
      <c r="J131" s="112">
        <f>SUM(BA$6:BA$19)+SUM(BC$6:BC$19)+SUM(BE$6:BE$19)+SUM(BG$6:BG$19)</f>
        <v>0</v>
      </c>
      <c r="K131" s="112">
        <f>SUM(BI$6:BI$19)+SUM(BK$6:BK$19)+SUM(BM$6:BM$19)+SUM(BO$6:BO$19)</f>
        <v>0</v>
      </c>
      <c r="L131" s="112">
        <f>SUM(BQ$6:BQ$19)+SUM(BS$6:BS$19)+SUM(BU$6:BU$19)+SUM(BW$6:BW$19)</f>
        <v>0</v>
      </c>
      <c r="M131" s="112">
        <f>SUM(BY$6:BY$19)+SUM(CA$6:CA$19)+SUM(CC$6:CC$19)+SUM(CE$6:CE$19)</f>
        <v>0</v>
      </c>
      <c r="N131" s="112">
        <f>SUM(CG$6:CG$19)+SUM(CI$6:CI$19)+SUM(CK$6:CK$19)+SUM(CM$6:CM$19)</f>
        <v>0</v>
      </c>
      <c r="O131" s="112">
        <f>SUM(CO$6:CO$19)+SUM(CQ$6:CQ$19)+SUM(CS$6:CS$19)+SUM(CU$6:CU$19)</f>
        <v>0</v>
      </c>
    </row>
    <row r="132" spans="2:15" x14ac:dyDescent="0.2">
      <c r="C132" s="111" t="s">
        <v>127</v>
      </c>
      <c r="D132" s="112">
        <f>SUM(E$20:E$36)+SUM(G$20:G$36)+SUM(I$20:I$36)+SUM(K$20:K$36)</f>
        <v>0</v>
      </c>
      <c r="E132" s="112">
        <f>SUM(M$20:M$36)+SUM(O$20:O$36)+SUM(Q$20:Q$36)+SUM(S$20:S$36)</f>
        <v>0</v>
      </c>
      <c r="F132" s="112">
        <f>SUM(U$20:U$36)+SUM(W$20:W$36)+SUM(Y$20:Y$36)+SUM(AA$20:AA$36)</f>
        <v>0</v>
      </c>
      <c r="G132" s="112">
        <f>SUM(AC$20:AC$36)+SUM(AE$20:AE$36)+SUM(AG$20:AG$36)+SUM(AI$20:AI$36)</f>
        <v>0</v>
      </c>
      <c r="H132" s="112">
        <f>SUM(AK$20:AK$36)+SUM(AM$20:AM$36)+SUM(AO$20:AO$36)+SUM(AQ$20:AQ$36)</f>
        <v>0</v>
      </c>
      <c r="I132" s="112">
        <f>SUM(AS$20:AS$36)+SUM(AU$20:AU$36)+SUM(AW$20:AW$36)+SUM(AY$20:AY$36)</f>
        <v>0</v>
      </c>
      <c r="J132" s="112">
        <f>SUM(BA$20:BA$36)+SUM(BC$20:BC$36)+SUM(BE$20:BE$36)+SUM(BG$20:BG$36)</f>
        <v>0</v>
      </c>
      <c r="K132" s="112">
        <f>SUM(BI$20:BI$36)+SUM(BK$20:BK$36)+SUM(BM$20:BM$36)+SUM(BO$20:BO$36)</f>
        <v>0</v>
      </c>
      <c r="L132" s="112">
        <f>SUM(BQ$20:BQ$36)+SUM(BS$20:BS$36)+SUM(BU$20:BU$36)+SUM(BW$20:BW$36)</f>
        <v>0</v>
      </c>
      <c r="M132" s="112">
        <f>SUM(BY$20:BY$36)+SUM(CA$20:CA$36)+SUM(CC$20:CC$36)+SUM(CE$20:CE$36)</f>
        <v>0</v>
      </c>
      <c r="N132" s="112">
        <f>SUM(CG$20:CG$36)+SUM(CI$20:CI$36)+SUM(CK$20:CK$36)+SUM(CM$20:CM$36)</f>
        <v>0</v>
      </c>
      <c r="O132" s="112">
        <f>SUM(CO$20:CO$36)+SUM(CQ$20:CQ$36)+SUM(CS$20:CS$36)+SUM(CU$20:CU$36)</f>
        <v>0</v>
      </c>
    </row>
    <row r="133" spans="2:15" x14ac:dyDescent="0.2">
      <c r="C133" s="111" t="s">
        <v>128</v>
      </c>
      <c r="D133" s="112">
        <f>SUM(E$37:E$48)+SUM(G$37:G$48)+SUM(I$37:I$48)+SUM(K$37:K$48)</f>
        <v>0</v>
      </c>
      <c r="E133" s="112">
        <f>SUM(M$37:M$48)+SUM(O$37:O$48)+SUM(Q$37:Q$48)+SUM(S$37:S$48)</f>
        <v>0</v>
      </c>
      <c r="F133" s="112">
        <f>SUM(U$37:U$48)+SUM(W$37:W$48)+SUM(Y$37:Y$48)+SUM(AA$37:AA$48)</f>
        <v>0</v>
      </c>
      <c r="G133" s="112">
        <f>SUM(AC$37:AC$48)+SUM(AE$37:AE$48)+SUM(AG$37:AG$48)+SUM(AI$37:AI$48)</f>
        <v>0</v>
      </c>
      <c r="H133" s="112">
        <f>SUM(AK$37:AK$48)+SUM(AM$37:AM$48)+SUM(AO$37:AO$48)+SUM(AQ$37:AQ$48)</f>
        <v>0</v>
      </c>
      <c r="I133" s="112">
        <f>SUM(AS$37:AS$48)+SUM(AU$37:AU$48)+SUM(AW$37:AW$48)+SUM(AY$37:AY$48)</f>
        <v>0</v>
      </c>
      <c r="J133" s="112">
        <f>SUM(BA$37:BA$48)+SUM(BC$37:BC$48)+SUM(BE$37:BE$48)+SUM(BG$37:BG$48)</f>
        <v>0</v>
      </c>
      <c r="K133" s="112">
        <f>SUM(BI$37:BI$48)+SUM(BK$37:BK$48)+SUM(BM$37:BM$48)+SUM(BO$37:BO$48)</f>
        <v>0</v>
      </c>
      <c r="L133" s="112">
        <f>SUM(BQ$37:BQ$48)+SUM(BS$37:BS$48)+SUM(BU$37:BU$48)+SUM(BW$37:BW$48)</f>
        <v>0</v>
      </c>
      <c r="M133" s="112">
        <f>SUM(BY$37:BY$48)+SUM(CA$37:CA$48)+SUM(CC$37:CC$48)+SUM(CE$37:CE$48)</f>
        <v>0</v>
      </c>
      <c r="N133" s="112">
        <f>SUM(CG$37:CG$48)+SUM(CI$37:CI$48)+SUM(CK$37:CK$48)+SUM(CM$37:CM$48)</f>
        <v>0</v>
      </c>
      <c r="O133" s="112">
        <f>SUM(CO$37:CO$48)+SUM(CQ$37:CQ$48)+SUM(CS$37:CS$48)+SUM(CU$37:CU$48)</f>
        <v>0</v>
      </c>
    </row>
    <row r="134" spans="2:15" x14ac:dyDescent="0.2">
      <c r="C134" s="111" t="s">
        <v>129</v>
      </c>
      <c r="D134" s="112">
        <f>SUM(E$49:E$70)+SUM(G$49:G$70)+SUM(I$49:I$70)+SUM(K$49:K$70)</f>
        <v>0</v>
      </c>
      <c r="E134" s="112">
        <f>SUM(M$49:M$70)+SUM(O$49:O$70)+SUM(Q$49:Q$70)+SUM(S$49:S$70)</f>
        <v>0</v>
      </c>
      <c r="F134" s="112">
        <f>SUM(U$49:U$70)+SUM(W$49:W$70)+SUM(Y$49:Y$70)+SUM(AA$49:AA$70)</f>
        <v>0</v>
      </c>
      <c r="G134" s="112">
        <f>SUM(AC$49:AC$70)+SUM(AE$49:AE$70)+SUM(AG$49:AG$70)+SUM(AI$49:AI$70)</f>
        <v>0</v>
      </c>
      <c r="H134" s="112">
        <f>SUM(AK$49:AK$70)+SUM(AM$49:AM$70)+SUM(AO$49:AO$70)+SUM(AQ$49:AQ$70)</f>
        <v>0</v>
      </c>
      <c r="I134" s="112">
        <f>SUM(AS$49:AS$70)+SUM(AU$49:AU$70)+SUM(AW$49:AW$70)+SUM(AY$49:AY$70)</f>
        <v>0</v>
      </c>
      <c r="J134" s="112">
        <f>SUM(BA$49:BA$70)+SUM(BC$49:BC$70)+SUM(BE$49:BE$70)+SUM(BG$49:BG$70)</f>
        <v>0</v>
      </c>
      <c r="K134" s="112">
        <f>SUM(BI$49:BI$70)+SUM(BK$49:BK$70)+SUM(BM$49:BM$70)+SUM(BO$49:BO$70)</f>
        <v>0</v>
      </c>
      <c r="L134" s="112">
        <f>SUM(BQ$49:BQ$70)+SUM(BS$49:BS$70)+SUM(BU$49:BU$70)+SUM(BW$49:BW$70)</f>
        <v>0</v>
      </c>
      <c r="M134" s="112">
        <f>SUM(BY$49:BY$70)+SUM(CA$49:CA$70)+SUM(CC$49:CC$70)+SUM(CE$49:CE$70)</f>
        <v>0</v>
      </c>
      <c r="N134" s="112">
        <f>SUM(CG$49:CG$70)+SUM(CI$49:CI$70)+SUM(CK$49:CK$70)+SUM(CM$49:CM$70)</f>
        <v>0</v>
      </c>
      <c r="O134" s="112">
        <f>SUM(CO$49:CO$70)+SUM(CQ$49:CQ$70)+SUM(CS$49:CS$70)+SUM(CU$49:CU$70)</f>
        <v>0</v>
      </c>
    </row>
    <row r="135" spans="2:15" x14ac:dyDescent="0.2">
      <c r="C135" s="111" t="s">
        <v>130</v>
      </c>
      <c r="D135" s="112">
        <f>SUM(E$71:E$86)+SUM(G$71:G$86)+SUM(I$71:I$86)+SUM(K$71:K$86)</f>
        <v>0</v>
      </c>
      <c r="E135" s="112">
        <f>SUM(M$71:M$86)+SUM(O$71:O$86)+SUM(Q$71:Q$86)+SUM(S$71:S$86)</f>
        <v>0</v>
      </c>
      <c r="F135" s="112">
        <f>SUM(U$71:U$86)+SUM(W$71:W$86)+SUM(Y$71:Y$86)+SUM(AA$71:AA$86)</f>
        <v>0</v>
      </c>
      <c r="G135" s="112">
        <f>SUM(AC$71:AC$86)+SUM(AE$71:AE$86)+SUM(AG$71:AG$86)+SUM(AI$71:AI$86)</f>
        <v>0</v>
      </c>
      <c r="H135" s="112">
        <f>SUM(AK$71:AK$86)+SUM(AM$71:AM$86)+SUM(AO$71:AO$86)+SUM(AQ$71:AQ$86)</f>
        <v>0</v>
      </c>
      <c r="I135" s="112">
        <f>SUM(AS$71:AS$86)+SUM(AU$71:AU$86)+SUM(AW$71:AW$86)+SUM(AY$71:AY$86)</f>
        <v>0</v>
      </c>
      <c r="J135" s="112">
        <f>SUM(BA$71:BA$86)+SUM(BC$71:BC$86)+SUM(BE$71:BE$86)+SUM(BG$71:BG$86)</f>
        <v>0</v>
      </c>
      <c r="K135" s="112">
        <f>SUM(BI$71:BI$86)+SUM(BK$71:BK$86)+SUM(BM$71:BM$86)+SUM(BO$71:BO$86)</f>
        <v>0</v>
      </c>
      <c r="L135" s="112">
        <f>SUM(BQ$71:BQ$86)+SUM(BS$71:BS$86)+SUM(BU$71:BU$86)+SUM(BW$71:BW$86)</f>
        <v>0</v>
      </c>
      <c r="M135" s="112">
        <f>SUM(BY$71:BY$86)+SUM(CA$71:CA$86)+SUM(CC$71:CC$86)+SUM(CE$71:CE$86)</f>
        <v>0</v>
      </c>
      <c r="N135" s="112">
        <f>SUM(CG$71:CG$86)+SUM(CI$71:CI$86)+SUM(CK$71:CK$86)+SUM(CM$71:CM$86)</f>
        <v>0</v>
      </c>
      <c r="O135" s="112">
        <f>SUM(CO$71:CO$86)+SUM(CQ$71:CQ$86)+SUM(CS$71:CS$86)+SUM(CU$71:CU$86)</f>
        <v>0</v>
      </c>
    </row>
    <row r="136" spans="2:15" x14ac:dyDescent="0.2">
      <c r="C136" s="111" t="s">
        <v>131</v>
      </c>
      <c r="D136" s="112">
        <f>SUM(E$87:E$94)+SUM(G$87:G$94)+SUM(I$87:I$94)+SUM(K$87:K$94)</f>
        <v>0</v>
      </c>
      <c r="E136" s="112">
        <f>SUM(M$87:M$94)+SUM(O$87:O$94)+SUM(Q$87:Q$94)+SUM(S$87:S$94)</f>
        <v>0</v>
      </c>
      <c r="F136" s="112">
        <f>SUM(U$87:U$94)+SUM(W$87:W$94)+SUM(Y$87:Y$94)+SUM(AA$87:AA$94)</f>
        <v>0</v>
      </c>
      <c r="G136" s="112">
        <f>SUM(AC$87:AC$94)+SUM(AE$87:AE$94)+SUM(AG$87:AG$94)+SUM(AI$87:AI$94)</f>
        <v>0</v>
      </c>
      <c r="H136" s="112">
        <f>SUM(AK$87:AK$94)+SUM(AM$87:AM$94)+SUM(AO$87:AO$94)+SUM(AQ$87:AQ$94)</f>
        <v>0</v>
      </c>
      <c r="I136" s="112">
        <f>SUM(AS$87:AS$94)+SUM(AU$87:AU$94)+SUM(AW$87:AW$94)+SUM(AY$87:AY$94)</f>
        <v>0</v>
      </c>
      <c r="J136" s="112">
        <f>SUM(BA$87:BA$94)+SUM(BC$87:BC$94)+SUM(BE$87:BE$94)+SUM(BG$87:BG$94)</f>
        <v>0</v>
      </c>
      <c r="K136" s="112">
        <f>SUM(BI$87:BI$94)+SUM(BK$87:BK$94)+SUM(BM$87:BM$94)+SUM(BO$87:BO$94)</f>
        <v>0</v>
      </c>
      <c r="L136" s="112">
        <f>SUM(BQ$87:BQ$94)+SUM(BS$87:BS$94)+SUM(BU$87:BU$94)+SUM(BW$87:BW$94)</f>
        <v>0</v>
      </c>
      <c r="M136" s="112">
        <f>SUM(BY$87:BY$94)+SUM(CA$87:CA$94)+SUM(CC$87:CC$94)+SUM(CE$87:CE$94)</f>
        <v>0</v>
      </c>
      <c r="N136" s="112">
        <f>SUM(CG$87:CG$94)+SUM(CI$87:CI$94)+SUM(CK$87:CK$94)+SUM(CM$87:CM$94)</f>
        <v>0</v>
      </c>
      <c r="O136" s="112">
        <f>SUM(CO$87:CO$94)+SUM(CQ$87:CQ$94)+SUM(CS$87:CS$94)+SUM(CU$87:CU$94)</f>
        <v>0</v>
      </c>
    </row>
    <row r="137" spans="2:15" x14ac:dyDescent="0.2">
      <c r="C137" s="111" t="s">
        <v>132</v>
      </c>
      <c r="D137" s="112">
        <f>SUM(E$95:E$105)+SUM(G$95:G$105)+SUM(I$95:I$105)+SUM(K$95:K$105)</f>
        <v>0</v>
      </c>
      <c r="E137" s="112">
        <f>SUM(M$95:M$105)+SUM(O$95:O$105)+SUM(Q$95:Q$105)+SUM(S$95:S$105)</f>
        <v>0</v>
      </c>
      <c r="F137" s="112">
        <f>SUM(U$95:U$105)+SUM(W$95:W$105)+SUM(Y$95:Y$105)+SUM(AA$95:AA$105)</f>
        <v>0</v>
      </c>
      <c r="G137" s="112">
        <f>SUM(AC$95:AC$105)+SUM(AE$95:AE$105)+SUM(AG$95:AG$105)+SUM(AI$95:AI$105)</f>
        <v>0</v>
      </c>
      <c r="H137" s="112">
        <f>SUM(AK$95:AK$105)+SUM(AM$95:AM$105)+SUM(AO$95:AO$105)+SUM(AQ$95:AQ$105)</f>
        <v>0</v>
      </c>
      <c r="I137" s="112">
        <f>SUM(AS$95:AS$105)+SUM(AU$95:AU$105)+SUM(AW$95:AW$105)+SUM(AY$95:AY$105)</f>
        <v>0</v>
      </c>
      <c r="J137" s="112">
        <f>SUM(BA$95:BA$105)+SUM(BC$95:BC$105)+SUM(BE$95:BE$105)+SUM(BG$95:BG$105)</f>
        <v>0</v>
      </c>
      <c r="K137" s="112">
        <f>SUM(BI$95:BI$105)+SUM(BK$95:BK$105)+SUM(BM$95:BM$105)+SUM(BO$95:BO$105)</f>
        <v>0</v>
      </c>
      <c r="L137" s="112">
        <f>SUM(BQ$95:BQ$105)+SUM(BS$95:BS$105)+SUM(BU$95:BU$105)+SUM(BW$95:BW$105)</f>
        <v>0</v>
      </c>
      <c r="M137" s="112">
        <f>SUM(BY$95:BY$105)+SUM(CA$95:CA$105)+SUM(CC$95:CC$105)+SUM(CE$95:CE$105)</f>
        <v>0</v>
      </c>
      <c r="N137" s="112">
        <f>SUM(CG$95:CG$105)+SUM(CI$95:CI$105)+SUM(CK$95:CK$105)+SUM(CM$95:CM$105)</f>
        <v>0</v>
      </c>
      <c r="O137" s="112">
        <f>SUM(CO$95:CO$105)+SUM(CQ$95:CQ$105)+SUM(CS$95:CS$105)+SUM(CU$95:CU$105)</f>
        <v>0</v>
      </c>
    </row>
    <row r="138" spans="2:15" x14ac:dyDescent="0.2">
      <c r="C138" s="111" t="s">
        <v>277</v>
      </c>
      <c r="D138" s="106">
        <f t="shared" ref="D138:O138" si="2">SUM(D$131:D$137)</f>
        <v>0</v>
      </c>
      <c r="E138" s="106">
        <f t="shared" si="2"/>
        <v>0</v>
      </c>
      <c r="F138" s="106">
        <f t="shared" si="2"/>
        <v>0</v>
      </c>
      <c r="G138" s="106">
        <f t="shared" si="2"/>
        <v>0</v>
      </c>
      <c r="H138" s="106">
        <f t="shared" si="2"/>
        <v>0</v>
      </c>
      <c r="I138" s="106">
        <f t="shared" si="2"/>
        <v>0</v>
      </c>
      <c r="J138" s="106">
        <f t="shared" si="2"/>
        <v>0</v>
      </c>
      <c r="K138" s="106">
        <f t="shared" si="2"/>
        <v>0</v>
      </c>
      <c r="L138" s="106">
        <f t="shared" si="2"/>
        <v>0</v>
      </c>
      <c r="M138" s="106">
        <f t="shared" si="2"/>
        <v>0</v>
      </c>
      <c r="N138" s="106">
        <f t="shared" si="2"/>
        <v>0</v>
      </c>
      <c r="O138" s="106">
        <f t="shared" si="2"/>
        <v>0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defaultRowHeight="12.75" x14ac:dyDescent="0.2"/>
  <cols>
    <col min="1" max="2" width="9.140625" style="106"/>
    <col min="3" max="3" width="14.5703125" style="106" bestFit="1" customWidth="1"/>
    <col min="4" max="4" width="16.85546875" style="106" bestFit="1" customWidth="1"/>
    <col min="5" max="5" width="22.85546875" style="106" bestFit="1" customWidth="1"/>
    <col min="6" max="16384" width="9.140625" style="106"/>
  </cols>
  <sheetData>
    <row r="1" spans="1:5" x14ac:dyDescent="0.2">
      <c r="A1" s="105" t="s">
        <v>166</v>
      </c>
      <c r="B1" s="105" t="s">
        <v>167</v>
      </c>
      <c r="C1" s="105" t="s">
        <v>168</v>
      </c>
      <c r="D1" s="105" t="s">
        <v>169</v>
      </c>
      <c r="E1" s="105" t="s">
        <v>170</v>
      </c>
    </row>
    <row r="2" spans="1:5" x14ac:dyDescent="0.2">
      <c r="A2" s="105" t="s">
        <v>126</v>
      </c>
      <c r="B2" s="105" t="s">
        <v>171</v>
      </c>
      <c r="C2" s="106" t="s">
        <v>59</v>
      </c>
      <c r="D2" s="106">
        <v>482</v>
      </c>
      <c r="E2" s="106">
        <v>578.4</v>
      </c>
    </row>
    <row r="3" spans="1:5" x14ac:dyDescent="0.2">
      <c r="B3" s="105" t="s">
        <v>172</v>
      </c>
      <c r="C3" s="106" t="s">
        <v>59</v>
      </c>
      <c r="D3" s="106">
        <v>657</v>
      </c>
      <c r="E3" s="106">
        <v>788.4</v>
      </c>
    </row>
    <row r="4" spans="1:5" x14ac:dyDescent="0.2">
      <c r="B4" s="105" t="s">
        <v>173</v>
      </c>
      <c r="C4" s="106" t="s">
        <v>59</v>
      </c>
      <c r="D4" s="106">
        <v>258</v>
      </c>
      <c r="E4" s="106">
        <v>309.59999999999997</v>
      </c>
    </row>
    <row r="5" spans="1:5" x14ac:dyDescent="0.2">
      <c r="B5" s="105" t="s">
        <v>174</v>
      </c>
      <c r="C5" s="106" t="s">
        <v>59</v>
      </c>
      <c r="D5" s="106">
        <v>585</v>
      </c>
      <c r="E5" s="106">
        <v>702</v>
      </c>
    </row>
    <row r="6" spans="1:5" x14ac:dyDescent="0.2">
      <c r="B6" s="105" t="s">
        <v>175</v>
      </c>
      <c r="C6" s="106" t="s">
        <v>59</v>
      </c>
      <c r="D6" s="106">
        <v>454</v>
      </c>
      <c r="E6" s="106">
        <v>544.79999999999995</v>
      </c>
    </row>
    <row r="7" spans="1:5" x14ac:dyDescent="0.2">
      <c r="B7" s="105" t="s">
        <v>176</v>
      </c>
      <c r="C7" s="106" t="s">
        <v>59</v>
      </c>
      <c r="D7" s="106">
        <v>444</v>
      </c>
      <c r="E7" s="106">
        <v>532.79999999999995</v>
      </c>
    </row>
    <row r="8" spans="1:5" x14ac:dyDescent="0.2">
      <c r="B8" s="105" t="s">
        <v>177</v>
      </c>
      <c r="C8" s="106" t="s">
        <v>59</v>
      </c>
      <c r="D8" s="106">
        <v>469</v>
      </c>
      <c r="E8" s="106">
        <v>562.79999999999995</v>
      </c>
    </row>
    <row r="9" spans="1:5" x14ac:dyDescent="0.2">
      <c r="B9" s="105" t="s">
        <v>178</v>
      </c>
      <c r="C9" s="106" t="s">
        <v>59</v>
      </c>
      <c r="D9" s="106">
        <v>71</v>
      </c>
      <c r="E9" s="106">
        <v>85.2</v>
      </c>
    </row>
    <row r="10" spans="1:5" x14ac:dyDescent="0.2">
      <c r="B10" s="105" t="s">
        <v>179</v>
      </c>
      <c r="C10" s="106" t="s">
        <v>59</v>
      </c>
      <c r="D10" s="106">
        <v>407</v>
      </c>
      <c r="E10" s="106">
        <v>488.4</v>
      </c>
    </row>
    <row r="11" spans="1:5" x14ac:dyDescent="0.2">
      <c r="B11" s="105" t="s">
        <v>180</v>
      </c>
      <c r="C11" s="106" t="s">
        <v>59</v>
      </c>
      <c r="D11" s="106">
        <v>636</v>
      </c>
      <c r="E11" s="106">
        <v>763.19999999999993</v>
      </c>
    </row>
    <row r="12" spans="1:5" x14ac:dyDescent="0.2">
      <c r="B12" s="105" t="s">
        <v>181</v>
      </c>
      <c r="C12" s="106" t="s">
        <v>59</v>
      </c>
      <c r="D12" s="106">
        <v>284</v>
      </c>
      <c r="E12" s="106">
        <v>340.8</v>
      </c>
    </row>
    <row r="13" spans="1:5" x14ac:dyDescent="0.2">
      <c r="B13" s="105" t="s">
        <v>182</v>
      </c>
      <c r="C13" s="106" t="s">
        <v>59</v>
      </c>
      <c r="D13" s="106">
        <v>352</v>
      </c>
      <c r="E13" s="106">
        <v>422.4</v>
      </c>
    </row>
    <row r="14" spans="1:5" x14ac:dyDescent="0.2">
      <c r="B14" s="105" t="s">
        <v>183</v>
      </c>
      <c r="C14" s="106" t="s">
        <v>59</v>
      </c>
      <c r="D14" s="106">
        <v>544</v>
      </c>
      <c r="E14" s="106">
        <v>652.79999999999995</v>
      </c>
    </row>
    <row r="15" spans="1:5" x14ac:dyDescent="0.2">
      <c r="B15" s="105" t="s">
        <v>184</v>
      </c>
      <c r="C15" s="106" t="s">
        <v>59</v>
      </c>
      <c r="D15" s="106">
        <v>275</v>
      </c>
      <c r="E15" s="106">
        <v>330</v>
      </c>
    </row>
    <row r="16" spans="1:5" x14ac:dyDescent="0.2">
      <c r="A16" s="105" t="s">
        <v>127</v>
      </c>
      <c r="B16" s="105" t="s">
        <v>185</v>
      </c>
      <c r="C16" s="106" t="s">
        <v>59</v>
      </c>
      <c r="D16" s="106">
        <v>239</v>
      </c>
      <c r="E16" s="106">
        <v>286.8</v>
      </c>
    </row>
    <row r="17" spans="2:5" x14ac:dyDescent="0.2">
      <c r="B17" s="105" t="s">
        <v>186</v>
      </c>
      <c r="C17" s="106" t="s">
        <v>59</v>
      </c>
      <c r="D17" s="106">
        <v>52</v>
      </c>
      <c r="E17" s="106">
        <v>62.4</v>
      </c>
    </row>
    <row r="18" spans="2:5" x14ac:dyDescent="0.2">
      <c r="B18" s="105" t="s">
        <v>187</v>
      </c>
      <c r="C18" s="106" t="s">
        <v>59</v>
      </c>
      <c r="D18" s="106">
        <v>156</v>
      </c>
      <c r="E18" s="106">
        <v>187.2</v>
      </c>
    </row>
    <row r="19" spans="2:5" x14ac:dyDescent="0.2">
      <c r="B19" s="105" t="s">
        <v>188</v>
      </c>
      <c r="C19" s="106" t="s">
        <v>59</v>
      </c>
      <c r="D19" s="106">
        <v>245</v>
      </c>
      <c r="E19" s="106">
        <v>294</v>
      </c>
    </row>
    <row r="20" spans="2:5" x14ac:dyDescent="0.2">
      <c r="B20" s="105" t="s">
        <v>189</v>
      </c>
      <c r="C20" s="106" t="s">
        <v>59</v>
      </c>
      <c r="D20" s="106">
        <v>306</v>
      </c>
      <c r="E20" s="106">
        <v>367.2</v>
      </c>
    </row>
    <row r="21" spans="2:5" x14ac:dyDescent="0.2">
      <c r="B21" s="105" t="s">
        <v>190</v>
      </c>
      <c r="C21" s="106" t="s">
        <v>59</v>
      </c>
      <c r="D21" s="106">
        <v>442</v>
      </c>
      <c r="E21" s="106">
        <v>530.4</v>
      </c>
    </row>
    <row r="22" spans="2:5" x14ac:dyDescent="0.2">
      <c r="B22" s="105" t="s">
        <v>191</v>
      </c>
      <c r="C22" s="106" t="s">
        <v>59</v>
      </c>
      <c r="D22" s="106">
        <v>405</v>
      </c>
      <c r="E22" s="106">
        <v>486</v>
      </c>
    </row>
    <row r="23" spans="2:5" x14ac:dyDescent="0.2">
      <c r="B23" s="105" t="s">
        <v>192</v>
      </c>
      <c r="C23" s="106" t="s">
        <v>59</v>
      </c>
      <c r="D23" s="106">
        <v>356</v>
      </c>
      <c r="E23" s="106">
        <v>427.2</v>
      </c>
    </row>
    <row r="24" spans="2:5" x14ac:dyDescent="0.2">
      <c r="B24" s="105" t="s">
        <v>193</v>
      </c>
      <c r="C24" s="106" t="s">
        <v>59</v>
      </c>
      <c r="D24" s="106">
        <v>615</v>
      </c>
      <c r="E24" s="106">
        <v>738</v>
      </c>
    </row>
    <row r="25" spans="2:5" x14ac:dyDescent="0.2">
      <c r="B25" s="105" t="s">
        <v>194</v>
      </c>
      <c r="C25" s="106" t="s">
        <v>59</v>
      </c>
      <c r="D25" s="106">
        <v>282</v>
      </c>
      <c r="E25" s="106">
        <v>338.4</v>
      </c>
    </row>
    <row r="26" spans="2:5" x14ac:dyDescent="0.2">
      <c r="B26" s="105" t="s">
        <v>195</v>
      </c>
      <c r="C26" s="106" t="s">
        <v>59</v>
      </c>
      <c r="D26" s="106">
        <v>116</v>
      </c>
      <c r="E26" s="106">
        <v>139.19999999999999</v>
      </c>
    </row>
    <row r="27" spans="2:5" x14ac:dyDescent="0.2">
      <c r="B27" s="105" t="s">
        <v>196</v>
      </c>
      <c r="C27" s="106" t="s">
        <v>59</v>
      </c>
      <c r="D27" s="106">
        <v>284</v>
      </c>
      <c r="E27" s="106">
        <v>340.8</v>
      </c>
    </row>
    <row r="28" spans="2:5" x14ac:dyDescent="0.2">
      <c r="B28" s="105" t="s">
        <v>197</v>
      </c>
      <c r="C28" s="106" t="s">
        <v>59</v>
      </c>
      <c r="D28" s="106">
        <v>700</v>
      </c>
      <c r="E28" s="106">
        <v>840</v>
      </c>
    </row>
    <row r="29" spans="2:5" x14ac:dyDescent="0.2">
      <c r="B29" s="105" t="s">
        <v>198</v>
      </c>
      <c r="C29" s="106" t="s">
        <v>59</v>
      </c>
      <c r="D29" s="106">
        <v>395</v>
      </c>
      <c r="E29" s="106">
        <v>474</v>
      </c>
    </row>
    <row r="30" spans="2:5" x14ac:dyDescent="0.2">
      <c r="B30" s="105" t="s">
        <v>199</v>
      </c>
      <c r="C30" s="106" t="s">
        <v>59</v>
      </c>
      <c r="D30" s="106">
        <v>457</v>
      </c>
      <c r="E30" s="106">
        <v>548.4</v>
      </c>
    </row>
    <row r="31" spans="2:5" x14ac:dyDescent="0.2">
      <c r="B31" s="105" t="s">
        <v>200</v>
      </c>
      <c r="C31" s="106" t="s">
        <v>59</v>
      </c>
      <c r="D31" s="106">
        <v>419</v>
      </c>
      <c r="E31" s="106">
        <v>502.7999999999999</v>
      </c>
    </row>
    <row r="32" spans="2:5" x14ac:dyDescent="0.2">
      <c r="B32" s="105" t="s">
        <v>201</v>
      </c>
      <c r="C32" s="106" t="s">
        <v>59</v>
      </c>
      <c r="D32" s="106">
        <v>634</v>
      </c>
      <c r="E32" s="106">
        <v>760.8</v>
      </c>
    </row>
    <row r="33" spans="1:5" x14ac:dyDescent="0.2">
      <c r="A33" s="105" t="s">
        <v>128</v>
      </c>
      <c r="B33" s="105" t="s">
        <v>202</v>
      </c>
      <c r="C33" s="106" t="s">
        <v>59</v>
      </c>
      <c r="D33" s="106">
        <v>717</v>
      </c>
      <c r="E33" s="106">
        <v>860.4</v>
      </c>
    </row>
    <row r="34" spans="1:5" x14ac:dyDescent="0.2">
      <c r="B34" s="105" t="s">
        <v>203</v>
      </c>
      <c r="C34" s="106" t="s">
        <v>59</v>
      </c>
      <c r="D34" s="106">
        <v>1035</v>
      </c>
      <c r="E34" s="106">
        <v>1242</v>
      </c>
    </row>
    <row r="35" spans="1:5" x14ac:dyDescent="0.2">
      <c r="B35" s="105" t="s">
        <v>204</v>
      </c>
      <c r="C35" s="106" t="s">
        <v>59</v>
      </c>
      <c r="D35" s="106">
        <v>1186</v>
      </c>
      <c r="E35" s="106">
        <v>1423.2</v>
      </c>
    </row>
    <row r="36" spans="1:5" x14ac:dyDescent="0.2">
      <c r="B36" s="105" t="s">
        <v>205</v>
      </c>
      <c r="C36" s="106" t="s">
        <v>59</v>
      </c>
      <c r="D36" s="106">
        <v>604</v>
      </c>
      <c r="E36" s="106">
        <v>724.8</v>
      </c>
    </row>
    <row r="37" spans="1:5" x14ac:dyDescent="0.2">
      <c r="B37" s="105" t="s">
        <v>206</v>
      </c>
      <c r="C37" s="106" t="s">
        <v>59</v>
      </c>
      <c r="D37" s="106">
        <v>550</v>
      </c>
      <c r="E37" s="106">
        <v>660</v>
      </c>
    </row>
    <row r="38" spans="1:5" x14ac:dyDescent="0.2">
      <c r="B38" s="105" t="s">
        <v>207</v>
      </c>
      <c r="C38" s="106" t="s">
        <v>59</v>
      </c>
      <c r="D38" s="106">
        <v>705</v>
      </c>
      <c r="E38" s="106">
        <v>846</v>
      </c>
    </row>
    <row r="39" spans="1:5" x14ac:dyDescent="0.2">
      <c r="B39" s="105" t="s">
        <v>208</v>
      </c>
      <c r="C39" s="106" t="s">
        <v>59</v>
      </c>
      <c r="D39" s="106">
        <v>852</v>
      </c>
      <c r="E39" s="106">
        <v>1022.4</v>
      </c>
    </row>
    <row r="40" spans="1:5" x14ac:dyDescent="0.2">
      <c r="B40" s="105" t="s">
        <v>209</v>
      </c>
      <c r="C40" s="106" t="s">
        <v>59</v>
      </c>
      <c r="D40" s="106">
        <v>852</v>
      </c>
      <c r="E40" s="106">
        <v>1022.4</v>
      </c>
    </row>
    <row r="41" spans="1:5" x14ac:dyDescent="0.2">
      <c r="B41" s="105" t="s">
        <v>210</v>
      </c>
      <c r="C41" s="106" t="s">
        <v>59</v>
      </c>
      <c r="D41" s="106">
        <v>1041</v>
      </c>
      <c r="E41" s="106">
        <v>1249.2</v>
      </c>
    </row>
    <row r="42" spans="1:5" x14ac:dyDescent="0.2">
      <c r="B42" s="105" t="s">
        <v>211</v>
      </c>
      <c r="C42" s="106" t="s">
        <v>59</v>
      </c>
      <c r="D42" s="106">
        <v>1010</v>
      </c>
      <c r="E42" s="106">
        <v>1212</v>
      </c>
    </row>
    <row r="43" spans="1:5" x14ac:dyDescent="0.2">
      <c r="B43" s="105" t="s">
        <v>212</v>
      </c>
      <c r="C43" s="106" t="s">
        <v>59</v>
      </c>
      <c r="D43" s="106">
        <v>1273</v>
      </c>
      <c r="E43" s="106">
        <v>1527.6</v>
      </c>
    </row>
    <row r="44" spans="1:5" x14ac:dyDescent="0.2">
      <c r="B44" s="105" t="s">
        <v>213</v>
      </c>
      <c r="C44" s="106" t="s">
        <v>59</v>
      </c>
      <c r="D44" s="106">
        <v>723</v>
      </c>
      <c r="E44" s="106">
        <v>867.6</v>
      </c>
    </row>
    <row r="45" spans="1:5" x14ac:dyDescent="0.2">
      <c r="A45" s="105" t="s">
        <v>129</v>
      </c>
      <c r="B45" s="105" t="s">
        <v>214</v>
      </c>
      <c r="C45" s="106" t="s">
        <v>22</v>
      </c>
      <c r="D45" s="106">
        <v>821</v>
      </c>
      <c r="E45" s="106">
        <v>985.19999999999993</v>
      </c>
    </row>
    <row r="46" spans="1:5" x14ac:dyDescent="0.2">
      <c r="B46" s="105" t="s">
        <v>215</v>
      </c>
      <c r="C46" s="106" t="s">
        <v>59</v>
      </c>
      <c r="D46" s="106">
        <v>235</v>
      </c>
      <c r="E46" s="106">
        <v>282</v>
      </c>
    </row>
    <row r="47" spans="1:5" x14ac:dyDescent="0.2">
      <c r="B47" s="105" t="s">
        <v>216</v>
      </c>
      <c r="C47" s="106" t="s">
        <v>59</v>
      </c>
      <c r="D47" s="106">
        <v>712</v>
      </c>
      <c r="E47" s="106">
        <v>854.4</v>
      </c>
    </row>
    <row r="48" spans="1:5" x14ac:dyDescent="0.2">
      <c r="B48" s="105" t="s">
        <v>217</v>
      </c>
      <c r="C48" s="106" t="s">
        <v>59</v>
      </c>
      <c r="D48" s="106">
        <v>450</v>
      </c>
      <c r="E48" s="106">
        <v>540</v>
      </c>
    </row>
    <row r="49" spans="2:5" x14ac:dyDescent="0.2">
      <c r="B49" s="105" t="s">
        <v>218</v>
      </c>
      <c r="C49" s="106" t="s">
        <v>59</v>
      </c>
      <c r="D49" s="106">
        <v>339</v>
      </c>
      <c r="E49" s="106">
        <v>406.8</v>
      </c>
    </row>
    <row r="50" spans="2:5" x14ac:dyDescent="0.2">
      <c r="B50" s="105" t="s">
        <v>219</v>
      </c>
      <c r="C50" s="106" t="s">
        <v>59</v>
      </c>
      <c r="D50" s="106">
        <v>279</v>
      </c>
      <c r="E50" s="106">
        <v>334.8</v>
      </c>
    </row>
    <row r="51" spans="2:5" x14ac:dyDescent="0.2">
      <c r="B51" s="105" t="s">
        <v>220</v>
      </c>
      <c r="C51" s="106" t="s">
        <v>59</v>
      </c>
      <c r="D51" s="106">
        <v>553</v>
      </c>
      <c r="E51" s="106">
        <v>663.6</v>
      </c>
    </row>
    <row r="52" spans="2:5" x14ac:dyDescent="0.2">
      <c r="B52" s="105" t="s">
        <v>221</v>
      </c>
      <c r="C52" s="106" t="s">
        <v>22</v>
      </c>
      <c r="D52" s="106">
        <v>959</v>
      </c>
      <c r="E52" s="106">
        <v>1150.8</v>
      </c>
    </row>
    <row r="53" spans="2:5" x14ac:dyDescent="0.2">
      <c r="B53" s="105" t="s">
        <v>222</v>
      </c>
      <c r="C53" s="106" t="s">
        <v>59</v>
      </c>
      <c r="D53" s="106">
        <v>1176</v>
      </c>
      <c r="E53" s="106">
        <v>1411.2</v>
      </c>
    </row>
    <row r="54" spans="2:5" x14ac:dyDescent="0.2">
      <c r="B54" s="105" t="s">
        <v>223</v>
      </c>
      <c r="C54" s="106" t="s">
        <v>22</v>
      </c>
      <c r="D54" s="106">
        <v>981</v>
      </c>
      <c r="E54" s="106">
        <v>1177.2</v>
      </c>
    </row>
    <row r="55" spans="2:5" x14ac:dyDescent="0.2">
      <c r="B55" s="105" t="s">
        <v>224</v>
      </c>
      <c r="C55" s="106" t="s">
        <v>59</v>
      </c>
      <c r="D55" s="106">
        <v>253</v>
      </c>
      <c r="E55" s="106">
        <v>303.59999999999997</v>
      </c>
    </row>
    <row r="56" spans="2:5" x14ac:dyDescent="0.2">
      <c r="B56" s="105" t="s">
        <v>225</v>
      </c>
      <c r="C56" s="106" t="s">
        <v>59</v>
      </c>
      <c r="D56" s="106">
        <v>543</v>
      </c>
      <c r="E56" s="106">
        <v>651.6</v>
      </c>
    </row>
    <row r="57" spans="2:5" x14ac:dyDescent="0.2">
      <c r="B57" s="105" t="s">
        <v>226</v>
      </c>
      <c r="C57" s="106" t="s">
        <v>59</v>
      </c>
      <c r="D57" s="106">
        <v>793</v>
      </c>
      <c r="E57" s="106">
        <v>951.59999999999991</v>
      </c>
    </row>
    <row r="58" spans="2:5" x14ac:dyDescent="0.2">
      <c r="B58" s="105" t="s">
        <v>227</v>
      </c>
      <c r="C58" s="106" t="s">
        <v>59</v>
      </c>
      <c r="D58" s="106">
        <v>1421</v>
      </c>
      <c r="E58" s="106">
        <v>1705.2</v>
      </c>
    </row>
    <row r="59" spans="2:5" x14ac:dyDescent="0.2">
      <c r="B59" s="105" t="s">
        <v>228</v>
      </c>
      <c r="C59" s="106" t="s">
        <v>59</v>
      </c>
      <c r="D59" s="106">
        <v>663</v>
      </c>
      <c r="E59" s="106">
        <v>795.6</v>
      </c>
    </row>
    <row r="60" spans="2:5" x14ac:dyDescent="0.2">
      <c r="B60" s="105" t="s">
        <v>229</v>
      </c>
      <c r="C60" s="106" t="s">
        <v>59</v>
      </c>
      <c r="D60" s="106">
        <v>841</v>
      </c>
      <c r="E60" s="106">
        <v>1009.1999999999998</v>
      </c>
    </row>
    <row r="61" spans="2:5" x14ac:dyDescent="0.2">
      <c r="B61" s="105" t="s">
        <v>230</v>
      </c>
      <c r="C61" s="106" t="s">
        <v>59</v>
      </c>
      <c r="D61" s="106">
        <v>855</v>
      </c>
      <c r="E61" s="106">
        <v>1026</v>
      </c>
    </row>
    <row r="62" spans="2:5" x14ac:dyDescent="0.2">
      <c r="B62" s="105" t="s">
        <v>231</v>
      </c>
      <c r="C62" s="106" t="s">
        <v>59</v>
      </c>
      <c r="D62" s="106">
        <v>992</v>
      </c>
      <c r="E62" s="106">
        <v>1190.3999999999999</v>
      </c>
    </row>
    <row r="63" spans="2:5" x14ac:dyDescent="0.2">
      <c r="B63" s="105" t="s">
        <v>232</v>
      </c>
      <c r="C63" s="106" t="s">
        <v>59</v>
      </c>
      <c r="D63" s="106">
        <v>936</v>
      </c>
      <c r="E63" s="106">
        <v>1123.2</v>
      </c>
    </row>
    <row r="64" spans="2:5" x14ac:dyDescent="0.2">
      <c r="B64" s="105" t="s">
        <v>233</v>
      </c>
      <c r="C64" s="106" t="s">
        <v>59</v>
      </c>
      <c r="D64" s="106">
        <v>861</v>
      </c>
      <c r="E64" s="106">
        <v>1033.2</v>
      </c>
    </row>
    <row r="65" spans="1:5" x14ac:dyDescent="0.2">
      <c r="B65" s="105" t="s">
        <v>234</v>
      </c>
      <c r="C65" s="106" t="s">
        <v>59</v>
      </c>
      <c r="D65" s="106">
        <v>632</v>
      </c>
      <c r="E65" s="106">
        <v>758.4</v>
      </c>
    </row>
    <row r="66" spans="1:5" x14ac:dyDescent="0.2">
      <c r="B66" s="105" t="s">
        <v>235</v>
      </c>
      <c r="C66" s="106" t="s">
        <v>59</v>
      </c>
      <c r="D66" s="106">
        <v>446</v>
      </c>
      <c r="E66" s="106">
        <v>535.19999999999993</v>
      </c>
    </row>
    <row r="67" spans="1:5" x14ac:dyDescent="0.2">
      <c r="A67" s="105" t="s">
        <v>130</v>
      </c>
      <c r="B67" s="105" t="s">
        <v>236</v>
      </c>
      <c r="C67" s="106" t="s">
        <v>22</v>
      </c>
      <c r="D67" s="106">
        <v>470</v>
      </c>
      <c r="E67" s="106">
        <v>564</v>
      </c>
    </row>
    <row r="68" spans="1:5" x14ac:dyDescent="0.2">
      <c r="B68" s="105" t="s">
        <v>237</v>
      </c>
      <c r="C68" s="106" t="s">
        <v>22</v>
      </c>
      <c r="D68" s="106">
        <v>62</v>
      </c>
      <c r="E68" s="106">
        <v>74.399999999999991</v>
      </c>
    </row>
    <row r="69" spans="1:5" x14ac:dyDescent="0.2">
      <c r="B69" s="105" t="s">
        <v>238</v>
      </c>
      <c r="C69" s="106" t="s">
        <v>22</v>
      </c>
      <c r="D69" s="106">
        <v>466</v>
      </c>
      <c r="E69" s="106">
        <v>559.19999999999993</v>
      </c>
    </row>
    <row r="70" spans="1:5" x14ac:dyDescent="0.2">
      <c r="B70" s="105" t="s">
        <v>239</v>
      </c>
      <c r="C70" s="106" t="s">
        <v>22</v>
      </c>
      <c r="D70" s="106">
        <v>336</v>
      </c>
      <c r="E70" s="106">
        <v>403.2</v>
      </c>
    </row>
    <row r="71" spans="1:5" x14ac:dyDescent="0.2">
      <c r="B71" s="105" t="s">
        <v>240</v>
      </c>
      <c r="C71" s="106" t="s">
        <v>22</v>
      </c>
      <c r="D71" s="106">
        <v>536</v>
      </c>
      <c r="E71" s="106">
        <v>643.19999999999993</v>
      </c>
    </row>
    <row r="72" spans="1:5" x14ac:dyDescent="0.2">
      <c r="B72" s="105" t="s">
        <v>241</v>
      </c>
      <c r="C72" s="106" t="s">
        <v>22</v>
      </c>
      <c r="D72" s="106">
        <v>649</v>
      </c>
      <c r="E72" s="106">
        <v>778.8</v>
      </c>
    </row>
    <row r="73" spans="1:5" x14ac:dyDescent="0.2">
      <c r="B73" s="105" t="s">
        <v>242</v>
      </c>
      <c r="C73" s="106" t="s">
        <v>22</v>
      </c>
      <c r="D73" s="106">
        <v>232</v>
      </c>
      <c r="E73" s="106">
        <v>278.39999999999998</v>
      </c>
    </row>
    <row r="74" spans="1:5" x14ac:dyDescent="0.2">
      <c r="B74" s="105" t="s">
        <v>243</v>
      </c>
      <c r="C74" s="106" t="s">
        <v>22</v>
      </c>
      <c r="D74" s="106">
        <v>460</v>
      </c>
      <c r="E74" s="106">
        <v>552</v>
      </c>
    </row>
    <row r="75" spans="1:5" x14ac:dyDescent="0.2">
      <c r="B75" s="105" t="s">
        <v>244</v>
      </c>
      <c r="C75" s="106" t="s">
        <v>22</v>
      </c>
      <c r="D75" s="106">
        <v>631</v>
      </c>
      <c r="E75" s="106">
        <v>757.19999999999993</v>
      </c>
    </row>
    <row r="76" spans="1:5" x14ac:dyDescent="0.2">
      <c r="B76" s="105" t="s">
        <v>245</v>
      </c>
      <c r="C76" s="106" t="s">
        <v>22</v>
      </c>
      <c r="D76" s="106">
        <v>671</v>
      </c>
      <c r="E76" s="106">
        <v>805.19999999999993</v>
      </c>
    </row>
    <row r="77" spans="1:5" x14ac:dyDescent="0.2">
      <c r="B77" s="105" t="s">
        <v>246</v>
      </c>
      <c r="C77" s="106" t="s">
        <v>22</v>
      </c>
      <c r="D77" s="106">
        <v>628</v>
      </c>
      <c r="E77" s="106">
        <v>753.6</v>
      </c>
    </row>
    <row r="78" spans="1:5" x14ac:dyDescent="0.2">
      <c r="B78" s="105" t="s">
        <v>247</v>
      </c>
      <c r="C78" s="106" t="s">
        <v>22</v>
      </c>
      <c r="D78" s="106">
        <v>424</v>
      </c>
      <c r="E78" s="106">
        <v>508.7999999999999</v>
      </c>
    </row>
    <row r="79" spans="1:5" x14ac:dyDescent="0.2">
      <c r="B79" s="105" t="s">
        <v>248</v>
      </c>
      <c r="C79" s="106" t="s">
        <v>22</v>
      </c>
      <c r="D79" s="106">
        <v>717</v>
      </c>
      <c r="E79" s="106">
        <v>860.4</v>
      </c>
    </row>
    <row r="80" spans="1:5" x14ac:dyDescent="0.2">
      <c r="B80" s="105" t="s">
        <v>249</v>
      </c>
      <c r="C80" s="106" t="s">
        <v>22</v>
      </c>
      <c r="D80" s="106">
        <v>651</v>
      </c>
      <c r="E80" s="106">
        <v>781.19999999999993</v>
      </c>
    </row>
    <row r="81" spans="1:5" x14ac:dyDescent="0.2">
      <c r="B81" s="105" t="s">
        <v>250</v>
      </c>
      <c r="C81" s="106" t="s">
        <v>22</v>
      </c>
      <c r="D81" s="106">
        <v>125</v>
      </c>
      <c r="E81" s="106">
        <v>150</v>
      </c>
    </row>
    <row r="82" spans="1:5" x14ac:dyDescent="0.2">
      <c r="B82" s="105" t="s">
        <v>251</v>
      </c>
      <c r="C82" s="106" t="s">
        <v>22</v>
      </c>
      <c r="D82" s="106">
        <v>450</v>
      </c>
      <c r="E82" s="106">
        <v>540</v>
      </c>
    </row>
    <row r="83" spans="1:5" x14ac:dyDescent="0.2">
      <c r="A83" s="105" t="s">
        <v>131</v>
      </c>
      <c r="B83" s="105" t="s">
        <v>252</v>
      </c>
      <c r="C83" s="106" t="s">
        <v>22</v>
      </c>
      <c r="D83" s="106">
        <v>1629</v>
      </c>
      <c r="E83" s="106">
        <v>1954.8</v>
      </c>
    </row>
    <row r="84" spans="1:5" x14ac:dyDescent="0.2">
      <c r="B84" s="105" t="s">
        <v>253</v>
      </c>
      <c r="C84" s="106" t="s">
        <v>22</v>
      </c>
      <c r="D84" s="106">
        <v>1577</v>
      </c>
      <c r="E84" s="106">
        <v>1892.3999999999999</v>
      </c>
    </row>
    <row r="85" spans="1:5" x14ac:dyDescent="0.2">
      <c r="B85" s="105" t="s">
        <v>254</v>
      </c>
      <c r="C85" s="106" t="s">
        <v>22</v>
      </c>
      <c r="D85" s="106">
        <v>1998</v>
      </c>
      <c r="E85" s="106">
        <v>2397.6</v>
      </c>
    </row>
    <row r="86" spans="1:5" x14ac:dyDescent="0.2">
      <c r="B86" s="105" t="s">
        <v>255</v>
      </c>
      <c r="C86" s="106" t="s">
        <v>22</v>
      </c>
      <c r="D86" s="106">
        <v>1831</v>
      </c>
      <c r="E86" s="106">
        <v>2197.1999999999998</v>
      </c>
    </row>
    <row r="87" spans="1:5" x14ac:dyDescent="0.2">
      <c r="B87" s="105" t="s">
        <v>256</v>
      </c>
      <c r="C87" s="106" t="s">
        <v>22</v>
      </c>
      <c r="D87" s="106">
        <v>1914</v>
      </c>
      <c r="E87" s="106">
        <v>2296.7999999999997</v>
      </c>
    </row>
    <row r="88" spans="1:5" x14ac:dyDescent="0.2">
      <c r="B88" s="105" t="s">
        <v>257</v>
      </c>
      <c r="C88" s="106" t="s">
        <v>22</v>
      </c>
      <c r="D88" s="106">
        <v>1184</v>
      </c>
      <c r="E88" s="106">
        <v>1420.8</v>
      </c>
    </row>
    <row r="89" spans="1:5" x14ac:dyDescent="0.2">
      <c r="B89" s="105" t="s">
        <v>258</v>
      </c>
      <c r="C89" s="106" t="s">
        <v>22</v>
      </c>
      <c r="D89" s="106">
        <v>1477</v>
      </c>
      <c r="E89" s="106">
        <v>1772.3999999999999</v>
      </c>
    </row>
    <row r="90" spans="1:5" x14ac:dyDescent="0.2">
      <c r="B90" s="105" t="s">
        <v>259</v>
      </c>
      <c r="C90" s="106" t="s">
        <v>22</v>
      </c>
      <c r="D90" s="106">
        <v>1996</v>
      </c>
      <c r="E90" s="106">
        <v>2395.1999999999998</v>
      </c>
    </row>
    <row r="91" spans="1:5" x14ac:dyDescent="0.2">
      <c r="A91" s="105" t="s">
        <v>132</v>
      </c>
      <c r="B91" s="105" t="s">
        <v>260</v>
      </c>
      <c r="C91" s="106" t="s">
        <v>22</v>
      </c>
      <c r="D91" s="106">
        <v>1444</v>
      </c>
      <c r="E91" s="106">
        <v>1732.8</v>
      </c>
    </row>
    <row r="92" spans="1:5" x14ac:dyDescent="0.2">
      <c r="B92" s="105" t="s">
        <v>261</v>
      </c>
      <c r="C92" s="106" t="s">
        <v>22</v>
      </c>
      <c r="D92" s="106">
        <v>686</v>
      </c>
      <c r="E92" s="106">
        <v>823.19999999999993</v>
      </c>
    </row>
    <row r="93" spans="1:5" x14ac:dyDescent="0.2">
      <c r="B93" s="105" t="s">
        <v>262</v>
      </c>
      <c r="C93" s="106" t="s">
        <v>22</v>
      </c>
      <c r="D93" s="106">
        <v>1524</v>
      </c>
      <c r="E93" s="106">
        <v>1828.8</v>
      </c>
    </row>
    <row r="94" spans="1:5" x14ac:dyDescent="0.2">
      <c r="B94" s="105" t="s">
        <v>263</v>
      </c>
      <c r="C94" s="106" t="s">
        <v>22</v>
      </c>
      <c r="D94" s="106">
        <v>1053</v>
      </c>
      <c r="E94" s="106">
        <v>1263.5999999999999</v>
      </c>
    </row>
    <row r="95" spans="1:5" x14ac:dyDescent="0.2">
      <c r="B95" s="105" t="s">
        <v>264</v>
      </c>
      <c r="C95" s="106" t="s">
        <v>22</v>
      </c>
      <c r="D95" s="106">
        <v>4568</v>
      </c>
      <c r="E95" s="106">
        <v>5481.5999999999995</v>
      </c>
    </row>
    <row r="96" spans="1:5" x14ac:dyDescent="0.2">
      <c r="B96" s="105" t="s">
        <v>265</v>
      </c>
      <c r="C96" s="106" t="s">
        <v>22</v>
      </c>
      <c r="D96" s="106">
        <v>1352</v>
      </c>
      <c r="E96" s="106">
        <v>1622.3999999999999</v>
      </c>
    </row>
    <row r="97" spans="2:5" x14ac:dyDescent="0.2">
      <c r="B97" s="105" t="s">
        <v>266</v>
      </c>
      <c r="C97" s="106" t="s">
        <v>22</v>
      </c>
      <c r="D97" s="106">
        <v>992</v>
      </c>
      <c r="E97" s="106">
        <v>1190.3999999999999</v>
      </c>
    </row>
    <row r="98" spans="2:5" x14ac:dyDescent="0.2">
      <c r="B98" s="105" t="s">
        <v>267</v>
      </c>
      <c r="C98" s="106" t="s">
        <v>22</v>
      </c>
      <c r="D98" s="106">
        <v>1616</v>
      </c>
      <c r="E98" s="106">
        <v>1939.1999999999998</v>
      </c>
    </row>
    <row r="99" spans="2:5" x14ac:dyDescent="0.2">
      <c r="B99" s="105" t="s">
        <v>268</v>
      </c>
      <c r="C99" s="106" t="s">
        <v>22</v>
      </c>
      <c r="D99" s="106">
        <v>1690</v>
      </c>
      <c r="E99" s="106">
        <v>2028</v>
      </c>
    </row>
    <row r="100" spans="2:5" x14ac:dyDescent="0.2">
      <c r="B100" s="105" t="s">
        <v>269</v>
      </c>
      <c r="C100" s="106" t="s">
        <v>22</v>
      </c>
      <c r="D100" s="106">
        <v>1727</v>
      </c>
      <c r="E100" s="106">
        <v>2072.4</v>
      </c>
    </row>
    <row r="101" spans="2:5" x14ac:dyDescent="0.2">
      <c r="B101" s="105" t="s">
        <v>270</v>
      </c>
      <c r="C101" s="106" t="s">
        <v>22</v>
      </c>
      <c r="D101" s="106">
        <v>1665</v>
      </c>
      <c r="E101" s="106">
        <v>1998</v>
      </c>
    </row>
  </sheetData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P01</vt:lpstr>
      <vt:lpstr>P05</vt:lpstr>
      <vt:lpstr>P07</vt:lpstr>
      <vt:lpstr>S15</vt:lpstr>
      <vt:lpstr>S61</vt:lpstr>
      <vt:lpstr>ORA</vt:lpstr>
      <vt:lpstr>POJ</vt:lpstr>
      <vt:lpstr>ROJ</vt:lpstr>
      <vt:lpstr>FCOJ</vt:lpstr>
      <vt:lpstr>market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Jeff</cp:lastModifiedBy>
  <dcterms:created xsi:type="dcterms:W3CDTF">2003-07-09T21:14:27Z</dcterms:created>
  <dcterms:modified xsi:type="dcterms:W3CDTF">2015-09-29T18:40:00Z</dcterms:modified>
</cp:coreProperties>
</file>