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H38" i="20"/>
  <c r="H35" i="20"/>
  <c r="H34" i="20"/>
  <c r="H33" i="20"/>
  <c r="H30" i="20"/>
  <c r="H29" i="20"/>
  <c r="H28" i="20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J122" i="10" s="1"/>
  <c r="K111" i="10"/>
  <c r="K122" i="10" s="1"/>
  <c r="L111" i="10"/>
  <c r="M111" i="10"/>
  <c r="N111" i="10"/>
  <c r="O111" i="10"/>
  <c r="D112" i="10"/>
  <c r="D123" i="10" s="1"/>
  <c r="E112" i="10"/>
  <c r="F112" i="10"/>
  <c r="F123" i="10" s="1"/>
  <c r="G112" i="10"/>
  <c r="G123" i="10" s="1"/>
  <c r="H112" i="10"/>
  <c r="I112" i="10"/>
  <c r="J112" i="10"/>
  <c r="K112" i="10"/>
  <c r="L112" i="10"/>
  <c r="L123" i="10" s="1"/>
  <c r="M112" i="10"/>
  <c r="N112" i="10"/>
  <c r="N123" i="10" s="1"/>
  <c r="O112" i="10"/>
  <c r="O123" i="10" s="1"/>
  <c r="D113" i="10"/>
  <c r="E113" i="10"/>
  <c r="F113" i="10"/>
  <c r="G113" i="10"/>
  <c r="H113" i="10"/>
  <c r="H124" i="10" s="1"/>
  <c r="I113" i="10"/>
  <c r="J113" i="10"/>
  <c r="J124" i="10" s="1"/>
  <c r="K113" i="10"/>
  <c r="K124" i="10" s="1"/>
  <c r="L113" i="10"/>
  <c r="M113" i="10"/>
  <c r="N113" i="10"/>
  <c r="O113" i="10"/>
  <c r="D114" i="10"/>
  <c r="D125" i="10" s="1"/>
  <c r="E114" i="10"/>
  <c r="F114" i="10"/>
  <c r="F125" i="10" s="1"/>
  <c r="G114" i="10"/>
  <c r="G125" i="10" s="1"/>
  <c r="H114" i="10"/>
  <c r="I114" i="10"/>
  <c r="J114" i="10"/>
  <c r="K114" i="10"/>
  <c r="L114" i="10"/>
  <c r="L125" i="10" s="1"/>
  <c r="M114" i="10"/>
  <c r="N114" i="10"/>
  <c r="N125" i="10" s="1"/>
  <c r="O114" i="10"/>
  <c r="O125" i="10" s="1"/>
  <c r="D115" i="10"/>
  <c r="E115" i="10"/>
  <c r="E116" i="10" s="1"/>
  <c r="F115" i="10"/>
  <c r="G115" i="10"/>
  <c r="H115" i="10"/>
  <c r="H126" i="10" s="1"/>
  <c r="I115" i="10"/>
  <c r="J115" i="10"/>
  <c r="J126" i="10" s="1"/>
  <c r="K115" i="10"/>
  <c r="K126" i="10" s="1"/>
  <c r="L115" i="10"/>
  <c r="M115" i="10"/>
  <c r="M116" i="10" s="1"/>
  <c r="N115" i="10"/>
  <c r="O115" i="10"/>
  <c r="D116" i="10"/>
  <c r="H116" i="10"/>
  <c r="I116" i="10"/>
  <c r="L116" i="10"/>
  <c r="D120" i="10"/>
  <c r="E120" i="10"/>
  <c r="F120" i="10"/>
  <c r="G120" i="10"/>
  <c r="H120" i="10"/>
  <c r="I120" i="10"/>
  <c r="L120" i="10"/>
  <c r="L127" i="10" s="1"/>
  <c r="M120" i="10"/>
  <c r="N120" i="10"/>
  <c r="O120" i="10"/>
  <c r="D121" i="10"/>
  <c r="E121" i="10"/>
  <c r="H121" i="10"/>
  <c r="I121" i="10"/>
  <c r="J121" i="10"/>
  <c r="K121" i="10"/>
  <c r="L121" i="10"/>
  <c r="M121" i="10"/>
  <c r="D122" i="10"/>
  <c r="E122" i="10"/>
  <c r="F122" i="10"/>
  <c r="G122" i="10"/>
  <c r="H122" i="10"/>
  <c r="I122" i="10"/>
  <c r="L122" i="10"/>
  <c r="M122" i="10"/>
  <c r="N122" i="10"/>
  <c r="O122" i="10"/>
  <c r="E123" i="10"/>
  <c r="H123" i="10"/>
  <c r="I123" i="10"/>
  <c r="J123" i="10"/>
  <c r="K123" i="10"/>
  <c r="M123" i="10"/>
  <c r="D124" i="10"/>
  <c r="E124" i="10"/>
  <c r="E127" i="10" s="1"/>
  <c r="F124" i="10"/>
  <c r="G124" i="10"/>
  <c r="I124" i="10"/>
  <c r="L124" i="10"/>
  <c r="M124" i="10"/>
  <c r="N124" i="10"/>
  <c r="O124" i="10"/>
  <c r="E125" i="10"/>
  <c r="H125" i="10"/>
  <c r="I125" i="10"/>
  <c r="J125" i="10"/>
  <c r="K125" i="10"/>
  <c r="M125" i="10"/>
  <c r="D126" i="10"/>
  <c r="E126" i="10"/>
  <c r="F126" i="10"/>
  <c r="G126" i="10"/>
  <c r="I126" i="10"/>
  <c r="L126" i="10"/>
  <c r="M126" i="10"/>
  <c r="M127" i="10" s="1"/>
  <c r="N126" i="10"/>
  <c r="O126" i="10"/>
  <c r="I127" i="10"/>
  <c r="D131" i="10"/>
  <c r="E131" i="10"/>
  <c r="F131" i="10"/>
  <c r="G131" i="10"/>
  <c r="H131" i="10"/>
  <c r="H138" i="10" s="1"/>
  <c r="I131" i="10"/>
  <c r="J131" i="10"/>
  <c r="K131" i="10"/>
  <c r="L131" i="10"/>
  <c r="L138" i="10" s="1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I138" i="10"/>
  <c r="M138" i="10"/>
  <c r="D109" i="11"/>
  <c r="E109" i="11"/>
  <c r="F109" i="11"/>
  <c r="G109" i="11"/>
  <c r="H109" i="11"/>
  <c r="I109" i="11"/>
  <c r="J109" i="11"/>
  <c r="K109" i="11"/>
  <c r="L109" i="11"/>
  <c r="L120" i="11" s="1"/>
  <c r="M109" i="11"/>
  <c r="N109" i="11"/>
  <c r="O109" i="11"/>
  <c r="D110" i="11"/>
  <c r="E110" i="11"/>
  <c r="F110" i="11"/>
  <c r="G110" i="11"/>
  <c r="H110" i="11"/>
  <c r="H121" i="11" s="1"/>
  <c r="I110" i="11"/>
  <c r="J110" i="11"/>
  <c r="K110" i="11"/>
  <c r="L110" i="11"/>
  <c r="M110" i="11"/>
  <c r="N110" i="11"/>
  <c r="O110" i="11"/>
  <c r="D111" i="11"/>
  <c r="D122" i="11" s="1"/>
  <c r="E111" i="11"/>
  <c r="F111" i="11"/>
  <c r="G111" i="11"/>
  <c r="H111" i="11"/>
  <c r="I111" i="11"/>
  <c r="J111" i="11"/>
  <c r="K111" i="11"/>
  <c r="L111" i="11"/>
  <c r="L122" i="11" s="1"/>
  <c r="M111" i="11"/>
  <c r="N111" i="11"/>
  <c r="O111" i="11"/>
  <c r="D112" i="11"/>
  <c r="E112" i="11"/>
  <c r="F112" i="11"/>
  <c r="G112" i="11"/>
  <c r="H112" i="11"/>
  <c r="H123" i="11" s="1"/>
  <c r="I112" i="11"/>
  <c r="J112" i="11"/>
  <c r="K112" i="11"/>
  <c r="L112" i="11"/>
  <c r="M112" i="11"/>
  <c r="N112" i="11"/>
  <c r="O112" i="11"/>
  <c r="D113" i="11"/>
  <c r="D124" i="11" s="1"/>
  <c r="E113" i="11"/>
  <c r="F113" i="11"/>
  <c r="G113" i="11"/>
  <c r="H113" i="11"/>
  <c r="I113" i="11"/>
  <c r="J113" i="11"/>
  <c r="K113" i="11"/>
  <c r="L113" i="11"/>
  <c r="L124" i="11" s="1"/>
  <c r="M113" i="11"/>
  <c r="N113" i="11"/>
  <c r="O113" i="11"/>
  <c r="D114" i="11"/>
  <c r="E114" i="11"/>
  <c r="F114" i="11"/>
  <c r="G114" i="11"/>
  <c r="H114" i="11"/>
  <c r="H125" i="11" s="1"/>
  <c r="I114" i="11"/>
  <c r="J114" i="11"/>
  <c r="K114" i="11"/>
  <c r="L114" i="11"/>
  <c r="M114" i="11"/>
  <c r="N114" i="11"/>
  <c r="O114" i="11"/>
  <c r="D115" i="11"/>
  <c r="D126" i="11" s="1"/>
  <c r="E115" i="11"/>
  <c r="F115" i="11"/>
  <c r="G115" i="11"/>
  <c r="H115" i="11"/>
  <c r="I115" i="11"/>
  <c r="I116" i="11" s="1"/>
  <c r="J115" i="11"/>
  <c r="K115" i="11"/>
  <c r="L115" i="11"/>
  <c r="L126" i="11" s="1"/>
  <c r="M115" i="11"/>
  <c r="N115" i="11"/>
  <c r="O115" i="11"/>
  <c r="E116" i="11"/>
  <c r="F116" i="11"/>
  <c r="G116" i="11"/>
  <c r="H116" i="11"/>
  <c r="L116" i="11"/>
  <c r="M116" i="11"/>
  <c r="N116" i="11"/>
  <c r="O116" i="11"/>
  <c r="E120" i="11"/>
  <c r="F120" i="11"/>
  <c r="G120" i="11"/>
  <c r="H120" i="11"/>
  <c r="I120" i="11"/>
  <c r="J120" i="11"/>
  <c r="J127" i="11" s="1"/>
  <c r="K120" i="11"/>
  <c r="M120" i="11"/>
  <c r="N120" i="11"/>
  <c r="O120" i="11"/>
  <c r="D121" i="11"/>
  <c r="E121" i="11"/>
  <c r="F121" i="11"/>
  <c r="G121" i="11"/>
  <c r="I121" i="11"/>
  <c r="J121" i="11"/>
  <c r="K121" i="11"/>
  <c r="L121" i="11"/>
  <c r="M121" i="11"/>
  <c r="N121" i="11"/>
  <c r="O121" i="11"/>
  <c r="E122" i="11"/>
  <c r="F122" i="11"/>
  <c r="G122" i="11"/>
  <c r="H122" i="11"/>
  <c r="I122" i="11"/>
  <c r="J122" i="11"/>
  <c r="K122" i="11"/>
  <c r="M122" i="11"/>
  <c r="N122" i="11"/>
  <c r="O122" i="11"/>
  <c r="D123" i="11"/>
  <c r="E123" i="11"/>
  <c r="F123" i="11"/>
  <c r="G123" i="11"/>
  <c r="I123" i="11"/>
  <c r="J123" i="11"/>
  <c r="K123" i="11"/>
  <c r="L123" i="11"/>
  <c r="M123" i="11"/>
  <c r="N123" i="11"/>
  <c r="O123" i="11"/>
  <c r="E124" i="11"/>
  <c r="F124" i="11"/>
  <c r="G124" i="11"/>
  <c r="H124" i="11"/>
  <c r="I124" i="11"/>
  <c r="I127" i="11" s="1"/>
  <c r="J124" i="11"/>
  <c r="K124" i="11"/>
  <c r="M124" i="11"/>
  <c r="N124" i="11"/>
  <c r="O124" i="11"/>
  <c r="D125" i="11"/>
  <c r="E125" i="11"/>
  <c r="F125" i="11"/>
  <c r="G125" i="11"/>
  <c r="I125" i="11"/>
  <c r="J125" i="11"/>
  <c r="K125" i="11"/>
  <c r="L125" i="11"/>
  <c r="M125" i="11"/>
  <c r="N125" i="11"/>
  <c r="O125" i="11"/>
  <c r="E126" i="11"/>
  <c r="F126" i="11"/>
  <c r="G126" i="11"/>
  <c r="H126" i="11"/>
  <c r="I126" i="11"/>
  <c r="J126" i="11"/>
  <c r="K126" i="11"/>
  <c r="M126" i="11"/>
  <c r="N126" i="11"/>
  <c r="O126" i="11"/>
  <c r="E127" i="11"/>
  <c r="F127" i="11"/>
  <c r="G127" i="11"/>
  <c r="M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E138" i="11" s="1"/>
  <c r="F137" i="11"/>
  <c r="G137" i="11"/>
  <c r="H137" i="11"/>
  <c r="I137" i="11"/>
  <c r="J137" i="11"/>
  <c r="K137" i="11"/>
  <c r="L137" i="11"/>
  <c r="M137" i="11"/>
  <c r="M138" i="11" s="1"/>
  <c r="N137" i="11"/>
  <c r="O137" i="11"/>
  <c r="D138" i="11"/>
  <c r="G138" i="11"/>
  <c r="H138" i="11"/>
  <c r="I138" i="11"/>
  <c r="L138" i="11"/>
  <c r="D109" i="12"/>
  <c r="D120" i="12" s="1"/>
  <c r="E109" i="12"/>
  <c r="F109" i="12"/>
  <c r="G109" i="12"/>
  <c r="H109" i="12"/>
  <c r="I109" i="12"/>
  <c r="J109" i="12"/>
  <c r="K109" i="12"/>
  <c r="L109" i="12"/>
  <c r="L120" i="12" s="1"/>
  <c r="M109" i="12"/>
  <c r="N109" i="12"/>
  <c r="O109" i="12"/>
  <c r="D110" i="12"/>
  <c r="E110" i="12"/>
  <c r="F110" i="12"/>
  <c r="G110" i="12"/>
  <c r="H110" i="12"/>
  <c r="H121" i="12" s="1"/>
  <c r="H127" i="12" s="1"/>
  <c r="I110" i="12"/>
  <c r="J110" i="12"/>
  <c r="K110" i="12"/>
  <c r="L110" i="12"/>
  <c r="M110" i="12"/>
  <c r="N110" i="12"/>
  <c r="O110" i="12"/>
  <c r="D111" i="12"/>
  <c r="D122" i="12" s="1"/>
  <c r="E111" i="12"/>
  <c r="F111" i="12"/>
  <c r="G111" i="12"/>
  <c r="H111" i="12"/>
  <c r="I111" i="12"/>
  <c r="J111" i="12"/>
  <c r="K111" i="12"/>
  <c r="L111" i="12"/>
  <c r="L122" i="12" s="1"/>
  <c r="M111" i="12"/>
  <c r="N111" i="12"/>
  <c r="O111" i="12"/>
  <c r="D112" i="12"/>
  <c r="E112" i="12"/>
  <c r="F112" i="12"/>
  <c r="G112" i="12"/>
  <c r="H112" i="12"/>
  <c r="H123" i="12" s="1"/>
  <c r="I112" i="12"/>
  <c r="J112" i="12"/>
  <c r="K112" i="12"/>
  <c r="L112" i="12"/>
  <c r="M112" i="12"/>
  <c r="N112" i="12"/>
  <c r="O112" i="12"/>
  <c r="D113" i="12"/>
  <c r="D124" i="12" s="1"/>
  <c r="E113" i="12"/>
  <c r="F113" i="12"/>
  <c r="G113" i="12"/>
  <c r="H113" i="12"/>
  <c r="I113" i="12"/>
  <c r="J113" i="12"/>
  <c r="K113" i="12"/>
  <c r="L113" i="12"/>
  <c r="L124" i="12" s="1"/>
  <c r="M113" i="12"/>
  <c r="N113" i="12"/>
  <c r="O113" i="12"/>
  <c r="D114" i="12"/>
  <c r="E114" i="12"/>
  <c r="F114" i="12"/>
  <c r="G114" i="12"/>
  <c r="H114" i="12"/>
  <c r="H125" i="12" s="1"/>
  <c r="I114" i="12"/>
  <c r="J114" i="12"/>
  <c r="K114" i="12"/>
  <c r="L114" i="12"/>
  <c r="M114" i="12"/>
  <c r="N114" i="12"/>
  <c r="N116" i="12" s="1"/>
  <c r="O114" i="12"/>
  <c r="D115" i="12"/>
  <c r="D126" i="12" s="1"/>
  <c r="E115" i="12"/>
  <c r="F115" i="12"/>
  <c r="G115" i="12"/>
  <c r="H115" i="12"/>
  <c r="I115" i="12"/>
  <c r="J115" i="12"/>
  <c r="J126" i="12" s="1"/>
  <c r="K115" i="12"/>
  <c r="L115" i="12"/>
  <c r="L126" i="12" s="1"/>
  <c r="M115" i="12"/>
  <c r="N115" i="12"/>
  <c r="O115" i="12"/>
  <c r="E116" i="12"/>
  <c r="F116" i="12"/>
  <c r="G116" i="12"/>
  <c r="H116" i="12"/>
  <c r="I116" i="12"/>
  <c r="L116" i="12"/>
  <c r="M116" i="12"/>
  <c r="O116" i="12"/>
  <c r="E120" i="12"/>
  <c r="F120" i="12"/>
  <c r="G120" i="12"/>
  <c r="H120" i="12"/>
  <c r="I120" i="12"/>
  <c r="J120" i="12"/>
  <c r="K120" i="12"/>
  <c r="M120" i="12"/>
  <c r="N120" i="12"/>
  <c r="O120" i="12"/>
  <c r="D121" i="12"/>
  <c r="E121" i="12"/>
  <c r="F121" i="12"/>
  <c r="G121" i="12"/>
  <c r="G127" i="12" s="1"/>
  <c r="I121" i="12"/>
  <c r="J121" i="12"/>
  <c r="K121" i="12"/>
  <c r="L121" i="12"/>
  <c r="M121" i="12"/>
  <c r="N121" i="12"/>
  <c r="O121" i="12"/>
  <c r="E122" i="12"/>
  <c r="F122" i="12"/>
  <c r="G122" i="12"/>
  <c r="H122" i="12"/>
  <c r="I122" i="12"/>
  <c r="J122" i="12"/>
  <c r="K122" i="12"/>
  <c r="M122" i="12"/>
  <c r="N122" i="12"/>
  <c r="O122" i="12"/>
  <c r="D123" i="12"/>
  <c r="E123" i="12"/>
  <c r="F123" i="12"/>
  <c r="G123" i="12"/>
  <c r="I123" i="12"/>
  <c r="J123" i="12"/>
  <c r="K123" i="12"/>
  <c r="L123" i="12"/>
  <c r="M123" i="12"/>
  <c r="N123" i="12"/>
  <c r="O123" i="12"/>
  <c r="E124" i="12"/>
  <c r="E127" i="12" s="1"/>
  <c r="F124" i="12"/>
  <c r="G124" i="12"/>
  <c r="H124" i="12"/>
  <c r="I124" i="12"/>
  <c r="J124" i="12"/>
  <c r="K124" i="12"/>
  <c r="M124" i="12"/>
  <c r="M127" i="12" s="1"/>
  <c r="N124" i="12"/>
  <c r="O124" i="12"/>
  <c r="D125" i="12"/>
  <c r="E125" i="12"/>
  <c r="F125" i="12"/>
  <c r="G125" i="12"/>
  <c r="I125" i="12"/>
  <c r="J125" i="12"/>
  <c r="K125" i="12"/>
  <c r="L125" i="12"/>
  <c r="M125" i="12"/>
  <c r="N125" i="12"/>
  <c r="O125" i="12"/>
  <c r="E126" i="12"/>
  <c r="F126" i="12"/>
  <c r="G126" i="12"/>
  <c r="H126" i="12"/>
  <c r="I126" i="12"/>
  <c r="K126" i="12"/>
  <c r="M126" i="12"/>
  <c r="N126" i="12"/>
  <c r="O126" i="12"/>
  <c r="D127" i="12"/>
  <c r="F127" i="12"/>
  <c r="I127" i="12"/>
  <c r="N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F138" i="12" s="1"/>
  <c r="G132" i="12"/>
  <c r="H132" i="12"/>
  <c r="I132" i="12"/>
  <c r="J132" i="12"/>
  <c r="K132" i="12"/>
  <c r="L132" i="12"/>
  <c r="M132" i="12"/>
  <c r="N132" i="12"/>
  <c r="N138" i="12" s="1"/>
  <c r="O132" i="12"/>
  <c r="D133" i="12"/>
  <c r="E133" i="12"/>
  <c r="E138" i="12" s="1"/>
  <c r="F133" i="12"/>
  <c r="G133" i="12"/>
  <c r="H133" i="12"/>
  <c r="I133" i="12"/>
  <c r="J133" i="12"/>
  <c r="K133" i="12"/>
  <c r="L133" i="12"/>
  <c r="M133" i="12"/>
  <c r="M138" i="12" s="1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G138" i="12"/>
  <c r="I138" i="12"/>
  <c r="O138" i="12"/>
  <c r="D109" i="13"/>
  <c r="E109" i="13"/>
  <c r="F109" i="13"/>
  <c r="G109" i="13"/>
  <c r="H109" i="13"/>
  <c r="I109" i="13"/>
  <c r="J109" i="13"/>
  <c r="K109" i="13"/>
  <c r="L109" i="13"/>
  <c r="L116" i="13" s="1"/>
  <c r="M109" i="13"/>
  <c r="N109" i="13"/>
  <c r="O109" i="13"/>
  <c r="D110" i="13"/>
  <c r="D121" i="13" s="1"/>
  <c r="E110" i="13"/>
  <c r="F110" i="13"/>
  <c r="F121" i="13" s="1"/>
  <c r="G110" i="13"/>
  <c r="G121" i="13" s="1"/>
  <c r="H110" i="13"/>
  <c r="I110" i="13"/>
  <c r="J110" i="13"/>
  <c r="K110" i="13"/>
  <c r="L110" i="13"/>
  <c r="L121" i="13" s="1"/>
  <c r="M110" i="13"/>
  <c r="N110" i="13"/>
  <c r="N116" i="13" s="1"/>
  <c r="O110" i="13"/>
  <c r="D111" i="13"/>
  <c r="E111" i="13"/>
  <c r="F111" i="13"/>
  <c r="G111" i="13"/>
  <c r="H111" i="13"/>
  <c r="H122" i="13" s="1"/>
  <c r="I111" i="13"/>
  <c r="J111" i="13"/>
  <c r="J122" i="13" s="1"/>
  <c r="K111" i="13"/>
  <c r="L111" i="13"/>
  <c r="M111" i="13"/>
  <c r="N111" i="13"/>
  <c r="O111" i="13"/>
  <c r="D112" i="13"/>
  <c r="D123" i="13" s="1"/>
  <c r="E112" i="13"/>
  <c r="F112" i="13"/>
  <c r="F123" i="13" s="1"/>
  <c r="G112" i="13"/>
  <c r="H112" i="13"/>
  <c r="I112" i="13"/>
  <c r="J112" i="13"/>
  <c r="K112" i="13"/>
  <c r="L112" i="13"/>
  <c r="L123" i="13" s="1"/>
  <c r="M112" i="13"/>
  <c r="N112" i="13"/>
  <c r="N123" i="13" s="1"/>
  <c r="O112" i="13"/>
  <c r="O123" i="13" s="1"/>
  <c r="D113" i="13"/>
  <c r="E113" i="13"/>
  <c r="F113" i="13"/>
  <c r="G113" i="13"/>
  <c r="H113" i="13"/>
  <c r="H124" i="13" s="1"/>
  <c r="I113" i="13"/>
  <c r="I116" i="13" s="1"/>
  <c r="J113" i="13"/>
  <c r="J124" i="13" s="1"/>
  <c r="K113" i="13"/>
  <c r="L113" i="13"/>
  <c r="M113" i="13"/>
  <c r="N113" i="13"/>
  <c r="O113" i="13"/>
  <c r="D114" i="13"/>
  <c r="D125" i="13" s="1"/>
  <c r="E114" i="13"/>
  <c r="F114" i="13"/>
  <c r="F125" i="13" s="1"/>
  <c r="G114" i="13"/>
  <c r="H114" i="13"/>
  <c r="I114" i="13"/>
  <c r="J114" i="13"/>
  <c r="K114" i="13"/>
  <c r="L114" i="13"/>
  <c r="L125" i="13" s="1"/>
  <c r="M114" i="13"/>
  <c r="N114" i="13"/>
  <c r="N125" i="13" s="1"/>
  <c r="O114" i="13"/>
  <c r="O125" i="13" s="1"/>
  <c r="D115" i="13"/>
  <c r="E115" i="13"/>
  <c r="F115" i="13"/>
  <c r="G115" i="13"/>
  <c r="H115" i="13"/>
  <c r="H126" i="13" s="1"/>
  <c r="I115" i="13"/>
  <c r="J115" i="13"/>
  <c r="J126" i="13" s="1"/>
  <c r="K115" i="13"/>
  <c r="K126" i="13" s="1"/>
  <c r="L115" i="13"/>
  <c r="M115" i="13"/>
  <c r="N115" i="13"/>
  <c r="O115" i="13"/>
  <c r="D116" i="13"/>
  <c r="E116" i="13"/>
  <c r="F116" i="13"/>
  <c r="G116" i="13"/>
  <c r="M116" i="13"/>
  <c r="O116" i="13"/>
  <c r="D120" i="13"/>
  <c r="E120" i="13"/>
  <c r="F120" i="13"/>
  <c r="G120" i="13"/>
  <c r="I120" i="13"/>
  <c r="K120" i="13"/>
  <c r="L120" i="13"/>
  <c r="L127" i="13" s="1"/>
  <c r="M120" i="13"/>
  <c r="N120" i="13"/>
  <c r="O120" i="13"/>
  <c r="E121" i="13"/>
  <c r="H121" i="13"/>
  <c r="I121" i="13"/>
  <c r="J121" i="13"/>
  <c r="K121" i="13"/>
  <c r="M121" i="13"/>
  <c r="O121" i="13"/>
  <c r="D122" i="13"/>
  <c r="E122" i="13"/>
  <c r="F122" i="13"/>
  <c r="G122" i="13"/>
  <c r="I122" i="13"/>
  <c r="I127" i="13" s="1"/>
  <c r="K122" i="13"/>
  <c r="L122" i="13"/>
  <c r="M122" i="13"/>
  <c r="N122" i="13"/>
  <c r="O122" i="13"/>
  <c r="E123" i="13"/>
  <c r="G123" i="13"/>
  <c r="H123" i="13"/>
  <c r="I123" i="13"/>
  <c r="J123" i="13"/>
  <c r="K123" i="13"/>
  <c r="M123" i="13"/>
  <c r="D124" i="13"/>
  <c r="E124" i="13"/>
  <c r="F124" i="13"/>
  <c r="G124" i="13"/>
  <c r="I124" i="13"/>
  <c r="K124" i="13"/>
  <c r="L124" i="13"/>
  <c r="M124" i="13"/>
  <c r="N124" i="13"/>
  <c r="O124" i="13"/>
  <c r="E125" i="13"/>
  <c r="G125" i="13"/>
  <c r="H125" i="13"/>
  <c r="I125" i="13"/>
  <c r="J125" i="13"/>
  <c r="K125" i="13"/>
  <c r="M125" i="13"/>
  <c r="D126" i="13"/>
  <c r="E126" i="13"/>
  <c r="F126" i="13"/>
  <c r="G126" i="13"/>
  <c r="I126" i="13"/>
  <c r="L126" i="13"/>
  <c r="M126" i="13"/>
  <c r="N126" i="13"/>
  <c r="O126" i="13"/>
  <c r="E127" i="13"/>
  <c r="M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H138" i="13" s="1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N138" i="13" s="1"/>
  <c r="O136" i="13"/>
  <c r="D137" i="13"/>
  <c r="E137" i="13"/>
  <c r="F137" i="13"/>
  <c r="G137" i="13"/>
  <c r="H137" i="13"/>
  <c r="I137" i="13"/>
  <c r="I138" i="13" s="1"/>
  <c r="J137" i="13"/>
  <c r="K137" i="13"/>
  <c r="L137" i="13"/>
  <c r="M137" i="13"/>
  <c r="N137" i="13"/>
  <c r="O137" i="13"/>
  <c r="E138" i="13"/>
  <c r="F138" i="13"/>
  <c r="G138" i="13"/>
  <c r="M138" i="13"/>
  <c r="O138" i="13"/>
  <c r="AZ14" i="14"/>
  <c r="AY259" i="14" s="1"/>
  <c r="AY181" i="14"/>
  <c r="AY179" i="14"/>
  <c r="AY260" i="14" s="1"/>
  <c r="AY177" i="14"/>
  <c r="AY175" i="14"/>
  <c r="AX259" i="14"/>
  <c r="AY14" i="14"/>
  <c r="AX181" i="14"/>
  <c r="AX179" i="14"/>
  <c r="AX177" i="14"/>
  <c r="AX260" i="14" s="1"/>
  <c r="AX175" i="14"/>
  <c r="AW259" i="14"/>
  <c r="AX14" i="14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V260" i="14" s="1"/>
  <c r="AV14" i="14"/>
  <c r="AU259" i="14" s="1"/>
  <c r="AU181" i="14"/>
  <c r="AU179" i="14"/>
  <c r="AU260" i="14" s="1"/>
  <c r="AU177" i="14"/>
  <c r="AU175" i="14"/>
  <c r="AT259" i="14"/>
  <c r="AU14" i="14"/>
  <c r="AT181" i="14"/>
  <c r="AT179" i="14"/>
  <c r="AT177" i="14"/>
  <c r="AT175" i="14"/>
  <c r="AT14" i="14"/>
  <c r="AS259" i="14" s="1"/>
  <c r="AS181" i="14"/>
  <c r="AS179" i="14"/>
  <c r="AS177" i="14"/>
  <c r="AS175" i="14"/>
  <c r="AS14" i="14"/>
  <c r="AR259" i="14" s="1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P260" i="14"/>
  <c r="AP259" i="14"/>
  <c r="AQ14" i="14"/>
  <c r="AP181" i="14"/>
  <c r="AP179" i="14"/>
  <c r="AP177" i="14"/>
  <c r="AP175" i="14"/>
  <c r="AO260" i="14"/>
  <c r="AO259" i="14"/>
  <c r="AP14" i="14"/>
  <c r="AO181" i="14"/>
  <c r="AO179" i="14"/>
  <c r="AO177" i="14"/>
  <c r="AO175" i="14"/>
  <c r="AO14" i="14"/>
  <c r="AN259" i="14" s="1"/>
  <c r="AN181" i="14"/>
  <c r="AN260" i="14" s="1"/>
  <c r="AN179" i="14"/>
  <c r="AN177" i="14"/>
  <c r="AN175" i="14"/>
  <c r="AN14" i="14"/>
  <c r="AM259" i="14" s="1"/>
  <c r="AM181" i="14"/>
  <c r="AM179" i="14"/>
  <c r="AM260" i="14" s="1"/>
  <c r="AM177" i="14"/>
  <c r="AM175" i="14"/>
  <c r="AL259" i="14"/>
  <c r="AM14" i="14"/>
  <c r="AL181" i="14"/>
  <c r="AL179" i="14"/>
  <c r="AL177" i="14"/>
  <c r="AL175" i="14"/>
  <c r="AL14" i="14"/>
  <c r="AK259" i="14" s="1"/>
  <c r="AK181" i="14"/>
  <c r="AK179" i="14"/>
  <c r="AK177" i="14"/>
  <c r="AK175" i="14"/>
  <c r="AK14" i="14"/>
  <c r="AJ259" i="14" s="1"/>
  <c r="AJ181" i="14"/>
  <c r="AJ179" i="14"/>
  <c r="AJ177" i="14"/>
  <c r="AJ175" i="14"/>
  <c r="AJ14" i="14"/>
  <c r="AI259" i="14" s="1"/>
  <c r="AI181" i="14"/>
  <c r="AI179" i="14"/>
  <c r="AI260" i="14" s="1"/>
  <c r="AI177" i="14"/>
  <c r="AI175" i="14"/>
  <c r="AH260" i="14"/>
  <c r="AH259" i="14"/>
  <c r="AI14" i="14"/>
  <c r="AH181" i="14"/>
  <c r="AH179" i="14"/>
  <c r="AH177" i="14"/>
  <c r="AH175" i="14"/>
  <c r="AG259" i="14"/>
  <c r="AH14" i="14"/>
  <c r="AG181" i="14"/>
  <c r="AG179" i="14"/>
  <c r="AG177" i="14"/>
  <c r="AG175" i="14"/>
  <c r="AG260" i="14" s="1"/>
  <c r="AG14" i="14"/>
  <c r="AF259" i="14" s="1"/>
  <c r="AF181" i="14"/>
  <c r="AF260" i="14" s="1"/>
  <c r="AF179" i="14"/>
  <c r="AF177" i="14"/>
  <c r="AF175" i="14"/>
  <c r="AF14" i="14"/>
  <c r="AE259" i="14" s="1"/>
  <c r="AE181" i="14"/>
  <c r="AE179" i="14"/>
  <c r="AE260" i="14" s="1"/>
  <c r="AE177" i="14"/>
  <c r="AE175" i="14"/>
  <c r="AD259" i="14"/>
  <c r="AE14" i="14"/>
  <c r="AD181" i="14"/>
  <c r="AD179" i="14"/>
  <c r="AD177" i="14"/>
  <c r="AD175" i="14"/>
  <c r="AD260" i="14" s="1"/>
  <c r="AD14" i="14"/>
  <c r="AC259" i="14" s="1"/>
  <c r="AC181" i="14"/>
  <c r="AC179" i="14"/>
  <c r="AC177" i="14"/>
  <c r="AC175" i="14"/>
  <c r="AC14" i="14"/>
  <c r="AB259" i="14" s="1"/>
  <c r="AB181" i="14"/>
  <c r="AB179" i="14"/>
  <c r="AB177" i="14"/>
  <c r="AB175" i="14"/>
  <c r="AB14" i="14"/>
  <c r="AA259" i="14" s="1"/>
  <c r="AA181" i="14"/>
  <c r="AA179" i="14"/>
  <c r="AA177" i="14"/>
  <c r="AA175" i="14"/>
  <c r="AA260" i="14" s="1"/>
  <c r="Z260" i="14"/>
  <c r="Z259" i="14"/>
  <c r="AA14" i="14"/>
  <c r="Z181" i="14"/>
  <c r="Z179" i="14"/>
  <c r="Z177" i="14"/>
  <c r="Z175" i="14"/>
  <c r="Y260" i="14"/>
  <c r="Y259" i="14"/>
  <c r="Z14" i="14"/>
  <c r="Y181" i="14"/>
  <c r="Y179" i="14"/>
  <c r="Y177" i="14"/>
  <c r="Y175" i="14"/>
  <c r="Y14" i="14"/>
  <c r="X259" i="14" s="1"/>
  <c r="X181" i="14"/>
  <c r="X260" i="14" s="1"/>
  <c r="X179" i="14"/>
  <c r="X177" i="14"/>
  <c r="X175" i="14"/>
  <c r="X14" i="14"/>
  <c r="W259" i="14" s="1"/>
  <c r="W181" i="14"/>
  <c r="W179" i="14"/>
  <c r="W260" i="14" s="1"/>
  <c r="W177" i="14"/>
  <c r="W175" i="14"/>
  <c r="V259" i="14"/>
  <c r="W14" i="14"/>
  <c r="V181" i="14"/>
  <c r="V179" i="14"/>
  <c r="V177" i="14"/>
  <c r="V175" i="14"/>
  <c r="V14" i="14"/>
  <c r="U259" i="14" s="1"/>
  <c r="U181" i="14"/>
  <c r="U179" i="14"/>
  <c r="U177" i="14"/>
  <c r="U175" i="14"/>
  <c r="U14" i="14"/>
  <c r="T259" i="14" s="1"/>
  <c r="T181" i="14"/>
  <c r="T179" i="14"/>
  <c r="T177" i="14"/>
  <c r="T175" i="14"/>
  <c r="T14" i="14"/>
  <c r="S259" i="14" s="1"/>
  <c r="S181" i="14"/>
  <c r="S179" i="14"/>
  <c r="S177" i="14"/>
  <c r="S175" i="14"/>
  <c r="R259" i="14"/>
  <c r="S14" i="14"/>
  <c r="R181" i="14"/>
  <c r="R179" i="14"/>
  <c r="R177" i="14"/>
  <c r="R260" i="14" s="1"/>
  <c r="R175" i="14"/>
  <c r="Q259" i="14"/>
  <c r="R14" i="14"/>
  <c r="Q181" i="14"/>
  <c r="Q179" i="14"/>
  <c r="Q177" i="14"/>
  <c r="Q175" i="14"/>
  <c r="Q260" i="14" s="1"/>
  <c r="Q14" i="14"/>
  <c r="P259" i="14" s="1"/>
  <c r="P181" i="14"/>
  <c r="P179" i="14"/>
  <c r="P177" i="14"/>
  <c r="P175" i="14"/>
  <c r="P14" i="14"/>
  <c r="O259" i="14" s="1"/>
  <c r="O181" i="14"/>
  <c r="O179" i="14"/>
  <c r="O260" i="14" s="1"/>
  <c r="O177" i="14"/>
  <c r="O175" i="14"/>
  <c r="N259" i="14"/>
  <c r="O14" i="14"/>
  <c r="N181" i="14"/>
  <c r="N179" i="14"/>
  <c r="N177" i="14"/>
  <c r="N175" i="14"/>
  <c r="N260" i="14" s="1"/>
  <c r="N14" i="14"/>
  <c r="M259" i="14" s="1"/>
  <c r="M181" i="14"/>
  <c r="M179" i="14"/>
  <c r="M177" i="14"/>
  <c r="M175" i="14"/>
  <c r="M14" i="14"/>
  <c r="L259" i="14" s="1"/>
  <c r="L181" i="14"/>
  <c r="L179" i="14"/>
  <c r="L177" i="14"/>
  <c r="L175" i="14"/>
  <c r="K260" i="14"/>
  <c r="K259" i="14"/>
  <c r="L14" i="14"/>
  <c r="K181" i="14"/>
  <c r="K179" i="14"/>
  <c r="K177" i="14"/>
  <c r="K175" i="14"/>
  <c r="J260" i="14"/>
  <c r="J259" i="14"/>
  <c r="K14" i="14"/>
  <c r="J181" i="14"/>
  <c r="J179" i="14"/>
  <c r="J177" i="14"/>
  <c r="J175" i="14"/>
  <c r="I260" i="14"/>
  <c r="J14" i="14"/>
  <c r="I259" i="14" s="1"/>
  <c r="I181" i="14"/>
  <c r="I179" i="14"/>
  <c r="I177" i="14"/>
  <c r="I175" i="14"/>
  <c r="I14" i="14"/>
  <c r="H181" i="14"/>
  <c r="H179" i="14"/>
  <c r="H260" i="14" s="1"/>
  <c r="H177" i="14"/>
  <c r="H175" i="14"/>
  <c r="H14" i="14"/>
  <c r="G259" i="14" s="1"/>
  <c r="G181" i="14"/>
  <c r="G179" i="14"/>
  <c r="G260" i="14" s="1"/>
  <c r="G177" i="14"/>
  <c r="G175" i="14"/>
  <c r="F259" i="14"/>
  <c r="G14" i="14"/>
  <c r="F181" i="14"/>
  <c r="F179" i="14"/>
  <c r="F177" i="14"/>
  <c r="F175" i="14"/>
  <c r="F260" i="14" s="1"/>
  <c r="F14" i="14"/>
  <c r="E259" i="14" s="1"/>
  <c r="E181" i="14"/>
  <c r="E179" i="14"/>
  <c r="E177" i="14"/>
  <c r="E175" i="14"/>
  <c r="E14" i="14"/>
  <c r="D259" i="14" s="1"/>
  <c r="D181" i="14"/>
  <c r="D179" i="14"/>
  <c r="D177" i="14"/>
  <c r="D175" i="14"/>
  <c r="D260" i="14" s="1"/>
  <c r="AY260" i="15"/>
  <c r="AZ14" i="15"/>
  <c r="AY259" i="15" s="1"/>
  <c r="AY181" i="15"/>
  <c r="AY179" i="15"/>
  <c r="AY177" i="15"/>
  <c r="AY175" i="15"/>
  <c r="AX260" i="15"/>
  <c r="AX259" i="15"/>
  <c r="AY14" i="15"/>
  <c r="AX181" i="15"/>
  <c r="AX179" i="15"/>
  <c r="AX177" i="15"/>
  <c r="AX175" i="15"/>
  <c r="AW260" i="15"/>
  <c r="AX14" i="15"/>
  <c r="AW259" i="15" s="1"/>
  <c r="AW181" i="15"/>
  <c r="AW179" i="15"/>
  <c r="AW177" i="15"/>
  <c r="AW175" i="15"/>
  <c r="AW14" i="15"/>
  <c r="AV259" i="15" s="1"/>
  <c r="AV181" i="15"/>
  <c r="AV179" i="15"/>
  <c r="AV177" i="15"/>
  <c r="AV175" i="15"/>
  <c r="AU260" i="15"/>
  <c r="AV14" i="15"/>
  <c r="AU259" i="15" s="1"/>
  <c r="AU181" i="15"/>
  <c r="AU179" i="15"/>
  <c r="AU177" i="15"/>
  <c r="AU175" i="15"/>
  <c r="AT259" i="15"/>
  <c r="AU14" i="15"/>
  <c r="AT181" i="15"/>
  <c r="AT179" i="15"/>
  <c r="AT177" i="15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260" i="15" s="1"/>
  <c r="AQ260" i="15"/>
  <c r="AR14" i="15"/>
  <c r="AQ259" i="15" s="1"/>
  <c r="AQ181" i="15"/>
  <c r="AQ179" i="15"/>
  <c r="AQ177" i="15"/>
  <c r="AQ175" i="15"/>
  <c r="AP260" i="15"/>
  <c r="AP259" i="15"/>
  <c r="AQ14" i="15"/>
  <c r="AP181" i="15"/>
  <c r="AP179" i="15"/>
  <c r="AP177" i="15"/>
  <c r="AP175" i="15"/>
  <c r="AO260" i="15"/>
  <c r="AP14" i="15"/>
  <c r="AO259" i="15" s="1"/>
  <c r="AO181" i="15"/>
  <c r="AO179" i="15"/>
  <c r="AO177" i="15"/>
  <c r="AO175" i="15"/>
  <c r="AN259" i="15"/>
  <c r="AO14" i="15"/>
  <c r="AN181" i="15"/>
  <c r="AN260" i="15" s="1"/>
  <c r="AN179" i="15"/>
  <c r="AN177" i="15"/>
  <c r="AN175" i="15"/>
  <c r="AM260" i="15"/>
  <c r="AN14" i="15"/>
  <c r="AM259" i="15" s="1"/>
  <c r="AM181" i="15"/>
  <c r="AM179" i="15"/>
  <c r="AM177" i="15"/>
  <c r="AM175" i="15"/>
  <c r="AL259" i="15"/>
  <c r="AM14" i="15"/>
  <c r="AL181" i="15"/>
  <c r="AL179" i="15"/>
  <c r="AL177" i="15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I260" i="15"/>
  <c r="AJ14" i="15"/>
  <c r="AI259" i="15" s="1"/>
  <c r="AI181" i="15"/>
  <c r="AI179" i="15"/>
  <c r="AI177" i="15"/>
  <c r="AI175" i="15"/>
  <c r="AH260" i="15"/>
  <c r="AH259" i="15"/>
  <c r="AI14" i="15"/>
  <c r="AH181" i="15"/>
  <c r="AH179" i="15"/>
  <c r="AH177" i="15"/>
  <c r="AH175" i="15"/>
  <c r="AG260" i="15"/>
  <c r="AH14" i="15"/>
  <c r="AG259" i="15" s="1"/>
  <c r="AG181" i="15"/>
  <c r="AG179" i="15"/>
  <c r="AG177" i="15"/>
  <c r="AG175" i="15"/>
  <c r="AF259" i="15"/>
  <c r="AG14" i="15"/>
  <c r="AF181" i="15"/>
  <c r="AF179" i="15"/>
  <c r="AF260" i="15" s="1"/>
  <c r="AF177" i="15"/>
  <c r="AF175" i="15"/>
  <c r="AF14" i="15"/>
  <c r="AE259" i="15" s="1"/>
  <c r="AE181" i="15"/>
  <c r="AE179" i="15"/>
  <c r="AE260" i="15" s="1"/>
  <c r="AE177" i="15"/>
  <c r="AE175" i="15"/>
  <c r="AD259" i="15"/>
  <c r="AE14" i="15"/>
  <c r="AD181" i="15"/>
  <c r="AD179" i="15"/>
  <c r="AD177" i="15"/>
  <c r="AD175" i="15"/>
  <c r="AD260" i="15" s="1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A259" i="15"/>
  <c r="AB14" i="15"/>
  <c r="AA181" i="15"/>
  <c r="AA179" i="15"/>
  <c r="AA260" i="15" s="1"/>
  <c r="AA177" i="15"/>
  <c r="AA175" i="15"/>
  <c r="Z259" i="15"/>
  <c r="AA14" i="15"/>
  <c r="Z181" i="15"/>
  <c r="Z179" i="15"/>
  <c r="Z177" i="15"/>
  <c r="Z260" i="15" s="1"/>
  <c r="Z175" i="15"/>
  <c r="Z14" i="15"/>
  <c r="Y259" i="15" s="1"/>
  <c r="Y181" i="15"/>
  <c r="Y179" i="15"/>
  <c r="Y177" i="15"/>
  <c r="Y175" i="15"/>
  <c r="Y260" i="15" s="1"/>
  <c r="X259" i="15"/>
  <c r="Y14" i="15"/>
  <c r="X181" i="15"/>
  <c r="X179" i="15"/>
  <c r="X260" i="15" s="1"/>
  <c r="X177" i="15"/>
  <c r="X175" i="15"/>
  <c r="X14" i="15"/>
  <c r="W259" i="15" s="1"/>
  <c r="W181" i="15"/>
  <c r="W179" i="15"/>
  <c r="W260" i="15" s="1"/>
  <c r="W177" i="15"/>
  <c r="W175" i="15"/>
  <c r="V259" i="15"/>
  <c r="W14" i="15"/>
  <c r="V181" i="15"/>
  <c r="V179" i="15"/>
  <c r="V177" i="15"/>
  <c r="V175" i="15"/>
  <c r="V260" i="15" s="1"/>
  <c r="V14" i="15"/>
  <c r="U259" i="15" s="1"/>
  <c r="U181" i="15"/>
  <c r="U179" i="15"/>
  <c r="U177" i="15"/>
  <c r="U175" i="15"/>
  <c r="U14" i="15"/>
  <c r="T259" i="15" s="1"/>
  <c r="T181" i="15"/>
  <c r="T179" i="15"/>
  <c r="T177" i="15"/>
  <c r="T175" i="15"/>
  <c r="S259" i="15"/>
  <c r="T14" i="15"/>
  <c r="S181" i="15"/>
  <c r="S179" i="15"/>
  <c r="S177" i="15"/>
  <c r="S175" i="15"/>
  <c r="S260" i="15" s="1"/>
  <c r="R259" i="15"/>
  <c r="S14" i="15"/>
  <c r="R181" i="15"/>
  <c r="R179" i="15"/>
  <c r="R177" i="15"/>
  <c r="R260" i="15" s="1"/>
  <c r="R175" i="15"/>
  <c r="Q259" i="15"/>
  <c r="R14" i="15"/>
  <c r="Q181" i="15"/>
  <c r="Q179" i="15"/>
  <c r="Q177" i="15"/>
  <c r="Q175" i="15"/>
  <c r="Q260" i="15" s="1"/>
  <c r="Q14" i="15"/>
  <c r="P259" i="15" s="1"/>
  <c r="P181" i="15"/>
  <c r="P179" i="15"/>
  <c r="P177" i="15"/>
  <c r="P175" i="15"/>
  <c r="P14" i="15"/>
  <c r="O259" i="15" s="1"/>
  <c r="O181" i="15"/>
  <c r="O179" i="15"/>
  <c r="O260" i="15" s="1"/>
  <c r="O177" i="15"/>
  <c r="O175" i="15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K259" i="15"/>
  <c r="L14" i="15"/>
  <c r="K181" i="15"/>
  <c r="K179" i="15"/>
  <c r="K260" i="15" s="1"/>
  <c r="K177" i="15"/>
  <c r="K175" i="15"/>
  <c r="J259" i="15"/>
  <c r="K14" i="15"/>
  <c r="J181" i="15"/>
  <c r="J179" i="15"/>
  <c r="J177" i="15"/>
  <c r="J260" i="15" s="1"/>
  <c r="J175" i="15"/>
  <c r="I260" i="15"/>
  <c r="J14" i="15"/>
  <c r="I259" i="15" s="1"/>
  <c r="I181" i="15"/>
  <c r="I179" i="15"/>
  <c r="I177" i="15"/>
  <c r="I175" i="15"/>
  <c r="H259" i="15"/>
  <c r="I14" i="15"/>
  <c r="H181" i="15"/>
  <c r="H179" i="15"/>
  <c r="H260" i="15" s="1"/>
  <c r="H177" i="15"/>
  <c r="H175" i="15"/>
  <c r="H14" i="15"/>
  <c r="G259" i="15" s="1"/>
  <c r="G181" i="15"/>
  <c r="G179" i="15"/>
  <c r="G260" i="15" s="1"/>
  <c r="G177" i="15"/>
  <c r="G175" i="15"/>
  <c r="F259" i="15"/>
  <c r="G14" i="15"/>
  <c r="F181" i="15"/>
  <c r="F179" i="15"/>
  <c r="F177" i="15"/>
  <c r="F175" i="15"/>
  <c r="F14" i="15"/>
  <c r="E259" i="15" s="1"/>
  <c r="E181" i="15"/>
  <c r="E179" i="15"/>
  <c r="E177" i="15"/>
  <c r="E175" i="15"/>
  <c r="E260" i="15" s="1"/>
  <c r="E14" i="15"/>
  <c r="D259" i="15" s="1"/>
  <c r="D181" i="15"/>
  <c r="D179" i="15"/>
  <c r="D177" i="15"/>
  <c r="D175" i="15"/>
  <c r="AY14" i="16"/>
  <c r="AY10" i="16" s="1"/>
  <c r="AY15" i="16"/>
  <c r="AY16" i="16"/>
  <c r="AY13" i="16"/>
  <c r="AY17" i="16"/>
  <c r="AY29" i="16"/>
  <c r="AX14" i="16"/>
  <c r="AX10" i="16" s="1"/>
  <c r="AX13" i="16" s="1"/>
  <c r="AX15" i="16"/>
  <c r="AX16" i="16"/>
  <c r="AX17" i="16"/>
  <c r="AX29" i="16"/>
  <c r="AW14" i="16"/>
  <c r="AW10" i="16" s="1"/>
  <c r="AW13" i="16" s="1"/>
  <c r="AW15" i="16"/>
  <c r="AW16" i="16"/>
  <c r="AW17" i="16"/>
  <c r="AW29" i="16"/>
  <c r="AV14" i="16"/>
  <c r="AV15" i="16"/>
  <c r="AV16" i="16"/>
  <c r="AV17" i="16"/>
  <c r="AV29" i="16"/>
  <c r="AU14" i="16"/>
  <c r="AU15" i="16"/>
  <c r="AU16" i="16"/>
  <c r="AU10" i="16" s="1"/>
  <c r="AU13" i="16" s="1"/>
  <c r="AU17" i="16"/>
  <c r="AU29" i="16"/>
  <c r="AT14" i="16"/>
  <c r="AT15" i="16"/>
  <c r="AT16" i="16"/>
  <c r="AT10" i="16"/>
  <c r="AT13" i="16"/>
  <c r="AT17" i="16"/>
  <c r="AT29" i="16"/>
  <c r="AS14" i="16"/>
  <c r="AS15" i="16"/>
  <c r="AS16" i="16"/>
  <c r="AS10" i="16" s="1"/>
  <c r="AS13" i="16" s="1"/>
  <c r="AS17" i="16"/>
  <c r="AS29" i="16"/>
  <c r="AR14" i="16"/>
  <c r="AR15" i="16"/>
  <c r="AR16" i="16"/>
  <c r="AR10" i="16"/>
  <c r="AR13" i="16" s="1"/>
  <c r="AR17" i="16"/>
  <c r="AR29" i="16"/>
  <c r="AQ14" i="16"/>
  <c r="AQ10" i="16" s="1"/>
  <c r="AQ15" i="16"/>
  <c r="AQ16" i="16"/>
  <c r="AQ13" i="16"/>
  <c r="AQ17" i="16"/>
  <c r="AQ29" i="16"/>
  <c r="AP14" i="16"/>
  <c r="AP10" i="16" s="1"/>
  <c r="AP13" i="16" s="1"/>
  <c r="AP15" i="16"/>
  <c r="AP16" i="16"/>
  <c r="AP17" i="16"/>
  <c r="AP29" i="16"/>
  <c r="AO14" i="16"/>
  <c r="AO15" i="16"/>
  <c r="AO16" i="16"/>
  <c r="AO17" i="16"/>
  <c r="AO29" i="16"/>
  <c r="AN14" i="16"/>
  <c r="AN15" i="16"/>
  <c r="AN16" i="16"/>
  <c r="AN10" i="16"/>
  <c r="AN13" i="16" s="1"/>
  <c r="AN17" i="16"/>
  <c r="AN29" i="16"/>
  <c r="AM14" i="16"/>
  <c r="AM15" i="16"/>
  <c r="AM16" i="16"/>
  <c r="AM10" i="16"/>
  <c r="AM13" i="16" s="1"/>
  <c r="AM17" i="16"/>
  <c r="AM29" i="16"/>
  <c r="AL14" i="16"/>
  <c r="AL15" i="16"/>
  <c r="AL16" i="16"/>
  <c r="AL10" i="16"/>
  <c r="AL13" i="16"/>
  <c r="AL17" i="16"/>
  <c r="AL29" i="16"/>
  <c r="AK14" i="16"/>
  <c r="AK15" i="16"/>
  <c r="AK16" i="16"/>
  <c r="AK10" i="16" s="1"/>
  <c r="AK13" i="16" s="1"/>
  <c r="AK17" i="16"/>
  <c r="AK29" i="16"/>
  <c r="AJ14" i="16"/>
  <c r="AJ15" i="16"/>
  <c r="AJ16" i="16"/>
  <c r="AJ10" i="16"/>
  <c r="AJ13" i="16" s="1"/>
  <c r="AJ17" i="16"/>
  <c r="AJ29" i="16"/>
  <c r="AI14" i="16"/>
  <c r="AI10" i="16" s="1"/>
  <c r="AI15" i="16"/>
  <c r="AI16" i="16"/>
  <c r="AI13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6" i="16"/>
  <c r="AG17" i="16"/>
  <c r="AG29" i="16"/>
  <c r="AF14" i="16"/>
  <c r="AF15" i="16"/>
  <c r="AF16" i="16"/>
  <c r="AF10" i="16"/>
  <c r="AF13" i="16" s="1"/>
  <c r="AF17" i="16"/>
  <c r="AF29" i="16"/>
  <c r="AE14" i="16"/>
  <c r="AE15" i="16"/>
  <c r="AE16" i="16"/>
  <c r="AE10" i="16"/>
  <c r="AE13" i="16" s="1"/>
  <c r="AE17" i="16"/>
  <c r="AE29" i="16"/>
  <c r="AD14" i="16"/>
  <c r="AD15" i="16"/>
  <c r="AD10" i="16" s="1"/>
  <c r="AD13" i="16" s="1"/>
  <c r="AD16" i="16"/>
  <c r="AD17" i="16"/>
  <c r="AD29" i="16"/>
  <c r="AC14" i="16"/>
  <c r="AC10" i="16" s="1"/>
  <c r="AC13" i="16" s="1"/>
  <c r="AC15" i="16"/>
  <c r="AC16" i="16"/>
  <c r="AC17" i="16"/>
  <c r="AC29" i="16"/>
  <c r="AB14" i="16"/>
  <c r="AB15" i="16"/>
  <c r="AB16" i="16"/>
  <c r="AB10" i="16"/>
  <c r="AB13" i="16" s="1"/>
  <c r="AB17" i="16"/>
  <c r="AB29" i="16"/>
  <c r="AA21" i="16"/>
  <c r="AA33" i="16" s="1"/>
  <c r="AA39" i="16" s="1"/>
  <c r="AA22" i="16"/>
  <c r="AA45" i="16" s="1"/>
  <c r="AA23" i="16"/>
  <c r="AA24" i="16"/>
  <c r="AA29" i="16"/>
  <c r="AA34" i="16"/>
  <c r="AA44" i="16"/>
  <c r="AA51" i="16"/>
  <c r="Z14" i="16"/>
  <c r="Z15" i="16"/>
  <c r="AA16" i="16" s="1"/>
  <c r="Z16" i="16"/>
  <c r="AA17" i="16" s="1"/>
  <c r="Z17" i="16"/>
  <c r="Z29" i="16"/>
  <c r="Y14" i="16"/>
  <c r="Y15" i="16"/>
  <c r="Y16" i="16"/>
  <c r="Y10" i="16"/>
  <c r="Y13" i="16" s="1"/>
  <c r="Y17" i="16"/>
  <c r="Y29" i="16"/>
  <c r="X14" i="16"/>
  <c r="X15" i="16"/>
  <c r="X16" i="16"/>
  <c r="X10" i="16"/>
  <c r="X13" i="16" s="1"/>
  <c r="X17" i="16"/>
  <c r="X29" i="16"/>
  <c r="W14" i="16"/>
  <c r="W15" i="16"/>
  <c r="W16" i="16"/>
  <c r="W10" i="16"/>
  <c r="W13" i="16" s="1"/>
  <c r="W17" i="16"/>
  <c r="W29" i="16"/>
  <c r="V14" i="16"/>
  <c r="V15" i="16"/>
  <c r="V10" i="16" s="1"/>
  <c r="V13" i="16" s="1"/>
  <c r="V16" i="16"/>
  <c r="V17" i="16"/>
  <c r="V29" i="16"/>
  <c r="U14" i="16"/>
  <c r="U15" i="16"/>
  <c r="U16" i="16"/>
  <c r="U17" i="16"/>
  <c r="U29" i="16"/>
  <c r="T14" i="16"/>
  <c r="T21" i="16"/>
  <c r="T44" i="16" s="1"/>
  <c r="T22" i="16"/>
  <c r="T23" i="16"/>
  <c r="T29" i="16"/>
  <c r="T33" i="16"/>
  <c r="T50" i="16"/>
  <c r="S14" i="16"/>
  <c r="S10" i="16" s="1"/>
  <c r="S13" i="16" s="1"/>
  <c r="S15" i="16"/>
  <c r="T16" i="16" s="1"/>
  <c r="S16" i="16"/>
  <c r="T17" i="16" s="1"/>
  <c r="S17" i="16"/>
  <c r="S29" i="16"/>
  <c r="R14" i="16"/>
  <c r="R15" i="16"/>
  <c r="R16" i="16"/>
  <c r="R10" i="16"/>
  <c r="R13" i="16" s="1"/>
  <c r="R17" i="16"/>
  <c r="R29" i="16"/>
  <c r="Q14" i="16"/>
  <c r="Q15" i="16"/>
  <c r="Q10" i="16" s="1"/>
  <c r="Q16" i="16"/>
  <c r="Q13" i="16"/>
  <c r="Q17" i="16"/>
  <c r="Q29" i="16"/>
  <c r="P14" i="16"/>
  <c r="P10" i="16" s="1"/>
  <c r="P13" i="16" s="1"/>
  <c r="P15" i="16"/>
  <c r="P16" i="16"/>
  <c r="P17" i="16"/>
  <c r="P29" i="16"/>
  <c r="O14" i="16"/>
  <c r="O15" i="16"/>
  <c r="O16" i="16"/>
  <c r="O10" i="16" s="1"/>
  <c r="O13" i="16"/>
  <c r="O17" i="16"/>
  <c r="O29" i="16"/>
  <c r="N14" i="16"/>
  <c r="N10" i="16" s="1"/>
  <c r="N13" i="16" s="1"/>
  <c r="N15" i="16"/>
  <c r="N16" i="16"/>
  <c r="N17" i="16"/>
  <c r="N29" i="16"/>
  <c r="M14" i="16"/>
  <c r="M10" i="16" s="1"/>
  <c r="M13" i="16" s="1"/>
  <c r="M15" i="16"/>
  <c r="M16" i="16"/>
  <c r="M17" i="16"/>
  <c r="M29" i="16"/>
  <c r="L14" i="16"/>
  <c r="L15" i="16"/>
  <c r="L16" i="16"/>
  <c r="L17" i="16"/>
  <c r="L29" i="16"/>
  <c r="K14" i="16"/>
  <c r="K10" i="16" s="1"/>
  <c r="K13" i="16" s="1"/>
  <c r="K15" i="16"/>
  <c r="K16" i="16"/>
  <c r="K17" i="16"/>
  <c r="K29" i="16"/>
  <c r="J14" i="16"/>
  <c r="J15" i="16"/>
  <c r="J16" i="16"/>
  <c r="J10" i="16" s="1"/>
  <c r="J13" i="16"/>
  <c r="J17" i="16"/>
  <c r="J29" i="16"/>
  <c r="I14" i="16"/>
  <c r="I10" i="16" s="1"/>
  <c r="I13" i="16" s="1"/>
  <c r="I15" i="16"/>
  <c r="I16" i="16"/>
  <c r="I17" i="16"/>
  <c r="I29" i="16"/>
  <c r="H14" i="16"/>
  <c r="H15" i="16"/>
  <c r="H16" i="16"/>
  <c r="H10" i="16"/>
  <c r="H13" i="16" s="1"/>
  <c r="H17" i="16"/>
  <c r="H29" i="16"/>
  <c r="G14" i="16"/>
  <c r="G15" i="16"/>
  <c r="G16" i="16"/>
  <c r="G10" i="16"/>
  <c r="G13" i="16"/>
  <c r="G17" i="16"/>
  <c r="G29" i="16"/>
  <c r="F21" i="16"/>
  <c r="F22" i="16"/>
  <c r="F24" i="16" s="1"/>
  <c r="F23" i="16"/>
  <c r="F29" i="16"/>
  <c r="F33" i="16"/>
  <c r="F44" i="16"/>
  <c r="F45" i="16"/>
  <c r="F51" i="16"/>
  <c r="E21" i="16"/>
  <c r="E22" i="16"/>
  <c r="E23" i="16"/>
  <c r="E29" i="16"/>
  <c r="D14" i="16"/>
  <c r="D15" i="16"/>
  <c r="E16" i="16" s="1"/>
  <c r="F17" i="16" s="1"/>
  <c r="D16" i="16"/>
  <c r="E17" i="16" s="1"/>
  <c r="D17" i="16"/>
  <c r="D27" i="16"/>
  <c r="D29" i="16"/>
  <c r="AY14" i="17"/>
  <c r="AY15" i="17"/>
  <c r="AY16" i="17"/>
  <c r="AY10" i="17"/>
  <c r="AY13" i="17" s="1"/>
  <c r="AY17" i="17"/>
  <c r="AY29" i="17"/>
  <c r="AX14" i="17"/>
  <c r="AX15" i="17"/>
  <c r="AX16" i="17"/>
  <c r="AX10" i="17"/>
  <c r="AX13" i="17" s="1"/>
  <c r="AX17" i="17"/>
  <c r="AX29" i="17"/>
  <c r="AW14" i="17"/>
  <c r="AW15" i="17"/>
  <c r="AW16" i="17"/>
  <c r="AW10" i="17"/>
  <c r="AW13" i="17" s="1"/>
  <c r="AW17" i="17"/>
  <c r="AW29" i="17"/>
  <c r="AV16" i="17"/>
  <c r="AV17" i="17"/>
  <c r="AV21" i="17"/>
  <c r="AV23" i="17" s="1"/>
  <c r="AV22" i="17"/>
  <c r="AV24" i="17" s="1"/>
  <c r="AV29" i="17"/>
  <c r="AV34" i="17"/>
  <c r="AV40" i="17" s="1"/>
  <c r="AV44" i="17"/>
  <c r="AV45" i="17"/>
  <c r="AV51" i="17" s="1"/>
  <c r="AU14" i="17"/>
  <c r="AV15" i="17" s="1"/>
  <c r="AU15" i="17"/>
  <c r="AU16" i="17"/>
  <c r="AU10" i="17"/>
  <c r="AU13" i="17"/>
  <c r="AV14" i="17" s="1"/>
  <c r="AV10" i="17" s="1"/>
  <c r="AV13" i="17" s="1"/>
  <c r="AU17" i="17"/>
  <c r="AU29" i="17"/>
  <c r="AT14" i="17"/>
  <c r="AT15" i="17"/>
  <c r="AT16" i="17"/>
  <c r="AT17" i="17"/>
  <c r="AT29" i="17"/>
  <c r="AS17" i="17"/>
  <c r="AS21" i="17"/>
  <c r="AS22" i="17"/>
  <c r="AS29" i="17"/>
  <c r="AS33" i="17"/>
  <c r="AR14" i="17"/>
  <c r="AR15" i="17"/>
  <c r="AS16" i="17" s="1"/>
  <c r="AR16" i="17"/>
  <c r="AR17" i="17"/>
  <c r="AR29" i="17"/>
  <c r="AQ14" i="17"/>
  <c r="AQ15" i="17"/>
  <c r="AQ16" i="17"/>
  <c r="AQ10" i="17"/>
  <c r="AQ13" i="17" s="1"/>
  <c r="AQ17" i="17"/>
  <c r="AQ29" i="17"/>
  <c r="AP14" i="17"/>
  <c r="AP10" i="17" s="1"/>
  <c r="AP13" i="17" s="1"/>
  <c r="AP15" i="17"/>
  <c r="AP16" i="17"/>
  <c r="AP17" i="17"/>
  <c r="AP29" i="17"/>
  <c r="AO14" i="17"/>
  <c r="AO15" i="17"/>
  <c r="AO16" i="17"/>
  <c r="AO10" i="17" s="1"/>
  <c r="AO13" i="17"/>
  <c r="AO17" i="17"/>
  <c r="AO29" i="17"/>
  <c r="AN14" i="17"/>
  <c r="AN15" i="17"/>
  <c r="AN10" i="17" s="1"/>
  <c r="AN16" i="17"/>
  <c r="AN13" i="17"/>
  <c r="AN17" i="17"/>
  <c r="AN29" i="17"/>
  <c r="AM14" i="17"/>
  <c r="AM15" i="17"/>
  <c r="AM16" i="17"/>
  <c r="AM17" i="17"/>
  <c r="AM29" i="17"/>
  <c r="AL14" i="17"/>
  <c r="AL15" i="17"/>
  <c r="AL16" i="17"/>
  <c r="AL10" i="17"/>
  <c r="AL13" i="17" s="1"/>
  <c r="AL17" i="17"/>
  <c r="AL29" i="17"/>
  <c r="AK14" i="17"/>
  <c r="AK15" i="17"/>
  <c r="AK16" i="17"/>
  <c r="AK10" i="17"/>
  <c r="AK13" i="17" s="1"/>
  <c r="AK17" i="17"/>
  <c r="AK29" i="17"/>
  <c r="AJ14" i="17"/>
  <c r="AJ10" i="17" s="1"/>
  <c r="AJ13" i="17" s="1"/>
  <c r="AJ15" i="17"/>
  <c r="AJ16" i="17"/>
  <c r="AJ17" i="17"/>
  <c r="AJ29" i="17"/>
  <c r="AI14" i="17"/>
  <c r="AI10" i="17" s="1"/>
  <c r="AI13" i="17" s="1"/>
  <c r="AI15" i="17"/>
  <c r="AI16" i="17"/>
  <c r="AI17" i="17"/>
  <c r="AI29" i="17"/>
  <c r="AH15" i="17"/>
  <c r="AH21" i="17"/>
  <c r="AH22" i="17"/>
  <c r="AH23" i="17"/>
  <c r="AH29" i="17"/>
  <c r="AG14" i="17"/>
  <c r="AG10" i="17" s="1"/>
  <c r="AG13" i="17" s="1"/>
  <c r="AH14" i="17" s="1"/>
  <c r="AG15" i="17"/>
  <c r="AH16" i="17" s="1"/>
  <c r="AG16" i="17"/>
  <c r="AH17" i="17" s="1"/>
  <c r="AG17" i="17"/>
  <c r="AG29" i="17"/>
  <c r="AF14" i="17"/>
  <c r="AF15" i="17"/>
  <c r="AF16" i="17"/>
  <c r="AF10" i="17" s="1"/>
  <c r="AF13" i="17" s="1"/>
  <c r="AF17" i="17"/>
  <c r="AF29" i="17"/>
  <c r="AE14" i="17"/>
  <c r="AE15" i="17"/>
  <c r="AE16" i="17"/>
  <c r="AE10" i="17"/>
  <c r="AE13" i="17" s="1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0" i="17"/>
  <c r="AC13" i="17" s="1"/>
  <c r="AC17" i="17"/>
  <c r="AC29" i="17"/>
  <c r="AB14" i="17"/>
  <c r="AB10" i="17" s="1"/>
  <c r="AB15" i="17"/>
  <c r="AB16" i="17"/>
  <c r="AB13" i="17"/>
  <c r="AB17" i="17"/>
  <c r="AB29" i="17"/>
  <c r="AA14" i="17"/>
  <c r="AA15" i="17"/>
  <c r="AA16" i="17"/>
  <c r="AA17" i="17"/>
  <c r="AA29" i="17"/>
  <c r="Z14" i="17"/>
  <c r="Z10" i="17" s="1"/>
  <c r="Z13" i="17" s="1"/>
  <c r="Z15" i="17"/>
  <c r="Z16" i="17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7" i="17"/>
  <c r="X29" i="17"/>
  <c r="W14" i="17"/>
  <c r="W15" i="17"/>
  <c r="W16" i="17"/>
  <c r="W10" i="17"/>
  <c r="W13" i="17" s="1"/>
  <c r="W17" i="17"/>
  <c r="W29" i="17"/>
  <c r="V14" i="17"/>
  <c r="V15" i="17"/>
  <c r="V16" i="17"/>
  <c r="V10" i="17" s="1"/>
  <c r="V13" i="17"/>
  <c r="V17" i="17"/>
  <c r="V29" i="17"/>
  <c r="U14" i="17"/>
  <c r="U15" i="17"/>
  <c r="U16" i="17"/>
  <c r="U10" i="17"/>
  <c r="U13" i="17" s="1"/>
  <c r="U17" i="17"/>
  <c r="U29" i="17"/>
  <c r="T14" i="17"/>
  <c r="T15" i="17"/>
  <c r="T16" i="17"/>
  <c r="T17" i="17"/>
  <c r="T29" i="17"/>
  <c r="S14" i="17"/>
  <c r="S15" i="17"/>
  <c r="S16" i="17"/>
  <c r="S17" i="17"/>
  <c r="S29" i="17"/>
  <c r="R14" i="17"/>
  <c r="R15" i="17"/>
  <c r="R16" i="17"/>
  <c r="R10" i="17"/>
  <c r="R13" i="17" s="1"/>
  <c r="R17" i="17"/>
  <c r="R29" i="17"/>
  <c r="Q14" i="17"/>
  <c r="Q15" i="17"/>
  <c r="Q16" i="17"/>
  <c r="Q10" i="17"/>
  <c r="Q13" i="17" s="1"/>
  <c r="Q17" i="17"/>
  <c r="Q29" i="17"/>
  <c r="P14" i="17"/>
  <c r="P15" i="17"/>
  <c r="P16" i="17"/>
  <c r="P17" i="17"/>
  <c r="P29" i="17"/>
  <c r="O14" i="17"/>
  <c r="O15" i="17"/>
  <c r="O10" i="17" s="1"/>
  <c r="O13" i="17" s="1"/>
  <c r="O16" i="17"/>
  <c r="O17" i="17"/>
  <c r="O29" i="17"/>
  <c r="N14" i="17"/>
  <c r="N10" i="17" s="1"/>
  <c r="N15" i="17"/>
  <c r="N16" i="17"/>
  <c r="N13" i="17"/>
  <c r="N17" i="17"/>
  <c r="N29" i="17"/>
  <c r="M14" i="17"/>
  <c r="M10" i="17" s="1"/>
  <c r="M13" i="17" s="1"/>
  <c r="M15" i="17"/>
  <c r="M16" i="17"/>
  <c r="M17" i="17"/>
  <c r="M29" i="17"/>
  <c r="L14" i="17"/>
  <c r="L10" i="17" s="1"/>
  <c r="L13" i="17" s="1"/>
  <c r="L15" i="17"/>
  <c r="L16" i="17"/>
  <c r="L17" i="17"/>
  <c r="L29" i="17"/>
  <c r="K14" i="17"/>
  <c r="K15" i="17"/>
  <c r="K16" i="17"/>
  <c r="K17" i="17"/>
  <c r="K29" i="17"/>
  <c r="J14" i="17"/>
  <c r="J10" i="17" s="1"/>
  <c r="J13" i="17" s="1"/>
  <c r="J15" i="17"/>
  <c r="J16" i="17"/>
  <c r="J17" i="17"/>
  <c r="J29" i="17"/>
  <c r="I14" i="17"/>
  <c r="I15" i="17"/>
  <c r="I10" i="17" s="1"/>
  <c r="I13" i="17" s="1"/>
  <c r="I16" i="17"/>
  <c r="I17" i="17"/>
  <c r="I29" i="17"/>
  <c r="H14" i="17"/>
  <c r="H15" i="17"/>
  <c r="H16" i="17"/>
  <c r="H10" i="17"/>
  <c r="H13" i="17" s="1"/>
  <c r="H17" i="17"/>
  <c r="H29" i="17"/>
  <c r="G14" i="17"/>
  <c r="G15" i="17"/>
  <c r="G16" i="17"/>
  <c r="G10" i="17"/>
  <c r="G13" i="17" s="1"/>
  <c r="G17" i="17"/>
  <c r="G29" i="17"/>
  <c r="F14" i="17"/>
  <c r="F10" i="17" s="1"/>
  <c r="F13" i="17" s="1"/>
  <c r="F15" i="17"/>
  <c r="F16" i="17"/>
  <c r="F17" i="17"/>
  <c r="F29" i="17"/>
  <c r="E14" i="17"/>
  <c r="E15" i="17"/>
  <c r="E10" i="17" s="1"/>
  <c r="E13" i="17" s="1"/>
  <c r="E16" i="17"/>
  <c r="E17" i="17"/>
  <c r="E29" i="17"/>
  <c r="D14" i="17"/>
  <c r="D10" i="17" s="1"/>
  <c r="D15" i="17"/>
  <c r="D16" i="17"/>
  <c r="D17" i="17"/>
  <c r="D27" i="17"/>
  <c r="D29" i="17"/>
  <c r="AY14" i="18"/>
  <c r="AY15" i="18"/>
  <c r="AY10" i="18" s="1"/>
  <c r="AY13" i="18" s="1"/>
  <c r="AY16" i="18"/>
  <c r="AY17" i="18"/>
  <c r="AY29" i="18"/>
  <c r="AX14" i="18"/>
  <c r="AX15" i="18"/>
  <c r="AX16" i="18"/>
  <c r="AX17" i="18"/>
  <c r="AX29" i="18"/>
  <c r="AW14" i="18"/>
  <c r="AW15" i="18"/>
  <c r="AW16" i="18"/>
  <c r="AW10" i="18"/>
  <c r="AW13" i="18" s="1"/>
  <c r="AW17" i="18"/>
  <c r="AW29" i="18"/>
  <c r="AV14" i="18"/>
  <c r="AV15" i="18"/>
  <c r="AV16" i="18"/>
  <c r="AV17" i="18"/>
  <c r="AV29" i="18"/>
  <c r="AU14" i="18"/>
  <c r="AU15" i="18"/>
  <c r="AU16" i="18"/>
  <c r="AU10" i="18"/>
  <c r="AU13" i="18" s="1"/>
  <c r="AU17" i="18"/>
  <c r="AU29" i="18"/>
  <c r="AT14" i="18"/>
  <c r="AT10" i="18" s="1"/>
  <c r="AT13" i="18" s="1"/>
  <c r="AT15" i="18"/>
  <c r="AT16" i="18"/>
  <c r="AT17" i="18"/>
  <c r="AT29" i="18"/>
  <c r="AS14" i="18"/>
  <c r="AS15" i="18"/>
  <c r="AS10" i="18" s="1"/>
  <c r="AS13" i="18" s="1"/>
  <c r="AS16" i="18"/>
  <c r="AS17" i="18"/>
  <c r="AS29" i="18"/>
  <c r="AR14" i="18"/>
  <c r="AR10" i="18" s="1"/>
  <c r="AR13" i="18" s="1"/>
  <c r="AR15" i="18"/>
  <c r="AR16" i="18"/>
  <c r="AR17" i="18"/>
  <c r="AR29" i="18"/>
  <c r="AQ14" i="18"/>
  <c r="AQ15" i="18"/>
  <c r="AQ16" i="18"/>
  <c r="AQ10" i="18"/>
  <c r="AQ13" i="18" s="1"/>
  <c r="AQ17" i="18"/>
  <c r="AQ29" i="18"/>
  <c r="AP14" i="18"/>
  <c r="AP10" i="18" s="1"/>
  <c r="AP13" i="18" s="1"/>
  <c r="AP15" i="18"/>
  <c r="AP16" i="18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0" i="18" s="1"/>
  <c r="AN16" i="18"/>
  <c r="AN13" i="18"/>
  <c r="AN17" i="18"/>
  <c r="AN29" i="18"/>
  <c r="AM14" i="18"/>
  <c r="AM15" i="18"/>
  <c r="AM16" i="18"/>
  <c r="AM10" i="18" s="1"/>
  <c r="AM13" i="18" s="1"/>
  <c r="AM17" i="18"/>
  <c r="AM29" i="18"/>
  <c r="AL14" i="18"/>
  <c r="AL15" i="18"/>
  <c r="AL16" i="18"/>
  <c r="AL10" i="18"/>
  <c r="AL13" i="18" s="1"/>
  <c r="AL17" i="18"/>
  <c r="AL29" i="18"/>
  <c r="AK15" i="18"/>
  <c r="AK17" i="18"/>
  <c r="AK21" i="18"/>
  <c r="AK44" i="18" s="1"/>
  <c r="AK22" i="18"/>
  <c r="AK24" i="18" s="1"/>
  <c r="AK29" i="18"/>
  <c r="AK33" i="18"/>
  <c r="AK50" i="18"/>
  <c r="AJ14" i="18"/>
  <c r="AJ15" i="18"/>
  <c r="AK16" i="18" s="1"/>
  <c r="AJ16" i="18"/>
  <c r="AJ17" i="18"/>
  <c r="AJ29" i="18"/>
  <c r="AI21" i="18"/>
  <c r="AI22" i="18"/>
  <c r="AI45" i="18" s="1"/>
  <c r="AI51" i="18" s="1"/>
  <c r="AI29" i="18"/>
  <c r="AH14" i="18"/>
  <c r="AH15" i="18"/>
  <c r="AI16" i="18" s="1"/>
  <c r="AH16" i="18"/>
  <c r="AI17" i="18" s="1"/>
  <c r="AH17" i="18"/>
  <c r="AH29" i="18"/>
  <c r="AG14" i="18"/>
  <c r="AG15" i="18"/>
  <c r="AG16" i="18"/>
  <c r="AG10" i="18"/>
  <c r="AG13" i="18" s="1"/>
  <c r="AG17" i="18"/>
  <c r="AG29" i="18"/>
  <c r="AF14" i="18"/>
  <c r="AF15" i="18"/>
  <c r="AF16" i="18"/>
  <c r="AF10" i="18" s="1"/>
  <c r="AF13" i="18"/>
  <c r="AF17" i="18"/>
  <c r="AF29" i="18"/>
  <c r="AE16" i="18"/>
  <c r="AE17" i="18"/>
  <c r="AE21" i="18"/>
  <c r="AE22" i="18"/>
  <c r="AE23" i="18"/>
  <c r="AE29" i="18"/>
  <c r="AE33" i="18"/>
  <c r="AE39" i="18" s="1"/>
  <c r="AE44" i="18"/>
  <c r="AE45" i="18"/>
  <c r="AE51" i="18" s="1"/>
  <c r="AE50" i="18"/>
  <c r="AD14" i="18"/>
  <c r="AE15" i="18" s="1"/>
  <c r="AD15" i="18"/>
  <c r="AD16" i="18"/>
  <c r="AD10" i="18"/>
  <c r="AD13" i="18" s="1"/>
  <c r="AE14" i="18" s="1"/>
  <c r="AE10" i="18" s="1"/>
  <c r="AE13" i="18" s="1"/>
  <c r="AD17" i="18"/>
  <c r="AD29" i="18"/>
  <c r="AC14" i="18"/>
  <c r="AC15" i="18"/>
  <c r="AC10" i="18" s="1"/>
  <c r="AC13" i="18" s="1"/>
  <c r="AC16" i="18"/>
  <c r="AC17" i="18"/>
  <c r="AC29" i="18"/>
  <c r="AB14" i="18"/>
  <c r="AB10" i="18" s="1"/>
  <c r="AB13" i="18" s="1"/>
  <c r="AC21" i="18" s="1"/>
  <c r="AB15" i="18"/>
  <c r="AB16" i="18"/>
  <c r="AB17" i="18"/>
  <c r="AB29" i="18"/>
  <c r="AA14" i="18"/>
  <c r="AA15" i="18"/>
  <c r="AA10" i="18" s="1"/>
  <c r="AA13" i="18" s="1"/>
  <c r="AA16" i="18"/>
  <c r="AA17" i="18"/>
  <c r="AA29" i="18"/>
  <c r="Z14" i="18"/>
  <c r="Z15" i="18"/>
  <c r="Z16" i="18"/>
  <c r="Z17" i="18"/>
  <c r="Z29" i="18"/>
  <c r="Y14" i="18"/>
  <c r="Y15" i="18"/>
  <c r="Y10" i="18" s="1"/>
  <c r="Y13" i="18" s="1"/>
  <c r="Y16" i="18"/>
  <c r="Y17" i="18"/>
  <c r="Y29" i="18"/>
  <c r="X14" i="18"/>
  <c r="X10" i="18" s="1"/>
  <c r="X15" i="18"/>
  <c r="X16" i="18"/>
  <c r="X13" i="18"/>
  <c r="X17" i="18"/>
  <c r="X21" i="18"/>
  <c r="X29" i="18"/>
  <c r="W14" i="18"/>
  <c r="W15" i="18"/>
  <c r="W10" i="18" s="1"/>
  <c r="W13" i="18" s="1"/>
  <c r="W16" i="18"/>
  <c r="W17" i="18"/>
  <c r="W29" i="18"/>
  <c r="V14" i="18"/>
  <c r="V10" i="18" s="1"/>
  <c r="V13" i="18" s="1"/>
  <c r="W21" i="18" s="1"/>
  <c r="V15" i="18"/>
  <c r="V16" i="18"/>
  <c r="V17" i="18"/>
  <c r="V29" i="18"/>
  <c r="U14" i="18"/>
  <c r="U15" i="18"/>
  <c r="U10" i="18" s="1"/>
  <c r="U13" i="18" s="1"/>
  <c r="U16" i="18"/>
  <c r="U17" i="18"/>
  <c r="U29" i="18"/>
  <c r="T14" i="18"/>
  <c r="T10" i="18" s="1"/>
  <c r="T13" i="18" s="1"/>
  <c r="U21" i="18" s="1"/>
  <c r="T15" i="18"/>
  <c r="T16" i="18"/>
  <c r="T17" i="18"/>
  <c r="T29" i="18"/>
  <c r="S14" i="18"/>
  <c r="S15" i="18"/>
  <c r="S16" i="18"/>
  <c r="S10" i="18"/>
  <c r="S13" i="18" s="1"/>
  <c r="S17" i="18"/>
  <c r="S29" i="18"/>
  <c r="R14" i="18"/>
  <c r="R15" i="18"/>
  <c r="R16" i="18"/>
  <c r="R10" i="18" s="1"/>
  <c r="R13" i="18" s="1"/>
  <c r="R17" i="18"/>
  <c r="R29" i="18"/>
  <c r="Q14" i="18"/>
  <c r="Q15" i="18"/>
  <c r="Q16" i="18"/>
  <c r="Q10" i="18"/>
  <c r="Q13" i="18" s="1"/>
  <c r="Q17" i="18"/>
  <c r="Q29" i="18"/>
  <c r="P14" i="18"/>
  <c r="P10" i="18" s="1"/>
  <c r="P15" i="18"/>
  <c r="P16" i="18"/>
  <c r="P13" i="18"/>
  <c r="P17" i="18"/>
  <c r="P29" i="18"/>
  <c r="O14" i="18"/>
  <c r="O15" i="18"/>
  <c r="O10" i="18" s="1"/>
  <c r="O13" i="18" s="1"/>
  <c r="P21" i="18" s="1"/>
  <c r="O16" i="18"/>
  <c r="O17" i="18"/>
  <c r="O29" i="18"/>
  <c r="O33" i="18"/>
  <c r="O39" i="18" s="1"/>
  <c r="N14" i="18"/>
  <c r="N10" i="18" s="1"/>
  <c r="N13" i="18" s="1"/>
  <c r="O21" i="18" s="1"/>
  <c r="N15" i="18"/>
  <c r="N16" i="18"/>
  <c r="N17" i="18"/>
  <c r="N29" i="18"/>
  <c r="M14" i="18"/>
  <c r="M15" i="18"/>
  <c r="M10" i="18" s="1"/>
  <c r="M13" i="18" s="1"/>
  <c r="N21" i="18" s="1"/>
  <c r="M16" i="18"/>
  <c r="M17" i="18"/>
  <c r="M29" i="18"/>
  <c r="L14" i="18"/>
  <c r="L15" i="18"/>
  <c r="L16" i="18"/>
  <c r="L17" i="18"/>
  <c r="L29" i="18"/>
  <c r="K14" i="18"/>
  <c r="K15" i="18"/>
  <c r="K10" i="18" s="1"/>
  <c r="K13" i="18" s="1"/>
  <c r="K16" i="18"/>
  <c r="K17" i="18"/>
  <c r="K29" i="18"/>
  <c r="J14" i="18"/>
  <c r="J15" i="18"/>
  <c r="J16" i="18"/>
  <c r="J10" i="18" s="1"/>
  <c r="J13" i="18" s="1"/>
  <c r="J17" i="18"/>
  <c r="J29" i="18"/>
  <c r="I14" i="18"/>
  <c r="I15" i="18"/>
  <c r="I16" i="18"/>
  <c r="I10" i="18"/>
  <c r="I13" i="18" s="1"/>
  <c r="I17" i="18"/>
  <c r="I29" i="18"/>
  <c r="H14" i="18"/>
  <c r="H10" i="18" s="1"/>
  <c r="H13" i="18" s="1"/>
  <c r="H15" i="18"/>
  <c r="H16" i="18"/>
  <c r="H17" i="18"/>
  <c r="H29" i="18"/>
  <c r="G14" i="18"/>
  <c r="G15" i="18"/>
  <c r="G10" i="18" s="1"/>
  <c r="G13" i="18" s="1"/>
  <c r="H21" i="18" s="1"/>
  <c r="G16" i="18"/>
  <c r="G17" i="18"/>
  <c r="G29" i="18"/>
  <c r="G33" i="18"/>
  <c r="G39" i="18" s="1"/>
  <c r="F14" i="18"/>
  <c r="F10" i="18" s="1"/>
  <c r="F13" i="18" s="1"/>
  <c r="G21" i="18" s="1"/>
  <c r="F15" i="18"/>
  <c r="F16" i="18"/>
  <c r="F17" i="18"/>
  <c r="F27" i="18"/>
  <c r="F29" i="18"/>
  <c r="E14" i="18"/>
  <c r="E15" i="18"/>
  <c r="E10" i="18" s="1"/>
  <c r="E13" i="18" s="1"/>
  <c r="E16" i="18"/>
  <c r="E17" i="18"/>
  <c r="E29" i="18"/>
  <c r="D14" i="18"/>
  <c r="D15" i="18"/>
  <c r="D16" i="18"/>
  <c r="D17" i="18"/>
  <c r="D23" i="18"/>
  <c r="D27" i="18"/>
  <c r="E27" i="18" s="1"/>
  <c r="E30" i="18" s="1"/>
  <c r="D29" i="18"/>
  <c r="B21" i="16"/>
  <c r="J21" i="16" s="1"/>
  <c r="B21" i="17"/>
  <c r="B21" i="18"/>
  <c r="D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P44" i="18" l="1"/>
  <c r="P33" i="18"/>
  <c r="P23" i="18"/>
  <c r="S21" i="18"/>
  <c r="S22" i="18"/>
  <c r="F22" i="18"/>
  <c r="F21" i="18"/>
  <c r="I21" i="18"/>
  <c r="I22" i="18"/>
  <c r="L21" i="18"/>
  <c r="L22" i="18"/>
  <c r="K21" i="18"/>
  <c r="K22" i="18"/>
  <c r="N33" i="18"/>
  <c r="N44" i="18"/>
  <c r="N23" i="18"/>
  <c r="H44" i="18"/>
  <c r="H33" i="18"/>
  <c r="H23" i="18"/>
  <c r="G44" i="18"/>
  <c r="G23" i="18"/>
  <c r="J22" i="18"/>
  <c r="Q21" i="18"/>
  <c r="Q22" i="18"/>
  <c r="U33" i="18"/>
  <c r="U23" i="18"/>
  <c r="U44" i="18"/>
  <c r="V22" i="18"/>
  <c r="W22" i="18"/>
  <c r="AG21" i="18"/>
  <c r="AG22" i="18"/>
  <c r="AQ21" i="18"/>
  <c r="AQ22" i="18"/>
  <c r="AU21" i="18"/>
  <c r="AU22" i="18"/>
  <c r="F22" i="17"/>
  <c r="F21" i="17"/>
  <c r="D30" i="18"/>
  <c r="D10" i="18"/>
  <c r="R22" i="18"/>
  <c r="R21" i="18"/>
  <c r="AD22" i="18"/>
  <c r="AD21" i="18"/>
  <c r="AO21" i="18"/>
  <c r="AO22" i="18"/>
  <c r="G27" i="18"/>
  <c r="F30" i="18"/>
  <c r="X44" i="18"/>
  <c r="X33" i="18"/>
  <c r="X23" i="18"/>
  <c r="AP21" i="18"/>
  <c r="AP22" i="18"/>
  <c r="D33" i="18"/>
  <c r="J21" i="18"/>
  <c r="W44" i="18"/>
  <c r="W23" i="18"/>
  <c r="X22" i="18"/>
  <c r="AK39" i="18"/>
  <c r="AK35" i="18"/>
  <c r="AN22" i="18"/>
  <c r="AN21" i="18"/>
  <c r="AV22" i="18"/>
  <c r="AV21" i="18"/>
  <c r="D34" i="18"/>
  <c r="D40" i="18" s="1"/>
  <c r="D24" i="18"/>
  <c r="D45" i="18"/>
  <c r="D51" i="18" s="1"/>
  <c r="T21" i="18"/>
  <c r="T22" i="18"/>
  <c r="AC44" i="18"/>
  <c r="AC23" i="18"/>
  <c r="J33" i="16"/>
  <c r="J23" i="16"/>
  <c r="J44" i="16"/>
  <c r="U22" i="18"/>
  <c r="AB21" i="18"/>
  <c r="AB22" i="18"/>
  <c r="AC33" i="18"/>
  <c r="AS21" i="18"/>
  <c r="AS22" i="18"/>
  <c r="P22" i="17"/>
  <c r="P21" i="17"/>
  <c r="H22" i="18"/>
  <c r="D21" i="17"/>
  <c r="V21" i="17"/>
  <c r="B22" i="17"/>
  <c r="N22" i="18"/>
  <c r="Y21" i="18"/>
  <c r="Y22" i="18"/>
  <c r="AM21" i="18"/>
  <c r="AM22" i="18"/>
  <c r="W33" i="18"/>
  <c r="AF22" i="18"/>
  <c r="AF21" i="18"/>
  <c r="L10" i="18"/>
  <c r="L13" i="18" s="1"/>
  <c r="O22" i="18"/>
  <c r="D44" i="18"/>
  <c r="G22" i="18"/>
  <c r="O44" i="18"/>
  <c r="O23" i="18"/>
  <c r="P22" i="18"/>
  <c r="V21" i="18"/>
  <c r="Z21" i="18"/>
  <c r="Z22" i="18"/>
  <c r="AH21" i="18"/>
  <c r="AH22" i="18"/>
  <c r="AX21" i="18"/>
  <c r="AX22" i="18"/>
  <c r="E27" i="17"/>
  <c r="D30" i="17"/>
  <c r="G21" i="17"/>
  <c r="G22" i="17"/>
  <c r="AE24" i="18"/>
  <c r="AE34" i="18"/>
  <c r="D13" i="17"/>
  <c r="H22" i="17"/>
  <c r="H21" i="17"/>
  <c r="J22" i="17"/>
  <c r="J21" i="17"/>
  <c r="AI34" i="18"/>
  <c r="AI40" i="18" s="1"/>
  <c r="AV10" i="18"/>
  <c r="AV13" i="18" s="1"/>
  <c r="AX10" i="18"/>
  <c r="AX13" i="18" s="1"/>
  <c r="S21" i="17"/>
  <c r="S22" i="17"/>
  <c r="AC22" i="17"/>
  <c r="AC21" i="17"/>
  <c r="AG21" i="17"/>
  <c r="AG22" i="17"/>
  <c r="AR21" i="17"/>
  <c r="AR22" i="17"/>
  <c r="AS15" i="17"/>
  <c r="AR10" i="17"/>
  <c r="AR13" i="17" s="1"/>
  <c r="AS14" i="17" s="1"/>
  <c r="Z10" i="18"/>
  <c r="Z13" i="18" s="1"/>
  <c r="AI24" i="18"/>
  <c r="AR22" i="18"/>
  <c r="K21" i="17"/>
  <c r="K22" i="17"/>
  <c r="V22" i="17"/>
  <c r="AK22" i="17"/>
  <c r="AK21" i="17"/>
  <c r="AT22" i="18"/>
  <c r="B22" i="16"/>
  <c r="AI21" i="16"/>
  <c r="D21" i="16"/>
  <c r="AJ21" i="16"/>
  <c r="AD21" i="16"/>
  <c r="O21" i="16"/>
  <c r="AI33" i="18"/>
  <c r="AI23" i="18"/>
  <c r="AI44" i="18"/>
  <c r="AJ10" i="18"/>
  <c r="AJ13" i="18" s="1"/>
  <c r="AK14" i="18" s="1"/>
  <c r="AK10" i="18" s="1"/>
  <c r="AK13" i="18" s="1"/>
  <c r="AT21" i="18"/>
  <c r="O22" i="17"/>
  <c r="O21" i="17"/>
  <c r="W22" i="17"/>
  <c r="W21" i="17"/>
  <c r="X22" i="17"/>
  <c r="X21" i="17"/>
  <c r="Z21" i="17"/>
  <c r="Z22" i="17"/>
  <c r="AE22" i="17"/>
  <c r="AE21" i="17"/>
  <c r="AH45" i="17"/>
  <c r="AH51" i="17" s="1"/>
  <c r="AH34" i="17"/>
  <c r="AH40" i="17" s="1"/>
  <c r="AH24" i="17"/>
  <c r="AM21" i="17"/>
  <c r="AM22" i="17"/>
  <c r="AS45" i="17"/>
  <c r="AS51" i="17" s="1"/>
  <c r="AS24" i="17"/>
  <c r="AS34" i="17"/>
  <c r="AS40" i="17" s="1"/>
  <c r="AH10" i="18"/>
  <c r="AH13" i="18" s="1"/>
  <c r="AI14" i="18" s="1"/>
  <c r="AI10" i="18" s="1"/>
  <c r="AI13" i="18" s="1"/>
  <c r="AC22" i="18"/>
  <c r="AK45" i="18"/>
  <c r="AK34" i="18"/>
  <c r="AK40" i="18" s="1"/>
  <c r="AR21" i="18"/>
  <c r="M21" i="17"/>
  <c r="N21" i="17"/>
  <c r="N22" i="17"/>
  <c r="AP21" i="17"/>
  <c r="AP22" i="17"/>
  <c r="AC21" i="16"/>
  <c r="AC22" i="16"/>
  <c r="I21" i="17"/>
  <c r="I22" i="17"/>
  <c r="S10" i="17"/>
  <c r="S13" i="17" s="1"/>
  <c r="AZ17" i="18"/>
  <c r="AE46" i="18"/>
  <c r="AI15" i="18"/>
  <c r="R22" i="17"/>
  <c r="R21" i="17"/>
  <c r="AA21" i="17"/>
  <c r="AA22" i="17"/>
  <c r="AD21" i="17"/>
  <c r="AD22" i="17"/>
  <c r="AK23" i="18"/>
  <c r="K10" i="17"/>
  <c r="K13" i="17" s="1"/>
  <c r="P10" i="17"/>
  <c r="P13" i="17" s="1"/>
  <c r="T10" i="17"/>
  <c r="T13" i="17" s="1"/>
  <c r="X10" i="17"/>
  <c r="X13" i="17" s="1"/>
  <c r="AL21" i="17"/>
  <c r="AL22" i="17"/>
  <c r="I21" i="16"/>
  <c r="I22" i="16"/>
  <c r="R22" i="16"/>
  <c r="R21" i="16"/>
  <c r="W22" i="16"/>
  <c r="W21" i="16"/>
  <c r="AG22" i="16"/>
  <c r="AG21" i="16"/>
  <c r="AN21" i="16"/>
  <c r="AN22" i="16"/>
  <c r="AV22" i="16"/>
  <c r="AA10" i="17"/>
  <c r="AA13" i="17" s="1"/>
  <c r="AF21" i="17"/>
  <c r="AF22" i="17"/>
  <c r="AJ21" i="17"/>
  <c r="E27" i="16"/>
  <c r="D30" i="16"/>
  <c r="N21" i="16"/>
  <c r="N22" i="16"/>
  <c r="AZ17" i="17"/>
  <c r="AH10" i="17"/>
  <c r="AH13" i="17" s="1"/>
  <c r="AQ21" i="17"/>
  <c r="AQ22" i="17"/>
  <c r="AS39" i="17"/>
  <c r="AS35" i="17"/>
  <c r="AW22" i="17"/>
  <c r="AW21" i="17"/>
  <c r="AE22" i="16"/>
  <c r="AE21" i="16"/>
  <c r="L138" i="12"/>
  <c r="D138" i="12"/>
  <c r="AA50" i="16"/>
  <c r="AA46" i="16"/>
  <c r="AK22" i="16"/>
  <c r="AK21" i="16"/>
  <c r="AO22" i="16"/>
  <c r="AO21" i="16"/>
  <c r="X21" i="16"/>
  <c r="X22" i="16"/>
  <c r="AH33" i="17"/>
  <c r="AH44" i="17"/>
  <c r="AM10" i="17"/>
  <c r="AM13" i="17" s="1"/>
  <c r="F50" i="16"/>
  <c r="F46" i="16"/>
  <c r="T34" i="16"/>
  <c r="T40" i="16" s="1"/>
  <c r="T24" i="16"/>
  <c r="AV21" i="16"/>
  <c r="BA14" i="14"/>
  <c r="H259" i="14"/>
  <c r="AO22" i="17"/>
  <c r="AO21" i="17"/>
  <c r="AS44" i="17"/>
  <c r="AS23" i="17"/>
  <c r="AX21" i="17"/>
  <c r="AX22" i="17"/>
  <c r="T15" i="16"/>
  <c r="T10" i="16" s="1"/>
  <c r="T13" i="16" s="1"/>
  <c r="AA35" i="16"/>
  <c r="AA40" i="16"/>
  <c r="AY21" i="17"/>
  <c r="AY22" i="17"/>
  <c r="J22" i="16"/>
  <c r="L21" i="16"/>
  <c r="O22" i="16"/>
  <c r="Q21" i="16"/>
  <c r="Q22" i="16"/>
  <c r="K127" i="13"/>
  <c r="G127" i="13"/>
  <c r="AV46" i="17"/>
  <c r="E44" i="16"/>
  <c r="E33" i="16"/>
  <c r="T45" i="16"/>
  <c r="T51" i="16" s="1"/>
  <c r="Y22" i="16"/>
  <c r="Y21" i="16"/>
  <c r="AV50" i="17"/>
  <c r="Z21" i="16"/>
  <c r="AQ22" i="16"/>
  <c r="AQ21" i="16"/>
  <c r="V260" i="14"/>
  <c r="AX21" i="16"/>
  <c r="AX22" i="16"/>
  <c r="N260" i="15"/>
  <c r="S260" i="14"/>
  <c r="AT10" i="17"/>
  <c r="AT13" i="17" s="1"/>
  <c r="D10" i="16"/>
  <c r="E15" i="16"/>
  <c r="F16" i="16" s="1"/>
  <c r="E24" i="16"/>
  <c r="E45" i="16"/>
  <c r="E51" i="16" s="1"/>
  <c r="E34" i="16"/>
  <c r="E40" i="16" s="1"/>
  <c r="F39" i="16"/>
  <c r="S21" i="16"/>
  <c r="AD22" i="16"/>
  <c r="O116" i="10"/>
  <c r="O121" i="10"/>
  <c r="O127" i="10" s="1"/>
  <c r="G121" i="10"/>
  <c r="G127" i="10" s="1"/>
  <c r="G116" i="10"/>
  <c r="K116" i="10"/>
  <c r="K120" i="10"/>
  <c r="K127" i="10" s="1"/>
  <c r="AV33" i="17"/>
  <c r="H22" i="16"/>
  <c r="H21" i="16"/>
  <c r="K21" i="16"/>
  <c r="P21" i="16"/>
  <c r="S22" i="16"/>
  <c r="T39" i="16"/>
  <c r="T35" i="16"/>
  <c r="AF21" i="16"/>
  <c r="AF22" i="16"/>
  <c r="AS22" i="16"/>
  <c r="AS21" i="16"/>
  <c r="N127" i="11"/>
  <c r="H127" i="11"/>
  <c r="U10" i="16"/>
  <c r="U13" i="16" s="1"/>
  <c r="AG10" i="16"/>
  <c r="AG13" i="16" s="1"/>
  <c r="AT21" i="16"/>
  <c r="AT22" i="16"/>
  <c r="AY22" i="16"/>
  <c r="AY21" i="16"/>
  <c r="F260" i="15"/>
  <c r="AZ17" i="16"/>
  <c r="AR22" i="16"/>
  <c r="AR21" i="16"/>
  <c r="AV10" i="16"/>
  <c r="AV13" i="16" s="1"/>
  <c r="AZ259" i="15"/>
  <c r="AJ260" i="15"/>
  <c r="Z10" i="16"/>
  <c r="Z13" i="16" s="1"/>
  <c r="AA14" i="16" s="1"/>
  <c r="AA10" i="16" s="1"/>
  <c r="AA13" i="16" s="1"/>
  <c r="AA15" i="16"/>
  <c r="AI22" i="16"/>
  <c r="AM21" i="16"/>
  <c r="AM22" i="16"/>
  <c r="AB260" i="15"/>
  <c r="AT260" i="15"/>
  <c r="K127" i="12"/>
  <c r="F34" i="16"/>
  <c r="F40" i="16" s="1"/>
  <c r="L10" i="16"/>
  <c r="L13" i="16" s="1"/>
  <c r="T260" i="15"/>
  <c r="E260" i="14"/>
  <c r="O127" i="13"/>
  <c r="AJ22" i="16"/>
  <c r="AL21" i="16"/>
  <c r="AL22" i="16"/>
  <c r="AO10" i="16"/>
  <c r="AO13" i="16" s="1"/>
  <c r="AU21" i="16"/>
  <c r="AU22" i="16"/>
  <c r="D260" i="15"/>
  <c r="AL260" i="15"/>
  <c r="AL260" i="14"/>
  <c r="D127" i="13"/>
  <c r="L127" i="11"/>
  <c r="D116" i="11"/>
  <c r="D120" i="11"/>
  <c r="D127" i="11" s="1"/>
  <c r="D127" i="10"/>
  <c r="K116" i="13"/>
  <c r="O127" i="12"/>
  <c r="L127" i="12"/>
  <c r="O138" i="10"/>
  <c r="K138" i="10"/>
  <c r="N116" i="10"/>
  <c r="N121" i="10"/>
  <c r="N127" i="10" s="1"/>
  <c r="F121" i="10"/>
  <c r="F127" i="10" s="1"/>
  <c r="F116" i="10"/>
  <c r="H10" i="20" s="1"/>
  <c r="J116" i="10"/>
  <c r="J120" i="10"/>
  <c r="J127" i="10" s="1"/>
  <c r="L138" i="13"/>
  <c r="D138" i="13"/>
  <c r="F127" i="13"/>
  <c r="N138" i="10"/>
  <c r="J138" i="10"/>
  <c r="H127" i="10"/>
  <c r="O138" i="11"/>
  <c r="K138" i="11"/>
  <c r="H116" i="13"/>
  <c r="H120" i="13"/>
  <c r="H127" i="13" s="1"/>
  <c r="H138" i="12"/>
  <c r="N138" i="11"/>
  <c r="F138" i="11"/>
  <c r="J138" i="11"/>
  <c r="L260" i="14"/>
  <c r="P260" i="14"/>
  <c r="AZ260" i="14" s="1"/>
  <c r="T260" i="14"/>
  <c r="AB260" i="14"/>
  <c r="AJ260" i="14"/>
  <c r="AR260" i="14"/>
  <c r="J116" i="13"/>
  <c r="H7" i="20" s="1"/>
  <c r="J127" i="12"/>
  <c r="S8" i="20" s="1"/>
  <c r="D116" i="12"/>
  <c r="S40" i="20"/>
  <c r="U260" i="15"/>
  <c r="AZ259" i="14"/>
  <c r="AT260" i="14"/>
  <c r="N121" i="13"/>
  <c r="N127" i="13" s="1"/>
  <c r="J120" i="13"/>
  <c r="J127" i="13" s="1"/>
  <c r="K138" i="12"/>
  <c r="K116" i="11"/>
  <c r="BA14" i="15"/>
  <c r="S36" i="20"/>
  <c r="J138" i="12"/>
  <c r="J116" i="11"/>
  <c r="S39" i="20"/>
  <c r="L260" i="15"/>
  <c r="P260" i="15"/>
  <c r="AV260" i="15"/>
  <c r="M260" i="14"/>
  <c r="U260" i="14"/>
  <c r="AC260" i="14"/>
  <c r="AK260" i="14"/>
  <c r="AS260" i="14"/>
  <c r="K138" i="13"/>
  <c r="K116" i="12"/>
  <c r="S42" i="20"/>
  <c r="J138" i="13"/>
  <c r="J116" i="12"/>
  <c r="K127" i="11"/>
  <c r="U21" i="16" l="1"/>
  <c r="U22" i="16"/>
  <c r="S31" i="20"/>
  <c r="T32" i="20" s="1"/>
  <c r="S45" i="16"/>
  <c r="S51" i="16" s="1"/>
  <c r="S34" i="16"/>
  <c r="S40" i="16" s="1"/>
  <c r="S24" i="16"/>
  <c r="F35" i="16"/>
  <c r="Y33" i="16"/>
  <c r="Y44" i="16"/>
  <c r="Y23" i="16"/>
  <c r="AO24" i="17"/>
  <c r="AO34" i="17"/>
  <c r="AO40" i="17" s="1"/>
  <c r="AO45" i="17"/>
  <c r="AO51" i="17" s="1"/>
  <c r="AN21" i="17"/>
  <c r="AN22" i="17"/>
  <c r="AK24" i="16"/>
  <c r="AK45" i="16"/>
  <c r="AK51" i="16" s="1"/>
  <c r="AK34" i="16"/>
  <c r="AK40" i="16" s="1"/>
  <c r="AW24" i="17"/>
  <c r="AW45" i="17"/>
  <c r="AW51" i="17" s="1"/>
  <c r="AW34" i="17"/>
  <c r="AW40" i="17" s="1"/>
  <c r="N33" i="16"/>
  <c r="N44" i="16"/>
  <c r="N23" i="16"/>
  <c r="AN34" i="16"/>
  <c r="AN40" i="16" s="1"/>
  <c r="AN45" i="16"/>
  <c r="AN51" i="16" s="1"/>
  <c r="AN24" i="16"/>
  <c r="I34" i="16"/>
  <c r="I40" i="16" s="1"/>
  <c r="I24" i="16"/>
  <c r="I45" i="16"/>
  <c r="I51" i="16" s="1"/>
  <c r="AP33" i="17"/>
  <c r="AP44" i="17"/>
  <c r="AP23" i="17"/>
  <c r="AJ22" i="18"/>
  <c r="AJ21" i="18"/>
  <c r="W24" i="17"/>
  <c r="W34" i="17"/>
  <c r="W40" i="17" s="1"/>
  <c r="W45" i="17"/>
  <c r="W51" i="17" s="1"/>
  <c r="O23" i="16"/>
  <c r="O44" i="16"/>
  <c r="O33" i="16"/>
  <c r="AK24" i="17"/>
  <c r="AK34" i="17"/>
  <c r="AK40" i="17" s="1"/>
  <c r="AK45" i="17"/>
  <c r="AK51" i="17" s="1"/>
  <c r="S23" i="17"/>
  <c r="S44" i="17"/>
  <c r="S33" i="17"/>
  <c r="E21" i="17"/>
  <c r="E22" i="17"/>
  <c r="AX34" i="18"/>
  <c r="AX40" i="18" s="1"/>
  <c r="AX24" i="18"/>
  <c r="AX45" i="18"/>
  <c r="AX51" i="18" s="1"/>
  <c r="W39" i="18"/>
  <c r="W35" i="18"/>
  <c r="D33" i="17"/>
  <c r="D44" i="17"/>
  <c r="D23" i="17"/>
  <c r="AB44" i="18"/>
  <c r="AB23" i="18"/>
  <c r="AB33" i="18"/>
  <c r="T33" i="18"/>
  <c r="T23" i="18"/>
  <c r="T44" i="18"/>
  <c r="AN23" i="18"/>
  <c r="AN33" i="18"/>
  <c r="AN44" i="18"/>
  <c r="AQ33" i="18"/>
  <c r="AQ23" i="18"/>
  <c r="AQ44" i="18"/>
  <c r="Q24" i="18"/>
  <c r="Q34" i="18"/>
  <c r="Q40" i="18" s="1"/>
  <c r="Q45" i="18"/>
  <c r="Q51" i="18" s="1"/>
  <c r="I23" i="18"/>
  <c r="I44" i="18"/>
  <c r="I33" i="18"/>
  <c r="T43" i="20"/>
  <c r="S7" i="20"/>
  <c r="AL23" i="16"/>
  <c r="AL44" i="16"/>
  <c r="AL33" i="16"/>
  <c r="AY24" i="16"/>
  <c r="AY45" i="16"/>
  <c r="AY51" i="16" s="1"/>
  <c r="AY34" i="16"/>
  <c r="AY40" i="16" s="1"/>
  <c r="P33" i="16"/>
  <c r="P23" i="16"/>
  <c r="P44" i="16"/>
  <c r="AX45" i="16"/>
  <c r="AX51" i="16" s="1"/>
  <c r="AX34" i="16"/>
  <c r="AX40" i="16" s="1"/>
  <c r="AX24" i="16"/>
  <c r="Y24" i="16"/>
  <c r="Y45" i="16"/>
  <c r="Y51" i="16" s="1"/>
  <c r="Y34" i="16"/>
  <c r="Y40" i="16" s="1"/>
  <c r="Q45" i="16"/>
  <c r="Q51" i="16" s="1"/>
  <c r="Q24" i="16"/>
  <c r="Q34" i="16"/>
  <c r="Q40" i="16" s="1"/>
  <c r="AH46" i="17"/>
  <c r="AH50" i="17"/>
  <c r="AN33" i="16"/>
  <c r="AN23" i="16"/>
  <c r="AN44" i="16"/>
  <c r="I33" i="16"/>
  <c r="I23" i="16"/>
  <c r="I44" i="16"/>
  <c r="AD24" i="17"/>
  <c r="AD34" i="17"/>
  <c r="AD40" i="17" s="1"/>
  <c r="AD45" i="17"/>
  <c r="AD51" i="17" s="1"/>
  <c r="N24" i="17"/>
  <c r="N45" i="17"/>
  <c r="N51" i="17" s="1"/>
  <c r="N34" i="17"/>
  <c r="N40" i="17" s="1"/>
  <c r="AE23" i="17"/>
  <c r="AE33" i="17"/>
  <c r="AE44" i="17"/>
  <c r="O23" i="17"/>
  <c r="O44" i="17"/>
  <c r="O33" i="17"/>
  <c r="AD23" i="16"/>
  <c r="AD44" i="16"/>
  <c r="AD33" i="16"/>
  <c r="V24" i="17"/>
  <c r="V45" i="17"/>
  <c r="V51" i="17" s="1"/>
  <c r="V34" i="17"/>
  <c r="V40" i="17" s="1"/>
  <c r="AR34" i="17"/>
  <c r="AR40" i="17" s="1"/>
  <c r="AR24" i="17"/>
  <c r="AR45" i="17"/>
  <c r="AR51" i="17" s="1"/>
  <c r="AY21" i="18"/>
  <c r="AY22" i="18"/>
  <c r="AX33" i="18"/>
  <c r="AX44" i="18"/>
  <c r="AX23" i="18"/>
  <c r="O46" i="18"/>
  <c r="O50" i="18"/>
  <c r="AM24" i="18"/>
  <c r="AM34" i="18"/>
  <c r="AM40" i="18" s="1"/>
  <c r="AM45" i="18"/>
  <c r="AM51" i="18" s="1"/>
  <c r="H24" i="18"/>
  <c r="H45" i="18"/>
  <c r="H51" i="18" s="1"/>
  <c r="H34" i="18"/>
  <c r="H40" i="18" s="1"/>
  <c r="U34" i="18"/>
  <c r="U40" i="18" s="1"/>
  <c r="U45" i="18"/>
  <c r="U51" i="18" s="1"/>
  <c r="U24" i="18"/>
  <c r="AN45" i="18"/>
  <c r="AN51" i="18" s="1"/>
  <c r="AN24" i="18"/>
  <c r="AN34" i="18"/>
  <c r="AN40" i="18" s="1"/>
  <c r="D35" i="18"/>
  <c r="D39" i="18"/>
  <c r="H27" i="18"/>
  <c r="G30" i="18"/>
  <c r="AZ10" i="18"/>
  <c r="D13" i="18"/>
  <c r="AG34" i="18"/>
  <c r="AG40" i="18" s="1"/>
  <c r="AG24" i="18"/>
  <c r="AG45" i="18"/>
  <c r="AG51" i="18" s="1"/>
  <c r="Q23" i="18"/>
  <c r="Q44" i="18"/>
  <c r="Q33" i="18"/>
  <c r="N50" i="18"/>
  <c r="F33" i="18"/>
  <c r="F44" i="18"/>
  <c r="F23" i="18"/>
  <c r="AL34" i="16"/>
  <c r="AL40" i="16" s="1"/>
  <c r="AL45" i="16"/>
  <c r="AL51" i="16" s="1"/>
  <c r="AL24" i="16"/>
  <c r="AJ24" i="16"/>
  <c r="AJ34" i="16"/>
  <c r="AJ40" i="16" s="1"/>
  <c r="AJ45" i="16"/>
  <c r="AJ51" i="16" s="1"/>
  <c r="AT34" i="16"/>
  <c r="AT40" i="16" s="1"/>
  <c r="AT45" i="16"/>
  <c r="AT51" i="16" s="1"/>
  <c r="AT24" i="16"/>
  <c r="AS23" i="16"/>
  <c r="AS44" i="16"/>
  <c r="AS33" i="16"/>
  <c r="K33" i="16"/>
  <c r="K23" i="16"/>
  <c r="K44" i="16"/>
  <c r="AX44" i="16"/>
  <c r="AX23" i="16"/>
  <c r="AX33" i="16"/>
  <c r="Q33" i="16"/>
  <c r="Q23" i="16"/>
  <c r="Q44" i="16"/>
  <c r="AH35" i="17"/>
  <c r="AH39" i="17"/>
  <c r="E30" i="16"/>
  <c r="F27" i="16"/>
  <c r="AG33" i="16"/>
  <c r="AG23" i="16"/>
  <c r="AG44" i="16"/>
  <c r="AL24" i="17"/>
  <c r="AL34" i="17"/>
  <c r="AL40" i="17" s="1"/>
  <c r="AL45" i="17"/>
  <c r="AL51" i="17" s="1"/>
  <c r="AD23" i="17"/>
  <c r="AD44" i="17"/>
  <c r="AD33" i="17"/>
  <c r="T22" i="17"/>
  <c r="T21" i="17"/>
  <c r="N23" i="17"/>
  <c r="N44" i="17"/>
  <c r="N33" i="17"/>
  <c r="AE34" i="17"/>
  <c r="AE40" i="17" s="1"/>
  <c r="AE45" i="17"/>
  <c r="AE51" i="17" s="1"/>
  <c r="AE24" i="17"/>
  <c r="O45" i="17"/>
  <c r="O51" i="17" s="1"/>
  <c r="O24" i="17"/>
  <c r="O34" i="17"/>
  <c r="O40" i="17" s="1"/>
  <c r="AJ23" i="16"/>
  <c r="AJ44" i="16"/>
  <c r="AJ33" i="16"/>
  <c r="K34" i="17"/>
  <c r="K40" i="17" s="1"/>
  <c r="K45" i="17"/>
  <c r="K51" i="17" s="1"/>
  <c r="K24" i="17"/>
  <c r="AR33" i="17"/>
  <c r="AR23" i="17"/>
  <c r="AR44" i="17"/>
  <c r="AW21" i="18"/>
  <c r="AW22" i="18"/>
  <c r="AE40" i="18"/>
  <c r="AE35" i="18"/>
  <c r="AH34" i="18"/>
  <c r="AH40" i="18" s="1"/>
  <c r="AH24" i="18"/>
  <c r="AH45" i="18"/>
  <c r="AH51" i="18" s="1"/>
  <c r="G45" i="18"/>
  <c r="G51" i="18" s="1"/>
  <c r="G34" i="18"/>
  <c r="G24" i="18"/>
  <c r="AM23" i="18"/>
  <c r="AM33" i="18"/>
  <c r="AM44" i="18"/>
  <c r="P44" i="17"/>
  <c r="P23" i="17"/>
  <c r="P33" i="17"/>
  <c r="J50" i="16"/>
  <c r="AO34" i="18"/>
  <c r="AO40" i="18" s="1"/>
  <c r="AO45" i="18"/>
  <c r="AO51" i="18" s="1"/>
  <c r="AO24" i="18"/>
  <c r="AG33" i="18"/>
  <c r="AG44" i="18"/>
  <c r="AG23" i="18"/>
  <c r="J24" i="18"/>
  <c r="J45" i="18"/>
  <c r="J51" i="18" s="1"/>
  <c r="J34" i="18"/>
  <c r="J40" i="18" s="1"/>
  <c r="N35" i="18"/>
  <c r="N39" i="18"/>
  <c r="F45" i="18"/>
  <c r="F51" i="18" s="1"/>
  <c r="F24" i="18"/>
  <c r="F34" i="18"/>
  <c r="F40" i="18" s="1"/>
  <c r="H8" i="20"/>
  <c r="T46" i="16"/>
  <c r="AW22" i="16"/>
  <c r="AW21" i="16"/>
  <c r="AT23" i="16"/>
  <c r="AT44" i="16"/>
  <c r="AT33" i="16"/>
  <c r="AS24" i="16"/>
  <c r="AS45" i="16"/>
  <c r="AS51" i="16" s="1"/>
  <c r="AS34" i="16"/>
  <c r="AS40" i="16" s="1"/>
  <c r="H23" i="16"/>
  <c r="H44" i="16"/>
  <c r="H33" i="16"/>
  <c r="E35" i="16"/>
  <c r="E39" i="16"/>
  <c r="O24" i="16"/>
  <c r="O45" i="16"/>
  <c r="O51" i="16" s="1"/>
  <c r="O34" i="16"/>
  <c r="O40" i="16" s="1"/>
  <c r="AX34" i="17"/>
  <c r="AX40" i="17" s="1"/>
  <c r="AX24" i="17"/>
  <c r="AX45" i="17"/>
  <c r="AX51" i="17" s="1"/>
  <c r="AV33" i="16"/>
  <c r="AV23" i="16"/>
  <c r="AV44" i="16"/>
  <c r="X34" i="16"/>
  <c r="X40" i="16" s="1"/>
  <c r="X24" i="16"/>
  <c r="X45" i="16"/>
  <c r="X51" i="16" s="1"/>
  <c r="AQ24" i="17"/>
  <c r="AQ34" i="17"/>
  <c r="AQ40" i="17" s="1"/>
  <c r="AQ45" i="17"/>
  <c r="AQ51" i="17" s="1"/>
  <c r="AJ44" i="17"/>
  <c r="AJ23" i="17"/>
  <c r="AJ33" i="17"/>
  <c r="AG45" i="16"/>
  <c r="AG51" i="16" s="1"/>
  <c r="AG24" i="16"/>
  <c r="AG34" i="16"/>
  <c r="AG40" i="16" s="1"/>
  <c r="AL23" i="17"/>
  <c r="AL33" i="17"/>
  <c r="AL44" i="17"/>
  <c r="AA34" i="17"/>
  <c r="AA40" i="17" s="1"/>
  <c r="AA45" i="17"/>
  <c r="AA51" i="17" s="1"/>
  <c r="AA24" i="17"/>
  <c r="I34" i="17"/>
  <c r="I40" i="17" s="1"/>
  <c r="I24" i="17"/>
  <c r="I45" i="17"/>
  <c r="I51" i="17" s="1"/>
  <c r="M44" i="17"/>
  <c r="M23" i="17"/>
  <c r="M33" i="17"/>
  <c r="Z34" i="17"/>
  <c r="Z40" i="17" s="1"/>
  <c r="Z24" i="17"/>
  <c r="Z45" i="17"/>
  <c r="Z51" i="17" s="1"/>
  <c r="AT44" i="18"/>
  <c r="AT33" i="18"/>
  <c r="AT23" i="18"/>
  <c r="D33" i="16"/>
  <c r="D44" i="16"/>
  <c r="D23" i="16"/>
  <c r="K44" i="17"/>
  <c r="K33" i="17"/>
  <c r="K23" i="17"/>
  <c r="AG34" i="17"/>
  <c r="AG40" i="17" s="1"/>
  <c r="AG45" i="17"/>
  <c r="AG51" i="17" s="1"/>
  <c r="AG24" i="17"/>
  <c r="AH33" i="18"/>
  <c r="AH44" i="18"/>
  <c r="AH23" i="18"/>
  <c r="D50" i="18"/>
  <c r="D46" i="18"/>
  <c r="Y24" i="18"/>
  <c r="Y34" i="18"/>
  <c r="Y40" i="18" s="1"/>
  <c r="Y45" i="18"/>
  <c r="Y51" i="18" s="1"/>
  <c r="P24" i="17"/>
  <c r="P45" i="17"/>
  <c r="P51" i="17" s="1"/>
  <c r="P34" i="17"/>
  <c r="P40" i="17" s="1"/>
  <c r="AP34" i="18"/>
  <c r="AP40" i="18" s="1"/>
  <c r="AP24" i="18"/>
  <c r="AP45" i="18"/>
  <c r="AP51" i="18" s="1"/>
  <c r="AO44" i="18"/>
  <c r="AO23" i="18"/>
  <c r="AO33" i="18"/>
  <c r="F44" i="17"/>
  <c r="F33" i="17"/>
  <c r="F23" i="17"/>
  <c r="W45" i="18"/>
  <c r="W51" i="18" s="1"/>
  <c r="W34" i="18"/>
  <c r="W40" i="18" s="1"/>
  <c r="W24" i="18"/>
  <c r="K34" i="18"/>
  <c r="K40" i="18" s="1"/>
  <c r="K45" i="18"/>
  <c r="K51" i="18" s="1"/>
  <c r="K24" i="18"/>
  <c r="S34" i="18"/>
  <c r="S40" i="18" s="1"/>
  <c r="S45" i="18"/>
  <c r="S51" i="18" s="1"/>
  <c r="S24" i="18"/>
  <c r="AB22" i="16"/>
  <c r="AB21" i="16"/>
  <c r="AZ260" i="15"/>
  <c r="AR23" i="16"/>
  <c r="AR44" i="16"/>
  <c r="AR33" i="16"/>
  <c r="E46" i="16"/>
  <c r="E50" i="16"/>
  <c r="AQ33" i="17"/>
  <c r="AQ23" i="17"/>
  <c r="AQ44" i="17"/>
  <c r="AL22" i="18"/>
  <c r="AL21" i="18"/>
  <c r="G24" i="17"/>
  <c r="G34" i="17"/>
  <c r="G40" i="17" s="1"/>
  <c r="G45" i="17"/>
  <c r="G51" i="17" s="1"/>
  <c r="AS45" i="18"/>
  <c r="AS51" i="18" s="1"/>
  <c r="AS34" i="18"/>
  <c r="AS40" i="18" s="1"/>
  <c r="AS24" i="18"/>
  <c r="S23" i="18"/>
  <c r="S44" i="18"/>
  <c r="S33" i="18"/>
  <c r="S10" i="20"/>
  <c r="AU34" i="16"/>
  <c r="AU40" i="16" s="1"/>
  <c r="AU24" i="16"/>
  <c r="AU45" i="16"/>
  <c r="AU51" i="16" s="1"/>
  <c r="AM33" i="16"/>
  <c r="AM23" i="16"/>
  <c r="AM44" i="16"/>
  <c r="AR24" i="16"/>
  <c r="AR34" i="16"/>
  <c r="AR40" i="16" s="1"/>
  <c r="AR45" i="16"/>
  <c r="AR51" i="16" s="1"/>
  <c r="AF23" i="16"/>
  <c r="AF44" i="16"/>
  <c r="AF33" i="16"/>
  <c r="AV39" i="17"/>
  <c r="AV35" i="17"/>
  <c r="AD34" i="16"/>
  <c r="AD40" i="16" s="1"/>
  <c r="AD45" i="16"/>
  <c r="AD51" i="16" s="1"/>
  <c r="AD24" i="16"/>
  <c r="D13" i="16"/>
  <c r="E14" i="16" s="1"/>
  <c r="AQ24" i="16"/>
  <c r="AQ45" i="16"/>
  <c r="AQ51" i="16" s="1"/>
  <c r="AQ34" i="16"/>
  <c r="AQ40" i="16" s="1"/>
  <c r="J24" i="16"/>
  <c r="J45" i="16"/>
  <c r="J51" i="16" s="1"/>
  <c r="J34" i="16"/>
  <c r="J40" i="16" s="1"/>
  <c r="AO33" i="16"/>
  <c r="AO44" i="16"/>
  <c r="AO23" i="16"/>
  <c r="AE44" i="16"/>
  <c r="AE33" i="16"/>
  <c r="AE23" i="16"/>
  <c r="AI21" i="17"/>
  <c r="AI22" i="17"/>
  <c r="AF33" i="17"/>
  <c r="AF23" i="17"/>
  <c r="AF44" i="17"/>
  <c r="W24" i="16"/>
  <c r="W45" i="16"/>
  <c r="W51" i="16" s="1"/>
  <c r="W34" i="16"/>
  <c r="W40" i="16" s="1"/>
  <c r="U21" i="17"/>
  <c r="U22" i="17"/>
  <c r="R33" i="17"/>
  <c r="R23" i="17"/>
  <c r="R44" i="17"/>
  <c r="AC24" i="16"/>
  <c r="AC45" i="16"/>
  <c r="AC51" i="16" s="1"/>
  <c r="AC34" i="16"/>
  <c r="AC40" i="16" s="1"/>
  <c r="AM33" i="17"/>
  <c r="AM23" i="17"/>
  <c r="AM44" i="17"/>
  <c r="X44" i="17"/>
  <c r="X23" i="17"/>
  <c r="X33" i="17"/>
  <c r="AI46" i="18"/>
  <c r="AI50" i="18"/>
  <c r="D22" i="16"/>
  <c r="Z22" i="16"/>
  <c r="P22" i="16"/>
  <c r="K22" i="16"/>
  <c r="L22" i="16"/>
  <c r="AC44" i="17"/>
  <c r="AC23" i="17"/>
  <c r="AC33" i="17"/>
  <c r="J24" i="17"/>
  <c r="J34" i="17"/>
  <c r="J40" i="17" s="1"/>
  <c r="J45" i="17"/>
  <c r="J51" i="17" s="1"/>
  <c r="G23" i="17"/>
  <c r="G44" i="17"/>
  <c r="G33" i="17"/>
  <c r="Z33" i="18"/>
  <c r="Z23" i="18"/>
  <c r="Z44" i="18"/>
  <c r="M21" i="18"/>
  <c r="M22" i="18"/>
  <c r="N45" i="18"/>
  <c r="N51" i="18" s="1"/>
  <c r="N24" i="18"/>
  <c r="N34" i="18"/>
  <c r="N40" i="18" s="1"/>
  <c r="AS44" i="18"/>
  <c r="AS23" i="18"/>
  <c r="AS33" i="18"/>
  <c r="AD24" i="18"/>
  <c r="AD45" i="18"/>
  <c r="AD51" i="18" s="1"/>
  <c r="AD34" i="18"/>
  <c r="AD40" i="18" s="1"/>
  <c r="AU24" i="18"/>
  <c r="AU34" i="18"/>
  <c r="AU40" i="18" s="1"/>
  <c r="AU45" i="18"/>
  <c r="AU51" i="18" s="1"/>
  <c r="U46" i="18"/>
  <c r="U50" i="18"/>
  <c r="L34" i="18"/>
  <c r="L40" i="18" s="1"/>
  <c r="L24" i="18"/>
  <c r="L45" i="18"/>
  <c r="L51" i="18" s="1"/>
  <c r="AY44" i="16"/>
  <c r="AY33" i="16"/>
  <c r="AY23" i="16"/>
  <c r="AH21" i="16"/>
  <c r="AH22" i="16"/>
  <c r="H24" i="16"/>
  <c r="H34" i="16"/>
  <c r="H40" i="16" s="1"/>
  <c r="H45" i="16"/>
  <c r="H51" i="16" s="1"/>
  <c r="AQ44" i="16"/>
  <c r="AQ33" i="16"/>
  <c r="AQ23" i="16"/>
  <c r="AX44" i="17"/>
  <c r="AX23" i="17"/>
  <c r="AX33" i="17"/>
  <c r="X23" i="16"/>
  <c r="X33" i="16"/>
  <c r="X44" i="16"/>
  <c r="AF34" i="17"/>
  <c r="AF40" i="17" s="1"/>
  <c r="AF24" i="17"/>
  <c r="AF45" i="17"/>
  <c r="AF51" i="17" s="1"/>
  <c r="Y21" i="17"/>
  <c r="Y22" i="17"/>
  <c r="I33" i="17"/>
  <c r="I44" i="17"/>
  <c r="I23" i="17"/>
  <c r="AM24" i="17"/>
  <c r="AM34" i="17"/>
  <c r="AM40" i="17" s="1"/>
  <c r="AM45" i="17"/>
  <c r="AM51" i="17" s="1"/>
  <c r="AI44" i="16"/>
  <c r="AI33" i="16"/>
  <c r="AI23" i="16"/>
  <c r="AG33" i="17"/>
  <c r="AG44" i="17"/>
  <c r="AG23" i="17"/>
  <c r="Z34" i="18"/>
  <c r="Z40" i="18" s="1"/>
  <c r="Z45" i="18"/>
  <c r="Z51" i="18" s="1"/>
  <c r="Z24" i="18"/>
  <c r="Y23" i="18"/>
  <c r="Y44" i="18"/>
  <c r="Y33" i="18"/>
  <c r="J39" i="16"/>
  <c r="AP33" i="18"/>
  <c r="AP44" i="18"/>
  <c r="AP23" i="18"/>
  <c r="F24" i="17"/>
  <c r="F45" i="17"/>
  <c r="F51" i="17" s="1"/>
  <c r="F34" i="17"/>
  <c r="F40" i="17" s="1"/>
  <c r="K23" i="18"/>
  <c r="K44" i="18"/>
  <c r="K33" i="18"/>
  <c r="S9" i="20"/>
  <c r="AU33" i="16"/>
  <c r="AU23" i="16"/>
  <c r="AU44" i="16"/>
  <c r="AI24" i="16"/>
  <c r="AI45" i="16"/>
  <c r="AI51" i="16" s="1"/>
  <c r="AI34" i="16"/>
  <c r="AI40" i="16" s="1"/>
  <c r="V21" i="16"/>
  <c r="V22" i="16"/>
  <c r="S33" i="16"/>
  <c r="S23" i="16"/>
  <c r="S44" i="16"/>
  <c r="AU22" i="17"/>
  <c r="AU21" i="17"/>
  <c r="Z33" i="16"/>
  <c r="Z44" i="16"/>
  <c r="Z23" i="16"/>
  <c r="AY34" i="17"/>
  <c r="AY40" i="17" s="1"/>
  <c r="AY24" i="17"/>
  <c r="AY45" i="17"/>
  <c r="AY51" i="17" s="1"/>
  <c r="AS46" i="17"/>
  <c r="AS50" i="17"/>
  <c r="AO45" i="16"/>
  <c r="AO51" i="16" s="1"/>
  <c r="AO34" i="16"/>
  <c r="AO40" i="16" s="1"/>
  <c r="AO24" i="16"/>
  <c r="AE24" i="16"/>
  <c r="AE45" i="16"/>
  <c r="AE51" i="16" s="1"/>
  <c r="AE34" i="16"/>
  <c r="AE40" i="16" s="1"/>
  <c r="AB21" i="17"/>
  <c r="AB22" i="17"/>
  <c r="R33" i="16"/>
  <c r="R44" i="16"/>
  <c r="R23" i="16"/>
  <c r="Q21" i="17"/>
  <c r="Q22" i="17"/>
  <c r="R24" i="17"/>
  <c r="R45" i="17"/>
  <c r="R51" i="17" s="1"/>
  <c r="R34" i="17"/>
  <c r="R40" i="17" s="1"/>
  <c r="AC33" i="16"/>
  <c r="AC23" i="16"/>
  <c r="AC44" i="16"/>
  <c r="AK51" i="18"/>
  <c r="AK46" i="18"/>
  <c r="X24" i="17"/>
  <c r="X45" i="17"/>
  <c r="X51" i="17" s="1"/>
  <c r="X34" i="17"/>
  <c r="X40" i="17" s="1"/>
  <c r="AT24" i="18"/>
  <c r="AT45" i="18"/>
  <c r="AT51" i="18" s="1"/>
  <c r="AT34" i="18"/>
  <c r="AT40" i="18" s="1"/>
  <c r="AA21" i="18"/>
  <c r="AA22" i="18"/>
  <c r="AC24" i="17"/>
  <c r="AC45" i="17"/>
  <c r="AC51" i="17" s="1"/>
  <c r="AC34" i="17"/>
  <c r="AC40" i="17" s="1"/>
  <c r="H23" i="17"/>
  <c r="H33" i="17"/>
  <c r="H44" i="17"/>
  <c r="V33" i="18"/>
  <c r="V44" i="18"/>
  <c r="V23" i="18"/>
  <c r="AF23" i="18"/>
  <c r="AF33" i="18"/>
  <c r="AF44" i="18"/>
  <c r="D22" i="17"/>
  <c r="AJ22" i="17"/>
  <c r="M22" i="17"/>
  <c r="AC39" i="18"/>
  <c r="AC46" i="18"/>
  <c r="AC50" i="18"/>
  <c r="AV23" i="18"/>
  <c r="AV33" i="18"/>
  <c r="AV44" i="18"/>
  <c r="W46" i="18"/>
  <c r="W50" i="18"/>
  <c r="X39" i="18"/>
  <c r="R23" i="18"/>
  <c r="R33" i="18"/>
  <c r="R44" i="18"/>
  <c r="AU23" i="18"/>
  <c r="AU44" i="18"/>
  <c r="AU33" i="18"/>
  <c r="H35" i="18"/>
  <c r="H39" i="18"/>
  <c r="L33" i="18"/>
  <c r="L44" i="18"/>
  <c r="L23" i="18"/>
  <c r="P39" i="18"/>
  <c r="AM34" i="16"/>
  <c r="AM40" i="16" s="1"/>
  <c r="AM24" i="16"/>
  <c r="AM45" i="16"/>
  <c r="AM51" i="16" s="1"/>
  <c r="AF34" i="16"/>
  <c r="AF40" i="16" s="1"/>
  <c r="AF45" i="16"/>
  <c r="AF51" i="16" s="1"/>
  <c r="AF24" i="16"/>
  <c r="L44" i="16"/>
  <c r="L33" i="16"/>
  <c r="L23" i="16"/>
  <c r="W23" i="16"/>
  <c r="W44" i="16"/>
  <c r="W33" i="16"/>
  <c r="AA33" i="17"/>
  <c r="AA23" i="17"/>
  <c r="AA44" i="17"/>
  <c r="AR33" i="18"/>
  <c r="AR23" i="18"/>
  <c r="AR44" i="18"/>
  <c r="Z33" i="17"/>
  <c r="Z44" i="17"/>
  <c r="Z23" i="17"/>
  <c r="AR45" i="18"/>
  <c r="AR51" i="18" s="1"/>
  <c r="AR24" i="18"/>
  <c r="AR34" i="18"/>
  <c r="AR40" i="18" s="1"/>
  <c r="J33" i="17"/>
  <c r="J44" i="17"/>
  <c r="J23" i="17"/>
  <c r="O45" i="18"/>
  <c r="O51" i="18" s="1"/>
  <c r="O34" i="18"/>
  <c r="O24" i="18"/>
  <c r="X24" i="18"/>
  <c r="X45" i="18"/>
  <c r="X51" i="18" s="1"/>
  <c r="X34" i="18"/>
  <c r="X40" i="18" s="1"/>
  <c r="AD44" i="18"/>
  <c r="AD23" i="18"/>
  <c r="AD33" i="18"/>
  <c r="V45" i="18"/>
  <c r="V51" i="18" s="1"/>
  <c r="V24" i="18"/>
  <c r="V34" i="18"/>
  <c r="V40" i="18" s="1"/>
  <c r="G46" i="18"/>
  <c r="G50" i="18"/>
  <c r="H9" i="20"/>
  <c r="AP21" i="16"/>
  <c r="AP22" i="16"/>
  <c r="M21" i="16"/>
  <c r="M22" i="16"/>
  <c r="AY33" i="17"/>
  <c r="AY23" i="17"/>
  <c r="AY44" i="17"/>
  <c r="AO23" i="17"/>
  <c r="AO44" i="17"/>
  <c r="AO33" i="17"/>
  <c r="AK23" i="16"/>
  <c r="AK44" i="16"/>
  <c r="AK33" i="16"/>
  <c r="AW23" i="17"/>
  <c r="AW44" i="17"/>
  <c r="AW33" i="17"/>
  <c r="N24" i="16"/>
  <c r="N45" i="16"/>
  <c r="N51" i="16" s="1"/>
  <c r="N34" i="16"/>
  <c r="N40" i="16" s="1"/>
  <c r="AV34" i="16"/>
  <c r="AV40" i="16" s="1"/>
  <c r="AV45" i="16"/>
  <c r="AV51" i="16" s="1"/>
  <c r="AV24" i="16"/>
  <c r="R24" i="16"/>
  <c r="R34" i="16"/>
  <c r="R40" i="16" s="1"/>
  <c r="R45" i="16"/>
  <c r="R51" i="16" s="1"/>
  <c r="L21" i="17"/>
  <c r="L22" i="17"/>
  <c r="AP34" i="17"/>
  <c r="AP40" i="17" s="1"/>
  <c r="AP45" i="17"/>
  <c r="AP51" i="17" s="1"/>
  <c r="AP24" i="17"/>
  <c r="AC45" i="18"/>
  <c r="AC51" i="18" s="1"/>
  <c r="AC24" i="18"/>
  <c r="AC34" i="18"/>
  <c r="AC40" i="18" s="1"/>
  <c r="W23" i="17"/>
  <c r="W44" i="17"/>
  <c r="W33" i="17"/>
  <c r="AI39" i="18"/>
  <c r="AI35" i="18"/>
  <c r="AK44" i="17"/>
  <c r="AK23" i="17"/>
  <c r="AK33" i="17"/>
  <c r="AS10" i="17"/>
  <c r="AS13" i="17" s="1"/>
  <c r="S34" i="17"/>
  <c r="S40" i="17" s="1"/>
  <c r="S45" i="17"/>
  <c r="S51" i="17" s="1"/>
  <c r="S24" i="17"/>
  <c r="H24" i="17"/>
  <c r="H45" i="17"/>
  <c r="H51" i="17" s="1"/>
  <c r="H34" i="17"/>
  <c r="H40" i="17" s="1"/>
  <c r="F27" i="17"/>
  <c r="E30" i="17"/>
  <c r="P24" i="18"/>
  <c r="P45" i="18"/>
  <c r="P51" i="18" s="1"/>
  <c r="P34" i="18"/>
  <c r="P40" i="18" s="1"/>
  <c r="AF24" i="18"/>
  <c r="AF34" i="18"/>
  <c r="AF40" i="18" s="1"/>
  <c r="AF45" i="18"/>
  <c r="AF51" i="18" s="1"/>
  <c r="V33" i="17"/>
  <c r="V23" i="17"/>
  <c r="V44" i="17"/>
  <c r="AB45" i="18"/>
  <c r="AB51" i="18" s="1"/>
  <c r="AB24" i="18"/>
  <c r="AB34" i="18"/>
  <c r="AB40" i="18" s="1"/>
  <c r="T34" i="18"/>
  <c r="T40" i="18" s="1"/>
  <c r="T24" i="18"/>
  <c r="T45" i="18"/>
  <c r="T51" i="18" s="1"/>
  <c r="AV24" i="18"/>
  <c r="AV45" i="18"/>
  <c r="AV51" i="18" s="1"/>
  <c r="AV34" i="18"/>
  <c r="AV40" i="18" s="1"/>
  <c r="J23" i="18"/>
  <c r="J33" i="18"/>
  <c r="J44" i="18"/>
  <c r="X50" i="18"/>
  <c r="R24" i="18"/>
  <c r="R45" i="18"/>
  <c r="R51" i="18" s="1"/>
  <c r="R34" i="18"/>
  <c r="R40" i="18" s="1"/>
  <c r="AQ24" i="18"/>
  <c r="AQ34" i="18"/>
  <c r="AQ40" i="18" s="1"/>
  <c r="AQ45" i="18"/>
  <c r="AQ51" i="18" s="1"/>
  <c r="U39" i="18"/>
  <c r="H50" i="18"/>
  <c r="H46" i="18"/>
  <c r="I24" i="18"/>
  <c r="I34" i="18"/>
  <c r="I40" i="18" s="1"/>
  <c r="I45" i="18"/>
  <c r="I51" i="18" s="1"/>
  <c r="P50" i="18"/>
  <c r="AK50" i="16" l="1"/>
  <c r="AK46" i="16"/>
  <c r="AZ22" i="17"/>
  <c r="D45" i="17"/>
  <c r="D51" i="17" s="1"/>
  <c r="D24" i="17"/>
  <c r="D34" i="17"/>
  <c r="D40" i="17" s="1"/>
  <c r="AC46" i="16"/>
  <c r="AC50" i="16"/>
  <c r="V45" i="16"/>
  <c r="V51" i="16" s="1"/>
  <c r="V24" i="16"/>
  <c r="V34" i="16"/>
  <c r="V40" i="16" s="1"/>
  <c r="AC35" i="17"/>
  <c r="AC39" i="17"/>
  <c r="S35" i="18"/>
  <c r="S39" i="18"/>
  <c r="F35" i="17"/>
  <c r="F39" i="17"/>
  <c r="H46" i="16"/>
  <c r="H50" i="16"/>
  <c r="T45" i="17"/>
  <c r="T51" i="17" s="1"/>
  <c r="T34" i="17"/>
  <c r="T40" i="17" s="1"/>
  <c r="T24" i="17"/>
  <c r="J35" i="18"/>
  <c r="J39" i="18"/>
  <c r="AR35" i="18"/>
  <c r="AR39" i="18"/>
  <c r="L39" i="16"/>
  <c r="AU46" i="18"/>
  <c r="AU50" i="18"/>
  <c r="M24" i="17"/>
  <c r="M45" i="17"/>
  <c r="M51" i="17" s="1"/>
  <c r="M34" i="17"/>
  <c r="M40" i="17" s="1"/>
  <c r="V35" i="18"/>
  <c r="V39" i="18"/>
  <c r="AA45" i="18"/>
  <c r="AA51" i="18" s="1"/>
  <c r="AA24" i="18"/>
  <c r="AA34" i="18"/>
  <c r="AA40" i="18" s="1"/>
  <c r="Q34" i="17"/>
  <c r="Q40" i="17" s="1"/>
  <c r="Q45" i="17"/>
  <c r="Q51" i="17" s="1"/>
  <c r="Q24" i="17"/>
  <c r="AI39" i="16"/>
  <c r="AI35" i="16"/>
  <c r="Y34" i="17"/>
  <c r="Y40" i="17" s="1"/>
  <c r="Y24" i="17"/>
  <c r="Y45" i="17"/>
  <c r="Y51" i="17" s="1"/>
  <c r="AX35" i="17"/>
  <c r="AX39" i="17"/>
  <c r="M33" i="18"/>
  <c r="M23" i="18"/>
  <c r="M44" i="18"/>
  <c r="Z34" i="16"/>
  <c r="Z40" i="16" s="1"/>
  <c r="Z24" i="16"/>
  <c r="Z45" i="16"/>
  <c r="Z51" i="16" s="1"/>
  <c r="U34" i="17"/>
  <c r="U40" i="17" s="1"/>
  <c r="U24" i="17"/>
  <c r="U45" i="17"/>
  <c r="U51" i="17" s="1"/>
  <c r="AI45" i="17"/>
  <c r="AI51" i="17" s="1"/>
  <c r="AI24" i="17"/>
  <c r="AI34" i="17"/>
  <c r="AI40" i="17" s="1"/>
  <c r="M46" i="17"/>
  <c r="M50" i="17"/>
  <c r="AL39" i="17"/>
  <c r="AL35" i="17"/>
  <c r="AV39" i="16"/>
  <c r="AV35" i="16"/>
  <c r="AT46" i="16"/>
  <c r="AT50" i="16"/>
  <c r="AG35" i="18"/>
  <c r="AG39" i="18"/>
  <c r="Q50" i="16"/>
  <c r="Q46" i="16"/>
  <c r="K39" i="16"/>
  <c r="E21" i="18"/>
  <c r="E22" i="18"/>
  <c r="AY34" i="18"/>
  <c r="AY40" i="18" s="1"/>
  <c r="AY24" i="18"/>
  <c r="AY45" i="18"/>
  <c r="AY51" i="18" s="1"/>
  <c r="AD39" i="16"/>
  <c r="AD35" i="16"/>
  <c r="AL50" i="16"/>
  <c r="AL46" i="16"/>
  <c r="T50" i="18"/>
  <c r="T46" i="18"/>
  <c r="D35" i="17"/>
  <c r="D39" i="17"/>
  <c r="E44" i="17"/>
  <c r="E23" i="17"/>
  <c r="E33" i="17"/>
  <c r="O50" i="16"/>
  <c r="O46" i="16"/>
  <c r="AP50" i="17"/>
  <c r="AP46" i="17"/>
  <c r="Y35" i="16"/>
  <c r="Y39" i="16"/>
  <c r="AK35" i="16"/>
  <c r="AK39" i="16"/>
  <c r="AY39" i="17"/>
  <c r="AY35" i="17"/>
  <c r="AA46" i="17"/>
  <c r="AA50" i="17"/>
  <c r="L50" i="16"/>
  <c r="P35" i="18"/>
  <c r="AV50" i="18"/>
  <c r="AV46" i="18"/>
  <c r="AJ45" i="17"/>
  <c r="AJ51" i="17" s="1"/>
  <c r="AJ24" i="17"/>
  <c r="AJ34" i="17"/>
  <c r="AJ40" i="17" s="1"/>
  <c r="AA33" i="18"/>
  <c r="AA44" i="18"/>
  <c r="AA23" i="18"/>
  <c r="Q23" i="17"/>
  <c r="Q44" i="17"/>
  <c r="Q33" i="17"/>
  <c r="S35" i="16"/>
  <c r="S39" i="16"/>
  <c r="AU35" i="16"/>
  <c r="AU39" i="16"/>
  <c r="AI50" i="16"/>
  <c r="AI46" i="16"/>
  <c r="Y23" i="17"/>
  <c r="Y44" i="17"/>
  <c r="Y33" i="17"/>
  <c r="AH45" i="16"/>
  <c r="AH51" i="16" s="1"/>
  <c r="AH34" i="16"/>
  <c r="AH40" i="16" s="1"/>
  <c r="AH24" i="16"/>
  <c r="AS39" i="18"/>
  <c r="AS35" i="18"/>
  <c r="Z50" i="18"/>
  <c r="Z46" i="18"/>
  <c r="D45" i="16"/>
  <c r="D51" i="16" s="1"/>
  <c r="D24" i="16"/>
  <c r="D34" i="16"/>
  <c r="D40" i="16" s="1"/>
  <c r="AM35" i="17"/>
  <c r="AM39" i="17"/>
  <c r="U44" i="17"/>
  <c r="U33" i="17"/>
  <c r="U23" i="17"/>
  <c r="AI44" i="17"/>
  <c r="AI23" i="17"/>
  <c r="AI33" i="17"/>
  <c r="AT35" i="18"/>
  <c r="AT39" i="18"/>
  <c r="H35" i="16"/>
  <c r="H39" i="16"/>
  <c r="P46" i="17"/>
  <c r="P50" i="17"/>
  <c r="AR35" i="17"/>
  <c r="AR39" i="17"/>
  <c r="T33" i="17"/>
  <c r="T44" i="17"/>
  <c r="T23" i="17"/>
  <c r="AG50" i="16"/>
  <c r="AG46" i="16"/>
  <c r="AS35" i="16"/>
  <c r="AS39" i="16"/>
  <c r="N46" i="18"/>
  <c r="AY33" i="18"/>
  <c r="AY23" i="18"/>
  <c r="AY44" i="18"/>
  <c r="AD46" i="16"/>
  <c r="AD50" i="16"/>
  <c r="I39" i="16"/>
  <c r="I35" i="16"/>
  <c r="P50" i="16"/>
  <c r="AZ21" i="17"/>
  <c r="S39" i="17"/>
  <c r="S35" i="17"/>
  <c r="AP35" i="17"/>
  <c r="AP39" i="17"/>
  <c r="N46" i="16"/>
  <c r="N50" i="16"/>
  <c r="AN24" i="17"/>
  <c r="AN45" i="17"/>
  <c r="AN51" i="17" s="1"/>
  <c r="AN34" i="17"/>
  <c r="AN40" i="17" s="1"/>
  <c r="R50" i="18"/>
  <c r="R46" i="18"/>
  <c r="AM46" i="18"/>
  <c r="AM50" i="18"/>
  <c r="Q39" i="16"/>
  <c r="Q35" i="16"/>
  <c r="N35" i="16"/>
  <c r="N39" i="16"/>
  <c r="V50" i="17"/>
  <c r="V46" i="17"/>
  <c r="O40" i="18"/>
  <c r="O35" i="18"/>
  <c r="AA39" i="17"/>
  <c r="AA35" i="17"/>
  <c r="R46" i="16"/>
  <c r="R50" i="16"/>
  <c r="K35" i="18"/>
  <c r="K39" i="18"/>
  <c r="AR46" i="16"/>
  <c r="AR50" i="16"/>
  <c r="AT21" i="17"/>
  <c r="AT22" i="17"/>
  <c r="L33" i="17"/>
  <c r="L44" i="17"/>
  <c r="L23" i="17"/>
  <c r="AO35" i="17"/>
  <c r="AO39" i="17"/>
  <c r="AP45" i="16"/>
  <c r="AP51" i="16" s="1"/>
  <c r="AP34" i="16"/>
  <c r="AP40" i="16" s="1"/>
  <c r="AP24" i="16"/>
  <c r="AD35" i="18"/>
  <c r="AD39" i="18"/>
  <c r="Z50" i="17"/>
  <c r="Z46" i="17"/>
  <c r="W35" i="16"/>
  <c r="W39" i="16"/>
  <c r="L35" i="18"/>
  <c r="L39" i="18"/>
  <c r="AF35" i="18"/>
  <c r="AF39" i="18"/>
  <c r="AC39" i="16"/>
  <c r="AC35" i="16"/>
  <c r="R39" i="16"/>
  <c r="R35" i="16"/>
  <c r="Z35" i="16"/>
  <c r="Z39" i="16"/>
  <c r="K46" i="18"/>
  <c r="K50" i="18"/>
  <c r="J35" i="16"/>
  <c r="AQ35" i="16"/>
  <c r="AQ39" i="16"/>
  <c r="AY35" i="16"/>
  <c r="AY39" i="16"/>
  <c r="G39" i="17"/>
  <c r="G35" i="17"/>
  <c r="AC46" i="17"/>
  <c r="AC50" i="17"/>
  <c r="X35" i="17"/>
  <c r="X39" i="17"/>
  <c r="AE46" i="16"/>
  <c r="AE50" i="16"/>
  <c r="AL24" i="18"/>
  <c r="AL34" i="18"/>
  <c r="AL40" i="18" s="1"/>
  <c r="AL45" i="18"/>
  <c r="AL51" i="18" s="1"/>
  <c r="AO35" i="18"/>
  <c r="AO39" i="18"/>
  <c r="AH50" i="18"/>
  <c r="AH46" i="18"/>
  <c r="AD46" i="17"/>
  <c r="AD50" i="17"/>
  <c r="G27" i="16"/>
  <c r="F30" i="16"/>
  <c r="O46" i="17"/>
  <c r="O50" i="17"/>
  <c r="AN39" i="16"/>
  <c r="AN35" i="16"/>
  <c r="I39" i="18"/>
  <c r="I35" i="18"/>
  <c r="AQ39" i="18"/>
  <c r="AQ35" i="18"/>
  <c r="AV35" i="18"/>
  <c r="AV39" i="18"/>
  <c r="AT50" i="18"/>
  <c r="AT46" i="18"/>
  <c r="Q39" i="18"/>
  <c r="Q35" i="18"/>
  <c r="AQ46" i="18"/>
  <c r="AQ50" i="18"/>
  <c r="M44" i="16"/>
  <c r="M23" i="16"/>
  <c r="M33" i="16"/>
  <c r="L50" i="18"/>
  <c r="L46" i="18"/>
  <c r="H35" i="17"/>
  <c r="H39" i="17"/>
  <c r="Z39" i="18"/>
  <c r="Z35" i="18"/>
  <c r="AM50" i="16"/>
  <c r="AM46" i="16"/>
  <c r="AG35" i="16"/>
  <c r="AG39" i="16"/>
  <c r="P35" i="16"/>
  <c r="P39" i="16"/>
  <c r="V39" i="17"/>
  <c r="V35" i="17"/>
  <c r="G27" i="17"/>
  <c r="F30" i="17"/>
  <c r="AK35" i="17"/>
  <c r="AK39" i="17"/>
  <c r="AO46" i="17"/>
  <c r="AO50" i="17"/>
  <c r="AP44" i="16"/>
  <c r="AP33" i="16"/>
  <c r="AP23" i="16"/>
  <c r="Z35" i="17"/>
  <c r="Z39" i="17"/>
  <c r="W46" i="16"/>
  <c r="W50" i="16"/>
  <c r="AB24" i="17"/>
  <c r="AB45" i="17"/>
  <c r="AB51" i="17" s="1"/>
  <c r="AB34" i="17"/>
  <c r="AB40" i="17" s="1"/>
  <c r="AU44" i="17"/>
  <c r="AU23" i="17"/>
  <c r="AU33" i="17"/>
  <c r="AG50" i="17"/>
  <c r="AG46" i="17"/>
  <c r="X46" i="16"/>
  <c r="X50" i="16"/>
  <c r="AQ50" i="16"/>
  <c r="AQ46" i="16"/>
  <c r="AY50" i="16"/>
  <c r="AY46" i="16"/>
  <c r="G46" i="17"/>
  <c r="G50" i="17"/>
  <c r="L45" i="16"/>
  <c r="L51" i="16" s="1"/>
  <c r="L24" i="16"/>
  <c r="L34" i="16"/>
  <c r="L40" i="16" s="1"/>
  <c r="R50" i="17"/>
  <c r="R46" i="17"/>
  <c r="AF46" i="17"/>
  <c r="AF50" i="17"/>
  <c r="AF39" i="16"/>
  <c r="AF35" i="16"/>
  <c r="AM35" i="16"/>
  <c r="AM39" i="16"/>
  <c r="AQ50" i="17"/>
  <c r="AQ46" i="17"/>
  <c r="AH39" i="18"/>
  <c r="AH35" i="18"/>
  <c r="D46" i="16"/>
  <c r="D50" i="16"/>
  <c r="AJ39" i="17"/>
  <c r="AJ35" i="17"/>
  <c r="J46" i="16"/>
  <c r="AW34" i="18"/>
  <c r="AW40" i="18" s="1"/>
  <c r="AW45" i="18"/>
  <c r="AW51" i="18" s="1"/>
  <c r="AW24" i="18"/>
  <c r="AJ39" i="16"/>
  <c r="AJ35" i="16"/>
  <c r="AX46" i="16"/>
  <c r="AX50" i="16"/>
  <c r="AX50" i="18"/>
  <c r="AX46" i="18"/>
  <c r="I46" i="18"/>
  <c r="I50" i="18"/>
  <c r="AN50" i="18"/>
  <c r="AN46" i="18"/>
  <c r="AB46" i="18"/>
  <c r="AB50" i="18"/>
  <c r="AJ33" i="18"/>
  <c r="AJ23" i="18"/>
  <c r="AJ44" i="18"/>
  <c r="W39" i="17"/>
  <c r="W35" i="17"/>
  <c r="AP50" i="18"/>
  <c r="AP46" i="18"/>
  <c r="AX46" i="17"/>
  <c r="AX50" i="17"/>
  <c r="AR39" i="16"/>
  <c r="AR35" i="16"/>
  <c r="AS50" i="16"/>
  <c r="AS46" i="16"/>
  <c r="T11" i="20"/>
  <c r="T45" i="20" s="1"/>
  <c r="S46" i="17"/>
  <c r="S50" i="17"/>
  <c r="W46" i="17"/>
  <c r="W50" i="17"/>
  <c r="R35" i="18"/>
  <c r="R39" i="18"/>
  <c r="V23" i="16"/>
  <c r="V44" i="16"/>
  <c r="V33" i="16"/>
  <c r="AE35" i="16"/>
  <c r="AE39" i="16"/>
  <c r="AL44" i="18"/>
  <c r="AL33" i="18"/>
  <c r="AL23" i="18"/>
  <c r="AW45" i="16"/>
  <c r="AW51" i="16" s="1"/>
  <c r="AW24" i="16"/>
  <c r="AW34" i="16"/>
  <c r="AW40" i="16" s="1"/>
  <c r="AM39" i="18"/>
  <c r="AM35" i="18"/>
  <c r="AX35" i="16"/>
  <c r="AX39" i="16"/>
  <c r="Q46" i="18"/>
  <c r="Q50" i="18"/>
  <c r="X46" i="18"/>
  <c r="P46" i="18"/>
  <c r="AW35" i="17"/>
  <c r="AW39" i="17"/>
  <c r="AD46" i="18"/>
  <c r="AD50" i="18"/>
  <c r="J50" i="17"/>
  <c r="J46" i="17"/>
  <c r="AR46" i="18"/>
  <c r="AR50" i="18"/>
  <c r="X35" i="18"/>
  <c r="AC35" i="18"/>
  <c r="AB44" i="17"/>
  <c r="AB23" i="17"/>
  <c r="AB33" i="17"/>
  <c r="AU24" i="17"/>
  <c r="AU45" i="17"/>
  <c r="AU51" i="17" s="1"/>
  <c r="AU34" i="17"/>
  <c r="AU40" i="17" s="1"/>
  <c r="Y39" i="18"/>
  <c r="Y35" i="18"/>
  <c r="AG39" i="17"/>
  <c r="AG35" i="17"/>
  <c r="I46" i="17"/>
  <c r="I50" i="17"/>
  <c r="X39" i="16"/>
  <c r="X35" i="16"/>
  <c r="K34" i="16"/>
  <c r="K40" i="16" s="1"/>
  <c r="K45" i="16"/>
  <c r="K51" i="16" s="1"/>
  <c r="K24" i="16"/>
  <c r="X46" i="17"/>
  <c r="X50" i="17"/>
  <c r="AO46" i="16"/>
  <c r="AO50" i="16"/>
  <c r="F15" i="16"/>
  <c r="E10" i="16"/>
  <c r="AF46" i="16"/>
  <c r="AF50" i="16"/>
  <c r="AB44" i="16"/>
  <c r="AB23" i="16"/>
  <c r="AB33" i="16"/>
  <c r="AO46" i="18"/>
  <c r="AO50" i="18"/>
  <c r="D35" i="16"/>
  <c r="D39" i="16"/>
  <c r="M35" i="17"/>
  <c r="M39" i="17"/>
  <c r="AV46" i="16"/>
  <c r="AV50" i="16"/>
  <c r="G40" i="18"/>
  <c r="G35" i="18"/>
  <c r="AW23" i="18"/>
  <c r="AW44" i="18"/>
  <c r="AW33" i="18"/>
  <c r="AJ46" i="16"/>
  <c r="AJ50" i="16"/>
  <c r="N39" i="17"/>
  <c r="N35" i="17"/>
  <c r="K50" i="16"/>
  <c r="F46" i="18"/>
  <c r="F50" i="18"/>
  <c r="AX35" i="18"/>
  <c r="AX39" i="18"/>
  <c r="AE50" i="17"/>
  <c r="AE46" i="17"/>
  <c r="AN35" i="18"/>
  <c r="AN39" i="18"/>
  <c r="AJ45" i="18"/>
  <c r="AJ51" i="18" s="1"/>
  <c r="AJ24" i="18"/>
  <c r="AJ34" i="18"/>
  <c r="AJ40" i="18" s="1"/>
  <c r="U24" i="16"/>
  <c r="U45" i="16"/>
  <c r="U51" i="16" s="1"/>
  <c r="U34" i="16"/>
  <c r="U40" i="16" s="1"/>
  <c r="M34" i="16"/>
  <c r="M40" i="16" s="1"/>
  <c r="M24" i="16"/>
  <c r="M45" i="16"/>
  <c r="M51" i="16" s="1"/>
  <c r="H50" i="17"/>
  <c r="H46" i="17"/>
  <c r="AH44" i="16"/>
  <c r="AH33" i="16"/>
  <c r="AH23" i="16"/>
  <c r="K35" i="17"/>
  <c r="K39" i="17"/>
  <c r="AW33" i="16"/>
  <c r="AW44" i="16"/>
  <c r="AW23" i="16"/>
  <c r="AN46" i="16"/>
  <c r="AN50" i="16"/>
  <c r="T35" i="18"/>
  <c r="T39" i="18"/>
  <c r="AN23" i="17"/>
  <c r="AN44" i="17"/>
  <c r="AN33" i="17"/>
  <c r="L45" i="17"/>
  <c r="L51" i="17" s="1"/>
  <c r="L34" i="17"/>
  <c r="L40" i="17" s="1"/>
  <c r="L24" i="17"/>
  <c r="AF50" i="18"/>
  <c r="AF46" i="18"/>
  <c r="Z46" i="16"/>
  <c r="Z50" i="16"/>
  <c r="AP35" i="18"/>
  <c r="AP39" i="18"/>
  <c r="AS46" i="18"/>
  <c r="AS50" i="18"/>
  <c r="S46" i="18"/>
  <c r="S50" i="18"/>
  <c r="F50" i="17"/>
  <c r="F46" i="17"/>
  <c r="K46" i="17"/>
  <c r="K50" i="17"/>
  <c r="AD39" i="17"/>
  <c r="AD35" i="17"/>
  <c r="I27" i="18"/>
  <c r="H30" i="18"/>
  <c r="O39" i="17"/>
  <c r="O35" i="17"/>
  <c r="AB39" i="18"/>
  <c r="AB35" i="18"/>
  <c r="U35" i="18"/>
  <c r="J50" i="18"/>
  <c r="J46" i="18"/>
  <c r="AK46" i="17"/>
  <c r="AK50" i="17"/>
  <c r="AW46" i="17"/>
  <c r="AW50" i="17"/>
  <c r="AY50" i="17"/>
  <c r="AY46" i="17"/>
  <c r="J35" i="17"/>
  <c r="J39" i="17"/>
  <c r="AU39" i="18"/>
  <c r="AU35" i="18"/>
  <c r="V46" i="18"/>
  <c r="V50" i="18"/>
  <c r="S50" i="16"/>
  <c r="S46" i="16"/>
  <c r="AU50" i="16"/>
  <c r="AU46" i="16"/>
  <c r="Y46" i="18"/>
  <c r="Y50" i="18"/>
  <c r="I39" i="17"/>
  <c r="I35" i="17"/>
  <c r="M34" i="18"/>
  <c r="M40" i="18" s="1"/>
  <c r="M45" i="18"/>
  <c r="M51" i="18" s="1"/>
  <c r="M24" i="18"/>
  <c r="P34" i="16"/>
  <c r="P40" i="16" s="1"/>
  <c r="P24" i="16"/>
  <c r="P45" i="16"/>
  <c r="P51" i="16" s="1"/>
  <c r="AM50" i="17"/>
  <c r="AM46" i="17"/>
  <c r="R35" i="17"/>
  <c r="R39" i="17"/>
  <c r="AF35" i="17"/>
  <c r="AF39" i="17"/>
  <c r="AO35" i="16"/>
  <c r="AO39" i="16"/>
  <c r="AQ35" i="17"/>
  <c r="AQ39" i="17"/>
  <c r="AB45" i="16"/>
  <c r="AB51" i="16" s="1"/>
  <c r="AB34" i="16"/>
  <c r="AB40" i="16" s="1"/>
  <c r="AB24" i="16"/>
  <c r="AL46" i="17"/>
  <c r="AL50" i="17"/>
  <c r="AJ46" i="17"/>
  <c r="AJ50" i="17"/>
  <c r="AT35" i="16"/>
  <c r="AT39" i="16"/>
  <c r="AG46" i="18"/>
  <c r="AG50" i="18"/>
  <c r="P35" i="17"/>
  <c r="P39" i="17"/>
  <c r="AR46" i="17"/>
  <c r="AR50" i="17"/>
  <c r="N46" i="17"/>
  <c r="N50" i="17"/>
  <c r="F35" i="18"/>
  <c r="F39" i="18"/>
  <c r="AZ10" i="17"/>
  <c r="AE35" i="17"/>
  <c r="AE39" i="17"/>
  <c r="I46" i="16"/>
  <c r="I50" i="16"/>
  <c r="AL35" i="16"/>
  <c r="AL39" i="16"/>
  <c r="D46" i="17"/>
  <c r="D50" i="17"/>
  <c r="E45" i="17"/>
  <c r="E51" i="17" s="1"/>
  <c r="E34" i="17"/>
  <c r="E40" i="17" s="1"/>
  <c r="E24" i="17"/>
  <c r="O39" i="16"/>
  <c r="O35" i="16"/>
  <c r="Y50" i="16"/>
  <c r="Y46" i="16"/>
  <c r="U23" i="16"/>
  <c r="U44" i="16"/>
  <c r="U33" i="16"/>
  <c r="U50" i="16" l="1"/>
  <c r="U46" i="16"/>
  <c r="E13" i="16"/>
  <c r="F14" i="16" s="1"/>
  <c r="F10" i="16" s="1"/>
  <c r="F13" i="16" s="1"/>
  <c r="AZ10" i="16"/>
  <c r="AP35" i="16"/>
  <c r="AP39" i="16"/>
  <c r="M46" i="16"/>
  <c r="M50" i="16"/>
  <c r="Y35" i="17"/>
  <c r="Y39" i="17"/>
  <c r="I30" i="18"/>
  <c r="J27" i="18"/>
  <c r="K46" i="16"/>
  <c r="V39" i="16"/>
  <c r="V35" i="16"/>
  <c r="AP46" i="16"/>
  <c r="AP50" i="16"/>
  <c r="U35" i="17"/>
  <c r="U39" i="17"/>
  <c r="Y50" i="17"/>
  <c r="Y46" i="17"/>
  <c r="Q39" i="17"/>
  <c r="Q35" i="17"/>
  <c r="E34" i="18"/>
  <c r="E40" i="18" s="1"/>
  <c r="E24" i="18"/>
  <c r="AZ24" i="18" s="1"/>
  <c r="E45" i="18"/>
  <c r="E51" i="18" s="1"/>
  <c r="AZ22" i="18"/>
  <c r="L35" i="16"/>
  <c r="V50" i="16"/>
  <c r="V46" i="16"/>
  <c r="G30" i="16"/>
  <c r="H27" i="16"/>
  <c r="L50" i="17"/>
  <c r="L46" i="17"/>
  <c r="E33" i="18"/>
  <c r="E23" i="18"/>
  <c r="AZ23" i="18" s="1"/>
  <c r="E44" i="18"/>
  <c r="AZ21" i="18"/>
  <c r="M46" i="18"/>
  <c r="M50" i="18"/>
  <c r="E39" i="17"/>
  <c r="E35" i="17"/>
  <c r="AB39" i="17"/>
  <c r="AB35" i="17"/>
  <c r="AT45" i="17"/>
  <c r="AT51" i="17" s="1"/>
  <c r="AT34" i="17"/>
  <c r="AT40" i="17" s="1"/>
  <c r="AT24" i="17"/>
  <c r="AZ24" i="17" s="1"/>
  <c r="AY39" i="18"/>
  <c r="AY35" i="18"/>
  <c r="T35" i="17"/>
  <c r="T39" i="17"/>
  <c r="K35" i="16"/>
  <c r="M39" i="18"/>
  <c r="M35" i="18"/>
  <c r="AH46" i="16"/>
  <c r="AH50" i="16"/>
  <c r="AN39" i="17"/>
  <c r="AN35" i="17"/>
  <c r="AW46" i="16"/>
  <c r="AW50" i="16"/>
  <c r="AB46" i="16"/>
  <c r="AB50" i="16"/>
  <c r="AL35" i="18"/>
  <c r="AL39" i="18"/>
  <c r="AJ46" i="18"/>
  <c r="AJ50" i="18"/>
  <c r="AU35" i="17"/>
  <c r="AU39" i="17"/>
  <c r="AT44" i="17"/>
  <c r="AT33" i="17"/>
  <c r="AT23" i="17"/>
  <c r="AZ23" i="17" s="1"/>
  <c r="P46" i="16"/>
  <c r="AI39" i="17"/>
  <c r="AI35" i="17"/>
  <c r="AA46" i="18"/>
  <c r="AA50" i="18"/>
  <c r="E46" i="17"/>
  <c r="E50" i="17"/>
  <c r="AH35" i="16"/>
  <c r="AH39" i="16"/>
  <c r="T50" i="17"/>
  <c r="T46" i="17"/>
  <c r="AN46" i="17"/>
  <c r="AN50" i="17"/>
  <c r="AW35" i="16"/>
  <c r="AW39" i="16"/>
  <c r="AW35" i="18"/>
  <c r="AW39" i="18"/>
  <c r="AB46" i="17"/>
  <c r="AB50" i="17"/>
  <c r="AL50" i="18"/>
  <c r="AL46" i="18"/>
  <c r="M35" i="16"/>
  <c r="M39" i="16"/>
  <c r="AA39" i="18"/>
  <c r="AA35" i="18"/>
  <c r="L46" i="16"/>
  <c r="AY46" i="18"/>
  <c r="AY50" i="18"/>
  <c r="U46" i="17"/>
  <c r="U50" i="17"/>
  <c r="Q50" i="17"/>
  <c r="Q46" i="17"/>
  <c r="AB39" i="16"/>
  <c r="AB35" i="16"/>
  <c r="L35" i="17"/>
  <c r="L39" i="17"/>
  <c r="U35" i="16"/>
  <c r="U39" i="16"/>
  <c r="AW46" i="18"/>
  <c r="AW50" i="18"/>
  <c r="AJ35" i="18"/>
  <c r="AJ39" i="18"/>
  <c r="AU46" i="17"/>
  <c r="AU50" i="17"/>
  <c r="G30" i="17"/>
  <c r="H27" i="17"/>
  <c r="AI46" i="17"/>
  <c r="AI50" i="17"/>
  <c r="E39" i="18" l="1"/>
  <c r="E35" i="18"/>
  <c r="G22" i="16"/>
  <c r="G21" i="16"/>
  <c r="I27" i="16"/>
  <c r="H30" i="16"/>
  <c r="I27" i="17"/>
  <c r="H30" i="17"/>
  <c r="AT35" i="17"/>
  <c r="AT39" i="17"/>
  <c r="AT50" i="17"/>
  <c r="AT46" i="17"/>
  <c r="E46" i="18"/>
  <c r="E50" i="18"/>
  <c r="K27" i="18"/>
  <c r="J30" i="18"/>
  <c r="K30" i="18" l="1"/>
  <c r="L27" i="18"/>
  <c r="I30" i="17"/>
  <c r="J27" i="17"/>
  <c r="G23" i="16"/>
  <c r="AZ23" i="16" s="1"/>
  <c r="G33" i="16"/>
  <c r="G44" i="16"/>
  <c r="AZ21" i="16"/>
  <c r="G45" i="16"/>
  <c r="G51" i="16" s="1"/>
  <c r="G34" i="16"/>
  <c r="G40" i="16" s="1"/>
  <c r="G24" i="16"/>
  <c r="AZ24" i="16" s="1"/>
  <c r="AZ22" i="16"/>
  <c r="I30" i="16"/>
  <c r="J27" i="16"/>
  <c r="G46" i="16" l="1"/>
  <c r="G50" i="16"/>
  <c r="K27" i="16"/>
  <c r="J30" i="16"/>
  <c r="J30" i="17"/>
  <c r="K27" i="17"/>
  <c r="M27" i="18"/>
  <c r="L30" i="18"/>
  <c r="G39" i="16"/>
  <c r="G35" i="16"/>
  <c r="M30" i="18" l="1"/>
  <c r="N27" i="18"/>
  <c r="K30" i="17"/>
  <c r="L27" i="17"/>
  <c r="K30" i="16"/>
  <c r="L27" i="16"/>
  <c r="O27" i="18" l="1"/>
  <c r="N30" i="18"/>
  <c r="M27" i="16"/>
  <c r="L30" i="16"/>
  <c r="M27" i="17"/>
  <c r="L30" i="17"/>
  <c r="M30" i="17" l="1"/>
  <c r="N27" i="17"/>
  <c r="N27" i="16"/>
  <c r="M30" i="16"/>
  <c r="P27" i="18"/>
  <c r="O30" i="18"/>
  <c r="Q27" i="18" l="1"/>
  <c r="P30" i="18"/>
  <c r="N30" i="16"/>
  <c r="O27" i="16"/>
  <c r="O27" i="17"/>
  <c r="N30" i="17"/>
  <c r="P27" i="17" l="1"/>
  <c r="O30" i="17"/>
  <c r="O30" i="16"/>
  <c r="P27" i="16"/>
  <c r="Q30" i="18"/>
  <c r="R27" i="18"/>
  <c r="S27" i="18" l="1"/>
  <c r="R30" i="18"/>
  <c r="Q27" i="16"/>
  <c r="P30" i="16"/>
  <c r="Q27" i="17"/>
  <c r="P30" i="17"/>
  <c r="R27" i="17" l="1"/>
  <c r="Q30" i="17"/>
  <c r="R27" i="16"/>
  <c r="Q30" i="16"/>
  <c r="S30" i="18"/>
  <c r="T27" i="18"/>
  <c r="U27" i="18" l="1"/>
  <c r="T30" i="18"/>
  <c r="R30" i="16"/>
  <c r="S27" i="16"/>
  <c r="R30" i="17"/>
  <c r="S27" i="17"/>
  <c r="S30" i="17" l="1"/>
  <c r="T27" i="17"/>
  <c r="T27" i="16"/>
  <c r="S30" i="16"/>
  <c r="U30" i="18"/>
  <c r="V27" i="18"/>
  <c r="W27" i="18" l="1"/>
  <c r="V30" i="18"/>
  <c r="T30" i="16"/>
  <c r="U27" i="16"/>
  <c r="U27" i="17"/>
  <c r="T30" i="17"/>
  <c r="V27" i="16" l="1"/>
  <c r="U30" i="16"/>
  <c r="U30" i="17"/>
  <c r="V27" i="17"/>
  <c r="X27" i="18"/>
  <c r="W30" i="18"/>
  <c r="Y27" i="18" l="1"/>
  <c r="X30" i="18"/>
  <c r="W27" i="17"/>
  <c r="V30" i="17"/>
  <c r="V30" i="16"/>
  <c r="W27" i="16"/>
  <c r="X27" i="16" l="1"/>
  <c r="W30" i="16"/>
  <c r="W30" i="17"/>
  <c r="X27" i="17"/>
  <c r="Y30" i="18"/>
  <c r="Z27" i="18"/>
  <c r="AA27" i="18" l="1"/>
  <c r="Z30" i="18"/>
  <c r="Y27" i="17"/>
  <c r="X30" i="17"/>
  <c r="Y27" i="16"/>
  <c r="X30" i="16"/>
  <c r="Z27" i="16" l="1"/>
  <c r="Y30" i="16"/>
  <c r="Y30" i="17"/>
  <c r="Z27" i="17"/>
  <c r="AA30" i="18"/>
  <c r="AB27" i="18"/>
  <c r="AC27" i="18" l="1"/>
  <c r="AB30" i="18"/>
  <c r="Z30" i="17"/>
  <c r="AA27" i="17"/>
  <c r="Z30" i="16"/>
  <c r="AA27" i="16"/>
  <c r="AB27" i="16" l="1"/>
  <c r="AA30" i="16"/>
  <c r="AB27" i="17"/>
  <c r="AA30" i="17"/>
  <c r="AD27" i="18"/>
  <c r="AC30" i="18"/>
  <c r="AD30" i="18" l="1"/>
  <c r="AE27" i="18"/>
  <c r="AC27" i="17"/>
  <c r="AB30" i="17"/>
  <c r="AB30" i="16"/>
  <c r="AC27" i="16"/>
  <c r="AD27" i="16" l="1"/>
  <c r="AC30" i="16"/>
  <c r="AD27" i="17"/>
  <c r="AC30" i="17"/>
  <c r="AE30" i="18"/>
  <c r="AF27" i="18"/>
  <c r="AG27" i="18" l="1"/>
  <c r="AF30" i="18"/>
  <c r="AE27" i="17"/>
  <c r="AD30" i="17"/>
  <c r="AE27" i="16"/>
  <c r="AD30" i="16"/>
  <c r="AF27" i="16" l="1"/>
  <c r="AE30" i="16"/>
  <c r="AE30" i="17"/>
  <c r="AF27" i="17"/>
  <c r="AG30" i="18"/>
  <c r="AH27" i="18"/>
  <c r="AF30" i="17" l="1"/>
  <c r="AG27" i="17"/>
  <c r="AI27" i="18"/>
  <c r="AH30" i="18"/>
  <c r="AF30" i="16"/>
  <c r="AG27" i="16"/>
  <c r="AH27" i="16" l="1"/>
  <c r="AG30" i="16"/>
  <c r="AH27" i="17"/>
  <c r="AG30" i="17"/>
  <c r="AI30" i="18"/>
  <c r="AJ27" i="18"/>
  <c r="AH30" i="17" l="1"/>
  <c r="AI27" i="17"/>
  <c r="AK27" i="18"/>
  <c r="AJ30" i="18"/>
  <c r="AI27" i="16"/>
  <c r="AH30" i="16"/>
  <c r="AL27" i="18" l="1"/>
  <c r="AK30" i="18"/>
  <c r="AJ27" i="16"/>
  <c r="AI30" i="16"/>
  <c r="AJ27" i="17"/>
  <c r="AI30" i="17"/>
  <c r="AK27" i="17" l="1"/>
  <c r="AJ30" i="17"/>
  <c r="AJ30" i="16"/>
  <c r="AK27" i="16"/>
  <c r="AM27" i="18"/>
  <c r="AL30" i="18"/>
  <c r="AM30" i="18" l="1"/>
  <c r="AN27" i="18"/>
  <c r="AL27" i="16"/>
  <c r="AK30" i="16"/>
  <c r="AK30" i="17"/>
  <c r="AL27" i="17"/>
  <c r="AO27" i="18" l="1"/>
  <c r="AN30" i="18"/>
  <c r="AL30" i="17"/>
  <c r="AM27" i="17"/>
  <c r="AM27" i="16"/>
  <c r="AL30" i="16"/>
  <c r="AM30" i="16" l="1"/>
  <c r="AN27" i="16"/>
  <c r="AM30" i="17"/>
  <c r="AN27" i="17"/>
  <c r="AO30" i="18"/>
  <c r="AP27" i="18"/>
  <c r="AQ27" i="18" l="1"/>
  <c r="AP30" i="18"/>
  <c r="AN30" i="17"/>
  <c r="AO27" i="17"/>
  <c r="AN30" i="16"/>
  <c r="AO27" i="16"/>
  <c r="AP27" i="17" l="1"/>
  <c r="AO30" i="17"/>
  <c r="AP27" i="16"/>
  <c r="AO30" i="16"/>
  <c r="AQ30" i="18"/>
  <c r="AR27" i="18"/>
  <c r="AS27" i="18" l="1"/>
  <c r="AR30" i="18"/>
  <c r="AQ27" i="16"/>
  <c r="AP30" i="16"/>
  <c r="AP30" i="17"/>
  <c r="AQ27" i="17"/>
  <c r="AQ30" i="17" l="1"/>
  <c r="AR27" i="17"/>
  <c r="AR27" i="16"/>
  <c r="AQ30" i="16"/>
  <c r="AT27" i="18"/>
  <c r="AS30" i="18"/>
  <c r="AU27" i="18" l="1"/>
  <c r="AT30" i="18"/>
  <c r="AR30" i="16"/>
  <c r="AS27" i="16"/>
  <c r="AR30" i="17"/>
  <c r="AS27" i="17"/>
  <c r="AT27" i="17" l="1"/>
  <c r="AS30" i="17"/>
  <c r="AT27" i="16"/>
  <c r="AS30" i="16"/>
  <c r="AU30" i="18"/>
  <c r="AV27" i="18"/>
  <c r="AW27" i="18" l="1"/>
  <c r="AV30" i="18"/>
  <c r="AU27" i="16"/>
  <c r="AT30" i="16"/>
  <c r="AU27" i="17"/>
  <c r="AT30" i="17"/>
  <c r="AV27" i="17" l="1"/>
  <c r="AU30" i="17"/>
  <c r="AU30" i="16"/>
  <c r="AV27" i="16"/>
  <c r="AW30" i="18"/>
  <c r="AX27" i="18"/>
  <c r="AW27" i="17" l="1"/>
  <c r="AV30" i="17"/>
  <c r="AY27" i="18"/>
  <c r="AY30" i="18" s="1"/>
  <c r="AZ30" i="18" s="1"/>
  <c r="AX30" i="18"/>
  <c r="AV30" i="16"/>
  <c r="AW27" i="16"/>
  <c r="AX27" i="16" l="1"/>
  <c r="AW30" i="16"/>
  <c r="AW30" i="17"/>
  <c r="AX27" i="17"/>
  <c r="AY27" i="17" l="1"/>
  <c r="AY30" i="17" s="1"/>
  <c r="AX30" i="17"/>
  <c r="AY27" i="16"/>
  <c r="AY30" i="16" s="1"/>
  <c r="AX30" i="16"/>
  <c r="AZ30" i="16" l="1"/>
  <c r="AZ30" i="17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107" i="5" s="1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 l="1"/>
  <c r="H6" i="5"/>
  <c r="G16" i="5"/>
</calcChain>
</file>

<file path=xl/sharedStrings.xml><?xml version="1.0" encoding="utf-8"?>
<sst xmlns="http://schemas.openxmlformats.org/spreadsheetml/2006/main" count="2533" uniqueCount="414">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</sst>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13" t="s">
        <v>165</v>
      </c>
      <c r="E4" s="114"/>
      <c r="F4" s="115"/>
    </row>
    <row r="5" spans="2:6" x14ac:dyDescent="0.2">
      <c r="B5" s="6"/>
      <c r="C5" s="7" t="s">
        <v>111</v>
      </c>
      <c r="D5" s="116">
        <v>2008</v>
      </c>
      <c r="E5" s="117"/>
      <c r="F5" s="118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90">
        <v>-357</v>
      </c>
      <c r="D6" s="15">
        <v>909</v>
      </c>
      <c r="E6" s="15" t="s">
        <v>166</v>
      </c>
      <c r="F6" s="15" t="s">
        <v>6</v>
      </c>
      <c r="G6" s="15">
        <f t="shared" ref="G6:G15" si="0">$D6+$C6</f>
        <v>552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90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90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90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90">
        <v>-142</v>
      </c>
      <c r="D10" s="15">
        <v>712</v>
      </c>
      <c r="E10" s="15" t="s">
        <v>166</v>
      </c>
      <c r="F10" s="15" t="s">
        <v>6</v>
      </c>
      <c r="G10" s="15">
        <f t="shared" si="0"/>
        <v>570</v>
      </c>
      <c r="H10" s="17" t="str">
        <f t="shared" si="1"/>
        <v/>
      </c>
    </row>
    <row r="11" spans="2:8" x14ac:dyDescent="0.2">
      <c r="B11" s="14" t="s">
        <v>11</v>
      </c>
      <c r="C11" s="90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90">
        <v>-325</v>
      </c>
      <c r="D12" s="15">
        <v>4178</v>
      </c>
      <c r="E12" s="15" t="s">
        <v>166</v>
      </c>
      <c r="F12" s="15" t="s">
        <v>6</v>
      </c>
      <c r="G12" s="15">
        <f t="shared" si="0"/>
        <v>3853</v>
      </c>
      <c r="H12" s="17" t="str">
        <f t="shared" si="1"/>
        <v/>
      </c>
    </row>
    <row r="13" spans="2:8" x14ac:dyDescent="0.2">
      <c r="B13" s="14" t="s">
        <v>13</v>
      </c>
      <c r="C13" s="90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90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90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91">
        <v>-4</v>
      </c>
      <c r="D21" s="15">
        <v>19</v>
      </c>
      <c r="E21" s="15"/>
      <c r="F21" s="15" t="s">
        <v>6</v>
      </c>
      <c r="G21" s="15">
        <f t="shared" ref="G21:G30" si="2">$D21+$C21</f>
        <v>15</v>
      </c>
      <c r="H21" s="17"/>
    </row>
    <row r="22" spans="2:8" x14ac:dyDescent="0.2">
      <c r="B22" s="14" t="s">
        <v>7</v>
      </c>
      <c r="C22" s="91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91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91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91">
        <v>-5</v>
      </c>
      <c r="D25" s="15">
        <v>28</v>
      </c>
      <c r="E25" s="15"/>
      <c r="F25" s="15" t="s">
        <v>6</v>
      </c>
      <c r="G25" s="15">
        <f t="shared" si="2"/>
        <v>23</v>
      </c>
      <c r="H25" s="17"/>
    </row>
    <row r="26" spans="2:8" x14ac:dyDescent="0.2">
      <c r="B26" s="14" t="s">
        <v>11</v>
      </c>
      <c r="C26" s="91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91">
        <v>-19</v>
      </c>
      <c r="D27" s="15">
        <v>85</v>
      </c>
      <c r="E27" s="15"/>
      <c r="F27" s="15" t="s">
        <v>6</v>
      </c>
      <c r="G27" s="15">
        <f t="shared" si="2"/>
        <v>66</v>
      </c>
      <c r="H27" s="17"/>
    </row>
    <row r="28" spans="2:8" x14ac:dyDescent="0.2">
      <c r="B28" s="14" t="s">
        <v>13</v>
      </c>
      <c r="C28" s="91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91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91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132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2">
        <v>2851.3148489475188</v>
      </c>
      <c r="D6" s="93">
        <v>2851.3148489475188</v>
      </c>
      <c r="E6" s="93">
        <v>2851.3148489475188</v>
      </c>
      <c r="F6" s="93">
        <v>2851.3148489475188</v>
      </c>
      <c r="G6" s="93">
        <v>2851.3148489475188</v>
      </c>
      <c r="H6" s="93">
        <v>2851.3148489475188</v>
      </c>
      <c r="I6" s="93">
        <v>2851.3148489475188</v>
      </c>
      <c r="J6" s="93">
        <v>2851.3148489475188</v>
      </c>
      <c r="K6" s="93">
        <v>2851.3148489475188</v>
      </c>
      <c r="L6" s="93">
        <v>2851.3148489475188</v>
      </c>
      <c r="M6" s="93">
        <v>2851.3148489475188</v>
      </c>
      <c r="N6" s="93">
        <v>2851.3148489475188</v>
      </c>
    </row>
    <row r="7" spans="2:14" x14ac:dyDescent="0.2">
      <c r="B7" s="36" t="s">
        <v>105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</row>
    <row r="8" spans="2:14" x14ac:dyDescent="0.2">
      <c r="B8" s="36" t="s">
        <v>106</v>
      </c>
      <c r="C8" s="94">
        <v>3080.2635469792517</v>
      </c>
      <c r="D8" s="95">
        <v>3080.2635469792517</v>
      </c>
      <c r="E8" s="95">
        <v>3080.2635469792517</v>
      </c>
      <c r="F8" s="95">
        <v>3080.2635469792517</v>
      </c>
      <c r="G8" s="95">
        <v>3080.2635469792517</v>
      </c>
      <c r="H8" s="95">
        <v>3080.2635469792517</v>
      </c>
      <c r="I8" s="95">
        <v>3080.2635469792517</v>
      </c>
      <c r="J8" s="95">
        <v>3080.2635469792517</v>
      </c>
      <c r="K8" s="95">
        <v>3080.2635469792517</v>
      </c>
      <c r="L8" s="95">
        <v>3080.2635469792517</v>
      </c>
      <c r="M8" s="95">
        <v>3080.2635469792517</v>
      </c>
      <c r="N8" s="95">
        <v>3080.2635469792517</v>
      </c>
    </row>
    <row r="9" spans="2:14" x14ac:dyDescent="0.2">
      <c r="B9" s="36" t="s">
        <v>107</v>
      </c>
      <c r="C9" s="94">
        <v>2786.7445974352222</v>
      </c>
      <c r="D9" s="95">
        <v>2786.7445974352222</v>
      </c>
      <c r="E9" s="95">
        <v>2786.7445974352222</v>
      </c>
      <c r="F9" s="95">
        <v>2786.7445974352222</v>
      </c>
      <c r="G9" s="95">
        <v>2786.7445974352222</v>
      </c>
      <c r="H9" s="95">
        <v>2786.7445974352222</v>
      </c>
      <c r="I9" s="95">
        <v>2786.7445974352222</v>
      </c>
      <c r="J9" s="95">
        <v>2786.7445974352222</v>
      </c>
      <c r="K9" s="95">
        <v>2786.7445974352222</v>
      </c>
      <c r="L9" s="95">
        <v>2786.7445974352222</v>
      </c>
      <c r="M9" s="95">
        <v>2786.7445974352222</v>
      </c>
      <c r="N9" s="95">
        <v>2786.7445974352222</v>
      </c>
    </row>
    <row r="10" spans="2:14" x14ac:dyDescent="0.2">
      <c r="B10" s="36" t="s">
        <v>108</v>
      </c>
      <c r="C10" s="94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</v>
      </c>
      <c r="L10" s="95">
        <v>0</v>
      </c>
      <c r="M10" s="95">
        <v>0</v>
      </c>
      <c r="N10" s="95">
        <v>0</v>
      </c>
    </row>
    <row r="11" spans="2:14" x14ac:dyDescent="0.2">
      <c r="B11" s="37" t="s">
        <v>109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6">
        <v>1</v>
      </c>
      <c r="D17" s="96">
        <v>1</v>
      </c>
      <c r="E17" s="96">
        <v>1</v>
      </c>
      <c r="F17" s="96">
        <v>5</v>
      </c>
      <c r="G17" s="96">
        <v>1</v>
      </c>
      <c r="H17" s="96">
        <v>10</v>
      </c>
      <c r="I17" s="29" t="s">
        <v>110</v>
      </c>
    </row>
    <row r="18" spans="2:33" x14ac:dyDescent="0.2">
      <c r="B18" s="36" t="s">
        <v>105</v>
      </c>
      <c r="C18" s="97">
        <v>1</v>
      </c>
      <c r="D18" s="97">
        <v>1</v>
      </c>
      <c r="E18" s="97">
        <v>1</v>
      </c>
      <c r="F18" s="97">
        <v>5</v>
      </c>
      <c r="G18" s="97">
        <v>1</v>
      </c>
      <c r="H18" s="97">
        <v>10</v>
      </c>
      <c r="I18" s="29" t="s">
        <v>110</v>
      </c>
    </row>
    <row r="19" spans="2:33" x14ac:dyDescent="0.2">
      <c r="B19" s="36" t="s">
        <v>106</v>
      </c>
      <c r="C19" s="97">
        <v>1</v>
      </c>
      <c r="D19" s="97">
        <v>1</v>
      </c>
      <c r="E19" s="97">
        <v>1</v>
      </c>
      <c r="F19" s="97">
        <v>5</v>
      </c>
      <c r="G19" s="97">
        <v>1</v>
      </c>
      <c r="H19" s="97">
        <v>10</v>
      </c>
      <c r="I19" s="29" t="s">
        <v>110</v>
      </c>
    </row>
    <row r="20" spans="2:33" x14ac:dyDescent="0.2">
      <c r="B20" s="36" t="s">
        <v>107</v>
      </c>
      <c r="C20" s="97">
        <v>1</v>
      </c>
      <c r="D20" s="97">
        <v>1</v>
      </c>
      <c r="E20" s="97">
        <v>1</v>
      </c>
      <c r="F20" s="97">
        <v>5</v>
      </c>
      <c r="G20" s="97">
        <v>1</v>
      </c>
      <c r="H20" s="97">
        <v>10</v>
      </c>
    </row>
    <row r="21" spans="2:33" x14ac:dyDescent="0.2">
      <c r="B21" s="36" t="s">
        <v>108</v>
      </c>
      <c r="C21" s="97">
        <v>1</v>
      </c>
      <c r="D21" s="97">
        <v>1</v>
      </c>
      <c r="E21" s="97">
        <v>1</v>
      </c>
      <c r="F21" s="97">
        <v>5</v>
      </c>
      <c r="G21" s="97">
        <v>1</v>
      </c>
      <c r="H21" s="97">
        <v>10</v>
      </c>
    </row>
    <row r="22" spans="2:33" x14ac:dyDescent="0.2">
      <c r="B22" s="37" t="s">
        <v>109</v>
      </c>
      <c r="C22" s="97">
        <v>1</v>
      </c>
      <c r="D22" s="97">
        <v>1</v>
      </c>
      <c r="E22" s="97">
        <v>1</v>
      </c>
      <c r="F22" s="97">
        <v>5</v>
      </c>
      <c r="G22" s="97">
        <v>1</v>
      </c>
      <c r="H22" s="97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2003</v>
      </c>
      <c r="E28" s="49"/>
      <c r="F28" s="45">
        <f>basic_info!$D$5-4</f>
        <v>2004</v>
      </c>
      <c r="G28" s="49"/>
      <c r="H28" s="45">
        <f>basic_info!$D$5-3</f>
        <v>2005</v>
      </c>
      <c r="I28" s="49"/>
      <c r="J28" s="45">
        <f>basic_info!$D$5-2</f>
        <v>2006</v>
      </c>
      <c r="K28" s="49"/>
      <c r="L28" s="45">
        <f>basic_info!$D$5-1</f>
        <v>2007</v>
      </c>
      <c r="N28" s="45">
        <f>basic_info!$D$5</f>
        <v>2008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2008</v>
      </c>
      <c r="D30" s="44">
        <v>0.7399849637887721</v>
      </c>
      <c r="E30" s="35">
        <v>0</v>
      </c>
      <c r="F30" s="47">
        <v>0.69782766257496576</v>
      </c>
      <c r="G30" s="46">
        <v>0</v>
      </c>
      <c r="H30" s="47">
        <v>0.7777456783815756</v>
      </c>
      <c r="I30" s="46"/>
      <c r="J30" s="47">
        <v>0.76161556793937901</v>
      </c>
      <c r="K30" s="46"/>
      <c r="L30" s="47">
        <v>0.94501843727299595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2009</v>
      </c>
      <c r="D31" s="76"/>
      <c r="E31" s="75"/>
      <c r="F31" s="69">
        <v>0.64606856993436812</v>
      </c>
      <c r="G31" s="79">
        <v>0</v>
      </c>
      <c r="H31" s="61">
        <v>0.72055098531842476</v>
      </c>
      <c r="I31" s="62">
        <v>400000</v>
      </c>
      <c r="J31" s="61">
        <v>0.71377004027579827</v>
      </c>
      <c r="K31" s="62"/>
      <c r="L31" s="61">
        <v>0.86435813324293276</v>
      </c>
      <c r="M31" s="62"/>
      <c r="N31" s="63">
        <v>0.95621221546499158</v>
      </c>
      <c r="O31" s="98"/>
      <c r="P31" s="63">
        <f>O31+M31+K31+I31+G31</f>
        <v>400000</v>
      </c>
    </row>
    <row r="32" spans="2:33" x14ac:dyDescent="0.2">
      <c r="B32" s="36"/>
      <c r="C32" s="47">
        <f>basic_info!$D$5+2</f>
        <v>2010</v>
      </c>
      <c r="D32" s="76"/>
      <c r="E32" s="75"/>
      <c r="F32" s="75"/>
      <c r="G32" s="75"/>
      <c r="H32" s="69">
        <v>0.6808876388132572</v>
      </c>
      <c r="I32" s="79">
        <v>400000</v>
      </c>
      <c r="J32" s="61">
        <v>0.71201828987937288</v>
      </c>
      <c r="K32" s="62"/>
      <c r="L32" s="61">
        <v>0.87454112416799612</v>
      </c>
      <c r="M32" s="62"/>
      <c r="N32" s="63">
        <v>0.87348276589188312</v>
      </c>
      <c r="O32" s="98"/>
      <c r="P32" s="63">
        <f>O32+M32+K32+I32</f>
        <v>400000</v>
      </c>
    </row>
    <row r="33" spans="2:17" x14ac:dyDescent="0.2">
      <c r="B33" s="36"/>
      <c r="C33" s="47">
        <f>basic_info!$D$5+3</f>
        <v>2011</v>
      </c>
      <c r="D33" s="76"/>
      <c r="E33" s="75"/>
      <c r="F33" s="75"/>
      <c r="G33" s="75"/>
      <c r="H33" s="75"/>
      <c r="I33" s="75"/>
      <c r="J33" s="69">
        <v>0.66759713542461396</v>
      </c>
      <c r="K33" s="79">
        <v>400000</v>
      </c>
      <c r="L33" s="61">
        <v>0.81134172439645946</v>
      </c>
      <c r="M33" s="62">
        <v>100000</v>
      </c>
      <c r="N33" s="63">
        <v>0.81188912511999345</v>
      </c>
      <c r="O33" s="98">
        <v>200000</v>
      </c>
      <c r="P33" s="63">
        <f>O33+M33+K33</f>
        <v>700000</v>
      </c>
    </row>
    <row r="34" spans="2:17" x14ac:dyDescent="0.2">
      <c r="B34" s="36"/>
      <c r="C34" s="47">
        <f>basic_info!$D$5+4</f>
        <v>2012</v>
      </c>
      <c r="D34" s="76"/>
      <c r="E34" s="75"/>
      <c r="F34" s="75"/>
      <c r="G34" s="75"/>
      <c r="H34" s="75"/>
      <c r="I34" s="75"/>
      <c r="J34" s="75"/>
      <c r="K34" s="75"/>
      <c r="L34" s="69">
        <v>0.77419792761206629</v>
      </c>
      <c r="M34" s="79">
        <v>100000</v>
      </c>
      <c r="N34" s="63">
        <v>0.75988620984963406</v>
      </c>
      <c r="O34" s="98"/>
      <c r="P34" s="63">
        <f>O34+M34</f>
        <v>100000</v>
      </c>
    </row>
    <row r="35" spans="2:17" x14ac:dyDescent="0.2">
      <c r="B35" s="37"/>
      <c r="C35" s="72">
        <f>basic_info!$D$5+5</f>
        <v>2013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0.72473765751123431</v>
      </c>
      <c r="O35" s="98">
        <v>100000</v>
      </c>
      <c r="P35" s="65">
        <f>O35</f>
        <v>100000</v>
      </c>
    </row>
    <row r="36" spans="2:17" x14ac:dyDescent="0.2">
      <c r="B36" s="41" t="s">
        <v>113</v>
      </c>
      <c r="C36" s="36">
        <f>basic_info!$D$5</f>
        <v>2008</v>
      </c>
      <c r="D36" s="44">
        <v>1.0257547201122916</v>
      </c>
      <c r="E36" s="35">
        <v>0</v>
      </c>
      <c r="F36" s="73">
        <v>1.1300023102276531</v>
      </c>
      <c r="G36" s="74">
        <v>0</v>
      </c>
      <c r="H36" s="73">
        <v>1.0547878477209383</v>
      </c>
      <c r="I36" s="74">
        <v>300000</v>
      </c>
      <c r="J36" s="73">
        <v>0.98750252831704477</v>
      </c>
      <c r="K36" s="74"/>
      <c r="L36" s="66">
        <v>1.0498900180253841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2009</v>
      </c>
      <c r="D37" s="76"/>
      <c r="E37" s="75"/>
      <c r="F37" s="69">
        <v>1.051191025570035</v>
      </c>
      <c r="G37" s="79">
        <v>0</v>
      </c>
      <c r="H37" s="61">
        <v>1.0390313119782215</v>
      </c>
      <c r="I37" s="62">
        <v>300000</v>
      </c>
      <c r="J37" s="61">
        <v>0.93822729942509209</v>
      </c>
      <c r="K37" s="62"/>
      <c r="L37" s="61">
        <v>1.0511225064186411</v>
      </c>
      <c r="M37" s="62"/>
      <c r="N37" s="61">
        <v>1.0950496136559948</v>
      </c>
      <c r="O37" s="99"/>
      <c r="P37" s="63">
        <f>O37+M37+K37+I37+G37</f>
        <v>300000</v>
      </c>
    </row>
    <row r="38" spans="2:17" x14ac:dyDescent="0.2">
      <c r="B38" s="36"/>
      <c r="C38" s="47">
        <f>basic_info!$D$5+2</f>
        <v>2010</v>
      </c>
      <c r="D38" s="76"/>
      <c r="E38" s="75"/>
      <c r="F38" s="75"/>
      <c r="G38" s="75"/>
      <c r="H38" s="69">
        <v>0.95771333889663224</v>
      </c>
      <c r="I38" s="79">
        <v>300000</v>
      </c>
      <c r="J38" s="61">
        <v>0.89726357364389364</v>
      </c>
      <c r="K38" s="62"/>
      <c r="L38" s="61">
        <v>0.95780442275518196</v>
      </c>
      <c r="M38" s="62"/>
      <c r="N38" s="61">
        <v>1.0668653165767679</v>
      </c>
      <c r="O38" s="99"/>
      <c r="P38" s="63">
        <f>O38+M38+K38+I38</f>
        <v>300000</v>
      </c>
    </row>
    <row r="39" spans="2:17" x14ac:dyDescent="0.2">
      <c r="B39" s="36"/>
      <c r="C39" s="47">
        <f>basic_info!$D$5+3</f>
        <v>2011</v>
      </c>
      <c r="D39" s="76"/>
      <c r="E39" s="75"/>
      <c r="F39" s="75"/>
      <c r="G39" s="75"/>
      <c r="H39" s="75"/>
      <c r="I39" s="75"/>
      <c r="J39" s="69">
        <v>0.89032073213160046</v>
      </c>
      <c r="K39" s="79"/>
      <c r="L39" s="61">
        <v>0.91383547859681491</v>
      </c>
      <c r="M39" s="62">
        <v>100000</v>
      </c>
      <c r="N39" s="61">
        <v>1.0175796433406761</v>
      </c>
      <c r="O39" s="99"/>
      <c r="P39" s="63">
        <f>O39+M39+K39</f>
        <v>100000</v>
      </c>
    </row>
    <row r="40" spans="2:17" x14ac:dyDescent="0.2">
      <c r="B40" s="36"/>
      <c r="C40" s="47">
        <f>basic_info!$D$5+4</f>
        <v>2012</v>
      </c>
      <c r="D40" s="76"/>
      <c r="E40" s="75"/>
      <c r="F40" s="75"/>
      <c r="G40" s="75"/>
      <c r="H40" s="75"/>
      <c r="I40" s="75"/>
      <c r="J40" s="75"/>
      <c r="K40" s="75"/>
      <c r="L40" s="69">
        <v>0.87400841210782521</v>
      </c>
      <c r="M40" s="79">
        <v>100000</v>
      </c>
      <c r="N40" s="61">
        <v>0.98773074448833686</v>
      </c>
      <c r="O40" s="99">
        <v>100000</v>
      </c>
      <c r="P40" s="63">
        <f>O40+M40</f>
        <v>200000</v>
      </c>
    </row>
    <row r="41" spans="2:17" x14ac:dyDescent="0.2">
      <c r="B41" s="37"/>
      <c r="C41" s="72">
        <f>basic_info!$D$5+5</f>
        <v>2013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0.97905324764549728</v>
      </c>
      <c r="O41" s="9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100">
        <v>8.3333333333333321</v>
      </c>
      <c r="D47" s="100">
        <v>8.3333333333333321</v>
      </c>
      <c r="E47" s="100">
        <v>8.3333333333333321</v>
      </c>
      <c r="F47" s="100">
        <v>8.3333333333333321</v>
      </c>
      <c r="G47" s="100">
        <v>8.3333333333333321</v>
      </c>
      <c r="H47" s="100">
        <v>8.3333333333333321</v>
      </c>
      <c r="I47" s="100">
        <v>8.3333333333333321</v>
      </c>
      <c r="J47" s="100">
        <v>8.3333333333333321</v>
      </c>
      <c r="K47" s="100">
        <v>8.3333333333333321</v>
      </c>
      <c r="L47" s="100">
        <v>8.3333333333333321</v>
      </c>
      <c r="M47" s="100">
        <v>8.3333333333333321</v>
      </c>
      <c r="N47" s="100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100">
        <v>8.3333333333333321</v>
      </c>
      <c r="D48" s="100">
        <v>8.3333333333333321</v>
      </c>
      <c r="E48" s="100">
        <v>8.3333333333333321</v>
      </c>
      <c r="F48" s="100">
        <v>8.3333333333333321</v>
      </c>
      <c r="G48" s="100">
        <v>8.3333333333333321</v>
      </c>
      <c r="H48" s="100">
        <v>8.3333333333333321</v>
      </c>
      <c r="I48" s="100">
        <v>8.3333333333333321</v>
      </c>
      <c r="J48" s="100">
        <v>8.3333333333333321</v>
      </c>
      <c r="K48" s="100">
        <v>8.3333333333333321</v>
      </c>
      <c r="L48" s="100">
        <v>8.3333333333333321</v>
      </c>
      <c r="M48" s="100">
        <v>8.3333333333333321</v>
      </c>
      <c r="N48" s="100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101">
        <v>6.1416732820866198</v>
      </c>
      <c r="D6" s="101">
        <v>0</v>
      </c>
      <c r="E6" s="101">
        <v>17.276084220716882</v>
      </c>
      <c r="F6" s="101">
        <v>36.81</v>
      </c>
      <c r="G6" s="101">
        <v>39.772242497196494</v>
      </c>
      <c r="H6" s="88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101">
        <v>0</v>
      </c>
      <c r="D7" s="101">
        <v>31.217332182799002</v>
      </c>
      <c r="E7" s="101">
        <v>0</v>
      </c>
      <c r="F7" s="101">
        <v>42.984000000000002</v>
      </c>
      <c r="G7" s="101">
        <v>25.798667817200993</v>
      </c>
      <c r="H7" s="88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101">
        <v>0</v>
      </c>
      <c r="D8" s="101">
        <v>12.05916803364997</v>
      </c>
      <c r="E8" s="101">
        <v>0</v>
      </c>
      <c r="F8" s="101">
        <v>27.931999999999999</v>
      </c>
      <c r="G8" s="101">
        <v>60.00883196635003</v>
      </c>
      <c r="H8" s="88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101">
        <v>100</v>
      </c>
      <c r="D9" s="101"/>
      <c r="E9" s="101"/>
      <c r="F9" s="101"/>
      <c r="G9" s="101"/>
      <c r="H9" s="88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101">
        <v>100</v>
      </c>
      <c r="D10" s="101"/>
      <c r="E10" s="101"/>
      <c r="F10" s="101"/>
      <c r="G10" s="101"/>
      <c r="H10" s="88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102">
        <v>100</v>
      </c>
      <c r="D11" s="102"/>
      <c r="E11" s="102"/>
      <c r="F11" s="102"/>
      <c r="G11" s="102"/>
      <c r="H11" s="87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86">
        <v>30</v>
      </c>
      <c r="D19" s="44">
        <f>100-$C$19</f>
        <v>70</v>
      </c>
      <c r="E19" s="86">
        <v>100</v>
      </c>
      <c r="F19" s="44">
        <f>100-$E$19</f>
        <v>0</v>
      </c>
      <c r="G19" s="86">
        <v>80</v>
      </c>
      <c r="H19" s="33">
        <f>100-$G$19</f>
        <v>20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103">
        <v>17.429820386344275</v>
      </c>
      <c r="D27" s="103">
        <v>0</v>
      </c>
      <c r="E27" s="103">
        <v>0</v>
      </c>
      <c r="F27" s="103">
        <v>0</v>
      </c>
      <c r="G27" s="103">
        <v>0</v>
      </c>
      <c r="H27" s="103">
        <v>31.058270909097562</v>
      </c>
      <c r="I27" s="104">
        <v>0</v>
      </c>
      <c r="P27" s="50"/>
      <c r="Q27" s="50"/>
      <c r="R27" s="50"/>
    </row>
    <row r="28" spans="2:18" x14ac:dyDescent="0.2">
      <c r="B28" s="45" t="s">
        <v>59</v>
      </c>
      <c r="C28" s="103">
        <v>82.570179613655725</v>
      </c>
      <c r="D28" s="103">
        <v>100</v>
      </c>
      <c r="E28" s="103">
        <v>100</v>
      </c>
      <c r="F28" s="103">
        <v>100</v>
      </c>
      <c r="G28" s="103">
        <v>100</v>
      </c>
      <c r="H28" s="103">
        <v>68.941729090902442</v>
      </c>
      <c r="I28" s="104">
        <v>100</v>
      </c>
      <c r="P28" s="50"/>
      <c r="Q28" s="50"/>
      <c r="R28" s="50"/>
    </row>
    <row r="29" spans="2:18" x14ac:dyDescent="0.2">
      <c r="B29" s="45" t="s">
        <v>150</v>
      </c>
      <c r="C29" s="89">
        <f>SUM($C$27:$C$28)</f>
        <v>100</v>
      </c>
      <c r="D29" s="89">
        <f>SUM($D$27:$D$28)</f>
        <v>100</v>
      </c>
      <c r="E29" s="89">
        <f>SUM($E$27:$E$28)</f>
        <v>100</v>
      </c>
      <c r="F29" s="89">
        <f>SUM($F$27:$F$28)</f>
        <v>100</v>
      </c>
      <c r="G29" s="89">
        <f>SUM($G$27:$G$28)</f>
        <v>100</v>
      </c>
      <c r="H29" s="89">
        <f>SUM($H$27:$H$28)</f>
        <v>100</v>
      </c>
      <c r="I29" s="87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106">
        <v>30.256926631890067</v>
      </c>
      <c r="D36" s="106">
        <v>30.256926631890067</v>
      </c>
      <c r="E36" s="106">
        <v>30.256926631890067</v>
      </c>
      <c r="F36" s="106">
        <v>30.256926631890067</v>
      </c>
      <c r="G36" s="106">
        <v>30.256926631890067</v>
      </c>
      <c r="H36" s="106">
        <v>30.256926631890067</v>
      </c>
      <c r="I36" s="106">
        <v>30.256926631890067</v>
      </c>
      <c r="J36" s="106">
        <v>30.256926631890067</v>
      </c>
      <c r="K36" s="106">
        <v>30.256926631890067</v>
      </c>
      <c r="L36" s="106">
        <v>30.256926631890067</v>
      </c>
      <c r="M36" s="106">
        <v>30.256926631890067</v>
      </c>
      <c r="N36" s="108">
        <v>30.256926631890067</v>
      </c>
    </row>
    <row r="37" spans="2:14" x14ac:dyDescent="0.2">
      <c r="B37" s="45" t="s">
        <v>59</v>
      </c>
      <c r="C37" s="107">
        <v>43.28398234016182</v>
      </c>
      <c r="D37" s="107">
        <v>43.28398234016182</v>
      </c>
      <c r="E37" s="107">
        <v>43.28398234016182</v>
      </c>
      <c r="F37" s="107">
        <v>43.28398234016182</v>
      </c>
      <c r="G37" s="107">
        <v>43.28398234016182</v>
      </c>
      <c r="H37" s="107">
        <v>43.28398234016182</v>
      </c>
      <c r="I37" s="107">
        <v>43.28398234016182</v>
      </c>
      <c r="J37" s="107">
        <v>43.28398234016182</v>
      </c>
      <c r="K37" s="107">
        <v>43.28398234016182</v>
      </c>
      <c r="L37" s="107">
        <v>43.28398234016182</v>
      </c>
      <c r="M37" s="107">
        <v>43.28398234016182</v>
      </c>
      <c r="N37" s="105">
        <v>43.28398234016182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109">
        <v>2.5235867262815299</v>
      </c>
      <c r="E6" s="109">
        <v>2.5235867262815299</v>
      </c>
      <c r="F6" s="109">
        <v>2.5235867262815299</v>
      </c>
      <c r="G6" s="109">
        <v>2.5235867262815299</v>
      </c>
      <c r="H6" s="109">
        <v>2.5235867262815299</v>
      </c>
      <c r="I6" s="109">
        <v>2.5235867262815299</v>
      </c>
      <c r="J6" s="109">
        <v>2.5235867262815299</v>
      </c>
      <c r="K6" s="109">
        <v>2.5235867262815299</v>
      </c>
      <c r="L6" s="109">
        <v>2.5235867262815299</v>
      </c>
      <c r="M6" s="109">
        <v>2.5235867262815299</v>
      </c>
      <c r="N6" s="109">
        <v>2.5235867262815299</v>
      </c>
      <c r="O6" s="109">
        <v>2.5235867262815299</v>
      </c>
    </row>
    <row r="7" spans="2:15" x14ac:dyDescent="0.2">
      <c r="C7" s="36" t="s">
        <v>127</v>
      </c>
      <c r="D7" s="109">
        <v>2.1341240776815487</v>
      </c>
      <c r="E7" s="109">
        <v>2.1341240776815487</v>
      </c>
      <c r="F7" s="109">
        <v>2.1341240776815487</v>
      </c>
      <c r="G7" s="109">
        <v>2.1341240776815487</v>
      </c>
      <c r="H7" s="109">
        <v>2.1341240776815487</v>
      </c>
      <c r="I7" s="109">
        <v>2.1341240776815487</v>
      </c>
      <c r="J7" s="109">
        <v>2.1341240776815487</v>
      </c>
      <c r="K7" s="109">
        <v>2.1341240776815487</v>
      </c>
      <c r="L7" s="109">
        <v>2.1341240776815487</v>
      </c>
      <c r="M7" s="109">
        <v>2.1341240776815487</v>
      </c>
      <c r="N7" s="109">
        <v>2.1341240776815487</v>
      </c>
      <c r="O7" s="109">
        <v>2.1341240776815487</v>
      </c>
    </row>
    <row r="8" spans="2:15" x14ac:dyDescent="0.2">
      <c r="C8" s="36" t="s">
        <v>128</v>
      </c>
      <c r="D8" s="109">
        <v>1.9738412176369371</v>
      </c>
      <c r="E8" s="109">
        <v>1.9738412176369371</v>
      </c>
      <c r="F8" s="109">
        <v>1.9738412176369371</v>
      </c>
      <c r="G8" s="109">
        <v>1.9738412176369371</v>
      </c>
      <c r="H8" s="109">
        <v>1.9738412176369371</v>
      </c>
      <c r="I8" s="109">
        <v>1.9738412176369371</v>
      </c>
      <c r="J8" s="109">
        <v>1.9738412176369371</v>
      </c>
      <c r="K8" s="109">
        <v>1.9738412176369371</v>
      </c>
      <c r="L8" s="109">
        <v>1.9738412176369371</v>
      </c>
      <c r="M8" s="109">
        <v>1.9738412176369371</v>
      </c>
      <c r="N8" s="109">
        <v>1.9738412176369371</v>
      </c>
      <c r="O8" s="109">
        <v>1.9738412176369371</v>
      </c>
    </row>
    <row r="9" spans="2:15" x14ac:dyDescent="0.2">
      <c r="C9" s="36" t="s">
        <v>129</v>
      </c>
      <c r="D9" s="109">
        <v>1.9491379584757023</v>
      </c>
      <c r="E9" s="109">
        <v>1.9491379584757023</v>
      </c>
      <c r="F9" s="109">
        <v>1.9491379584757023</v>
      </c>
      <c r="G9" s="109">
        <v>1.9491379584757023</v>
      </c>
      <c r="H9" s="109">
        <v>1.9491379584757023</v>
      </c>
      <c r="I9" s="109">
        <v>1.9491379584757023</v>
      </c>
      <c r="J9" s="109">
        <v>1.9491379584757023</v>
      </c>
      <c r="K9" s="109">
        <v>1.9491379584757023</v>
      </c>
      <c r="L9" s="109">
        <v>1.9491379584757023</v>
      </c>
      <c r="M9" s="109">
        <v>1.9491379584757023</v>
      </c>
      <c r="N9" s="109">
        <v>1.9491379584757023</v>
      </c>
      <c r="O9" s="109">
        <v>1.9491379584757023</v>
      </c>
    </row>
    <row r="10" spans="2:15" x14ac:dyDescent="0.2">
      <c r="C10" s="36" t="s">
        <v>130</v>
      </c>
      <c r="D10" s="109">
        <v>1.8066889189365047</v>
      </c>
      <c r="E10" s="109">
        <v>1.8066889189365047</v>
      </c>
      <c r="F10" s="109">
        <v>1.8066889189365047</v>
      </c>
      <c r="G10" s="109">
        <v>1.8066889189365047</v>
      </c>
      <c r="H10" s="109">
        <v>1.8066889189365047</v>
      </c>
      <c r="I10" s="109">
        <v>1.8066889189365047</v>
      </c>
      <c r="J10" s="109">
        <v>1.8066889189365047</v>
      </c>
      <c r="K10" s="109">
        <v>1.8066889189365047</v>
      </c>
      <c r="L10" s="109">
        <v>1.8066889189365047</v>
      </c>
      <c r="M10" s="109">
        <v>1.8066889189365047</v>
      </c>
      <c r="N10" s="109">
        <v>1.8066889189365047</v>
      </c>
      <c r="O10" s="109">
        <v>1.8066889189365047</v>
      </c>
    </row>
    <row r="11" spans="2:15" x14ac:dyDescent="0.2">
      <c r="C11" s="36" t="s">
        <v>131</v>
      </c>
      <c r="D11" s="109">
        <v>1.8366608415465673</v>
      </c>
      <c r="E11" s="109">
        <v>1.8366608415465673</v>
      </c>
      <c r="F11" s="109">
        <v>1.8366608415465673</v>
      </c>
      <c r="G11" s="109">
        <v>1.8366608415465673</v>
      </c>
      <c r="H11" s="109">
        <v>1.8366608415465673</v>
      </c>
      <c r="I11" s="109">
        <v>1.8366608415465673</v>
      </c>
      <c r="J11" s="109">
        <v>1.8366608415465673</v>
      </c>
      <c r="K11" s="109">
        <v>1.8366608415465673</v>
      </c>
      <c r="L11" s="109">
        <v>1.8366608415465673</v>
      </c>
      <c r="M11" s="109">
        <v>1.8366608415465673</v>
      </c>
      <c r="N11" s="109">
        <v>1.8366608415465673</v>
      </c>
      <c r="O11" s="109">
        <v>1.8366608415465673</v>
      </c>
    </row>
    <row r="12" spans="2:15" x14ac:dyDescent="0.2">
      <c r="C12" s="37" t="s">
        <v>132</v>
      </c>
      <c r="D12" s="109">
        <v>2.2416704340742362</v>
      </c>
      <c r="E12" s="109">
        <v>2.2416704340742362</v>
      </c>
      <c r="F12" s="109">
        <v>2.2416704340742362</v>
      </c>
      <c r="G12" s="109">
        <v>2.2416704340742362</v>
      </c>
      <c r="H12" s="109">
        <v>2.2416704340742362</v>
      </c>
      <c r="I12" s="109">
        <v>2.2416704340742362</v>
      </c>
      <c r="J12" s="109">
        <v>2.2416704340742362</v>
      </c>
      <c r="K12" s="109">
        <v>2.2416704340742362</v>
      </c>
      <c r="L12" s="109">
        <v>2.2416704340742362</v>
      </c>
      <c r="M12" s="109">
        <v>2.2416704340742362</v>
      </c>
      <c r="N12" s="109">
        <v>2.2416704340742362</v>
      </c>
      <c r="O12" s="109">
        <v>2.2416704340742362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110">
        <v>2.9</v>
      </c>
      <c r="E15" s="110">
        <v>3.0387094855480896</v>
      </c>
      <c r="F15" s="110">
        <v>3.0387094855480896</v>
      </c>
      <c r="G15" s="110">
        <v>3.0387094855480896</v>
      </c>
      <c r="H15" s="110">
        <v>3.0387094855480896</v>
      </c>
      <c r="I15" s="110">
        <v>3.0387094855480896</v>
      </c>
      <c r="J15" s="110">
        <v>3.0387094855480896</v>
      </c>
      <c r="K15" s="110">
        <v>3.0387094855480896</v>
      </c>
      <c r="L15" s="110">
        <v>3.0387094855480896</v>
      </c>
      <c r="M15" s="110">
        <v>3.0387094855480896</v>
      </c>
      <c r="N15" s="110">
        <v>3.0387094855480896</v>
      </c>
      <c r="O15" s="110">
        <v>3.0387094855480896</v>
      </c>
    </row>
    <row r="16" spans="2:15" x14ac:dyDescent="0.2">
      <c r="C16" s="36" t="s">
        <v>127</v>
      </c>
      <c r="D16" s="110">
        <v>2.4</v>
      </c>
      <c r="E16" s="110">
        <v>2.7558598991874139</v>
      </c>
      <c r="F16" s="110">
        <v>2.7558598991874139</v>
      </c>
      <c r="G16" s="110">
        <v>2.7558598991874139</v>
      </c>
      <c r="H16" s="110">
        <v>2.7558598991874139</v>
      </c>
      <c r="I16" s="110">
        <v>2.7558598991874139</v>
      </c>
      <c r="J16" s="110">
        <v>2.7558598991874139</v>
      </c>
      <c r="K16" s="110">
        <v>2.7558598991874139</v>
      </c>
      <c r="L16" s="110">
        <v>2.7558598991874139</v>
      </c>
      <c r="M16" s="110">
        <v>2.7558598991874139</v>
      </c>
      <c r="N16" s="110">
        <v>2.7558598991874139</v>
      </c>
      <c r="O16" s="110">
        <v>2.7558598991874139</v>
      </c>
    </row>
    <row r="17" spans="2:15" x14ac:dyDescent="0.2">
      <c r="C17" s="36" t="s">
        <v>128</v>
      </c>
      <c r="D17" s="110">
        <v>2</v>
      </c>
      <c r="E17" s="110">
        <v>2.2015069852357154</v>
      </c>
      <c r="F17" s="110">
        <v>2.2015069852357154</v>
      </c>
      <c r="G17" s="110">
        <v>2.2015069852357154</v>
      </c>
      <c r="H17" s="110">
        <v>2.2015069852357154</v>
      </c>
      <c r="I17" s="110">
        <v>2.2015069852357154</v>
      </c>
      <c r="J17" s="110">
        <v>2.2015069852357154</v>
      </c>
      <c r="K17" s="110">
        <v>2.2015069852357154</v>
      </c>
      <c r="L17" s="110">
        <v>2.2015069852357154</v>
      </c>
      <c r="M17" s="110">
        <v>2.2015069852357154</v>
      </c>
      <c r="N17" s="110">
        <v>2.2015069852357154</v>
      </c>
      <c r="O17" s="110">
        <v>2.2015069852357154</v>
      </c>
    </row>
    <row r="18" spans="2:15" x14ac:dyDescent="0.2">
      <c r="C18" s="36" t="s">
        <v>129</v>
      </c>
      <c r="D18" s="110">
        <v>2.1</v>
      </c>
      <c r="E18" s="110">
        <v>2.276086759208376</v>
      </c>
      <c r="F18" s="110">
        <v>2.276086759208376</v>
      </c>
      <c r="G18" s="110">
        <v>2.276086759208376</v>
      </c>
      <c r="H18" s="110">
        <v>2.276086759208376</v>
      </c>
      <c r="I18" s="110">
        <v>2.276086759208376</v>
      </c>
      <c r="J18" s="110">
        <v>2.276086759208376</v>
      </c>
      <c r="K18" s="110">
        <v>2.276086759208376</v>
      </c>
      <c r="L18" s="110">
        <v>2.276086759208376</v>
      </c>
      <c r="M18" s="110">
        <v>2.276086759208376</v>
      </c>
      <c r="N18" s="110">
        <v>2.276086759208376</v>
      </c>
      <c r="O18" s="110">
        <v>2.276086759208376</v>
      </c>
    </row>
    <row r="19" spans="2:15" x14ac:dyDescent="0.2">
      <c r="C19" s="36" t="s">
        <v>130</v>
      </c>
      <c r="D19" s="110">
        <v>2.0672333495500124</v>
      </c>
      <c r="E19" s="110">
        <v>2.0672333495500124</v>
      </c>
      <c r="F19" s="110">
        <v>2.0672333495500124</v>
      </c>
      <c r="G19" s="110">
        <v>2.0672333495500124</v>
      </c>
      <c r="H19" s="110">
        <v>2.0672333495500124</v>
      </c>
      <c r="I19" s="110">
        <v>2.0672333495500124</v>
      </c>
      <c r="J19" s="110">
        <v>2.0672333495500124</v>
      </c>
      <c r="K19" s="110">
        <v>2.0672333495500124</v>
      </c>
      <c r="L19" s="110">
        <v>2.0672333495500124</v>
      </c>
      <c r="M19" s="110">
        <v>2.0672333495500124</v>
      </c>
      <c r="N19" s="110">
        <v>2.0672333495500124</v>
      </c>
      <c r="O19" s="110">
        <v>2.0672333495500124</v>
      </c>
    </row>
    <row r="20" spans="2:15" x14ac:dyDescent="0.2">
      <c r="C20" s="36" t="s">
        <v>131</v>
      </c>
      <c r="D20" s="110">
        <v>2.0663727657424378</v>
      </c>
      <c r="E20" s="110">
        <v>2.0663727657424378</v>
      </c>
      <c r="F20" s="110">
        <v>2.0663727657424378</v>
      </c>
      <c r="G20" s="110">
        <v>2.0663727657424378</v>
      </c>
      <c r="H20" s="110">
        <v>2.0663727657424378</v>
      </c>
      <c r="I20" s="110">
        <v>2.0663727657424378</v>
      </c>
      <c r="J20" s="110">
        <v>2.0663727657424378</v>
      </c>
      <c r="K20" s="110">
        <v>2.0663727657424378</v>
      </c>
      <c r="L20" s="110">
        <v>2.0663727657424378</v>
      </c>
      <c r="M20" s="110">
        <v>2.0663727657424378</v>
      </c>
      <c r="N20" s="110">
        <v>2.0663727657424378</v>
      </c>
      <c r="O20" s="110">
        <v>2.0663727657424378</v>
      </c>
    </row>
    <row r="21" spans="2:15" x14ac:dyDescent="0.2">
      <c r="C21" s="37" t="s">
        <v>132</v>
      </c>
      <c r="D21" s="110">
        <v>2.4555939786947043</v>
      </c>
      <c r="E21" s="110">
        <v>2.4555939786947043</v>
      </c>
      <c r="F21" s="110">
        <v>2.4555939786947043</v>
      </c>
      <c r="G21" s="110">
        <v>2.4555939786947043</v>
      </c>
      <c r="H21" s="110">
        <v>2.4555939786947043</v>
      </c>
      <c r="I21" s="110">
        <v>2.4555939786947043</v>
      </c>
      <c r="J21" s="110">
        <v>2.4555939786947043</v>
      </c>
      <c r="K21" s="110">
        <v>2.4555939786947043</v>
      </c>
      <c r="L21" s="110">
        <v>2.4555939786947043</v>
      </c>
      <c r="M21" s="110">
        <v>2.4555939786947043</v>
      </c>
      <c r="N21" s="110">
        <v>2.4555939786947043</v>
      </c>
      <c r="O21" s="110">
        <v>2.4555939786947043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11">
        <v>1.8049999999999999</v>
      </c>
      <c r="E24" s="111">
        <v>1.8049999999999999</v>
      </c>
      <c r="F24" s="111">
        <v>1.8049999999999999</v>
      </c>
      <c r="G24" s="111">
        <v>1.8049999999999999</v>
      </c>
      <c r="H24" s="111">
        <v>1.8049999999999999</v>
      </c>
      <c r="I24" s="111">
        <v>1.8049999999999999</v>
      </c>
      <c r="J24" s="111">
        <v>1.8049999999999999</v>
      </c>
      <c r="K24" s="111">
        <v>1.8049999999999999</v>
      </c>
      <c r="L24" s="111">
        <v>1.8049999999999999</v>
      </c>
      <c r="M24" s="111">
        <v>1.8049999999999999</v>
      </c>
      <c r="N24" s="111">
        <v>1.8049999999999999</v>
      </c>
      <c r="O24" s="111">
        <v>1.8049999999999999</v>
      </c>
    </row>
    <row r="25" spans="2:15" x14ac:dyDescent="0.2">
      <c r="C25" s="36" t="s">
        <v>127</v>
      </c>
      <c r="D25" s="111">
        <v>1.8049999999999999</v>
      </c>
      <c r="E25" s="111">
        <v>1.8049999999999999</v>
      </c>
      <c r="F25" s="111">
        <v>1.8049999999999999</v>
      </c>
      <c r="G25" s="111">
        <v>1.8049999999999999</v>
      </c>
      <c r="H25" s="111">
        <v>1.8049999999999999</v>
      </c>
      <c r="I25" s="111">
        <v>1.8049999999999999</v>
      </c>
      <c r="J25" s="111">
        <v>1.8049999999999999</v>
      </c>
      <c r="K25" s="111">
        <v>1.8049999999999999</v>
      </c>
      <c r="L25" s="111">
        <v>1.8049999999999999</v>
      </c>
      <c r="M25" s="111">
        <v>1.8049999999999999</v>
      </c>
      <c r="N25" s="111">
        <v>1.8049999999999999</v>
      </c>
      <c r="O25" s="111">
        <v>1.8049999999999999</v>
      </c>
    </row>
    <row r="26" spans="2:15" x14ac:dyDescent="0.2">
      <c r="C26" s="36" t="s">
        <v>128</v>
      </c>
      <c r="D26" s="111">
        <v>2.0425</v>
      </c>
      <c r="E26" s="111">
        <v>2.0425</v>
      </c>
      <c r="F26" s="111">
        <v>2.0425</v>
      </c>
      <c r="G26" s="111">
        <v>2.0425</v>
      </c>
      <c r="H26" s="111">
        <v>2.0425</v>
      </c>
      <c r="I26" s="111">
        <v>2.0425</v>
      </c>
      <c r="J26" s="111">
        <v>2.0425</v>
      </c>
      <c r="K26" s="111">
        <v>2.0425</v>
      </c>
      <c r="L26" s="111">
        <v>2.0425</v>
      </c>
      <c r="M26" s="111">
        <v>2.0425</v>
      </c>
      <c r="N26" s="111">
        <v>2.0425</v>
      </c>
      <c r="O26" s="111">
        <v>2.0425</v>
      </c>
    </row>
    <row r="27" spans="2:15" x14ac:dyDescent="0.2">
      <c r="C27" s="36" t="s">
        <v>129</v>
      </c>
      <c r="D27" s="111">
        <v>2.09</v>
      </c>
      <c r="E27" s="111">
        <v>2.09</v>
      </c>
      <c r="F27" s="111">
        <v>2.09</v>
      </c>
      <c r="G27" s="111">
        <v>2.09</v>
      </c>
      <c r="H27" s="111">
        <v>2.09</v>
      </c>
      <c r="I27" s="111">
        <v>2.09</v>
      </c>
      <c r="J27" s="111">
        <v>2.09</v>
      </c>
      <c r="K27" s="111">
        <v>2.09</v>
      </c>
      <c r="L27" s="111">
        <v>2.09</v>
      </c>
      <c r="M27" s="111">
        <v>2.09</v>
      </c>
      <c r="N27" s="111">
        <v>2.09</v>
      </c>
      <c r="O27" s="111">
        <v>2.09</v>
      </c>
    </row>
    <row r="28" spans="2:15" x14ac:dyDescent="0.2">
      <c r="C28" s="36" t="s">
        <v>130</v>
      </c>
      <c r="D28" s="111">
        <v>2.09</v>
      </c>
      <c r="E28" s="111">
        <v>2.09</v>
      </c>
      <c r="F28" s="111">
        <v>2.09</v>
      </c>
      <c r="G28" s="111">
        <v>2.09</v>
      </c>
      <c r="H28" s="111">
        <v>2.09</v>
      </c>
      <c r="I28" s="111">
        <v>2.09</v>
      </c>
      <c r="J28" s="111">
        <v>2.09</v>
      </c>
      <c r="K28" s="111">
        <v>2.09</v>
      </c>
      <c r="L28" s="111">
        <v>2.09</v>
      </c>
      <c r="M28" s="111">
        <v>2.09</v>
      </c>
      <c r="N28" s="111">
        <v>2.09</v>
      </c>
      <c r="O28" s="111">
        <v>2.09</v>
      </c>
    </row>
    <row r="29" spans="2:15" x14ac:dyDescent="0.2">
      <c r="C29" s="36" t="s">
        <v>131</v>
      </c>
      <c r="D29" s="111">
        <v>2.3861349115742527</v>
      </c>
      <c r="E29" s="111">
        <v>2.3861349115742527</v>
      </c>
      <c r="F29" s="111">
        <v>2.3861349115742527</v>
      </c>
      <c r="G29" s="111">
        <v>2.3861349115742527</v>
      </c>
      <c r="H29" s="111">
        <v>2.3861349115742527</v>
      </c>
      <c r="I29" s="111">
        <v>2.3861349115742527</v>
      </c>
      <c r="J29" s="111">
        <v>2.3861349115742527</v>
      </c>
      <c r="K29" s="111">
        <v>2.3861349115742527</v>
      </c>
      <c r="L29" s="111">
        <v>2.3861349115742527</v>
      </c>
      <c r="M29" s="111">
        <v>2.3861349115742527</v>
      </c>
      <c r="N29" s="111">
        <v>2.3861349115742527</v>
      </c>
      <c r="O29" s="111">
        <v>2.3861349115742527</v>
      </c>
    </row>
    <row r="30" spans="2:15" x14ac:dyDescent="0.2">
      <c r="C30" s="37" t="s">
        <v>132</v>
      </c>
      <c r="D30" s="111">
        <v>1.9</v>
      </c>
      <c r="E30" s="111">
        <v>2.09</v>
      </c>
      <c r="F30" s="111">
        <v>2.09</v>
      </c>
      <c r="G30" s="111">
        <v>2.09</v>
      </c>
      <c r="H30" s="111">
        <v>2.09</v>
      </c>
      <c r="I30" s="111">
        <v>2.09</v>
      </c>
      <c r="J30" s="111">
        <v>2.09</v>
      </c>
      <c r="K30" s="111">
        <v>2.09</v>
      </c>
      <c r="L30" s="111">
        <v>2.09</v>
      </c>
      <c r="M30" s="111">
        <v>2.09</v>
      </c>
      <c r="N30" s="111">
        <v>2.09</v>
      </c>
      <c r="O30" s="111">
        <v>2.09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112">
        <v>1.8172519803571427</v>
      </c>
      <c r="E33" s="112">
        <v>1.8172519803571427</v>
      </c>
      <c r="F33" s="112">
        <v>1.8172519803571427</v>
      </c>
      <c r="G33" s="112">
        <v>1.8172519803571427</v>
      </c>
      <c r="H33" s="112">
        <v>1.8172519803571427</v>
      </c>
      <c r="I33" s="112">
        <v>1.8172519803571427</v>
      </c>
      <c r="J33" s="112">
        <v>1.8172519803571427</v>
      </c>
      <c r="K33" s="112">
        <v>1.8172519803571427</v>
      </c>
      <c r="L33" s="112">
        <v>1.8172519803571427</v>
      </c>
      <c r="M33" s="112">
        <v>1.8172519803571427</v>
      </c>
      <c r="N33" s="112">
        <v>1.8172519803571427</v>
      </c>
      <c r="O33" s="112">
        <v>1.8172519803571427</v>
      </c>
    </row>
    <row r="34" spans="3:15" x14ac:dyDescent="0.2">
      <c r="C34" s="36" t="s">
        <v>127</v>
      </c>
      <c r="D34" s="112">
        <v>1.9627019000000001</v>
      </c>
      <c r="E34" s="112">
        <v>1.9627019000000001</v>
      </c>
      <c r="F34" s="112">
        <v>1.9627019000000001</v>
      </c>
      <c r="G34" s="112">
        <v>1.9627019000000001</v>
      </c>
      <c r="H34" s="112">
        <v>1.9627019000000001</v>
      </c>
      <c r="I34" s="112">
        <v>1.9627019000000001</v>
      </c>
      <c r="J34" s="112">
        <v>1.9627019000000001</v>
      </c>
      <c r="K34" s="112">
        <v>1.9627019000000001</v>
      </c>
      <c r="L34" s="112">
        <v>1.9627019000000001</v>
      </c>
      <c r="M34" s="112">
        <v>1.9627019000000001</v>
      </c>
      <c r="N34" s="112">
        <v>1.9627019000000001</v>
      </c>
      <c r="O34" s="112">
        <v>1.9627019000000001</v>
      </c>
    </row>
    <row r="35" spans="3:15" x14ac:dyDescent="0.2">
      <c r="C35" s="36" t="s">
        <v>128</v>
      </c>
      <c r="D35" s="112">
        <v>1.8584004104166665</v>
      </c>
      <c r="E35" s="112">
        <v>1.8584004104166665</v>
      </c>
      <c r="F35" s="112">
        <v>1.8584004104166665</v>
      </c>
      <c r="G35" s="112">
        <v>1.8584004104166665</v>
      </c>
      <c r="H35" s="112">
        <v>1.8584004104166665</v>
      </c>
      <c r="I35" s="112">
        <v>1.8584004104166665</v>
      </c>
      <c r="J35" s="112">
        <v>1.8584004104166665</v>
      </c>
      <c r="K35" s="112">
        <v>1.8584004104166665</v>
      </c>
      <c r="L35" s="112">
        <v>1.8584004104166665</v>
      </c>
      <c r="M35" s="112">
        <v>1.8584004104166665</v>
      </c>
      <c r="N35" s="112">
        <v>1.8584004104166665</v>
      </c>
      <c r="O35" s="112">
        <v>1.8584004104166665</v>
      </c>
    </row>
    <row r="36" spans="3:15" x14ac:dyDescent="0.2">
      <c r="C36" s="36" t="s">
        <v>129</v>
      </c>
      <c r="D36" s="112">
        <v>2.1405815193181814</v>
      </c>
      <c r="E36" s="112">
        <v>2.1405815193181814</v>
      </c>
      <c r="F36" s="112">
        <v>2.1405815193181814</v>
      </c>
      <c r="G36" s="112">
        <v>2.1405815193181814</v>
      </c>
      <c r="H36" s="112">
        <v>2.1405815193181814</v>
      </c>
      <c r="I36" s="112">
        <v>2.1405815193181814</v>
      </c>
      <c r="J36" s="112">
        <v>2.1405815193181814</v>
      </c>
      <c r="K36" s="112">
        <v>2.1405815193181814</v>
      </c>
      <c r="L36" s="112">
        <v>2.1405815193181814</v>
      </c>
      <c r="M36" s="112">
        <v>2.1405815193181814</v>
      </c>
      <c r="N36" s="112">
        <v>2.1405815193181814</v>
      </c>
      <c r="O36" s="112">
        <v>2.1405815193181814</v>
      </c>
    </row>
    <row r="37" spans="3:15" x14ac:dyDescent="0.2">
      <c r="C37" s="36" t="s">
        <v>130</v>
      </c>
      <c r="D37" s="112">
        <v>1.7897407437499997</v>
      </c>
      <c r="E37" s="112">
        <v>1.7897407437499997</v>
      </c>
      <c r="F37" s="112">
        <v>1.7897407437499997</v>
      </c>
      <c r="G37" s="112">
        <v>1.7897407437499997</v>
      </c>
      <c r="H37" s="112">
        <v>1.7897407437499997</v>
      </c>
      <c r="I37" s="112">
        <v>1.7897407437499997</v>
      </c>
      <c r="J37" s="112">
        <v>1.7897407437499997</v>
      </c>
      <c r="K37" s="112">
        <v>1.7897407437499997</v>
      </c>
      <c r="L37" s="112">
        <v>1.7897407437499997</v>
      </c>
      <c r="M37" s="112">
        <v>1.7897407437499997</v>
      </c>
      <c r="N37" s="112">
        <v>1.7897407437499997</v>
      </c>
      <c r="O37" s="112">
        <v>1.7897407437499997</v>
      </c>
    </row>
    <row r="38" spans="3:15" x14ac:dyDescent="0.2">
      <c r="C38" s="36" t="s">
        <v>131</v>
      </c>
      <c r="D38" s="112">
        <v>1.949710946875</v>
      </c>
      <c r="E38" s="112">
        <v>1.949710946875</v>
      </c>
      <c r="F38" s="112">
        <v>1.949710946875</v>
      </c>
      <c r="G38" s="112">
        <v>1.949710946875</v>
      </c>
      <c r="H38" s="112">
        <v>1.949710946875</v>
      </c>
      <c r="I38" s="112">
        <v>1.949710946875</v>
      </c>
      <c r="J38" s="112">
        <v>1.949710946875</v>
      </c>
      <c r="K38" s="112">
        <v>1.949710946875</v>
      </c>
      <c r="L38" s="112">
        <v>1.949710946875</v>
      </c>
      <c r="M38" s="112">
        <v>1.949710946875</v>
      </c>
      <c r="N38" s="112">
        <v>1.949710946875</v>
      </c>
      <c r="O38" s="112">
        <v>1.949710946875</v>
      </c>
    </row>
    <row r="39" spans="3:15" x14ac:dyDescent="0.2">
      <c r="C39" s="37" t="s">
        <v>132</v>
      </c>
      <c r="D39" s="112">
        <v>1.987587194273474</v>
      </c>
      <c r="E39" s="112">
        <v>1.987587194273474</v>
      </c>
      <c r="F39" s="112">
        <v>1.987587194273474</v>
      </c>
      <c r="G39" s="112">
        <v>1.987587194273474</v>
      </c>
      <c r="H39" s="112">
        <v>1.987587194273474</v>
      </c>
      <c r="I39" s="112">
        <v>1.987587194273474</v>
      </c>
      <c r="J39" s="112">
        <v>1.987587194273474</v>
      </c>
      <c r="K39" s="112">
        <v>1.987587194273474</v>
      </c>
      <c r="L39" s="112">
        <v>1.987587194273474</v>
      </c>
      <c r="M39" s="112">
        <v>1.987587194273474</v>
      </c>
      <c r="N39" s="112">
        <v>1.987587194273474</v>
      </c>
      <c r="O39" s="112">
        <v>1.987587194273474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94"/>
    </row>
    <row r="2" spans="1:20" ht="15.75" x14ac:dyDescent="0.25">
      <c r="C2" s="195" t="s">
        <v>165</v>
      </c>
      <c r="D2" s="195"/>
      <c r="E2" s="195"/>
      <c r="F2" s="195"/>
      <c r="G2" s="195"/>
      <c r="H2" s="195"/>
    </row>
    <row r="3" spans="1:20" ht="18.75" x14ac:dyDescent="0.25">
      <c r="C3" s="196" t="s">
        <v>413</v>
      </c>
      <c r="D3" s="196"/>
      <c r="E3" s="196"/>
      <c r="F3" s="196"/>
      <c r="G3" s="196"/>
    </row>
    <row r="5" spans="1:20" ht="15.75" x14ac:dyDescent="0.25">
      <c r="A5" s="197" t="s">
        <v>352</v>
      </c>
      <c r="B5" s="198"/>
      <c r="G5" s="199"/>
      <c r="L5" s="197" t="s">
        <v>353</v>
      </c>
      <c r="M5" s="198"/>
      <c r="R5" s="199"/>
    </row>
    <row r="6" spans="1:20" x14ac:dyDescent="0.2">
      <c r="A6" s="200" t="s">
        <v>354</v>
      </c>
      <c r="B6" s="198"/>
      <c r="G6" s="201"/>
      <c r="H6" s="128"/>
      <c r="L6" s="200" t="s">
        <v>355</v>
      </c>
      <c r="M6" s="198"/>
      <c r="S6" s="142"/>
    </row>
    <row r="7" spans="1:20" x14ac:dyDescent="0.2">
      <c r="A7" s="198"/>
      <c r="B7" s="198" t="s">
        <v>356</v>
      </c>
      <c r="G7" s="201"/>
      <c r="H7" s="202">
        <f>SUM(ORA!$D$116:$O$116)</f>
        <v>31279.501324813151</v>
      </c>
      <c r="L7" s="198"/>
      <c r="M7" s="198" t="s">
        <v>356</v>
      </c>
      <c r="S7" s="203">
        <f>SUM(ORA!$D$127:$O$127)</f>
        <v>121731803.75468503</v>
      </c>
    </row>
    <row r="8" spans="1:20" x14ac:dyDescent="0.2">
      <c r="A8" s="198"/>
      <c r="B8" s="198" t="s">
        <v>357</v>
      </c>
      <c r="G8" s="201"/>
      <c r="H8" s="204">
        <f>SUM(POJ!$D$116:$O$116)</f>
        <v>47698.211547148676</v>
      </c>
      <c r="L8" s="198"/>
      <c r="M8" s="198" t="s">
        <v>357</v>
      </c>
      <c r="S8" s="205">
        <f>SUM(POJ!$D$127:$O$127)</f>
        <v>233920432.88981774</v>
      </c>
    </row>
    <row r="9" spans="1:20" x14ac:dyDescent="0.2">
      <c r="A9" s="198"/>
      <c r="B9" s="198" t="s">
        <v>358</v>
      </c>
      <c r="G9" s="201"/>
      <c r="H9" s="204">
        <f>SUM(ROJ!$D$116:$O$116)</f>
        <v>101479.18815078132</v>
      </c>
      <c r="L9" s="198"/>
      <c r="M9" s="198" t="s">
        <v>358</v>
      </c>
      <c r="S9" s="205">
        <f>SUM(ROJ!$D$127:$O$127)</f>
        <v>395360571.60658205</v>
      </c>
    </row>
    <row r="10" spans="1:20" x14ac:dyDescent="0.2">
      <c r="A10" s="198"/>
      <c r="B10" s="198" t="s">
        <v>359</v>
      </c>
      <c r="G10" s="201"/>
      <c r="H10" s="206">
        <f>SUM(FCOJ!$D$116:$O$116)</f>
        <v>90811.498386794803</v>
      </c>
      <c r="L10" s="198"/>
      <c r="M10" s="198" t="s">
        <v>359</v>
      </c>
      <c r="S10" s="207">
        <f>SUM(FCOJ!$D$127:$O$127)</f>
        <v>348994649.3401103</v>
      </c>
    </row>
    <row r="11" spans="1:20" x14ac:dyDescent="0.2">
      <c r="A11" s="198"/>
      <c r="B11" s="198"/>
      <c r="G11" s="201"/>
      <c r="M11" s="198" t="s">
        <v>360</v>
      </c>
      <c r="T11" s="208">
        <f>SUM($S$7:$S$10)</f>
        <v>1100007457.5911951</v>
      </c>
    </row>
    <row r="12" spans="1:20" x14ac:dyDescent="0.2">
      <c r="A12" s="200" t="s">
        <v>361</v>
      </c>
      <c r="B12" s="198"/>
      <c r="G12" s="201"/>
    </row>
    <row r="13" spans="1:20" x14ac:dyDescent="0.2">
      <c r="A13" s="198"/>
      <c r="B13" s="198" t="s">
        <v>362</v>
      </c>
      <c r="G13" s="201"/>
      <c r="H13" s="209">
        <f>SUM(grove!$C$48:$AX$53)</f>
        <v>387288.56958814006</v>
      </c>
      <c r="L13" s="200" t="s">
        <v>363</v>
      </c>
      <c r="M13" s="198"/>
    </row>
    <row r="14" spans="1:20" x14ac:dyDescent="0.2">
      <c r="A14" s="198"/>
      <c r="B14" s="198" t="s">
        <v>364</v>
      </c>
      <c r="G14" s="201"/>
      <c r="H14" s="202">
        <f>raw_materials!$P$30</f>
        <v>0</v>
      </c>
      <c r="L14" s="198"/>
      <c r="M14" s="198" t="s">
        <v>365</v>
      </c>
      <c r="S14" s="203">
        <f>SUM(grove!$C$58:$AX$63)</f>
        <v>550204004.33563793</v>
      </c>
    </row>
    <row r="15" spans="1:20" x14ac:dyDescent="0.2">
      <c r="A15" s="198"/>
      <c r="B15" s="198" t="s">
        <v>366</v>
      </c>
      <c r="G15" s="201"/>
      <c r="H15" s="206">
        <f>raw_materials!$P$36</f>
        <v>300000</v>
      </c>
      <c r="L15" s="198"/>
      <c r="M15" s="198" t="s">
        <v>367</v>
      </c>
      <c r="S15" s="205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98"/>
      <c r="B16" s="198" t="s">
        <v>368</v>
      </c>
      <c r="G16" s="201"/>
      <c r="H16" s="210">
        <v>47615.577320216042</v>
      </c>
      <c r="L16" s="198"/>
      <c r="M16" s="198" t="s">
        <v>369</v>
      </c>
      <c r="S16" s="205">
        <f>(raw_materials!D36*raw_materials!E36+raw_materials!F36*raw_materials!G36+raw_materials!H36*raw_materials!I36+raw_materials!J36*raw_materials!K36+raw_materials!L36*raw_materials!M36)*2000</f>
        <v>632872708.63256299</v>
      </c>
    </row>
    <row r="17" spans="1:21" x14ac:dyDescent="0.2">
      <c r="A17" s="198"/>
      <c r="B17" s="198" t="s">
        <v>370</v>
      </c>
      <c r="G17" s="201"/>
      <c r="H17" s="211">
        <v>32272.462212013168</v>
      </c>
      <c r="L17" s="198"/>
      <c r="M17" s="198" t="s">
        <v>371</v>
      </c>
      <c r="S17" s="205">
        <v>129363507.8139649</v>
      </c>
    </row>
    <row r="18" spans="1:21" x14ac:dyDescent="0.2">
      <c r="A18" s="198"/>
      <c r="B18" s="198" t="s">
        <v>372</v>
      </c>
      <c r="G18" s="201"/>
      <c r="H18" s="212">
        <v>240074.12915187894</v>
      </c>
      <c r="L18" s="198"/>
      <c r="M18" s="198" t="s">
        <v>373</v>
      </c>
      <c r="S18" s="207">
        <v>79188200.154325843</v>
      </c>
    </row>
    <row r="19" spans="1:21" x14ac:dyDescent="0.2">
      <c r="A19" s="198"/>
      <c r="B19" s="198" t="s">
        <v>374</v>
      </c>
      <c r="G19" s="201"/>
      <c r="H19" s="211">
        <v>359725.98767761473</v>
      </c>
      <c r="L19" s="198"/>
      <c r="M19" s="198" t="s">
        <v>375</v>
      </c>
      <c r="S19" s="213" t="s">
        <v>376</v>
      </c>
      <c r="T19" s="214">
        <f>SUM($S$14:$S$18)</f>
        <v>1391628420.9364915</v>
      </c>
      <c r="U19" t="s">
        <v>377</v>
      </c>
    </row>
    <row r="20" spans="1:21" x14ac:dyDescent="0.2">
      <c r="A20" s="198"/>
      <c r="B20" s="198" t="s">
        <v>378</v>
      </c>
      <c r="G20" s="201"/>
      <c r="H20" s="206">
        <v>72781.832313409453</v>
      </c>
      <c r="L20" s="198"/>
      <c r="M20" s="198"/>
    </row>
    <row r="21" spans="1:21" x14ac:dyDescent="0.2">
      <c r="A21" s="198"/>
      <c r="B21" s="198"/>
      <c r="G21" s="201"/>
      <c r="L21" s="200" t="s">
        <v>379</v>
      </c>
      <c r="M21" s="198"/>
      <c r="S21" s="142"/>
    </row>
    <row r="22" spans="1:21" x14ac:dyDescent="0.2">
      <c r="A22" s="200" t="s">
        <v>380</v>
      </c>
      <c r="B22" s="198"/>
      <c r="G22" s="201"/>
      <c r="L22" s="198"/>
      <c r="M22" s="198" t="s">
        <v>381</v>
      </c>
      <c r="S22" s="205">
        <v>95231154.640432075</v>
      </c>
    </row>
    <row r="23" spans="1:21" x14ac:dyDescent="0.2">
      <c r="A23" s="198"/>
      <c r="B23" s="198" t="s">
        <v>382</v>
      </c>
      <c r="G23" s="201"/>
      <c r="H23" s="202">
        <f>SUM(raw_materials!$O$31:$O$35)</f>
        <v>300000</v>
      </c>
      <c r="L23" s="198"/>
      <c r="M23" s="198" t="s">
        <v>383</v>
      </c>
      <c r="S23" s="205">
        <v>32272462.212013185</v>
      </c>
    </row>
    <row r="24" spans="1:21" x14ac:dyDescent="0.2">
      <c r="A24" s="198"/>
      <c r="B24" s="198" t="s">
        <v>384</v>
      </c>
      <c r="G24" s="201"/>
      <c r="H24" s="206">
        <f>SUM(raw_materials!$O$37:$O$41)</f>
        <v>100000</v>
      </c>
      <c r="L24" s="198"/>
      <c r="M24" s="198" t="s">
        <v>385</v>
      </c>
      <c r="S24" s="207">
        <v>156048183.94872129</v>
      </c>
    </row>
    <row r="25" spans="1:21" x14ac:dyDescent="0.2">
      <c r="A25" s="198"/>
      <c r="B25" s="198"/>
      <c r="G25" s="201"/>
      <c r="L25" s="198"/>
      <c r="M25" s="198" t="s">
        <v>386</v>
      </c>
      <c r="S25" s="213" t="s">
        <v>376</v>
      </c>
      <c r="T25" s="214">
        <f>SUM($S$22:$S$24)</f>
        <v>283551800.80116653</v>
      </c>
      <c r="U25" t="s">
        <v>377</v>
      </c>
    </row>
    <row r="26" spans="1:21" x14ac:dyDescent="0.2">
      <c r="A26" s="200" t="s">
        <v>387</v>
      </c>
      <c r="B26" s="198"/>
      <c r="G26" s="201"/>
      <c r="L26" s="198"/>
      <c r="M26" s="198"/>
    </row>
    <row r="27" spans="1:21" x14ac:dyDescent="0.2">
      <c r="A27" s="198"/>
      <c r="B27" s="198" t="s">
        <v>388</v>
      </c>
      <c r="G27" s="201"/>
      <c r="H27" s="202">
        <f>SUMIF(facilities!$C$6:$C$15,"&gt;0",facilities!$C$6:$C$15)</f>
        <v>0</v>
      </c>
      <c r="L27" s="200" t="s">
        <v>389</v>
      </c>
      <c r="M27" s="198"/>
    </row>
    <row r="28" spans="1:21" x14ac:dyDescent="0.2">
      <c r="A28" s="198"/>
      <c r="B28" s="198" t="s">
        <v>390</v>
      </c>
      <c r="G28" s="201"/>
      <c r="H28" s="204">
        <f>SUMIF(facilities!$C$36:$C$106,"&gt;0",facilities!$C$36:$C$106)</f>
        <v>0</v>
      </c>
      <c r="L28" s="198"/>
      <c r="M28" s="198" t="s">
        <v>391</v>
      </c>
      <c r="S28" s="203">
        <v>80859636</v>
      </c>
    </row>
    <row r="29" spans="1:21" x14ac:dyDescent="0.2">
      <c r="A29" s="198"/>
      <c r="B29" s="198" t="s">
        <v>392</v>
      </c>
      <c r="G29" s="201"/>
      <c r="H29" s="204">
        <f>SUMIF(facilities!$C$6:$C$15,"&lt;0",facilities!$C$6:$C$15)</f>
        <v>-824</v>
      </c>
      <c r="L29" s="198"/>
      <c r="M29" s="198" t="s">
        <v>393</v>
      </c>
      <c r="S29" s="205">
        <v>13161272.25318937</v>
      </c>
    </row>
    <row r="30" spans="1:21" x14ac:dyDescent="0.2">
      <c r="A30" s="198"/>
      <c r="B30" s="198" t="s">
        <v>394</v>
      </c>
      <c r="G30" s="201"/>
      <c r="H30" s="206">
        <f>SUMIF(facilities!$C$36:$C$106,"&lt;0",facilities!$C$36:$C$106)</f>
        <v>0</v>
      </c>
      <c r="L30" s="198"/>
      <c r="M30" s="198" t="s">
        <v>395</v>
      </c>
      <c r="S30" s="205">
        <v>132191562.11311309</v>
      </c>
    </row>
    <row r="31" spans="1:21" x14ac:dyDescent="0.2">
      <c r="L31" s="198"/>
      <c r="M31" s="198" t="s">
        <v>396</v>
      </c>
      <c r="S31" s="207">
        <f>SUM(ORA!D138:O138)+SUM(POJ!D138:O138)+SUM(ROJ!D138:O138)+SUM(FCOJ!D138:O138)</f>
        <v>236261370.12428522</v>
      </c>
    </row>
    <row r="32" spans="1:21" x14ac:dyDescent="0.2">
      <c r="A32" s="200" t="s">
        <v>397</v>
      </c>
      <c r="B32" s="198"/>
      <c r="G32" s="201"/>
      <c r="L32" s="198"/>
      <c r="M32" s="198" t="s">
        <v>398</v>
      </c>
      <c r="S32" s="130" t="s">
        <v>376</v>
      </c>
      <c r="T32" s="214">
        <f>SUM($S$28:$S$31)</f>
        <v>462473840.49058771</v>
      </c>
      <c r="U32" t="s">
        <v>377</v>
      </c>
    </row>
    <row r="33" spans="1:21" x14ac:dyDescent="0.2">
      <c r="A33" s="198"/>
      <c r="B33" s="198" t="s">
        <v>399</v>
      </c>
      <c r="G33" s="201"/>
      <c r="H33" s="202">
        <f>COUNTIF(facilities!$H$6:$H$15,"=new")</f>
        <v>0</v>
      </c>
      <c r="M33" s="198"/>
    </row>
    <row r="34" spans="1:21" x14ac:dyDescent="0.2">
      <c r="A34" s="198"/>
      <c r="B34" s="198" t="s">
        <v>400</v>
      </c>
      <c r="G34" s="201"/>
      <c r="H34" s="204">
        <f>COUNTIF(facilities!$H$36:$H$106,"=new")</f>
        <v>0</v>
      </c>
      <c r="L34" s="200" t="s">
        <v>401</v>
      </c>
      <c r="M34" s="198"/>
    </row>
    <row r="35" spans="1:21" x14ac:dyDescent="0.2">
      <c r="B35" s="198" t="s">
        <v>18</v>
      </c>
      <c r="H35" s="206">
        <f>SUMIF(facilities!$C$21:$C$30,"&gt;0",facilities!$C$21:$C$30)</f>
        <v>0</v>
      </c>
      <c r="L35" s="198"/>
      <c r="M35" s="198" t="s">
        <v>402</v>
      </c>
      <c r="S35" s="203">
        <v>38497500</v>
      </c>
    </row>
    <row r="36" spans="1:21" x14ac:dyDescent="0.2">
      <c r="L36" s="198"/>
      <c r="M36" s="198" t="s">
        <v>403</v>
      </c>
      <c r="S36" s="205">
        <f>H33*12000000-H38*70/100*12000000</f>
        <v>0</v>
      </c>
    </row>
    <row r="37" spans="1:21" x14ac:dyDescent="0.2">
      <c r="A37" s="200" t="s">
        <v>404</v>
      </c>
      <c r="L37" s="198"/>
      <c r="M37" s="198" t="s">
        <v>405</v>
      </c>
      <c r="S37" s="205">
        <f>H27*8000+H29*70/100*8000</f>
        <v>-4614400</v>
      </c>
    </row>
    <row r="38" spans="1:21" x14ac:dyDescent="0.2">
      <c r="B38" s="198" t="s">
        <v>399</v>
      </c>
      <c r="H38" s="202">
        <f>COUNTIF(facilities!$H$6:$H$15,"=sold")</f>
        <v>0</v>
      </c>
      <c r="L38" s="198"/>
      <c r="M38" s="198" t="s">
        <v>406</v>
      </c>
      <c r="S38" s="205">
        <v>68950000</v>
      </c>
    </row>
    <row r="39" spans="1:21" x14ac:dyDescent="0.2">
      <c r="B39" s="198" t="s">
        <v>400</v>
      </c>
      <c r="H39" s="204">
        <f>COUNTIF(facilities!$H$36:$H$106,"=sold")</f>
        <v>0</v>
      </c>
      <c r="L39" s="198"/>
      <c r="M39" s="198" t="s">
        <v>407</v>
      </c>
      <c r="S39" s="205">
        <f>H34*9000000-H39*80/100*9000000</f>
        <v>0</v>
      </c>
    </row>
    <row r="40" spans="1:21" x14ac:dyDescent="0.2">
      <c r="B40" s="198" t="s">
        <v>18</v>
      </c>
      <c r="H40" s="206">
        <f>-SUMIF(facilities!$C$21:$C$30,"&lt;0",facilities!$C$21:$C$30)</f>
        <v>28</v>
      </c>
      <c r="L40" s="198"/>
      <c r="M40" s="198" t="s">
        <v>408</v>
      </c>
      <c r="S40" s="205">
        <f>H28*6000+H30*80/100*6000</f>
        <v>0</v>
      </c>
    </row>
    <row r="41" spans="1:21" x14ac:dyDescent="0.2">
      <c r="L41" s="198"/>
      <c r="M41" s="198" t="s">
        <v>409</v>
      </c>
      <c r="S41" s="205">
        <v>44810</v>
      </c>
    </row>
    <row r="42" spans="1:21" x14ac:dyDescent="0.2">
      <c r="L42" s="198"/>
      <c r="M42" s="198" t="s">
        <v>410</v>
      </c>
      <c r="S42" s="207">
        <f>H35*100000-H40*60/100*100000</f>
        <v>-1680000</v>
      </c>
    </row>
    <row r="43" spans="1:21" x14ac:dyDescent="0.2">
      <c r="L43" s="198"/>
      <c r="M43" s="198" t="s">
        <v>411</v>
      </c>
      <c r="S43" s="192" t="s">
        <v>376</v>
      </c>
      <c r="T43" s="214">
        <f>SUM($S$35:$S$42)</f>
        <v>101197910</v>
      </c>
      <c r="U43" t="s">
        <v>377</v>
      </c>
    </row>
    <row r="44" spans="1:21" x14ac:dyDescent="0.2">
      <c r="L44" s="198"/>
      <c r="S44" s="128"/>
    </row>
    <row r="45" spans="1:21" ht="14.25" thickBot="1" x14ac:dyDescent="0.3">
      <c r="L45" s="215" t="s">
        <v>412</v>
      </c>
      <c r="M45" s="198"/>
      <c r="T45" s="216">
        <f>$T$11-$T$19-$T$25-$T$32-$T$43</f>
        <v>-1138844514.6370506</v>
      </c>
    </row>
    <row r="46" spans="1:21" ht="13.5" thickTop="1" x14ac:dyDescent="0.2">
      <c r="M46" s="198"/>
    </row>
    <row r="316" spans="1:1" x14ac:dyDescent="0.2">
      <c r="A316" s="194"/>
    </row>
    <row r="317" spans="1:1" x14ac:dyDescent="0.2">
      <c r="A317" s="194"/>
    </row>
    <row r="318" spans="1:1" x14ac:dyDescent="0.2">
      <c r="A318" s="194"/>
    </row>
    <row r="319" spans="1:1" x14ac:dyDescent="0.2">
      <c r="A319" s="194"/>
    </row>
    <row r="320" spans="1:1" x14ac:dyDescent="0.2">
      <c r="A320" s="194"/>
    </row>
    <row r="321" spans="1:1" x14ac:dyDescent="0.2">
      <c r="A321" s="194"/>
    </row>
    <row r="322" spans="1:1" x14ac:dyDescent="0.2">
      <c r="A322" s="194"/>
    </row>
    <row r="323" spans="1:1" x14ac:dyDescent="0.2">
      <c r="A323" s="194"/>
    </row>
    <row r="325" spans="1:1" x14ac:dyDescent="0.2">
      <c r="A325" s="194"/>
    </row>
    <row r="326" spans="1:1" x14ac:dyDescent="0.2">
      <c r="A326" s="194"/>
    </row>
    <row r="327" spans="1:1" x14ac:dyDescent="0.2">
      <c r="A327" s="194"/>
    </row>
    <row r="328" spans="1:1" x14ac:dyDescent="0.2">
      <c r="A328" s="194"/>
    </row>
    <row r="329" spans="1:1" x14ac:dyDescent="0.2">
      <c r="A329" s="194"/>
    </row>
    <row r="330" spans="1:1" x14ac:dyDescent="0.2">
      <c r="A330" s="194"/>
    </row>
    <row r="331" spans="1:1" x14ac:dyDescent="0.2">
      <c r="A331" s="194"/>
    </row>
    <row r="332" spans="1:1" x14ac:dyDescent="0.2">
      <c r="A332" s="194"/>
    </row>
    <row r="334" spans="1:1" x14ac:dyDescent="0.2">
      <c r="A334" s="194"/>
    </row>
    <row r="335" spans="1:1" x14ac:dyDescent="0.2">
      <c r="A335" s="194"/>
    </row>
    <row r="336" spans="1:1" x14ac:dyDescent="0.2">
      <c r="A336" s="194"/>
    </row>
    <row r="337" spans="1:1" x14ac:dyDescent="0.2">
      <c r="A337" s="194"/>
    </row>
    <row r="338" spans="1:1" x14ac:dyDescent="0.2">
      <c r="A338" s="194"/>
    </row>
    <row r="339" spans="1:1" x14ac:dyDescent="0.2">
      <c r="A339" s="194"/>
    </row>
    <row r="340" spans="1:1" x14ac:dyDescent="0.2">
      <c r="A340" s="194"/>
    </row>
    <row r="341" spans="1:1" x14ac:dyDescent="0.2">
      <c r="A341" s="194"/>
    </row>
    <row r="343" spans="1:1" x14ac:dyDescent="0.2">
      <c r="A343" s="194"/>
    </row>
    <row r="344" spans="1:1" x14ac:dyDescent="0.2">
      <c r="A344" s="194"/>
    </row>
    <row r="345" spans="1:1" x14ac:dyDescent="0.2">
      <c r="A345" s="194"/>
    </row>
    <row r="346" spans="1:1" x14ac:dyDescent="0.2">
      <c r="A346" s="194"/>
    </row>
    <row r="347" spans="1:1" x14ac:dyDescent="0.2">
      <c r="A347" s="194"/>
    </row>
    <row r="348" spans="1:1" x14ac:dyDescent="0.2">
      <c r="A348" s="194"/>
    </row>
    <row r="349" spans="1:1" x14ac:dyDescent="0.2">
      <c r="A349" s="194"/>
    </row>
    <row r="350" spans="1:1" x14ac:dyDescent="0.2">
      <c r="A350" s="194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313</v>
      </c>
    </row>
    <row r="3" spans="2:14" x14ac:dyDescent="0.2">
      <c r="B3" s="121" t="s">
        <v>314</v>
      </c>
    </row>
    <row r="4" spans="2:14" x14ac:dyDescent="0.2">
      <c r="B4" s="187" t="s">
        <v>91</v>
      </c>
      <c r="C4" s="187" t="s">
        <v>92</v>
      </c>
      <c r="D4" s="187" t="s">
        <v>93</v>
      </c>
      <c r="E4" s="187" t="s">
        <v>94</v>
      </c>
      <c r="F4" s="187" t="s">
        <v>95</v>
      </c>
      <c r="G4" s="187" t="s">
        <v>96</v>
      </c>
      <c r="H4" s="187" t="s">
        <v>97</v>
      </c>
      <c r="I4" s="187" t="s">
        <v>98</v>
      </c>
      <c r="J4" s="187" t="s">
        <v>99</v>
      </c>
      <c r="K4" s="187" t="s">
        <v>100</v>
      </c>
      <c r="L4" s="187" t="s">
        <v>101</v>
      </c>
      <c r="M4" s="187" t="s">
        <v>102</v>
      </c>
      <c r="N4" s="187" t="s">
        <v>103</v>
      </c>
    </row>
    <row r="5" spans="2:14" x14ac:dyDescent="0.2">
      <c r="B5" s="188" t="s">
        <v>104</v>
      </c>
      <c r="C5">
        <v>0.76068135877156595</v>
      </c>
      <c r="D5">
        <v>0.71797509255679481</v>
      </c>
      <c r="E5">
        <v>0.58849468458036047</v>
      </c>
      <c r="F5">
        <v>0.71100083243533418</v>
      </c>
      <c r="G5">
        <v>0.6110162308224234</v>
      </c>
      <c r="H5">
        <v>0.7289837175682844</v>
      </c>
      <c r="I5">
        <v>0.54277518949959358</v>
      </c>
      <c r="J5">
        <v>0.57150718566872583</v>
      </c>
      <c r="K5">
        <v>0.52413513884431873</v>
      </c>
      <c r="L5">
        <v>0.6501727816564753</v>
      </c>
      <c r="M5">
        <v>0.7238301364320926</v>
      </c>
      <c r="N5">
        <v>0.84849217123746312</v>
      </c>
    </row>
    <row r="6" spans="2:14" x14ac:dyDescent="0.2">
      <c r="B6" s="188" t="s">
        <v>105</v>
      </c>
      <c r="C6">
        <v>0.77014555868959689</v>
      </c>
      <c r="D6">
        <v>0.64604644379450715</v>
      </c>
      <c r="E6">
        <v>0.64778965141439382</v>
      </c>
      <c r="F6">
        <v>0.73561408484344926</v>
      </c>
      <c r="G6">
        <v>0.71534581099755823</v>
      </c>
      <c r="H6">
        <v>0.74323523769467281</v>
      </c>
      <c r="I6">
        <v>0.67301789728520034</v>
      </c>
      <c r="J6">
        <v>0.68385465964535974</v>
      </c>
      <c r="K6">
        <v>0.70578394998294969</v>
      </c>
      <c r="L6">
        <v>0.69035132104505925</v>
      </c>
      <c r="M6">
        <v>0.67091211760718672</v>
      </c>
      <c r="N6">
        <v>0.68603439120459686</v>
      </c>
    </row>
    <row r="7" spans="2:14" x14ac:dyDescent="0.2">
      <c r="B7" s="188" t="s">
        <v>106</v>
      </c>
      <c r="C7">
        <v>0.82624904698658796</v>
      </c>
      <c r="D7">
        <v>0.82317833501183602</v>
      </c>
      <c r="E7">
        <v>0.68512952415511386</v>
      </c>
      <c r="F7">
        <v>0.66107375855739126</v>
      </c>
      <c r="G7">
        <v>0.70992547386173954</v>
      </c>
      <c r="H7">
        <v>0.67608664955000852</v>
      </c>
      <c r="I7">
        <v>0.68024117136085194</v>
      </c>
      <c r="J7">
        <v>0.78055917775555383</v>
      </c>
      <c r="K7">
        <v>0.80736855347221603</v>
      </c>
      <c r="L7">
        <v>0.71185989685064543</v>
      </c>
      <c r="M7">
        <v>0.89317456170475529</v>
      </c>
      <c r="N7">
        <v>0.81296570865915563</v>
      </c>
    </row>
    <row r="8" spans="2:14" x14ac:dyDescent="0.2">
      <c r="B8" s="188" t="s">
        <v>107</v>
      </c>
      <c r="C8">
        <v>0.69762375080015171</v>
      </c>
      <c r="D8">
        <v>0.66892992595290435</v>
      </c>
      <c r="E8">
        <v>0.64331665307542285</v>
      </c>
      <c r="F8">
        <v>0.71742289097874856</v>
      </c>
      <c r="G8">
        <v>0.66073840061584976</v>
      </c>
      <c r="H8">
        <v>0.67797274739676316</v>
      </c>
      <c r="I8">
        <v>0.65543534129218317</v>
      </c>
      <c r="J8">
        <v>1.069400630028764</v>
      </c>
      <c r="K8">
        <v>0.68808508686076864</v>
      </c>
      <c r="L8">
        <v>0.76367828017595629</v>
      </c>
      <c r="M8">
        <v>0.98438670722872013</v>
      </c>
      <c r="N8">
        <v>0.72422930185926937</v>
      </c>
    </row>
    <row r="9" spans="2:14" x14ac:dyDescent="0.2">
      <c r="B9" s="188" t="s">
        <v>108</v>
      </c>
      <c r="C9">
        <v>2.0952510690689086</v>
      </c>
      <c r="D9">
        <v>2.0390837705135345</v>
      </c>
      <c r="E9">
        <v>2.0874867892265319</v>
      </c>
      <c r="F9">
        <v>2.0213243639469147</v>
      </c>
      <c r="G9">
        <v>2.0264217472076416</v>
      </c>
      <c r="H9">
        <v>2.060049275159836</v>
      </c>
      <c r="I9">
        <v>2.1061576581001282</v>
      </c>
      <c r="J9">
        <v>2.045609608888626</v>
      </c>
      <c r="K9">
        <v>2.0376724576950074</v>
      </c>
      <c r="L9">
        <v>2.0989778077602388</v>
      </c>
      <c r="M9">
        <v>2.0963300681114196</v>
      </c>
      <c r="N9">
        <v>2.0792183554172516</v>
      </c>
    </row>
    <row r="10" spans="2:14" x14ac:dyDescent="0.2">
      <c r="B10" s="188" t="s">
        <v>109</v>
      </c>
      <c r="C10">
        <v>0.63946828842163084</v>
      </c>
      <c r="D10">
        <v>0.64072410464286811</v>
      </c>
      <c r="E10">
        <v>0.69468981027603149</v>
      </c>
      <c r="F10">
        <v>0.67834323048591616</v>
      </c>
      <c r="G10">
        <v>0.63448135852813725</v>
      </c>
      <c r="H10">
        <v>0.61352180838584902</v>
      </c>
      <c r="I10">
        <v>0.6277859568595886</v>
      </c>
      <c r="J10">
        <v>0.64958701729774482</v>
      </c>
      <c r="K10">
        <v>0.63415331840515143</v>
      </c>
      <c r="L10">
        <v>0.69929596781730652</v>
      </c>
      <c r="M10">
        <v>0.64109336137771611</v>
      </c>
      <c r="N10">
        <v>0.62277515530586247</v>
      </c>
    </row>
    <row r="11" spans="2:14" x14ac:dyDescent="0.2">
      <c r="B11" s="189"/>
      <c r="C11" s="120"/>
      <c r="D11" s="120"/>
      <c r="E11" s="120"/>
      <c r="F11" s="120"/>
      <c r="G11" s="120"/>
    </row>
    <row r="12" spans="2:14" x14ac:dyDescent="0.2">
      <c r="B12" s="122" t="s">
        <v>315</v>
      </c>
      <c r="C12" s="120"/>
      <c r="D12" s="120"/>
      <c r="E12" s="120"/>
      <c r="F12" s="120"/>
      <c r="G12" s="120"/>
    </row>
    <row r="13" spans="2:14" x14ac:dyDescent="0.2">
      <c r="B13" s="188" t="s">
        <v>316</v>
      </c>
      <c r="C13" s="188" t="s">
        <v>92</v>
      </c>
      <c r="D13" s="188" t="s">
        <v>93</v>
      </c>
      <c r="E13" s="187" t="s">
        <v>94</v>
      </c>
      <c r="F13" s="187" t="s">
        <v>95</v>
      </c>
      <c r="G13" s="187" t="s">
        <v>96</v>
      </c>
      <c r="H13" s="187" t="s">
        <v>97</v>
      </c>
      <c r="I13" s="187" t="s">
        <v>98</v>
      </c>
      <c r="J13" s="187" t="s">
        <v>99</v>
      </c>
      <c r="K13" s="187" t="s">
        <v>100</v>
      </c>
      <c r="L13" s="187" t="s">
        <v>101</v>
      </c>
      <c r="M13" s="187" t="s">
        <v>102</v>
      </c>
      <c r="N13" s="187" t="s">
        <v>103</v>
      </c>
    </row>
    <row r="14" spans="2:14" x14ac:dyDescent="0.2">
      <c r="B14" s="187" t="s">
        <v>317</v>
      </c>
      <c r="C14" s="120">
        <v>0.35647184300833507</v>
      </c>
      <c r="D14" s="120">
        <v>0.35779502143257702</v>
      </c>
      <c r="E14" s="120">
        <v>0.35911447667450647</v>
      </c>
      <c r="F14" s="120">
        <v>0.36042649602816546</v>
      </c>
      <c r="G14" s="120">
        <v>0.36172738771082691</v>
      </c>
      <c r="H14">
        <v>0.36301349125099691</v>
      </c>
      <c r="I14">
        <v>0.36428118778831226</v>
      </c>
      <c r="J14">
        <v>0.36552691025635237</v>
      </c>
      <c r="K14">
        <v>0.3667471534197127</v>
      </c>
      <c r="L14">
        <v>0.36793848373709603</v>
      </c>
      <c r="M14">
        <v>0.36909754902267117</v>
      </c>
      <c r="N14">
        <v>0.37022108787851066</v>
      </c>
    </row>
    <row r="15" spans="2:14" x14ac:dyDescent="0.2">
      <c r="B15" s="187" t="s">
        <v>318</v>
      </c>
      <c r="C15">
        <v>1.0333031631661038</v>
      </c>
      <c r="D15">
        <v>1.0360427994055008</v>
      </c>
      <c r="E15">
        <v>1.038774726809111</v>
      </c>
      <c r="F15">
        <v>1.0414912582324021</v>
      </c>
      <c r="G15">
        <v>1.044184749852318</v>
      </c>
      <c r="H15">
        <v>1.0468476226755996</v>
      </c>
      <c r="I15">
        <v>1.0494723838646864</v>
      </c>
      <c r="J15">
        <v>1.0520516478211925</v>
      </c>
      <c r="K15">
        <v>1.0545781569676314</v>
      </c>
      <c r="L15">
        <v>1.0570448021689132</v>
      </c>
      <c r="M15">
        <v>1.0594446427361501</v>
      </c>
      <c r="N15">
        <v>1.0617709259564889</v>
      </c>
    </row>
    <row r="16" spans="2:14" x14ac:dyDescent="0.2">
      <c r="B16" s="120"/>
    </row>
    <row r="17" spans="2:14" x14ac:dyDescent="0.2">
      <c r="B17" s="121" t="s">
        <v>319</v>
      </c>
    </row>
    <row r="18" spans="2:14" x14ac:dyDescent="0.2">
      <c r="B18" s="119" t="s">
        <v>91</v>
      </c>
      <c r="C18" s="119" t="s">
        <v>92</v>
      </c>
      <c r="D18" s="119" t="s">
        <v>93</v>
      </c>
      <c r="E18" s="119" t="s">
        <v>94</v>
      </c>
      <c r="F18" s="119" t="s">
        <v>95</v>
      </c>
      <c r="G18" s="119" t="s">
        <v>96</v>
      </c>
      <c r="H18" s="119" t="s">
        <v>97</v>
      </c>
      <c r="I18" s="119" t="s">
        <v>98</v>
      </c>
      <c r="J18" s="119" t="s">
        <v>99</v>
      </c>
      <c r="K18" s="119" t="s">
        <v>100</v>
      </c>
      <c r="L18" s="119" t="s">
        <v>101</v>
      </c>
      <c r="M18" s="119" t="s">
        <v>102</v>
      </c>
      <c r="N18" s="119" t="s">
        <v>103</v>
      </c>
    </row>
    <row r="19" spans="2:14" x14ac:dyDescent="0.2">
      <c r="B19" s="190" t="s">
        <v>104</v>
      </c>
      <c r="C19">
        <f>C5</f>
        <v>0.76068135877156595</v>
      </c>
      <c r="D19">
        <f t="shared" ref="D19:N20" si="0">D5</f>
        <v>0.71797509255679481</v>
      </c>
      <c r="E19">
        <f t="shared" si="0"/>
        <v>0.58849468458036047</v>
      </c>
      <c r="F19">
        <f t="shared" si="0"/>
        <v>0.71100083243533418</v>
      </c>
      <c r="G19">
        <f t="shared" si="0"/>
        <v>0.6110162308224234</v>
      </c>
      <c r="H19">
        <f t="shared" si="0"/>
        <v>0.7289837175682844</v>
      </c>
      <c r="I19">
        <f t="shared" si="0"/>
        <v>0.54277518949959358</v>
      </c>
      <c r="J19">
        <f t="shared" si="0"/>
        <v>0.57150718566872583</v>
      </c>
      <c r="K19">
        <f t="shared" si="0"/>
        <v>0.52413513884431873</v>
      </c>
      <c r="L19">
        <f t="shared" si="0"/>
        <v>0.6501727816564753</v>
      </c>
      <c r="M19">
        <f t="shared" si="0"/>
        <v>0.7238301364320926</v>
      </c>
      <c r="N19">
        <f t="shared" si="0"/>
        <v>0.84849217123746312</v>
      </c>
    </row>
    <row r="20" spans="2:14" x14ac:dyDescent="0.2">
      <c r="B20" s="190" t="s">
        <v>105</v>
      </c>
      <c r="C20">
        <f>C6</f>
        <v>0.77014555868959689</v>
      </c>
      <c r="D20">
        <f t="shared" si="0"/>
        <v>0.64604644379450715</v>
      </c>
      <c r="E20">
        <f t="shared" si="0"/>
        <v>0.64778965141439382</v>
      </c>
      <c r="F20">
        <f t="shared" si="0"/>
        <v>0.73561408484344926</v>
      </c>
      <c r="G20">
        <f t="shared" si="0"/>
        <v>0.71534581099755823</v>
      </c>
      <c r="H20">
        <f t="shared" si="0"/>
        <v>0.74323523769467281</v>
      </c>
      <c r="I20">
        <f t="shared" si="0"/>
        <v>0.67301789728520034</v>
      </c>
      <c r="J20">
        <f t="shared" si="0"/>
        <v>0.68385465964535974</v>
      </c>
      <c r="K20">
        <f t="shared" si="0"/>
        <v>0.70578394998294969</v>
      </c>
      <c r="L20">
        <f t="shared" si="0"/>
        <v>0.69035132104505925</v>
      </c>
      <c r="M20">
        <f t="shared" si="0"/>
        <v>0.67091211760718672</v>
      </c>
      <c r="N20">
        <f t="shared" si="0"/>
        <v>0.68603439120459686</v>
      </c>
    </row>
    <row r="21" spans="2:14" x14ac:dyDescent="0.2">
      <c r="B21" s="190" t="s">
        <v>106</v>
      </c>
      <c r="C21">
        <f t="shared" ref="C21:N22" si="1">C7</f>
        <v>0.82624904698658796</v>
      </c>
      <c r="D21">
        <f t="shared" si="1"/>
        <v>0.82317833501183602</v>
      </c>
      <c r="E21">
        <f t="shared" si="1"/>
        <v>0.68512952415511386</v>
      </c>
      <c r="F21">
        <f t="shared" si="1"/>
        <v>0.66107375855739126</v>
      </c>
      <c r="G21">
        <f t="shared" si="1"/>
        <v>0.70992547386173954</v>
      </c>
      <c r="H21">
        <f t="shared" si="1"/>
        <v>0.67608664955000852</v>
      </c>
      <c r="I21">
        <f t="shared" si="1"/>
        <v>0.68024117136085194</v>
      </c>
      <c r="J21">
        <f t="shared" si="1"/>
        <v>0.78055917775555383</v>
      </c>
      <c r="K21">
        <f t="shared" si="1"/>
        <v>0.80736855347221603</v>
      </c>
      <c r="L21">
        <f t="shared" si="1"/>
        <v>0.71185989685064543</v>
      </c>
      <c r="M21">
        <f t="shared" si="1"/>
        <v>0.89317456170475529</v>
      </c>
      <c r="N21">
        <f t="shared" si="1"/>
        <v>0.81296570865915563</v>
      </c>
    </row>
    <row r="22" spans="2:14" x14ac:dyDescent="0.2">
      <c r="B22" s="190" t="s">
        <v>107</v>
      </c>
      <c r="C22">
        <f t="shared" si="1"/>
        <v>0.69762375080015171</v>
      </c>
      <c r="D22">
        <f t="shared" si="1"/>
        <v>0.66892992595290435</v>
      </c>
      <c r="E22">
        <f t="shared" si="1"/>
        <v>0.64331665307542285</v>
      </c>
      <c r="F22">
        <f t="shared" si="1"/>
        <v>0.71742289097874856</v>
      </c>
      <c r="G22">
        <f t="shared" si="1"/>
        <v>0.66073840061584976</v>
      </c>
      <c r="H22">
        <f t="shared" si="1"/>
        <v>0.67797274739676316</v>
      </c>
      <c r="I22">
        <f t="shared" si="1"/>
        <v>0.65543534129218317</v>
      </c>
      <c r="J22">
        <f t="shared" si="1"/>
        <v>1.069400630028764</v>
      </c>
      <c r="K22">
        <f t="shared" si="1"/>
        <v>0.68808508686076864</v>
      </c>
      <c r="L22">
        <f t="shared" si="1"/>
        <v>0.76367828017595629</v>
      </c>
      <c r="M22">
        <f t="shared" si="1"/>
        <v>0.98438670722872013</v>
      </c>
      <c r="N22">
        <f t="shared" si="1"/>
        <v>0.72422930185926937</v>
      </c>
    </row>
    <row r="23" spans="2:14" x14ac:dyDescent="0.2">
      <c r="B23" s="190" t="s">
        <v>108</v>
      </c>
      <c r="C23">
        <f>C9*C14</f>
        <v>0.74689801015617818</v>
      </c>
      <c r="D23">
        <f t="shared" ref="D23:N24" si="2">D9*D14</f>
        <v>0.72957402137371008</v>
      </c>
      <c r="E23">
        <f t="shared" si="2"/>
        <v>0.74964672587803172</v>
      </c>
      <c r="F23">
        <f t="shared" si="2"/>
        <v>0.72853885783374672</v>
      </c>
      <c r="G23">
        <f t="shared" si="2"/>
        <v>0.7330122450178298</v>
      </c>
      <c r="H23">
        <f t="shared" si="2"/>
        <v>0.74782567952485768</v>
      </c>
      <c r="I23">
        <f t="shared" si="2"/>
        <v>0.76723361336216478</v>
      </c>
      <c r="J23">
        <f t="shared" si="2"/>
        <v>0.7477253599277649</v>
      </c>
      <c r="K23">
        <f t="shared" si="2"/>
        <v>0.74731057346139396</v>
      </c>
      <c r="L23">
        <f t="shared" si="2"/>
        <v>0.77229471198511612</v>
      </c>
      <c r="M23">
        <f t="shared" si="2"/>
        <v>0.77375029008245433</v>
      </c>
      <c r="N23">
        <f t="shared" si="2"/>
        <v>0.76977048147954275</v>
      </c>
    </row>
    <row r="24" spans="2:14" x14ac:dyDescent="0.2">
      <c r="B24" s="190" t="s">
        <v>109</v>
      </c>
      <c r="C24">
        <f>C10*C15</f>
        <v>0.66076460517048552</v>
      </c>
      <c r="D24">
        <f t="shared" si="2"/>
        <v>0.66381759502078008</v>
      </c>
      <c r="E24">
        <f t="shared" si="2"/>
        <v>0.72162621788655779</v>
      </c>
      <c r="F24">
        <f t="shared" si="2"/>
        <v>0.70648854463220911</v>
      </c>
      <c r="G24">
        <f t="shared" si="2"/>
        <v>0.66251575864066192</v>
      </c>
      <c r="H24">
        <f t="shared" si="2"/>
        <v>0.64226384656836077</v>
      </c>
      <c r="I24">
        <f t="shared" si="2"/>
        <v>0.6588440247022056</v>
      </c>
      <c r="J24">
        <f t="shared" si="2"/>
        <v>0.68339909195134596</v>
      </c>
      <c r="K24">
        <f t="shared" si="2"/>
        <v>0.66876423775861205</v>
      </c>
      <c r="L24">
        <f t="shared" si="2"/>
        <v>0.73918716795896344</v>
      </c>
      <c r="M24">
        <f t="shared" si="2"/>
        <v>0.67920292720533204</v>
      </c>
      <c r="N24">
        <f t="shared" si="2"/>
        <v>0.66124455331180176</v>
      </c>
    </row>
    <row r="25" spans="2:14" x14ac:dyDescent="0.2">
      <c r="B25" s="189"/>
    </row>
    <row r="26" spans="2:14" x14ac:dyDescent="0.2">
      <c r="B26" s="122" t="s">
        <v>320</v>
      </c>
    </row>
    <row r="27" spans="2:14" x14ac:dyDescent="0.2">
      <c r="B27" s="119" t="s">
        <v>321</v>
      </c>
      <c r="C27" s="119" t="s">
        <v>92</v>
      </c>
      <c r="D27" s="119" t="s">
        <v>93</v>
      </c>
      <c r="E27" s="119" t="s">
        <v>94</v>
      </c>
      <c r="F27" s="119" t="s">
        <v>95</v>
      </c>
      <c r="G27" s="119" t="s">
        <v>96</v>
      </c>
      <c r="H27" s="119" t="s">
        <v>97</v>
      </c>
      <c r="I27" s="119" t="s">
        <v>98</v>
      </c>
      <c r="J27" s="119" t="s">
        <v>99</v>
      </c>
      <c r="K27" s="119" t="s">
        <v>100</v>
      </c>
      <c r="L27" s="119" t="s">
        <v>101</v>
      </c>
      <c r="M27" s="119" t="s">
        <v>102</v>
      </c>
      <c r="N27" s="119" t="s">
        <v>103</v>
      </c>
    </row>
    <row r="28" spans="2:14" x14ac:dyDescent="0.2">
      <c r="B28" s="119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19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19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19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19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19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21" t="s">
        <v>322</v>
      </c>
    </row>
    <row r="36" spans="2:50" x14ac:dyDescent="0.2">
      <c r="B36" s="187" t="s">
        <v>274</v>
      </c>
      <c r="C36" s="187" t="s">
        <v>92</v>
      </c>
      <c r="D36" s="120"/>
      <c r="E36" s="120"/>
      <c r="F36" s="120"/>
      <c r="G36" s="187" t="s">
        <v>93</v>
      </c>
      <c r="H36" s="120"/>
      <c r="I36" s="120"/>
      <c r="J36" s="120"/>
      <c r="K36" s="187" t="s">
        <v>94</v>
      </c>
      <c r="L36" s="120"/>
      <c r="M36" s="120"/>
      <c r="N36" s="120"/>
      <c r="O36" s="187" t="s">
        <v>95</v>
      </c>
      <c r="P36" s="120"/>
      <c r="Q36" s="120"/>
      <c r="R36" s="120"/>
      <c r="S36" s="187" t="s">
        <v>96</v>
      </c>
      <c r="T36" s="120"/>
      <c r="U36" s="120"/>
      <c r="V36" s="120"/>
      <c r="W36" s="187" t="s">
        <v>97</v>
      </c>
      <c r="X36" s="120"/>
      <c r="Y36" s="120"/>
      <c r="Z36" s="120"/>
      <c r="AA36" s="187" t="s">
        <v>98</v>
      </c>
      <c r="AB36" s="120"/>
      <c r="AC36" s="120"/>
      <c r="AD36" s="120"/>
      <c r="AE36" s="187" t="s">
        <v>99</v>
      </c>
      <c r="AF36" s="120"/>
      <c r="AG36" s="120"/>
      <c r="AH36" s="120"/>
      <c r="AI36" s="187" t="s">
        <v>100</v>
      </c>
      <c r="AJ36" s="120"/>
      <c r="AK36" s="120"/>
      <c r="AL36" s="120"/>
      <c r="AM36" s="187" t="s">
        <v>101</v>
      </c>
      <c r="AN36" s="120"/>
      <c r="AO36" s="120"/>
      <c r="AP36" s="120"/>
      <c r="AQ36" s="187" t="s">
        <v>102</v>
      </c>
      <c r="AR36" s="120"/>
      <c r="AS36" s="120"/>
      <c r="AT36" s="120"/>
      <c r="AU36" s="187" t="s">
        <v>103</v>
      </c>
      <c r="AV36" s="120"/>
      <c r="AW36" s="120"/>
      <c r="AX36" s="120"/>
    </row>
    <row r="37" spans="2:50" x14ac:dyDescent="0.2">
      <c r="B37" s="187" t="s">
        <v>323</v>
      </c>
      <c r="C37" s="187">
        <v>1</v>
      </c>
      <c r="D37" s="187">
        <v>2</v>
      </c>
      <c r="E37" s="187">
        <v>3</v>
      </c>
      <c r="F37" s="187">
        <v>4</v>
      </c>
      <c r="G37" s="187">
        <v>1</v>
      </c>
      <c r="H37" s="187">
        <v>2</v>
      </c>
      <c r="I37" s="187">
        <v>3</v>
      </c>
      <c r="J37" s="187">
        <v>4</v>
      </c>
      <c r="K37" s="187">
        <v>1</v>
      </c>
      <c r="L37" s="187">
        <v>2</v>
      </c>
      <c r="M37" s="187">
        <v>3</v>
      </c>
      <c r="N37" s="187">
        <v>4</v>
      </c>
      <c r="O37" s="187">
        <v>1</v>
      </c>
      <c r="P37" s="187">
        <v>2</v>
      </c>
      <c r="Q37" s="187">
        <v>3</v>
      </c>
      <c r="R37" s="187">
        <v>4</v>
      </c>
      <c r="S37" s="187">
        <v>1</v>
      </c>
      <c r="T37" s="187">
        <v>2</v>
      </c>
      <c r="U37" s="187">
        <v>3</v>
      </c>
      <c r="V37" s="187">
        <v>4</v>
      </c>
      <c r="W37" s="187">
        <v>1</v>
      </c>
      <c r="X37" s="187">
        <v>2</v>
      </c>
      <c r="Y37" s="187">
        <v>3</v>
      </c>
      <c r="Z37" s="187">
        <v>4</v>
      </c>
      <c r="AA37" s="187">
        <v>1</v>
      </c>
      <c r="AB37" s="187">
        <v>2</v>
      </c>
      <c r="AC37" s="187">
        <v>3</v>
      </c>
      <c r="AD37" s="187">
        <v>4</v>
      </c>
      <c r="AE37" s="187">
        <v>1</v>
      </c>
      <c r="AF37" s="187">
        <v>2</v>
      </c>
      <c r="AG37" s="187">
        <v>3</v>
      </c>
      <c r="AH37" s="187">
        <v>4</v>
      </c>
      <c r="AI37" s="187">
        <v>1</v>
      </c>
      <c r="AJ37" s="187">
        <v>2</v>
      </c>
      <c r="AK37" s="187">
        <v>3</v>
      </c>
      <c r="AL37" s="187">
        <v>4</v>
      </c>
      <c r="AM37" s="187">
        <v>1</v>
      </c>
      <c r="AN37" s="187">
        <v>2</v>
      </c>
      <c r="AO37" s="187">
        <v>3</v>
      </c>
      <c r="AP37" s="187">
        <v>4</v>
      </c>
      <c r="AQ37" s="187">
        <v>1</v>
      </c>
      <c r="AR37" s="187">
        <v>2</v>
      </c>
      <c r="AS37" s="187">
        <v>3</v>
      </c>
      <c r="AT37" s="187">
        <v>4</v>
      </c>
      <c r="AU37" s="187">
        <v>1</v>
      </c>
      <c r="AV37" s="187">
        <v>2</v>
      </c>
      <c r="AW37" s="187">
        <v>3</v>
      </c>
      <c r="AX37" s="187">
        <v>4</v>
      </c>
    </row>
    <row r="38" spans="2:50" x14ac:dyDescent="0.2">
      <c r="B38" s="187" t="s">
        <v>104</v>
      </c>
      <c r="C38">
        <v>25054.902514011505</v>
      </c>
      <c r="D38">
        <v>25109.81675262624</v>
      </c>
      <c r="E38">
        <v>17615.313738968809</v>
      </c>
      <c r="F38">
        <v>25219.64518704552</v>
      </c>
      <c r="G38">
        <v>25274.541764850626</v>
      </c>
      <c r="H38">
        <v>25329.41483434946</v>
      </c>
      <c r="I38">
        <v>25384.255583806131</v>
      </c>
      <c r="J38">
        <v>25439.055203174696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18225.636168145524</v>
      </c>
      <c r="V38">
        <v>26090.24469980675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26770.127180149142</v>
      </c>
      <c r="AJ38">
        <v>26820.807301044035</v>
      </c>
      <c r="AK38">
        <v>26871.21469072756</v>
      </c>
      <c r="AL38">
        <v>26921.341209603564</v>
      </c>
      <c r="AM38">
        <v>26971.178763785614</v>
      </c>
      <c r="AN38">
        <v>27020.719306543244</v>
      </c>
      <c r="AO38">
        <v>27069.954839740756</v>
      </c>
      <c r="AP38">
        <v>27118.877415268147</v>
      </c>
      <c r="AQ38">
        <v>19017.235395524818</v>
      </c>
      <c r="AR38">
        <v>27215.752159530173</v>
      </c>
      <c r="AS38">
        <v>27263.688694937566</v>
      </c>
      <c r="AT38">
        <v>19117.896706176456</v>
      </c>
      <c r="AU38">
        <v>10943.408569751928</v>
      </c>
      <c r="AV38">
        <v>19183.781626262014</v>
      </c>
      <c r="AW38">
        <v>19216.341302764056</v>
      </c>
      <c r="AX38">
        <v>10999.222159076764</v>
      </c>
    </row>
    <row r="39" spans="2:50" x14ac:dyDescent="0.2">
      <c r="B39" s="187" t="s">
        <v>105</v>
      </c>
      <c r="C39">
        <v>10523.059055884833</v>
      </c>
      <c r="D39">
        <v>15065.890051575743</v>
      </c>
      <c r="E39">
        <v>15098.84034768755</v>
      </c>
      <c r="F39">
        <v>10592.250978559117</v>
      </c>
      <c r="G39">
        <v>15164.725058910377</v>
      </c>
      <c r="H39">
        <v>15197.648900609674</v>
      </c>
      <c r="I39">
        <v>15230.553350283679</v>
      </c>
      <c r="J39">
        <v>15263.433121904818</v>
      </c>
      <c r="K39">
        <v>15296.282931388283</v>
      </c>
      <c r="L39">
        <v>15329.097497521014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6196.9828614107873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10957.902773918835</v>
      </c>
      <c r="W39">
        <v>15686.226899584581</v>
      </c>
      <c r="X39">
        <v>11002.746246145731</v>
      </c>
      <c r="Y39">
        <v>15750.087730770527</v>
      </c>
      <c r="Z39">
        <v>11047.300725264813</v>
      </c>
      <c r="AA39">
        <v>15813.515140569893</v>
      </c>
      <c r="AB39">
        <v>15845.053506225015</v>
      </c>
      <c r="AC39">
        <v>15876.468185043188</v>
      </c>
      <c r="AD39">
        <v>11135.427873913615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16152.80472576214</v>
      </c>
      <c r="AM39">
        <v>16182.707258271368</v>
      </c>
      <c r="AN39">
        <v>16212.431583925947</v>
      </c>
      <c r="AO39">
        <v>11369.381032691117</v>
      </c>
      <c r="AP39">
        <v>16271.326449160888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 x14ac:dyDescent="0.2">
      <c r="B40" s="187" t="s">
        <v>106</v>
      </c>
      <c r="C40">
        <v>2004.3922011209206</v>
      </c>
      <c r="D40">
        <v>2008.7853402100993</v>
      </c>
      <c r="E40">
        <v>5032.946782562517</v>
      </c>
      <c r="F40">
        <v>5043.9290374091042</v>
      </c>
      <c r="G40">
        <v>505.49083529701255</v>
      </c>
      <c r="H40">
        <v>5065.8829668698918</v>
      </c>
      <c r="I40">
        <v>5076.851116761226</v>
      </c>
      <c r="J40">
        <v>5087.8110406349388</v>
      </c>
      <c r="K40">
        <v>3569.1326839905992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3675.0204705131227</v>
      </c>
      <c r="Z40">
        <v>5260.6193929832443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3719.0781172473316</v>
      </c>
      <c r="AF40">
        <v>3726.3145473720992</v>
      </c>
      <c r="AG40">
        <v>3733.5174132101797</v>
      </c>
      <c r="AH40">
        <v>5343.8365023790293</v>
      </c>
      <c r="AI40">
        <v>2141.6101744119314</v>
      </c>
      <c r="AJ40">
        <v>2145.6645840835231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3796.6428381375404</v>
      </c>
      <c r="AQ40">
        <v>2173.3983309171226</v>
      </c>
      <c r="AR40">
        <v>5443.150431906035</v>
      </c>
      <c r="AS40">
        <v>545.2737738987513</v>
      </c>
      <c r="AT40">
        <v>5462.2562017647024</v>
      </c>
      <c r="AU40">
        <v>2188.6817139503855</v>
      </c>
      <c r="AV40">
        <v>2192.4321858585163</v>
      </c>
      <c r="AW40">
        <v>5490.3832293611586</v>
      </c>
      <c r="AX40">
        <v>5499.611079538382</v>
      </c>
    </row>
    <row r="41" spans="2:50" x14ac:dyDescent="0.2">
      <c r="B41" s="187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2164.3856999539785</v>
      </c>
      <c r="Q41">
        <v>3098.4914307053937</v>
      </c>
      <c r="R41">
        <v>2173.4929484692389</v>
      </c>
      <c r="S41">
        <v>3111.4740113769658</v>
      </c>
      <c r="T41">
        <v>3117.9426407169926</v>
      </c>
      <c r="U41">
        <v>3124.3947716820899</v>
      </c>
      <c r="V41">
        <v>2191.5805547837667</v>
      </c>
      <c r="W41">
        <v>3137.2453799169161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2227.0855747827231</v>
      </c>
      <c r="AE41">
        <v>1275.1124973419426</v>
      </c>
      <c r="AF41">
        <v>1277.5935590990057</v>
      </c>
      <c r="AG41">
        <v>1280.0631131006332</v>
      </c>
      <c r="AH41">
        <v>1282.5207605709672</v>
      </c>
      <c r="AI41">
        <v>2248.6906831325277</v>
      </c>
      <c r="AJ41">
        <v>2252.9478132876989</v>
      </c>
      <c r="AK41">
        <v>3224.5457628873069</v>
      </c>
      <c r="AL41">
        <v>3230.5609451524278</v>
      </c>
      <c r="AM41">
        <v>3236.5414516542737</v>
      </c>
      <c r="AN41">
        <v>2269.7404217496323</v>
      </c>
      <c r="AO41">
        <v>1299.3578323075562</v>
      </c>
      <c r="AP41">
        <v>3254.2652898321776</v>
      </c>
      <c r="AQ41">
        <v>3260.0974963756835</v>
      </c>
      <c r="AR41">
        <v>1306.3561036574483</v>
      </c>
      <c r="AS41">
        <v>1308.6570573570032</v>
      </c>
      <c r="AT41">
        <v>327.73537210588216</v>
      </c>
      <c r="AU41">
        <v>328.30225709255785</v>
      </c>
      <c r="AV41">
        <v>3288.648278787774</v>
      </c>
      <c r="AW41">
        <v>3294.2299376166952</v>
      </c>
      <c r="AX41">
        <v>3299.7666477230291</v>
      </c>
    </row>
    <row r="42" spans="2:50" x14ac:dyDescent="0.2">
      <c r="B42" s="187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87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21" t="s">
        <v>324</v>
      </c>
    </row>
    <row r="46" spans="2:50" x14ac:dyDescent="0.2">
      <c r="B46" s="119" t="s">
        <v>274</v>
      </c>
      <c r="C46" s="119" t="s">
        <v>92</v>
      </c>
      <c r="D46" s="120"/>
      <c r="E46" s="120"/>
      <c r="F46" s="120"/>
      <c r="G46" s="119" t="s">
        <v>93</v>
      </c>
      <c r="H46" s="120"/>
      <c r="I46" s="120"/>
      <c r="J46" s="120"/>
      <c r="K46" s="119" t="s">
        <v>94</v>
      </c>
      <c r="L46" s="120"/>
      <c r="M46" s="120"/>
      <c r="N46" s="120"/>
      <c r="O46" s="119" t="s">
        <v>95</v>
      </c>
      <c r="P46" s="120"/>
      <c r="Q46" s="120"/>
      <c r="R46" s="120"/>
      <c r="S46" s="119" t="s">
        <v>96</v>
      </c>
      <c r="T46" s="120"/>
      <c r="U46" s="120"/>
      <c r="V46" s="120"/>
      <c r="W46" s="119" t="s">
        <v>97</v>
      </c>
      <c r="X46" s="120"/>
      <c r="Y46" s="120"/>
      <c r="Z46" s="120"/>
      <c r="AA46" s="119" t="s">
        <v>98</v>
      </c>
      <c r="AB46" s="120"/>
      <c r="AC46" s="120"/>
      <c r="AD46" s="120"/>
      <c r="AE46" s="119" t="s">
        <v>99</v>
      </c>
      <c r="AF46" s="120"/>
      <c r="AG46" s="120"/>
      <c r="AH46" s="120"/>
      <c r="AI46" s="119" t="s">
        <v>100</v>
      </c>
      <c r="AJ46" s="120"/>
      <c r="AK46" s="120"/>
      <c r="AL46" s="120"/>
      <c r="AM46" s="119" t="s">
        <v>101</v>
      </c>
      <c r="AN46" s="120"/>
      <c r="AO46" s="120"/>
      <c r="AP46" s="120"/>
      <c r="AQ46" s="119" t="s">
        <v>102</v>
      </c>
      <c r="AR46" s="120"/>
      <c r="AS46" s="120"/>
      <c r="AT46" s="120"/>
      <c r="AU46" s="119" t="s">
        <v>103</v>
      </c>
      <c r="AV46" s="120"/>
      <c r="AW46" s="120"/>
    </row>
    <row r="47" spans="2:50" x14ac:dyDescent="0.2">
      <c r="B47" s="119" t="s">
        <v>325</v>
      </c>
      <c r="C47" s="119">
        <v>1</v>
      </c>
      <c r="D47" s="119">
        <v>2</v>
      </c>
      <c r="E47" s="119">
        <v>3</v>
      </c>
      <c r="F47" s="119">
        <v>4</v>
      </c>
      <c r="G47" s="119">
        <v>1</v>
      </c>
      <c r="H47" s="119">
        <v>2</v>
      </c>
      <c r="I47" s="119">
        <v>3</v>
      </c>
      <c r="J47" s="119">
        <v>4</v>
      </c>
      <c r="K47" s="119">
        <v>1</v>
      </c>
      <c r="L47" s="119">
        <v>2</v>
      </c>
      <c r="M47" s="119">
        <v>3</v>
      </c>
      <c r="N47" s="119">
        <v>4</v>
      </c>
      <c r="O47" s="119">
        <v>1</v>
      </c>
      <c r="P47" s="119">
        <v>2</v>
      </c>
      <c r="Q47" s="119">
        <v>3</v>
      </c>
      <c r="R47" s="119">
        <v>4</v>
      </c>
      <c r="S47" s="119">
        <v>1</v>
      </c>
      <c r="T47" s="119">
        <v>2</v>
      </c>
      <c r="U47" s="119">
        <v>3</v>
      </c>
      <c r="V47" s="119">
        <v>4</v>
      </c>
      <c r="W47" s="119">
        <v>1</v>
      </c>
      <c r="X47" s="119">
        <v>2</v>
      </c>
      <c r="Y47" s="119">
        <v>3</v>
      </c>
      <c r="Z47" s="119">
        <v>4</v>
      </c>
      <c r="AA47" s="119">
        <v>1</v>
      </c>
      <c r="AB47" s="119">
        <v>2</v>
      </c>
      <c r="AC47" s="119">
        <v>3</v>
      </c>
      <c r="AD47" s="119">
        <v>4</v>
      </c>
      <c r="AE47" s="119">
        <v>1</v>
      </c>
      <c r="AF47" s="119">
        <v>2</v>
      </c>
      <c r="AG47" s="119">
        <v>3</v>
      </c>
      <c r="AH47" s="119">
        <v>4</v>
      </c>
      <c r="AI47" s="119">
        <v>1</v>
      </c>
      <c r="AJ47" s="119">
        <v>2</v>
      </c>
      <c r="AK47" s="119">
        <v>3</v>
      </c>
      <c r="AL47" s="119">
        <v>4</v>
      </c>
      <c r="AM47" s="119">
        <v>1</v>
      </c>
      <c r="AN47" s="119">
        <v>2</v>
      </c>
      <c r="AO47" s="119">
        <v>3</v>
      </c>
      <c r="AP47" s="119">
        <v>4</v>
      </c>
      <c r="AQ47" s="119">
        <v>1</v>
      </c>
      <c r="AR47" s="119">
        <v>2</v>
      </c>
      <c r="AS47" s="119">
        <v>3</v>
      </c>
      <c r="AT47" s="119">
        <v>4</v>
      </c>
      <c r="AU47" s="119">
        <v>1</v>
      </c>
      <c r="AV47" s="119">
        <v>2</v>
      </c>
      <c r="AW47" s="119">
        <v>3</v>
      </c>
      <c r="AX47" s="119">
        <v>4</v>
      </c>
    </row>
    <row r="48" spans="2:50" x14ac:dyDescent="0.2">
      <c r="B48" s="119" t="s">
        <v>104</v>
      </c>
      <c r="C48">
        <v>2851.3148489475188</v>
      </c>
      <c r="D48">
        <v>2851.3148489475188</v>
      </c>
      <c r="E48">
        <v>2851.3148489475188</v>
      </c>
      <c r="F48">
        <v>2851.3148489475188</v>
      </c>
      <c r="G48">
        <v>2851.3148489475188</v>
      </c>
      <c r="H48">
        <v>2851.3148489475188</v>
      </c>
      <c r="I48">
        <v>2851.3148489475188</v>
      </c>
      <c r="J48">
        <v>2851.3148489475188</v>
      </c>
      <c r="K48">
        <v>2851.3148489475188</v>
      </c>
      <c r="L48">
        <v>2851.3148489475188</v>
      </c>
      <c r="M48">
        <v>2851.3148489475188</v>
      </c>
      <c r="N48">
        <v>2851.3148489475188</v>
      </c>
      <c r="O48">
        <v>2851.3148489475188</v>
      </c>
      <c r="P48">
        <v>2851.3148489475188</v>
      </c>
      <c r="Q48">
        <v>2851.3148489475188</v>
      </c>
      <c r="R48">
        <v>2851.3148489475188</v>
      </c>
      <c r="S48">
        <v>2851.3148489475188</v>
      </c>
      <c r="T48">
        <v>2851.3148489475188</v>
      </c>
      <c r="U48">
        <v>2851.3148489475188</v>
      </c>
      <c r="V48">
        <v>2851.3148489475188</v>
      </c>
      <c r="W48">
        <v>2851.3148489475188</v>
      </c>
      <c r="X48">
        <v>2851.3148489475188</v>
      </c>
      <c r="Y48">
        <v>2851.3148489475188</v>
      </c>
      <c r="Z48">
        <v>2851.3148489475188</v>
      </c>
      <c r="AA48">
        <v>2851.3148489475188</v>
      </c>
      <c r="AB48">
        <v>2851.3148489475188</v>
      </c>
      <c r="AC48">
        <v>2851.3148489475188</v>
      </c>
      <c r="AD48">
        <v>2851.3148489475188</v>
      </c>
      <c r="AE48">
        <v>2851.3148489475188</v>
      </c>
      <c r="AF48">
        <v>2851.3148489475188</v>
      </c>
      <c r="AG48">
        <v>2851.3148489475188</v>
      </c>
      <c r="AH48">
        <v>2851.3148489475188</v>
      </c>
      <c r="AI48">
        <v>2851.3148489475188</v>
      </c>
      <c r="AJ48">
        <v>2851.3148489475188</v>
      </c>
      <c r="AK48">
        <v>2851.3148489475188</v>
      </c>
      <c r="AL48">
        <v>2851.3148489475188</v>
      </c>
      <c r="AM48">
        <v>2851.3148489475188</v>
      </c>
      <c r="AN48">
        <v>2851.3148489475188</v>
      </c>
      <c r="AO48">
        <v>2851.3148489475188</v>
      </c>
      <c r="AP48">
        <v>2851.3148489475188</v>
      </c>
      <c r="AQ48">
        <v>2851.3148489475188</v>
      </c>
      <c r="AR48">
        <v>2851.3148489475188</v>
      </c>
      <c r="AS48">
        <v>2851.3148489475188</v>
      </c>
      <c r="AT48">
        <v>2851.3148489475188</v>
      </c>
      <c r="AU48">
        <v>2851.3148489475188</v>
      </c>
      <c r="AV48">
        <v>2851.3148489475188</v>
      </c>
      <c r="AW48">
        <v>2851.3148489475188</v>
      </c>
      <c r="AX48">
        <v>2851.3148489475188</v>
      </c>
    </row>
    <row r="49" spans="2:51" x14ac:dyDescent="0.2">
      <c r="B49" s="119" t="s">
        <v>105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</row>
    <row r="50" spans="2:51" x14ac:dyDescent="0.2">
      <c r="B50" s="119" t="s">
        <v>106</v>
      </c>
      <c r="C50">
        <v>2004.3922011209206</v>
      </c>
      <c r="D50">
        <v>2008.7853402100993</v>
      </c>
      <c r="E50">
        <v>3080.2635469792517</v>
      </c>
      <c r="F50">
        <v>3080.2635469792517</v>
      </c>
      <c r="G50">
        <v>505.49083529701255</v>
      </c>
      <c r="H50">
        <v>3080.2635469792517</v>
      </c>
      <c r="I50">
        <v>3080.2635469792517</v>
      </c>
      <c r="J50">
        <v>3080.2635469792517</v>
      </c>
      <c r="K50">
        <v>3080.2635469792517</v>
      </c>
      <c r="L50">
        <v>3080.2635469792517</v>
      </c>
      <c r="M50">
        <v>3080.2635469792517</v>
      </c>
      <c r="N50">
        <v>3080.2635469792517</v>
      </c>
      <c r="O50">
        <v>3080.2635469792517</v>
      </c>
      <c r="P50">
        <v>3080.2635469792517</v>
      </c>
      <c r="Q50">
        <v>3080.2635469792517</v>
      </c>
      <c r="R50">
        <v>3080.2635469792517</v>
      </c>
      <c r="S50">
        <v>3080.2635469792517</v>
      </c>
      <c r="T50">
        <v>3080.2635469792517</v>
      </c>
      <c r="U50">
        <v>3080.2635469792517</v>
      </c>
      <c r="V50">
        <v>3080.2635469792517</v>
      </c>
      <c r="W50">
        <v>3080.2635469792517</v>
      </c>
      <c r="X50">
        <v>3080.2635469792517</v>
      </c>
      <c r="Y50">
        <v>3080.2635469792517</v>
      </c>
      <c r="Z50">
        <v>3080.2635469792517</v>
      </c>
      <c r="AA50">
        <v>3080.2635469792517</v>
      </c>
      <c r="AB50">
        <v>3080.2635469792517</v>
      </c>
      <c r="AC50">
        <v>3080.2635469792517</v>
      </c>
      <c r="AD50">
        <v>3080.2635469792517</v>
      </c>
      <c r="AE50">
        <v>3080.2635469792517</v>
      </c>
      <c r="AF50">
        <v>3080.2635469792517</v>
      </c>
      <c r="AG50">
        <v>3080.2635469792517</v>
      </c>
      <c r="AH50">
        <v>3080.2635469792517</v>
      </c>
      <c r="AI50">
        <v>2141.6101744119314</v>
      </c>
      <c r="AJ50">
        <v>2145.6645840835231</v>
      </c>
      <c r="AK50">
        <v>3080.2635469792517</v>
      </c>
      <c r="AL50">
        <v>3080.2635469792517</v>
      </c>
      <c r="AM50">
        <v>3080.2635469792517</v>
      </c>
      <c r="AN50">
        <v>3080.2635469792517</v>
      </c>
      <c r="AO50">
        <v>3080.2635469792517</v>
      </c>
      <c r="AP50">
        <v>3080.2635469792517</v>
      </c>
      <c r="AQ50">
        <v>2173.3983309171226</v>
      </c>
      <c r="AR50">
        <v>3080.2635469792517</v>
      </c>
      <c r="AS50">
        <v>545.2737738987513</v>
      </c>
      <c r="AT50">
        <v>3080.2635469792517</v>
      </c>
      <c r="AU50">
        <v>2188.6817139503855</v>
      </c>
      <c r="AV50">
        <v>2192.4321858585163</v>
      </c>
      <c r="AW50">
        <v>3080.2635469792517</v>
      </c>
      <c r="AX50">
        <v>3080.2635469792517</v>
      </c>
      <c r="AY50" s="129"/>
    </row>
    <row r="51" spans="2:51" x14ac:dyDescent="0.2">
      <c r="B51" s="119" t="s">
        <v>107</v>
      </c>
      <c r="C51">
        <v>2786.7445974352222</v>
      </c>
      <c r="D51">
        <v>2786.7445974352222</v>
      </c>
      <c r="E51">
        <v>2786.7445974352222</v>
      </c>
      <c r="F51">
        <v>2786.7445974352222</v>
      </c>
      <c r="G51">
        <v>2786.7445974352222</v>
      </c>
      <c r="H51">
        <v>2786.7445974352222</v>
      </c>
      <c r="I51">
        <v>2786.7445974352222</v>
      </c>
      <c r="J51">
        <v>2786.7445974352222</v>
      </c>
      <c r="K51">
        <v>2786.7445974352222</v>
      </c>
      <c r="L51">
        <v>2786.7445974352222</v>
      </c>
      <c r="M51">
        <v>2786.7445974352222</v>
      </c>
      <c r="N51">
        <v>2786.7445974352222</v>
      </c>
      <c r="O51">
        <v>2786.7445974352222</v>
      </c>
      <c r="P51">
        <v>2164.3856999539785</v>
      </c>
      <c r="Q51">
        <v>2786.7445974352222</v>
      </c>
      <c r="R51">
        <v>2173.4929484692389</v>
      </c>
      <c r="S51">
        <v>2786.7445974352222</v>
      </c>
      <c r="T51">
        <v>2786.7445974352222</v>
      </c>
      <c r="U51">
        <v>2786.7445974352222</v>
      </c>
      <c r="V51">
        <v>2191.5805547837667</v>
      </c>
      <c r="W51">
        <v>2786.7445974352222</v>
      </c>
      <c r="X51">
        <v>2786.7445974352222</v>
      </c>
      <c r="Y51">
        <v>2786.7445974352222</v>
      </c>
      <c r="Z51">
        <v>2786.7445974352222</v>
      </c>
      <c r="AA51">
        <v>2786.7445974352222</v>
      </c>
      <c r="AB51">
        <v>2786.7445974352222</v>
      </c>
      <c r="AC51">
        <v>2786.7445974352222</v>
      </c>
      <c r="AD51">
        <v>2227.0855747827231</v>
      </c>
      <c r="AE51">
        <v>1275.1124973419426</v>
      </c>
      <c r="AF51">
        <v>1277.5935590990057</v>
      </c>
      <c r="AG51">
        <v>1280.0631131006332</v>
      </c>
      <c r="AH51">
        <v>1282.5207605709672</v>
      </c>
      <c r="AI51">
        <v>2248.6906831325277</v>
      </c>
      <c r="AJ51">
        <v>2252.9478132876989</v>
      </c>
      <c r="AK51">
        <v>2786.7445974352222</v>
      </c>
      <c r="AL51">
        <v>2786.7445974352222</v>
      </c>
      <c r="AM51">
        <v>2786.7445974352222</v>
      </c>
      <c r="AN51">
        <v>2269.7404217496323</v>
      </c>
      <c r="AO51">
        <v>1299.3578323075562</v>
      </c>
      <c r="AP51">
        <v>2786.7445974352222</v>
      </c>
      <c r="AQ51">
        <v>2786.7445974352222</v>
      </c>
      <c r="AR51">
        <v>1306.3561036574483</v>
      </c>
      <c r="AS51">
        <v>1308.6570573570032</v>
      </c>
      <c r="AT51">
        <v>327.73537210588216</v>
      </c>
      <c r="AU51">
        <v>328.30225709255785</v>
      </c>
      <c r="AV51">
        <v>2786.7445974352222</v>
      </c>
      <c r="AW51">
        <v>2786.7445974352222</v>
      </c>
      <c r="AX51">
        <v>2786.7445974352222</v>
      </c>
      <c r="AY51" s="9"/>
    </row>
    <row r="52" spans="2:51" x14ac:dyDescent="0.2">
      <c r="B52" s="119" t="s">
        <v>108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</row>
    <row r="53" spans="2:51" x14ac:dyDescent="0.2">
      <c r="B53" s="119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</row>
    <row r="55" spans="2:51" x14ac:dyDescent="0.2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23" t="s">
        <v>274</v>
      </c>
      <c r="C56" s="123" t="s">
        <v>92</v>
      </c>
      <c r="D56" s="120"/>
      <c r="E56" s="120"/>
      <c r="F56" s="120"/>
      <c r="G56" s="123" t="s">
        <v>93</v>
      </c>
      <c r="H56" s="120"/>
      <c r="I56" s="120"/>
      <c r="J56" s="120"/>
      <c r="K56" s="123" t="s">
        <v>94</v>
      </c>
      <c r="L56" s="120"/>
      <c r="M56" s="120"/>
      <c r="N56" s="120"/>
      <c r="O56" s="123" t="s">
        <v>95</v>
      </c>
      <c r="P56" s="120"/>
      <c r="Q56" s="120"/>
      <c r="R56" s="120"/>
      <c r="S56" s="123" t="s">
        <v>96</v>
      </c>
      <c r="T56" s="120"/>
      <c r="U56" s="120"/>
      <c r="V56" s="120"/>
      <c r="W56" s="123" t="s">
        <v>97</v>
      </c>
      <c r="X56" s="120"/>
      <c r="Y56" s="120"/>
      <c r="Z56" s="120"/>
      <c r="AA56" s="123" t="s">
        <v>98</v>
      </c>
      <c r="AB56" s="120"/>
      <c r="AC56" s="120"/>
      <c r="AD56" s="120"/>
      <c r="AE56" s="123" t="s">
        <v>99</v>
      </c>
      <c r="AF56" s="120"/>
      <c r="AG56" s="120"/>
      <c r="AH56" s="120"/>
      <c r="AI56" s="123" t="s">
        <v>100</v>
      </c>
      <c r="AJ56" s="120"/>
      <c r="AK56" s="120"/>
      <c r="AL56" s="120"/>
      <c r="AM56" s="123" t="s">
        <v>101</v>
      </c>
      <c r="AN56" s="120"/>
      <c r="AO56" s="120"/>
      <c r="AP56" s="120"/>
      <c r="AQ56" s="123" t="s">
        <v>102</v>
      </c>
      <c r="AR56" s="120"/>
      <c r="AS56" s="120"/>
      <c r="AT56" s="120"/>
      <c r="AU56" s="123" t="s">
        <v>103</v>
      </c>
      <c r="AV56" s="120"/>
      <c r="AW56" s="120"/>
    </row>
    <row r="57" spans="2:51" x14ac:dyDescent="0.2">
      <c r="B57" s="123" t="s">
        <v>325</v>
      </c>
      <c r="C57" s="123">
        <v>1</v>
      </c>
      <c r="D57" s="123">
        <v>2</v>
      </c>
      <c r="E57" s="123">
        <v>3</v>
      </c>
      <c r="F57" s="123">
        <v>4</v>
      </c>
      <c r="G57" s="123">
        <v>1</v>
      </c>
      <c r="H57" s="123">
        <v>2</v>
      </c>
      <c r="I57" s="123">
        <v>3</v>
      </c>
      <c r="J57" s="123">
        <v>4</v>
      </c>
      <c r="K57" s="123">
        <v>1</v>
      </c>
      <c r="L57" s="123">
        <v>2</v>
      </c>
      <c r="M57" s="123">
        <v>3</v>
      </c>
      <c r="N57" s="123">
        <v>4</v>
      </c>
      <c r="O57" s="123">
        <v>1</v>
      </c>
      <c r="P57" s="123">
        <v>2</v>
      </c>
      <c r="Q57" s="123">
        <v>3</v>
      </c>
      <c r="R57" s="123">
        <v>4</v>
      </c>
      <c r="S57" s="123">
        <v>1</v>
      </c>
      <c r="T57" s="123">
        <v>2</v>
      </c>
      <c r="U57" s="123">
        <v>3</v>
      </c>
      <c r="V57" s="123">
        <v>4</v>
      </c>
      <c r="W57" s="123">
        <v>1</v>
      </c>
      <c r="X57" s="123">
        <v>2</v>
      </c>
      <c r="Y57" s="123">
        <v>3</v>
      </c>
      <c r="Z57" s="123">
        <v>4</v>
      </c>
      <c r="AA57" s="123">
        <v>1</v>
      </c>
      <c r="AB57" s="123">
        <v>2</v>
      </c>
      <c r="AC57" s="123">
        <v>3</v>
      </c>
      <c r="AD57" s="123">
        <v>4</v>
      </c>
      <c r="AE57" s="123">
        <v>1</v>
      </c>
      <c r="AF57" s="123">
        <v>2</v>
      </c>
      <c r="AG57" s="123">
        <v>3</v>
      </c>
      <c r="AH57" s="123">
        <v>4</v>
      </c>
      <c r="AI57" s="123">
        <v>1</v>
      </c>
      <c r="AJ57" s="123">
        <v>2</v>
      </c>
      <c r="AK57" s="123">
        <v>3</v>
      </c>
      <c r="AL57" s="123">
        <v>4</v>
      </c>
      <c r="AM57" s="123">
        <v>1</v>
      </c>
      <c r="AN57" s="123">
        <v>2</v>
      </c>
      <c r="AO57" s="123">
        <v>3</v>
      </c>
      <c r="AP57" s="123">
        <v>4</v>
      </c>
      <c r="AQ57" s="123">
        <v>1</v>
      </c>
      <c r="AR57" s="123">
        <v>2</v>
      </c>
      <c r="AS57" s="123">
        <v>3</v>
      </c>
      <c r="AT57" s="123">
        <v>4</v>
      </c>
      <c r="AU57" s="123">
        <v>1</v>
      </c>
      <c r="AV57" s="123">
        <v>2</v>
      </c>
      <c r="AW57" s="123">
        <v>3</v>
      </c>
      <c r="AX57" s="123">
        <v>4</v>
      </c>
    </row>
    <row r="58" spans="2:51" x14ac:dyDescent="0.2">
      <c r="B58" s="123" t="s">
        <v>104</v>
      </c>
      <c r="C58">
        <v>4337884.1071658814</v>
      </c>
      <c r="D58">
        <v>4337884.1071658814</v>
      </c>
      <c r="E58">
        <v>4337884.1071658814</v>
      </c>
      <c r="F58">
        <v>4337884.1071658814</v>
      </c>
      <c r="G58">
        <v>4094346.0851633167</v>
      </c>
      <c r="H58">
        <v>4094346.0851633167</v>
      </c>
      <c r="I58">
        <v>4094346.0851633167</v>
      </c>
      <c r="J58">
        <v>4094346.0851633167</v>
      </c>
      <c r="K58">
        <v>3355967.2653413364</v>
      </c>
      <c r="L58">
        <v>3355967.2653413364</v>
      </c>
      <c r="M58">
        <v>3355967.2653413364</v>
      </c>
      <c r="N58">
        <v>3355967.2653413364</v>
      </c>
      <c r="O58">
        <v>4054574.4622738301</v>
      </c>
      <c r="P58">
        <v>4054574.4622738301</v>
      </c>
      <c r="Q58">
        <v>4054574.4622738301</v>
      </c>
      <c r="R58">
        <v>4054574.4622738301</v>
      </c>
      <c r="S58">
        <v>3484399.303783841</v>
      </c>
      <c r="T58">
        <v>3484399.303783841</v>
      </c>
      <c r="U58">
        <v>3484399.303783841</v>
      </c>
      <c r="V58">
        <v>3484399.303783841</v>
      </c>
      <c r="W58">
        <v>4157124.1970868269</v>
      </c>
      <c r="X58">
        <v>4157124.1970868269</v>
      </c>
      <c r="Y58">
        <v>4157124.1970868269</v>
      </c>
      <c r="Z58">
        <v>4157124.1970868269</v>
      </c>
      <c r="AA58">
        <v>3095245.914920989</v>
      </c>
      <c r="AB58">
        <v>3095245.914920989</v>
      </c>
      <c r="AC58">
        <v>3095245.914920989</v>
      </c>
      <c r="AD58">
        <v>3095245.914920989</v>
      </c>
      <c r="AE58">
        <v>3259093.8495548889</v>
      </c>
      <c r="AF58">
        <v>3259093.8495548889</v>
      </c>
      <c r="AG58">
        <v>3259093.8495548889</v>
      </c>
      <c r="AH58">
        <v>3259093.8495548889</v>
      </c>
      <c r="AI58">
        <v>2988948.6084839511</v>
      </c>
      <c r="AJ58">
        <v>2988948.6084839511</v>
      </c>
      <c r="AK58">
        <v>2988948.6084839511</v>
      </c>
      <c r="AL58">
        <v>2988948.6084839511</v>
      </c>
      <c r="AM58">
        <v>3707694.6134372419</v>
      </c>
      <c r="AN58">
        <v>3707694.6134372419</v>
      </c>
      <c r="AO58">
        <v>3707694.6134372419</v>
      </c>
      <c r="AP58">
        <v>3707694.6134372419</v>
      </c>
      <c r="AQ58">
        <v>4127735.2322490676</v>
      </c>
      <c r="AR58">
        <v>4127735.2322490676</v>
      </c>
      <c r="AS58">
        <v>4127735.2322490676</v>
      </c>
      <c r="AT58">
        <v>4127735.2322490676</v>
      </c>
      <c r="AU58">
        <v>4838636.654130199</v>
      </c>
      <c r="AV58">
        <v>4838636.654130199</v>
      </c>
      <c r="AW58">
        <v>4838636.654130199</v>
      </c>
      <c r="AX58">
        <v>4838636.654130199</v>
      </c>
    </row>
    <row r="59" spans="2:51" x14ac:dyDescent="0.2">
      <c r="B59" s="123" t="s">
        <v>105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</row>
    <row r="60" spans="2:51" x14ac:dyDescent="0.2">
      <c r="B60" s="123" t="s">
        <v>106</v>
      </c>
      <c r="C60">
        <v>3312254.2919270201</v>
      </c>
      <c r="D60">
        <v>3319513.9458984467</v>
      </c>
      <c r="E60">
        <v>5090129.640318268</v>
      </c>
      <c r="F60">
        <v>5090129.640318268</v>
      </c>
      <c r="G60">
        <v>832218.20832707407</v>
      </c>
      <c r="H60">
        <v>5071212.4360000649</v>
      </c>
      <c r="I60">
        <v>5071212.4360000649</v>
      </c>
      <c r="J60">
        <v>5071212.4360000649</v>
      </c>
      <c r="K60">
        <v>4220758.9964284757</v>
      </c>
      <c r="L60">
        <v>4220758.9964284757</v>
      </c>
      <c r="M60">
        <v>4220758.9964284757</v>
      </c>
      <c r="N60">
        <v>4220758.9964284757</v>
      </c>
      <c r="O60">
        <v>4072562.8006977909</v>
      </c>
      <c r="P60">
        <v>4072562.8006977909</v>
      </c>
      <c r="Q60">
        <v>4072562.8006977909</v>
      </c>
      <c r="R60">
        <v>4072562.8006977909</v>
      </c>
      <c r="S60">
        <v>4373515.1164165754</v>
      </c>
      <c r="T60">
        <v>4373515.1164165754</v>
      </c>
      <c r="U60">
        <v>4373515.1164165754</v>
      </c>
      <c r="V60">
        <v>4373515.1164165754</v>
      </c>
      <c r="W60">
        <v>4165050.1224164553</v>
      </c>
      <c r="X60">
        <v>4165050.1224164553</v>
      </c>
      <c r="Y60">
        <v>4165050.1224164553</v>
      </c>
      <c r="Z60">
        <v>4165050.1224164553</v>
      </c>
      <c r="AA60">
        <v>4190644.1665945975</v>
      </c>
      <c r="AB60">
        <v>4190644.1665945975</v>
      </c>
      <c r="AC60">
        <v>4190644.1665945975</v>
      </c>
      <c r="AD60">
        <v>4190644.1665945975</v>
      </c>
      <c r="AE60">
        <v>4808655.9630010603</v>
      </c>
      <c r="AF60">
        <v>4808655.9630010603</v>
      </c>
      <c r="AG60">
        <v>4808655.9630010603</v>
      </c>
      <c r="AH60">
        <v>4808655.9630010603</v>
      </c>
      <c r="AI60">
        <v>3458137.4172326829</v>
      </c>
      <c r="AJ60">
        <v>3464684.222976156</v>
      </c>
      <c r="AK60">
        <v>4973815.8484756714</v>
      </c>
      <c r="AL60">
        <v>4973815.8484756714</v>
      </c>
      <c r="AM60">
        <v>4385432.1816509068</v>
      </c>
      <c r="AN60">
        <v>4385432.1816509068</v>
      </c>
      <c r="AO60">
        <v>4385432.1816509068</v>
      </c>
      <c r="AP60">
        <v>4385432.1816509068</v>
      </c>
      <c r="AQ60">
        <v>3882448.203253495</v>
      </c>
      <c r="AR60">
        <v>5502426.0870166561</v>
      </c>
      <c r="AS60">
        <v>974049.32802223007</v>
      </c>
      <c r="AT60">
        <v>5502426.0870166561</v>
      </c>
      <c r="AU60">
        <v>3558646.3612220208</v>
      </c>
      <c r="AV60">
        <v>3564744.3713272205</v>
      </c>
      <c r="AW60">
        <v>5008297.2746539032</v>
      </c>
      <c r="AX60">
        <v>5008297.2746539032</v>
      </c>
    </row>
    <row r="61" spans="2:51" x14ac:dyDescent="0.2">
      <c r="B61" s="123" t="s">
        <v>107</v>
      </c>
      <c r="C61">
        <v>3888198.4371696371</v>
      </c>
      <c r="D61">
        <v>3888198.4371696371</v>
      </c>
      <c r="E61">
        <v>3888198.4371696371</v>
      </c>
      <c r="F61">
        <v>3888198.4371696371</v>
      </c>
      <c r="G61">
        <v>3728273.7144239987</v>
      </c>
      <c r="H61">
        <v>3728273.7144239987</v>
      </c>
      <c r="I61">
        <v>3728273.7144239987</v>
      </c>
      <c r="J61">
        <v>3728273.7144239987</v>
      </c>
      <c r="K61">
        <v>3585518.4147960874</v>
      </c>
      <c r="L61">
        <v>3585518.4147960874</v>
      </c>
      <c r="M61">
        <v>3585518.4147960874</v>
      </c>
      <c r="N61">
        <v>3585518.4147960874</v>
      </c>
      <c r="O61">
        <v>3998548.7310227719</v>
      </c>
      <c r="P61">
        <v>3105559.692108091</v>
      </c>
      <c r="Q61">
        <v>3998548.7310227719</v>
      </c>
      <c r="R61">
        <v>3118627.1892254506</v>
      </c>
      <c r="S61">
        <v>3682618.3364684177</v>
      </c>
      <c r="T61">
        <v>3682618.3364684177</v>
      </c>
      <c r="U61">
        <v>3682618.3364684177</v>
      </c>
      <c r="V61">
        <v>2896122.8611772452</v>
      </c>
      <c r="W61">
        <v>3778673.7820324888</v>
      </c>
      <c r="X61">
        <v>3778673.7820324888</v>
      </c>
      <c r="Y61">
        <v>3778673.7820324888</v>
      </c>
      <c r="Z61">
        <v>3778673.7820324888</v>
      </c>
      <c r="AA61">
        <v>3653061.7926282049</v>
      </c>
      <c r="AB61">
        <v>3653061.7926282049</v>
      </c>
      <c r="AC61">
        <v>3653061.7926282049</v>
      </c>
      <c r="AD61">
        <v>2919421.1875892244</v>
      </c>
      <c r="AE61">
        <v>2727212.2160300477</v>
      </c>
      <c r="AF61">
        <v>2732518.7140423348</v>
      </c>
      <c r="AG61">
        <v>2737800.5992527958</v>
      </c>
      <c r="AH61">
        <v>2743057.018759124</v>
      </c>
      <c r="AI61">
        <v>3094581.048052493</v>
      </c>
      <c r="AJ61">
        <v>3100439.5835976903</v>
      </c>
      <c r="AK61">
        <v>3835034.7967699855</v>
      </c>
      <c r="AL61">
        <v>3835034.7967699855</v>
      </c>
      <c r="AM61">
        <v>4256352.6429179367</v>
      </c>
      <c r="AN61">
        <v>3466702.9234552179</v>
      </c>
      <c r="AO61">
        <v>1984582.7094195862</v>
      </c>
      <c r="AP61">
        <v>4256352.6429179367</v>
      </c>
      <c r="AQ61">
        <v>5486468.6763133667</v>
      </c>
      <c r="AR61">
        <v>2571919.1666949922</v>
      </c>
      <c r="AS61">
        <v>2576449.2231665738</v>
      </c>
      <c r="AT61">
        <v>645236.68757937732</v>
      </c>
      <c r="AU61">
        <v>475532.22890593112</v>
      </c>
      <c r="AV61">
        <v>4036484.1885212031</v>
      </c>
      <c r="AW61">
        <v>4036484.1885212031</v>
      </c>
      <c r="AX61">
        <v>4036484.1885212031</v>
      </c>
    </row>
    <row r="62" spans="2:51" x14ac:dyDescent="0.2">
      <c r="B62" s="123" t="s">
        <v>108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</row>
    <row r="63" spans="2:51" x14ac:dyDescent="0.2">
      <c r="B63" s="123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</row>
    <row r="64" spans="2:51" x14ac:dyDescent="0.2">
      <c r="B64" s="120"/>
    </row>
    <row r="65" spans="1:14" x14ac:dyDescent="0.2">
      <c r="B65" s="122" t="s">
        <v>327</v>
      </c>
    </row>
    <row r="66" spans="1:14" x14ac:dyDescent="0.2">
      <c r="B66" s="119" t="s">
        <v>328</v>
      </c>
      <c r="C66" s="119" t="s">
        <v>92</v>
      </c>
      <c r="D66" s="119" t="s">
        <v>93</v>
      </c>
      <c r="E66" s="119" t="s">
        <v>94</v>
      </c>
      <c r="F66" s="119" t="s">
        <v>95</v>
      </c>
      <c r="G66" s="119" t="s">
        <v>96</v>
      </c>
      <c r="H66" s="119" t="s">
        <v>97</v>
      </c>
      <c r="I66" s="119" t="s">
        <v>98</v>
      </c>
      <c r="J66" s="119" t="s">
        <v>99</v>
      </c>
      <c r="K66" s="119" t="s">
        <v>100</v>
      </c>
      <c r="L66" s="119" t="s">
        <v>101</v>
      </c>
      <c r="M66" s="119" t="s">
        <v>102</v>
      </c>
      <c r="N66" s="119" t="s">
        <v>103</v>
      </c>
    </row>
    <row r="67" spans="1:14" x14ac:dyDescent="0.2">
      <c r="B67" s="119" t="s">
        <v>329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">
      <c r="B68" s="119" t="s">
        <v>330</v>
      </c>
      <c r="C68">
        <v>24999.999999999996</v>
      </c>
      <c r="D68">
        <v>24999.999999999996</v>
      </c>
      <c r="E68">
        <v>24999.999999999996</v>
      </c>
      <c r="F68">
        <v>24999.999999999996</v>
      </c>
      <c r="G68">
        <v>24999.999999999996</v>
      </c>
      <c r="H68">
        <v>24999.999999999996</v>
      </c>
      <c r="I68">
        <v>24999.999999999996</v>
      </c>
      <c r="J68">
        <v>24999.999999999996</v>
      </c>
      <c r="K68">
        <v>24999.999999999996</v>
      </c>
      <c r="L68">
        <v>24999.999999999996</v>
      </c>
      <c r="M68">
        <v>24999.999999999996</v>
      </c>
      <c r="N68">
        <v>24999.999999999996</v>
      </c>
    </row>
    <row r="70" spans="1:14" x14ac:dyDescent="0.2">
      <c r="B70" s="122" t="s">
        <v>331</v>
      </c>
    </row>
    <row r="71" spans="1:14" x14ac:dyDescent="0.2">
      <c r="A71" s="123" t="s">
        <v>121</v>
      </c>
      <c r="B71" s="123" t="s">
        <v>332</v>
      </c>
      <c r="C71" s="123" t="s">
        <v>22</v>
      </c>
      <c r="D71" s="123" t="s">
        <v>59</v>
      </c>
    </row>
    <row r="72" spans="1:14" x14ac:dyDescent="0.2">
      <c r="A72" s="123" t="s">
        <v>104</v>
      </c>
      <c r="B72" s="123" t="s">
        <v>92</v>
      </c>
      <c r="C72">
        <v>1408242.3381146854</v>
      </c>
      <c r="D72">
        <v>5190774.341412466</v>
      </c>
    </row>
    <row r="73" spans="1:14" x14ac:dyDescent="0.2">
      <c r="B73" s="123" t="s">
        <v>93</v>
      </c>
      <c r="C73">
        <v>1408242.3381146854</v>
      </c>
      <c r="D73">
        <v>5190774.341412466</v>
      </c>
    </row>
    <row r="74" spans="1:14" x14ac:dyDescent="0.2">
      <c r="B74" s="123" t="s">
        <v>94</v>
      </c>
      <c r="C74">
        <v>1408242.3381146854</v>
      </c>
      <c r="D74">
        <v>5190774.341412466</v>
      </c>
    </row>
    <row r="75" spans="1:14" x14ac:dyDescent="0.2">
      <c r="B75" s="123" t="s">
        <v>95</v>
      </c>
      <c r="C75">
        <v>1408242.3381146854</v>
      </c>
      <c r="D75">
        <v>5190774.341412466</v>
      </c>
    </row>
    <row r="76" spans="1:14" x14ac:dyDescent="0.2">
      <c r="B76" s="123" t="s">
        <v>96</v>
      </c>
      <c r="C76">
        <v>1408242.3381146854</v>
      </c>
      <c r="D76">
        <v>5190774.341412466</v>
      </c>
    </row>
    <row r="77" spans="1:14" x14ac:dyDescent="0.2">
      <c r="B77" s="123" t="s">
        <v>97</v>
      </c>
      <c r="C77">
        <v>1408242.3381146854</v>
      </c>
      <c r="D77">
        <v>5190774.341412466</v>
      </c>
    </row>
    <row r="78" spans="1:14" x14ac:dyDescent="0.2">
      <c r="B78" s="123" t="s">
        <v>98</v>
      </c>
      <c r="C78">
        <v>1408242.3381146854</v>
      </c>
      <c r="D78">
        <v>5190774.341412466</v>
      </c>
    </row>
    <row r="79" spans="1:14" x14ac:dyDescent="0.2">
      <c r="B79" s="123" t="s">
        <v>99</v>
      </c>
      <c r="C79">
        <v>1408242.3381146854</v>
      </c>
      <c r="D79">
        <v>5190774.341412466</v>
      </c>
    </row>
    <row r="80" spans="1:14" x14ac:dyDescent="0.2">
      <c r="B80" s="123" t="s">
        <v>100</v>
      </c>
      <c r="C80">
        <v>1408242.3381146854</v>
      </c>
      <c r="D80">
        <v>5190774.341412466</v>
      </c>
    </row>
    <row r="81" spans="2:50" x14ac:dyDescent="0.2">
      <c r="B81" s="123" t="s">
        <v>101</v>
      </c>
      <c r="C81">
        <v>1408242.3381146854</v>
      </c>
      <c r="D81">
        <v>5190774.341412466</v>
      </c>
    </row>
    <row r="82" spans="2:50" x14ac:dyDescent="0.2">
      <c r="B82" s="123" t="s">
        <v>102</v>
      </c>
      <c r="C82">
        <v>1408242.3381146854</v>
      </c>
      <c r="D82">
        <v>5190774.341412466</v>
      </c>
    </row>
    <row r="83" spans="2:50" x14ac:dyDescent="0.2">
      <c r="B83" s="123" t="s">
        <v>103</v>
      </c>
      <c r="C83">
        <v>1408242.3381146854</v>
      </c>
      <c r="D83">
        <v>5190774.341412466</v>
      </c>
    </row>
    <row r="85" spans="2:50" x14ac:dyDescent="0.2">
      <c r="B85" s="121" t="s">
        <v>333</v>
      </c>
    </row>
    <row r="86" spans="2:50" x14ac:dyDescent="0.2">
      <c r="B86" s="119" t="s">
        <v>274</v>
      </c>
      <c r="C86" s="119" t="s">
        <v>92</v>
      </c>
      <c r="D86" s="120"/>
      <c r="E86" s="120"/>
      <c r="F86" s="120"/>
      <c r="G86" s="119" t="s">
        <v>93</v>
      </c>
      <c r="H86" s="120"/>
      <c r="I86" s="120"/>
      <c r="J86" s="120"/>
      <c r="K86" s="119" t="s">
        <v>94</v>
      </c>
      <c r="L86" s="120"/>
      <c r="M86" s="120"/>
      <c r="N86" s="120"/>
      <c r="O86" s="119" t="s">
        <v>95</v>
      </c>
      <c r="P86" s="120"/>
      <c r="Q86" s="120"/>
      <c r="R86" s="120"/>
      <c r="S86" s="119" t="s">
        <v>96</v>
      </c>
      <c r="T86" s="120"/>
      <c r="U86" s="120"/>
      <c r="V86" s="120"/>
      <c r="W86" s="119" t="s">
        <v>97</v>
      </c>
      <c r="X86" s="120"/>
      <c r="Y86" s="120"/>
      <c r="Z86" s="120"/>
      <c r="AA86" s="119" t="s">
        <v>98</v>
      </c>
      <c r="AB86" s="120"/>
      <c r="AC86" s="120"/>
      <c r="AD86" s="120"/>
      <c r="AE86" s="119" t="s">
        <v>99</v>
      </c>
      <c r="AF86" s="120"/>
      <c r="AG86" s="120"/>
      <c r="AH86" s="120"/>
      <c r="AI86" s="119" t="s">
        <v>100</v>
      </c>
      <c r="AJ86" s="120"/>
      <c r="AK86" s="120"/>
      <c r="AL86" s="120"/>
      <c r="AM86" s="119" t="s">
        <v>101</v>
      </c>
      <c r="AN86" s="120"/>
      <c r="AO86" s="120"/>
      <c r="AP86" s="120"/>
      <c r="AQ86" s="119" t="s">
        <v>102</v>
      </c>
      <c r="AR86" s="120"/>
      <c r="AS86" s="120"/>
      <c r="AT86" s="120"/>
      <c r="AU86" s="119" t="s">
        <v>103</v>
      </c>
      <c r="AV86" s="120"/>
      <c r="AW86" s="120"/>
    </row>
    <row r="87" spans="2:50" x14ac:dyDescent="0.2">
      <c r="B87" s="119" t="s">
        <v>334</v>
      </c>
      <c r="C87" s="119">
        <v>1</v>
      </c>
      <c r="D87" s="119">
        <v>2</v>
      </c>
      <c r="E87" s="119">
        <v>3</v>
      </c>
      <c r="F87" s="119">
        <v>4</v>
      </c>
      <c r="G87" s="119">
        <v>1</v>
      </c>
      <c r="H87" s="119">
        <v>2</v>
      </c>
      <c r="I87" s="119">
        <v>3</v>
      </c>
      <c r="J87" s="119">
        <v>4</v>
      </c>
      <c r="K87" s="119">
        <v>1</v>
      </c>
      <c r="L87" s="119">
        <v>2</v>
      </c>
      <c r="M87" s="119">
        <v>3</v>
      </c>
      <c r="N87" s="119">
        <v>4</v>
      </c>
      <c r="O87" s="119">
        <v>1</v>
      </c>
      <c r="P87" s="119">
        <v>2</v>
      </c>
      <c r="Q87" s="119">
        <v>3</v>
      </c>
      <c r="R87" s="119">
        <v>4</v>
      </c>
      <c r="S87" s="119">
        <v>1</v>
      </c>
      <c r="T87" s="119">
        <v>2</v>
      </c>
      <c r="U87" s="119">
        <v>3</v>
      </c>
      <c r="V87" s="119">
        <v>4</v>
      </c>
      <c r="W87" s="119">
        <v>1</v>
      </c>
      <c r="X87" s="119">
        <v>2</v>
      </c>
      <c r="Y87" s="119">
        <v>3</v>
      </c>
      <c r="Z87" s="119">
        <v>4</v>
      </c>
      <c r="AA87" s="119">
        <v>1</v>
      </c>
      <c r="AB87" s="119">
        <v>2</v>
      </c>
      <c r="AC87" s="119">
        <v>3</v>
      </c>
      <c r="AD87" s="119">
        <v>4</v>
      </c>
      <c r="AE87" s="119">
        <v>1</v>
      </c>
      <c r="AF87" s="119">
        <v>2</v>
      </c>
      <c r="AG87" s="119">
        <v>3</v>
      </c>
      <c r="AH87" s="119">
        <v>4</v>
      </c>
      <c r="AI87" s="119">
        <v>1</v>
      </c>
      <c r="AJ87" s="119">
        <v>2</v>
      </c>
      <c r="AK87" s="119">
        <v>3</v>
      </c>
      <c r="AL87" s="119">
        <v>4</v>
      </c>
      <c r="AM87" s="119">
        <v>1</v>
      </c>
      <c r="AN87" s="119">
        <v>2</v>
      </c>
      <c r="AO87" s="119">
        <v>3</v>
      </c>
      <c r="AP87" s="119">
        <v>4</v>
      </c>
      <c r="AQ87" s="119">
        <v>1</v>
      </c>
      <c r="AR87" s="119">
        <v>2</v>
      </c>
      <c r="AS87" s="119">
        <v>3</v>
      </c>
      <c r="AT87" s="119">
        <v>4</v>
      </c>
      <c r="AU87" s="119">
        <v>1</v>
      </c>
      <c r="AV87" s="119">
        <v>2</v>
      </c>
      <c r="AW87" s="119">
        <v>3</v>
      </c>
      <c r="AX87" s="119">
        <v>4</v>
      </c>
    </row>
    <row r="88" spans="2:50" x14ac:dyDescent="0.2">
      <c r="B88" s="119" t="s">
        <v>104</v>
      </c>
      <c r="C88">
        <f>C48+$C$67/4</f>
        <v>2851.3148489475188</v>
      </c>
      <c r="D88">
        <f>D48+$C$67/4</f>
        <v>2851.3148489475188</v>
      </c>
      <c r="E88">
        <f>E48+$C$67/4</f>
        <v>2851.3148489475188</v>
      </c>
      <c r="F88">
        <f>F48+$C$67/4</f>
        <v>2851.3148489475188</v>
      </c>
      <c r="G88">
        <f>G48+$D$67/4</f>
        <v>2851.3148489475188</v>
      </c>
      <c r="H88">
        <f>H48+$D$67/4</f>
        <v>2851.3148489475188</v>
      </c>
      <c r="I88">
        <f>I48+$D$67/4</f>
        <v>2851.3148489475188</v>
      </c>
      <c r="J88">
        <f>J48+$D$67/4</f>
        <v>2851.3148489475188</v>
      </c>
      <c r="K88">
        <f>K48+$E$67/4</f>
        <v>2851.3148489475188</v>
      </c>
      <c r="L88">
        <f>L48+$E$67/4</f>
        <v>2851.3148489475188</v>
      </c>
      <c r="M88">
        <f>M48+$E$67/4</f>
        <v>2851.3148489475188</v>
      </c>
      <c r="N88">
        <f>N48+$E$67/4</f>
        <v>2851.3148489475188</v>
      </c>
      <c r="O88">
        <f>O48+$F$67/4</f>
        <v>2851.3148489475188</v>
      </c>
      <c r="P88">
        <f>P48+$F$67/4</f>
        <v>2851.3148489475188</v>
      </c>
      <c r="Q88">
        <f>Q48+$F$67/4</f>
        <v>2851.3148489475188</v>
      </c>
      <c r="R88">
        <f>R48+$F$67/4</f>
        <v>2851.3148489475188</v>
      </c>
      <c r="S88">
        <f>S48+$G$67/4</f>
        <v>2851.3148489475188</v>
      </c>
      <c r="T88">
        <f>T48+$G$67/4</f>
        <v>2851.3148489475188</v>
      </c>
      <c r="U88">
        <f>U48+$G$67/4</f>
        <v>2851.3148489475188</v>
      </c>
      <c r="V88">
        <f>V48+$G$67/4</f>
        <v>2851.3148489475188</v>
      </c>
      <c r="W88">
        <f>W48+$H$67/4</f>
        <v>2851.3148489475188</v>
      </c>
      <c r="X88">
        <f>X48+$H$67/4</f>
        <v>2851.3148489475188</v>
      </c>
      <c r="Y88">
        <f>Y48+$H$67/4</f>
        <v>2851.3148489475188</v>
      </c>
      <c r="Z88">
        <f>Z48+$H$67/4</f>
        <v>2851.3148489475188</v>
      </c>
      <c r="AA88">
        <f>AA48+$I$67/4</f>
        <v>2851.3148489475188</v>
      </c>
      <c r="AB88">
        <f>AB48+$I$67/4</f>
        <v>2851.3148489475188</v>
      </c>
      <c r="AC88">
        <f>AC48+$I$67/4</f>
        <v>2851.3148489475188</v>
      </c>
      <c r="AD88">
        <f>AD48+$I$67/4</f>
        <v>2851.3148489475188</v>
      </c>
      <c r="AE88">
        <f>AE48+$J$67/4</f>
        <v>2851.3148489475188</v>
      </c>
      <c r="AF88">
        <f>AF48+$J$67/4</f>
        <v>2851.3148489475188</v>
      </c>
      <c r="AG88">
        <f>AG48+$J$67/4</f>
        <v>2851.3148489475188</v>
      </c>
      <c r="AH88">
        <f>AH48+$J$67/4</f>
        <v>2851.3148489475188</v>
      </c>
      <c r="AI88">
        <f>AI48+$K$67/4</f>
        <v>2851.3148489475188</v>
      </c>
      <c r="AJ88">
        <f>AJ48+$K$67/4</f>
        <v>2851.3148489475188</v>
      </c>
      <c r="AK88">
        <f>AK48+$K$67/4</f>
        <v>2851.3148489475188</v>
      </c>
      <c r="AL88">
        <f>AL48+$K$67/4</f>
        <v>2851.3148489475188</v>
      </c>
      <c r="AM88">
        <f>AM48+$L$67/4</f>
        <v>2851.3148489475188</v>
      </c>
      <c r="AN88">
        <f>AN48+$L$67/4</f>
        <v>2851.3148489475188</v>
      </c>
      <c r="AO88">
        <f>AO48+$L$67/4</f>
        <v>2851.3148489475188</v>
      </c>
      <c r="AP88">
        <f>AP48+$L$67/4</f>
        <v>2851.3148489475188</v>
      </c>
      <c r="AQ88">
        <f>AQ48+$M$67/4</f>
        <v>2851.3148489475188</v>
      </c>
      <c r="AR88">
        <f>AR48+$M$67/4</f>
        <v>2851.3148489475188</v>
      </c>
      <c r="AS88">
        <f>AS48+$M$67/4</f>
        <v>2851.3148489475188</v>
      </c>
      <c r="AT88">
        <f>AT48+$M$67/4</f>
        <v>2851.3148489475188</v>
      </c>
      <c r="AU88">
        <f>AU48+$N$67/4</f>
        <v>2851.3148489475188</v>
      </c>
      <c r="AV88">
        <f>AV48+$N$67/4</f>
        <v>2851.3148489475188</v>
      </c>
      <c r="AW88">
        <f>AW48+$N$67/4</f>
        <v>2851.3148489475188</v>
      </c>
      <c r="AX88">
        <f>AX48+$N$67/4</f>
        <v>2851.3148489475188</v>
      </c>
    </row>
    <row r="89" spans="2:50" x14ac:dyDescent="0.2">
      <c r="B89" s="119" t="s">
        <v>105</v>
      </c>
      <c r="C89">
        <f>C49</f>
        <v>0</v>
      </c>
      <c r="D89">
        <f t="shared" ref="D89:AX93" si="3">D49</f>
        <v>0</v>
      </c>
      <c r="E89">
        <f t="shared" si="3"/>
        <v>0</v>
      </c>
      <c r="F89">
        <f t="shared" si="3"/>
        <v>0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  <c r="P89">
        <f t="shared" si="3"/>
        <v>0</v>
      </c>
      <c r="Q89">
        <f t="shared" si="3"/>
        <v>0</v>
      </c>
      <c r="R89">
        <f t="shared" si="3"/>
        <v>0</v>
      </c>
      <c r="S89">
        <f t="shared" si="3"/>
        <v>0</v>
      </c>
      <c r="T89">
        <f t="shared" si="3"/>
        <v>0</v>
      </c>
      <c r="U89">
        <f t="shared" si="3"/>
        <v>0</v>
      </c>
      <c r="V89">
        <f t="shared" si="3"/>
        <v>0</v>
      </c>
      <c r="W89">
        <f t="shared" si="3"/>
        <v>0</v>
      </c>
      <c r="X89">
        <f t="shared" si="3"/>
        <v>0</v>
      </c>
      <c r="Y89">
        <f t="shared" si="3"/>
        <v>0</v>
      </c>
      <c r="Z89">
        <f t="shared" si="3"/>
        <v>0</v>
      </c>
      <c r="AA89">
        <f t="shared" si="3"/>
        <v>0</v>
      </c>
      <c r="AB89">
        <f t="shared" si="3"/>
        <v>0</v>
      </c>
      <c r="AC89">
        <f t="shared" si="3"/>
        <v>0</v>
      </c>
      <c r="AD89">
        <f t="shared" si="3"/>
        <v>0</v>
      </c>
      <c r="AE89">
        <f t="shared" si="3"/>
        <v>0</v>
      </c>
      <c r="AF89">
        <f t="shared" si="3"/>
        <v>0</v>
      </c>
      <c r="AG89">
        <f t="shared" si="3"/>
        <v>0</v>
      </c>
      <c r="AH89">
        <f t="shared" si="3"/>
        <v>0</v>
      </c>
      <c r="AI89">
        <f t="shared" si="3"/>
        <v>0</v>
      </c>
      <c r="AJ89">
        <f t="shared" si="3"/>
        <v>0</v>
      </c>
      <c r="AK89">
        <f t="shared" si="3"/>
        <v>0</v>
      </c>
      <c r="AL89">
        <f t="shared" si="3"/>
        <v>0</v>
      </c>
      <c r="AM89">
        <f t="shared" si="3"/>
        <v>0</v>
      </c>
      <c r="AN89">
        <f t="shared" si="3"/>
        <v>0</v>
      </c>
      <c r="AO89">
        <f t="shared" si="3"/>
        <v>0</v>
      </c>
      <c r="AP89">
        <f t="shared" si="3"/>
        <v>0</v>
      </c>
      <c r="AQ89">
        <f t="shared" si="3"/>
        <v>0</v>
      </c>
      <c r="AR89">
        <f t="shared" si="3"/>
        <v>0</v>
      </c>
      <c r="AS89">
        <f t="shared" si="3"/>
        <v>0</v>
      </c>
      <c r="AT89">
        <f t="shared" si="3"/>
        <v>0</v>
      </c>
      <c r="AU89">
        <f t="shared" si="3"/>
        <v>0</v>
      </c>
      <c r="AV89">
        <f t="shared" si="3"/>
        <v>0</v>
      </c>
      <c r="AW89">
        <f t="shared" si="3"/>
        <v>0</v>
      </c>
      <c r="AX89">
        <f t="shared" si="3"/>
        <v>0</v>
      </c>
    </row>
    <row r="90" spans="2:50" x14ac:dyDescent="0.2">
      <c r="B90" s="119" t="s">
        <v>106</v>
      </c>
      <c r="C90">
        <f t="shared" ref="C90:R93" si="4">C50</f>
        <v>2004.3922011209206</v>
      </c>
      <c r="D90">
        <f t="shared" si="4"/>
        <v>2008.7853402100993</v>
      </c>
      <c r="E90">
        <f t="shared" si="4"/>
        <v>3080.2635469792517</v>
      </c>
      <c r="F90">
        <f t="shared" si="4"/>
        <v>3080.2635469792517</v>
      </c>
      <c r="G90">
        <f t="shared" si="4"/>
        <v>505.49083529701255</v>
      </c>
      <c r="H90">
        <f t="shared" si="4"/>
        <v>3080.2635469792517</v>
      </c>
      <c r="I90">
        <f t="shared" si="4"/>
        <v>3080.2635469792517</v>
      </c>
      <c r="J90">
        <f t="shared" si="4"/>
        <v>3080.2635469792517</v>
      </c>
      <c r="K90">
        <f t="shared" si="4"/>
        <v>3080.2635469792517</v>
      </c>
      <c r="L90">
        <f t="shared" si="4"/>
        <v>3080.2635469792517</v>
      </c>
      <c r="M90">
        <f t="shared" si="4"/>
        <v>3080.2635469792517</v>
      </c>
      <c r="N90">
        <f t="shared" si="4"/>
        <v>3080.2635469792517</v>
      </c>
      <c r="O90">
        <f t="shared" si="4"/>
        <v>3080.2635469792517</v>
      </c>
      <c r="P90">
        <f t="shared" si="4"/>
        <v>3080.2635469792517</v>
      </c>
      <c r="Q90">
        <f t="shared" si="4"/>
        <v>3080.2635469792517</v>
      </c>
      <c r="R90">
        <f t="shared" si="4"/>
        <v>3080.2635469792517</v>
      </c>
      <c r="S90">
        <f t="shared" si="3"/>
        <v>3080.2635469792517</v>
      </c>
      <c r="T90">
        <f t="shared" si="3"/>
        <v>3080.2635469792517</v>
      </c>
      <c r="U90">
        <f t="shared" si="3"/>
        <v>3080.2635469792517</v>
      </c>
      <c r="V90">
        <f t="shared" si="3"/>
        <v>3080.2635469792517</v>
      </c>
      <c r="W90">
        <f t="shared" si="3"/>
        <v>3080.2635469792517</v>
      </c>
      <c r="X90">
        <f t="shared" si="3"/>
        <v>3080.2635469792517</v>
      </c>
      <c r="Y90">
        <f t="shared" si="3"/>
        <v>3080.2635469792517</v>
      </c>
      <c r="Z90">
        <f t="shared" si="3"/>
        <v>3080.2635469792517</v>
      </c>
      <c r="AA90">
        <f t="shared" si="3"/>
        <v>3080.2635469792517</v>
      </c>
      <c r="AB90">
        <f t="shared" si="3"/>
        <v>3080.2635469792517</v>
      </c>
      <c r="AC90">
        <f t="shared" si="3"/>
        <v>3080.2635469792517</v>
      </c>
      <c r="AD90">
        <f t="shared" si="3"/>
        <v>3080.2635469792517</v>
      </c>
      <c r="AE90">
        <f t="shared" si="3"/>
        <v>3080.2635469792517</v>
      </c>
      <c r="AF90">
        <f t="shared" si="3"/>
        <v>3080.2635469792517</v>
      </c>
      <c r="AG90">
        <f t="shared" si="3"/>
        <v>3080.2635469792517</v>
      </c>
      <c r="AH90">
        <f t="shared" si="3"/>
        <v>3080.2635469792517</v>
      </c>
      <c r="AI90">
        <f t="shared" si="3"/>
        <v>2141.6101744119314</v>
      </c>
      <c r="AJ90">
        <f t="shared" si="3"/>
        <v>2145.6645840835231</v>
      </c>
      <c r="AK90">
        <f t="shared" si="3"/>
        <v>3080.2635469792517</v>
      </c>
      <c r="AL90">
        <f t="shared" si="3"/>
        <v>3080.2635469792517</v>
      </c>
      <c r="AM90">
        <f t="shared" si="3"/>
        <v>3080.2635469792517</v>
      </c>
      <c r="AN90">
        <f t="shared" si="3"/>
        <v>3080.2635469792517</v>
      </c>
      <c r="AO90">
        <f t="shared" si="3"/>
        <v>3080.2635469792517</v>
      </c>
      <c r="AP90">
        <f t="shared" si="3"/>
        <v>3080.2635469792517</v>
      </c>
      <c r="AQ90">
        <f t="shared" si="3"/>
        <v>2173.3983309171226</v>
      </c>
      <c r="AR90">
        <f t="shared" si="3"/>
        <v>3080.2635469792517</v>
      </c>
      <c r="AS90">
        <f t="shared" si="3"/>
        <v>545.2737738987513</v>
      </c>
      <c r="AT90">
        <f t="shared" si="3"/>
        <v>3080.2635469792517</v>
      </c>
      <c r="AU90">
        <f t="shared" si="3"/>
        <v>2188.6817139503855</v>
      </c>
      <c r="AV90">
        <f t="shared" si="3"/>
        <v>2192.4321858585163</v>
      </c>
      <c r="AW90">
        <f t="shared" si="3"/>
        <v>3080.2635469792517</v>
      </c>
      <c r="AX90">
        <f t="shared" si="3"/>
        <v>3080.2635469792517</v>
      </c>
    </row>
    <row r="91" spans="2:50" x14ac:dyDescent="0.2">
      <c r="B91" s="119" t="s">
        <v>107</v>
      </c>
      <c r="C91">
        <f t="shared" si="4"/>
        <v>2786.7445974352222</v>
      </c>
      <c r="D91">
        <f t="shared" si="3"/>
        <v>2786.7445974352222</v>
      </c>
      <c r="E91">
        <f t="shared" si="3"/>
        <v>2786.7445974352222</v>
      </c>
      <c r="F91">
        <f t="shared" si="3"/>
        <v>2786.7445974352222</v>
      </c>
      <c r="G91">
        <f t="shared" si="3"/>
        <v>2786.7445974352222</v>
      </c>
      <c r="H91">
        <f t="shared" si="3"/>
        <v>2786.7445974352222</v>
      </c>
      <c r="I91">
        <f t="shared" si="3"/>
        <v>2786.7445974352222</v>
      </c>
      <c r="J91">
        <f t="shared" si="3"/>
        <v>2786.7445974352222</v>
      </c>
      <c r="K91">
        <f t="shared" si="3"/>
        <v>2786.7445974352222</v>
      </c>
      <c r="L91">
        <f t="shared" si="3"/>
        <v>2786.7445974352222</v>
      </c>
      <c r="M91">
        <f t="shared" si="3"/>
        <v>2786.7445974352222</v>
      </c>
      <c r="N91">
        <f t="shared" si="3"/>
        <v>2786.7445974352222</v>
      </c>
      <c r="O91">
        <f t="shared" si="3"/>
        <v>2786.7445974352222</v>
      </c>
      <c r="P91">
        <f t="shared" si="3"/>
        <v>2164.3856999539785</v>
      </c>
      <c r="Q91">
        <f t="shared" si="3"/>
        <v>2786.7445974352222</v>
      </c>
      <c r="R91">
        <f t="shared" si="3"/>
        <v>2173.4929484692389</v>
      </c>
      <c r="S91">
        <f t="shared" si="3"/>
        <v>2786.7445974352222</v>
      </c>
      <c r="T91">
        <f t="shared" si="3"/>
        <v>2786.7445974352222</v>
      </c>
      <c r="U91">
        <f t="shared" si="3"/>
        <v>2786.7445974352222</v>
      </c>
      <c r="V91">
        <f t="shared" si="3"/>
        <v>2191.5805547837667</v>
      </c>
      <c r="W91">
        <f t="shared" si="3"/>
        <v>2786.7445974352222</v>
      </c>
      <c r="X91">
        <f t="shared" si="3"/>
        <v>2786.7445974352222</v>
      </c>
      <c r="Y91">
        <f t="shared" si="3"/>
        <v>2786.7445974352222</v>
      </c>
      <c r="Z91">
        <f t="shared" si="3"/>
        <v>2786.7445974352222</v>
      </c>
      <c r="AA91">
        <f t="shared" si="3"/>
        <v>2786.7445974352222</v>
      </c>
      <c r="AB91">
        <f t="shared" si="3"/>
        <v>2786.7445974352222</v>
      </c>
      <c r="AC91">
        <f t="shared" si="3"/>
        <v>2786.7445974352222</v>
      </c>
      <c r="AD91">
        <f t="shared" si="3"/>
        <v>2227.0855747827231</v>
      </c>
      <c r="AE91">
        <f t="shared" si="3"/>
        <v>1275.1124973419426</v>
      </c>
      <c r="AF91">
        <f t="shared" si="3"/>
        <v>1277.5935590990057</v>
      </c>
      <c r="AG91">
        <f t="shared" si="3"/>
        <v>1280.0631131006332</v>
      </c>
      <c r="AH91">
        <f t="shared" si="3"/>
        <v>1282.5207605709672</v>
      </c>
      <c r="AI91">
        <f t="shared" si="3"/>
        <v>2248.6906831325277</v>
      </c>
      <c r="AJ91">
        <f t="shared" si="3"/>
        <v>2252.9478132876989</v>
      </c>
      <c r="AK91">
        <f t="shared" si="3"/>
        <v>2786.7445974352222</v>
      </c>
      <c r="AL91">
        <f t="shared" si="3"/>
        <v>2786.7445974352222</v>
      </c>
      <c r="AM91">
        <f t="shared" si="3"/>
        <v>2786.7445974352222</v>
      </c>
      <c r="AN91">
        <f t="shared" si="3"/>
        <v>2269.7404217496323</v>
      </c>
      <c r="AO91">
        <f t="shared" si="3"/>
        <v>1299.3578323075562</v>
      </c>
      <c r="AP91">
        <f t="shared" si="3"/>
        <v>2786.7445974352222</v>
      </c>
      <c r="AQ91">
        <f t="shared" si="3"/>
        <v>2786.7445974352222</v>
      </c>
      <c r="AR91">
        <f t="shared" si="3"/>
        <v>1306.3561036574483</v>
      </c>
      <c r="AS91">
        <f t="shared" si="3"/>
        <v>1308.6570573570032</v>
      </c>
      <c r="AT91">
        <f t="shared" si="3"/>
        <v>327.73537210588216</v>
      </c>
      <c r="AU91">
        <f t="shared" si="3"/>
        <v>328.30225709255785</v>
      </c>
      <c r="AV91">
        <f t="shared" si="3"/>
        <v>2786.7445974352222</v>
      </c>
      <c r="AW91">
        <f t="shared" si="3"/>
        <v>2786.7445974352222</v>
      </c>
      <c r="AX91">
        <f t="shared" si="3"/>
        <v>2786.7445974352222</v>
      </c>
    </row>
    <row r="92" spans="2:50" x14ac:dyDescent="0.2">
      <c r="B92" s="119" t="s">
        <v>108</v>
      </c>
      <c r="C92">
        <f t="shared" si="4"/>
        <v>0</v>
      </c>
      <c r="D92">
        <f t="shared" si="4"/>
        <v>0</v>
      </c>
      <c r="E92">
        <f t="shared" si="4"/>
        <v>0</v>
      </c>
      <c r="F92">
        <f t="shared" si="4"/>
        <v>0</v>
      </c>
      <c r="G92">
        <f t="shared" si="4"/>
        <v>0</v>
      </c>
      <c r="H92">
        <f t="shared" si="4"/>
        <v>0</v>
      </c>
      <c r="I92">
        <f t="shared" si="4"/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0</v>
      </c>
      <c r="Q92">
        <f t="shared" si="4"/>
        <v>0</v>
      </c>
      <c r="R92">
        <f t="shared" si="4"/>
        <v>0</v>
      </c>
      <c r="S92">
        <f t="shared" si="3"/>
        <v>0</v>
      </c>
      <c r="T92">
        <f t="shared" si="3"/>
        <v>0</v>
      </c>
      <c r="U92">
        <f t="shared" si="3"/>
        <v>0</v>
      </c>
      <c r="V92">
        <f t="shared" si="3"/>
        <v>0</v>
      </c>
      <c r="W92">
        <f t="shared" si="3"/>
        <v>0</v>
      </c>
      <c r="X92">
        <f t="shared" si="3"/>
        <v>0</v>
      </c>
      <c r="Y92">
        <f t="shared" si="3"/>
        <v>0</v>
      </c>
      <c r="Z92">
        <f t="shared" si="3"/>
        <v>0</v>
      </c>
      <c r="AA92">
        <f t="shared" si="3"/>
        <v>0</v>
      </c>
      <c r="AB92">
        <f t="shared" si="3"/>
        <v>0</v>
      </c>
      <c r="AC92">
        <f t="shared" si="3"/>
        <v>0</v>
      </c>
      <c r="AD92">
        <f t="shared" si="3"/>
        <v>0</v>
      </c>
      <c r="AE92">
        <f t="shared" si="3"/>
        <v>0</v>
      </c>
      <c r="AF92">
        <f t="shared" si="3"/>
        <v>0</v>
      </c>
      <c r="AG92">
        <f t="shared" si="3"/>
        <v>0</v>
      </c>
      <c r="AH92">
        <f t="shared" si="3"/>
        <v>0</v>
      </c>
      <c r="AI92">
        <f t="shared" si="3"/>
        <v>0</v>
      </c>
      <c r="AJ92">
        <f t="shared" si="3"/>
        <v>0</v>
      </c>
      <c r="AK92">
        <f t="shared" si="3"/>
        <v>0</v>
      </c>
      <c r="AL92">
        <f t="shared" si="3"/>
        <v>0</v>
      </c>
      <c r="AM92">
        <f t="shared" si="3"/>
        <v>0</v>
      </c>
      <c r="AN92">
        <f t="shared" si="3"/>
        <v>0</v>
      </c>
      <c r="AO92">
        <f t="shared" si="3"/>
        <v>0</v>
      </c>
      <c r="AP92">
        <f t="shared" si="3"/>
        <v>0</v>
      </c>
      <c r="AQ92">
        <f t="shared" si="3"/>
        <v>0</v>
      </c>
      <c r="AR92">
        <f t="shared" si="3"/>
        <v>0</v>
      </c>
      <c r="AS92">
        <f t="shared" si="3"/>
        <v>0</v>
      </c>
      <c r="AT92">
        <f t="shared" si="3"/>
        <v>0</v>
      </c>
      <c r="AU92">
        <f t="shared" si="3"/>
        <v>0</v>
      </c>
      <c r="AV92">
        <f t="shared" si="3"/>
        <v>0</v>
      </c>
      <c r="AW92">
        <f t="shared" si="3"/>
        <v>0</v>
      </c>
      <c r="AX92">
        <f t="shared" si="3"/>
        <v>0</v>
      </c>
    </row>
    <row r="93" spans="2:50" x14ac:dyDescent="0.2">
      <c r="B93" s="119" t="s">
        <v>109</v>
      </c>
      <c r="C93">
        <f t="shared" si="4"/>
        <v>0</v>
      </c>
      <c r="D93">
        <f t="shared" si="4"/>
        <v>0</v>
      </c>
      <c r="E93">
        <f t="shared" si="4"/>
        <v>0</v>
      </c>
      <c r="F93">
        <f t="shared" si="4"/>
        <v>0</v>
      </c>
      <c r="G93">
        <f t="shared" si="4"/>
        <v>0</v>
      </c>
      <c r="H93">
        <f t="shared" si="4"/>
        <v>0</v>
      </c>
      <c r="I93">
        <f t="shared" si="4"/>
        <v>0</v>
      </c>
      <c r="J93">
        <f t="shared" si="4"/>
        <v>0</v>
      </c>
      <c r="K93">
        <f t="shared" si="4"/>
        <v>0</v>
      </c>
      <c r="L93">
        <f t="shared" si="4"/>
        <v>0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0</v>
      </c>
      <c r="Q93">
        <f t="shared" si="4"/>
        <v>0</v>
      </c>
      <c r="R93">
        <f t="shared" si="4"/>
        <v>0</v>
      </c>
      <c r="S93">
        <f t="shared" si="3"/>
        <v>0</v>
      </c>
      <c r="T93">
        <f t="shared" si="3"/>
        <v>0</v>
      </c>
      <c r="U93">
        <f t="shared" si="3"/>
        <v>0</v>
      </c>
      <c r="V93">
        <f t="shared" si="3"/>
        <v>0</v>
      </c>
      <c r="W93">
        <f t="shared" si="3"/>
        <v>0</v>
      </c>
      <c r="X93">
        <f t="shared" si="3"/>
        <v>0</v>
      </c>
      <c r="Y93">
        <f t="shared" si="3"/>
        <v>0</v>
      </c>
      <c r="Z93">
        <f t="shared" si="3"/>
        <v>0</v>
      </c>
      <c r="AA93">
        <f t="shared" si="3"/>
        <v>0</v>
      </c>
      <c r="AB93">
        <f t="shared" si="3"/>
        <v>0</v>
      </c>
      <c r="AC93">
        <f t="shared" si="3"/>
        <v>0</v>
      </c>
      <c r="AD93">
        <f t="shared" si="3"/>
        <v>0</v>
      </c>
      <c r="AE93">
        <f t="shared" si="3"/>
        <v>0</v>
      </c>
      <c r="AF93">
        <f t="shared" si="3"/>
        <v>0</v>
      </c>
      <c r="AG93">
        <f t="shared" si="3"/>
        <v>0</v>
      </c>
      <c r="AH93">
        <f t="shared" si="3"/>
        <v>0</v>
      </c>
      <c r="AI93">
        <f t="shared" si="3"/>
        <v>0</v>
      </c>
      <c r="AJ93">
        <f t="shared" si="3"/>
        <v>0</v>
      </c>
      <c r="AK93">
        <f t="shared" si="3"/>
        <v>0</v>
      </c>
      <c r="AL93">
        <f t="shared" si="3"/>
        <v>0</v>
      </c>
      <c r="AM93">
        <f t="shared" si="3"/>
        <v>0</v>
      </c>
      <c r="AN93">
        <f t="shared" si="3"/>
        <v>0</v>
      </c>
      <c r="AO93">
        <f t="shared" si="3"/>
        <v>0</v>
      </c>
      <c r="AP93">
        <f t="shared" si="3"/>
        <v>0</v>
      </c>
      <c r="AQ93">
        <f t="shared" si="3"/>
        <v>0</v>
      </c>
      <c r="AR93">
        <f t="shared" si="3"/>
        <v>0</v>
      </c>
      <c r="AS93">
        <f t="shared" si="3"/>
        <v>0</v>
      </c>
      <c r="AT93">
        <f t="shared" si="3"/>
        <v>0</v>
      </c>
      <c r="AU93">
        <f t="shared" si="3"/>
        <v>0</v>
      </c>
      <c r="AV93">
        <f t="shared" si="3"/>
        <v>0</v>
      </c>
      <c r="AW93">
        <f t="shared" si="3"/>
        <v>0</v>
      </c>
      <c r="AX93">
        <f t="shared" si="3"/>
        <v>0</v>
      </c>
    </row>
    <row r="94" spans="2:50" x14ac:dyDescent="0.2">
      <c r="B94" s="120"/>
    </row>
    <row r="95" spans="2:50" x14ac:dyDescent="0.2">
      <c r="B95" s="53" t="s">
        <v>335</v>
      </c>
    </row>
    <row r="96" spans="2:50" x14ac:dyDescent="0.2">
      <c r="B96" s="29"/>
      <c r="C96" s="123" t="s">
        <v>92</v>
      </c>
      <c r="D96" s="120"/>
      <c r="E96" s="120"/>
      <c r="F96" s="120"/>
      <c r="G96" s="123" t="s">
        <v>93</v>
      </c>
      <c r="H96" s="120"/>
      <c r="I96" s="120"/>
      <c r="J96" s="120"/>
      <c r="K96" s="123" t="s">
        <v>94</v>
      </c>
      <c r="L96" s="120"/>
      <c r="M96" s="120"/>
      <c r="N96" s="120"/>
      <c r="O96" s="123" t="s">
        <v>95</v>
      </c>
      <c r="P96" s="120"/>
      <c r="Q96" s="120"/>
      <c r="R96" s="120"/>
      <c r="S96" s="123" t="s">
        <v>96</v>
      </c>
      <c r="T96" s="120"/>
      <c r="U96" s="120"/>
      <c r="V96" s="120"/>
      <c r="W96" s="123" t="s">
        <v>97</v>
      </c>
      <c r="X96" s="120"/>
      <c r="Y96" s="120"/>
      <c r="Z96" s="120"/>
      <c r="AA96" s="123" t="s">
        <v>98</v>
      </c>
      <c r="AB96" s="120"/>
      <c r="AC96" s="120"/>
      <c r="AD96" s="120"/>
      <c r="AE96" s="123" t="s">
        <v>99</v>
      </c>
      <c r="AF96" s="120"/>
      <c r="AG96" s="120"/>
      <c r="AH96" s="120"/>
      <c r="AI96" s="123" t="s">
        <v>100</v>
      </c>
      <c r="AJ96" s="120"/>
      <c r="AK96" s="120"/>
      <c r="AL96" s="120"/>
      <c r="AM96" s="123" t="s">
        <v>101</v>
      </c>
      <c r="AN96" s="120"/>
      <c r="AO96" s="120"/>
      <c r="AP96" s="120"/>
      <c r="AQ96" s="123" t="s">
        <v>102</v>
      </c>
      <c r="AR96" s="120"/>
      <c r="AS96" s="120"/>
      <c r="AT96" s="120"/>
      <c r="AU96" s="123" t="s">
        <v>103</v>
      </c>
      <c r="AV96" s="120"/>
      <c r="AW96" s="120"/>
    </row>
    <row r="97" spans="1:50" x14ac:dyDescent="0.2">
      <c r="A97" s="191" t="s">
        <v>121</v>
      </c>
      <c r="B97" s="191" t="s">
        <v>336</v>
      </c>
      <c r="C97" s="123">
        <v>1</v>
      </c>
      <c r="D97" s="123">
        <v>2</v>
      </c>
      <c r="E97" s="123">
        <v>3</v>
      </c>
      <c r="F97" s="123">
        <v>4</v>
      </c>
      <c r="G97" s="123">
        <v>1</v>
      </c>
      <c r="H97" s="123">
        <v>2</v>
      </c>
      <c r="I97" s="123">
        <v>3</v>
      </c>
      <c r="J97" s="123">
        <v>4</v>
      </c>
      <c r="K97" s="123">
        <v>1</v>
      </c>
      <c r="L97" s="123">
        <v>2</v>
      </c>
      <c r="M97" s="123">
        <v>3</v>
      </c>
      <c r="N97" s="123">
        <v>4</v>
      </c>
      <c r="O97" s="123">
        <v>1</v>
      </c>
      <c r="P97" s="123">
        <v>2</v>
      </c>
      <c r="Q97" s="123">
        <v>3</v>
      </c>
      <c r="R97" s="123">
        <v>4</v>
      </c>
      <c r="S97" s="123">
        <v>1</v>
      </c>
      <c r="T97" s="123">
        <v>2</v>
      </c>
      <c r="U97" s="123">
        <v>3</v>
      </c>
      <c r="V97" s="123">
        <v>4</v>
      </c>
      <c r="W97" s="123">
        <v>1</v>
      </c>
      <c r="X97" s="123">
        <v>2</v>
      </c>
      <c r="Y97" s="123">
        <v>3</v>
      </c>
      <c r="Z97" s="123">
        <v>4</v>
      </c>
      <c r="AA97" s="123">
        <v>1</v>
      </c>
      <c r="AB97" s="123">
        <v>2</v>
      </c>
      <c r="AC97" s="123">
        <v>3</v>
      </c>
      <c r="AD97" s="123">
        <v>4</v>
      </c>
      <c r="AE97" s="123">
        <v>1</v>
      </c>
      <c r="AF97" s="123">
        <v>2</v>
      </c>
      <c r="AG97" s="123">
        <v>3</v>
      </c>
      <c r="AH97" s="123">
        <v>4</v>
      </c>
      <c r="AI97" s="123">
        <v>1</v>
      </c>
      <c r="AJ97" s="123">
        <v>2</v>
      </c>
      <c r="AK97" s="123">
        <v>3</v>
      </c>
      <c r="AL97" s="123">
        <v>4</v>
      </c>
      <c r="AM97" s="123">
        <v>1</v>
      </c>
      <c r="AN97" s="123">
        <v>2</v>
      </c>
      <c r="AO97" s="123">
        <v>3</v>
      </c>
      <c r="AP97" s="123">
        <v>4</v>
      </c>
      <c r="AQ97" s="123">
        <v>1</v>
      </c>
      <c r="AR97" s="123">
        <v>2</v>
      </c>
      <c r="AS97" s="123">
        <v>3</v>
      </c>
      <c r="AT97" s="123">
        <v>4</v>
      </c>
      <c r="AU97" s="123">
        <v>1</v>
      </c>
      <c r="AV97" s="123">
        <v>2</v>
      </c>
      <c r="AW97" s="123">
        <v>3</v>
      </c>
      <c r="AX97" s="123">
        <v>4</v>
      </c>
    </row>
    <row r="98" spans="1:50" x14ac:dyDescent="0.2">
      <c r="A98" s="123" t="s">
        <v>104</v>
      </c>
      <c r="B98" s="123" t="s">
        <v>5</v>
      </c>
      <c r="C98">
        <v>17490.830013525905</v>
      </c>
      <c r="D98">
        <v>17490.830013525905</v>
      </c>
      <c r="E98">
        <v>17490.830013525905</v>
      </c>
      <c r="F98">
        <v>17490.830013525905</v>
      </c>
      <c r="G98">
        <v>17490.830013525905</v>
      </c>
      <c r="H98">
        <v>17490.830013525905</v>
      </c>
      <c r="I98">
        <v>17490.830013525905</v>
      </c>
      <c r="J98">
        <v>17490.830013525905</v>
      </c>
      <c r="K98">
        <v>17490.830013525905</v>
      </c>
      <c r="L98">
        <v>17490.830013525905</v>
      </c>
      <c r="M98">
        <v>17490.830013525905</v>
      </c>
      <c r="N98">
        <v>17490.830013525905</v>
      </c>
      <c r="O98">
        <v>17490.830013525905</v>
      </c>
      <c r="P98">
        <v>17490.830013525905</v>
      </c>
      <c r="Q98">
        <v>17490.830013525905</v>
      </c>
      <c r="R98">
        <v>17490.830013525905</v>
      </c>
      <c r="S98">
        <v>17490.830013525905</v>
      </c>
      <c r="T98">
        <v>17490.830013525905</v>
      </c>
      <c r="U98">
        <v>17490.830013525905</v>
      </c>
      <c r="V98">
        <v>17490.830013525905</v>
      </c>
      <c r="W98">
        <v>17490.830013525905</v>
      </c>
      <c r="X98">
        <v>17490.830013525905</v>
      </c>
      <c r="Y98">
        <v>17490.830013525905</v>
      </c>
      <c r="Z98">
        <v>17490.830013525905</v>
      </c>
      <c r="AA98">
        <v>17490.830013525905</v>
      </c>
      <c r="AB98">
        <v>17490.830013525905</v>
      </c>
      <c r="AC98">
        <v>17490.830013525905</v>
      </c>
      <c r="AD98">
        <v>17490.830013525905</v>
      </c>
      <c r="AE98">
        <v>17490.830013525905</v>
      </c>
      <c r="AF98">
        <v>17490.830013525905</v>
      </c>
      <c r="AG98">
        <v>17490.830013525905</v>
      </c>
      <c r="AH98">
        <v>17490.830013525905</v>
      </c>
      <c r="AI98">
        <v>17490.830013525905</v>
      </c>
      <c r="AJ98">
        <v>17490.830013525905</v>
      </c>
      <c r="AK98">
        <v>17490.830013525905</v>
      </c>
      <c r="AL98">
        <v>17490.830013525905</v>
      </c>
      <c r="AM98">
        <v>17490.830013525905</v>
      </c>
      <c r="AN98">
        <v>17490.830013525905</v>
      </c>
      <c r="AO98">
        <v>17490.830013525905</v>
      </c>
      <c r="AP98">
        <v>17490.830013525905</v>
      </c>
      <c r="AQ98">
        <v>17490.830013525905</v>
      </c>
      <c r="AR98">
        <v>17490.830013525905</v>
      </c>
      <c r="AS98">
        <v>17490.830013525905</v>
      </c>
      <c r="AT98">
        <v>17490.830013525905</v>
      </c>
      <c r="AU98">
        <v>17490.830013525905</v>
      </c>
      <c r="AV98">
        <v>17490.830013525905</v>
      </c>
      <c r="AW98">
        <v>17490.830013525905</v>
      </c>
      <c r="AX98">
        <v>17490.830013525905</v>
      </c>
    </row>
    <row r="99" spans="1:50" x14ac:dyDescent="0.2">
      <c r="B99" s="123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23" t="s">
        <v>12</v>
      </c>
      <c r="C100">
        <v>125818.75658197963</v>
      </c>
      <c r="D100">
        <v>125818.75658197963</v>
      </c>
      <c r="E100">
        <v>125818.75658197963</v>
      </c>
      <c r="F100">
        <v>125818.75658197963</v>
      </c>
      <c r="G100">
        <v>125818.75658197963</v>
      </c>
      <c r="H100">
        <v>125818.75658197963</v>
      </c>
      <c r="I100">
        <v>125818.75658197963</v>
      </c>
      <c r="J100">
        <v>125818.75658197963</v>
      </c>
      <c r="K100">
        <v>125818.75658197963</v>
      </c>
      <c r="L100">
        <v>125818.75658197963</v>
      </c>
      <c r="M100">
        <v>125818.75658197963</v>
      </c>
      <c r="N100">
        <v>125818.75658197963</v>
      </c>
      <c r="O100">
        <v>125818.75658197963</v>
      </c>
      <c r="P100">
        <v>125818.75658197963</v>
      </c>
      <c r="Q100">
        <v>125818.75658197963</v>
      </c>
      <c r="R100">
        <v>125818.75658197963</v>
      </c>
      <c r="S100">
        <v>125818.75658197963</v>
      </c>
      <c r="T100">
        <v>125818.75658197963</v>
      </c>
      <c r="U100">
        <v>125818.75658197963</v>
      </c>
      <c r="V100">
        <v>125818.75658197963</v>
      </c>
      <c r="W100">
        <v>125818.75658197963</v>
      </c>
      <c r="X100">
        <v>125818.75658197963</v>
      </c>
      <c r="Y100">
        <v>125818.75658197963</v>
      </c>
      <c r="Z100">
        <v>125818.75658197963</v>
      </c>
      <c r="AA100">
        <v>125818.75658197963</v>
      </c>
      <c r="AB100">
        <v>125818.75658197963</v>
      </c>
      <c r="AC100">
        <v>125818.75658197963</v>
      </c>
      <c r="AD100">
        <v>125818.75658197963</v>
      </c>
      <c r="AE100">
        <v>125818.75658197963</v>
      </c>
      <c r="AF100">
        <v>125818.75658197963</v>
      </c>
      <c r="AG100">
        <v>125818.75658197963</v>
      </c>
      <c r="AH100">
        <v>125818.75658197963</v>
      </c>
      <c r="AI100">
        <v>125818.75658197963</v>
      </c>
      <c r="AJ100">
        <v>125818.75658197963</v>
      </c>
      <c r="AK100">
        <v>125818.75658197963</v>
      </c>
      <c r="AL100">
        <v>125818.75658197963</v>
      </c>
      <c r="AM100">
        <v>125818.75658197963</v>
      </c>
      <c r="AN100">
        <v>125818.75658197963</v>
      </c>
      <c r="AO100">
        <v>125818.75658197963</v>
      </c>
      <c r="AP100">
        <v>125818.75658197963</v>
      </c>
      <c r="AQ100">
        <v>125818.75658197963</v>
      </c>
      <c r="AR100">
        <v>125818.75658197963</v>
      </c>
      <c r="AS100">
        <v>125818.75658197963</v>
      </c>
      <c r="AT100">
        <v>125818.75658197963</v>
      </c>
      <c r="AU100">
        <v>125818.75658197963</v>
      </c>
      <c r="AV100">
        <v>125818.75658197963</v>
      </c>
      <c r="AW100">
        <v>125818.75658197963</v>
      </c>
      <c r="AX100">
        <v>125818.75658197963</v>
      </c>
    </row>
    <row r="101" spans="1:50" x14ac:dyDescent="0.2">
      <c r="B101" s="123" t="s">
        <v>22</v>
      </c>
      <c r="C101">
        <v>339199.7080941805</v>
      </c>
      <c r="D101">
        <v>339199.7080941805</v>
      </c>
      <c r="E101">
        <v>339199.7080941805</v>
      </c>
      <c r="F101">
        <v>339199.7080941805</v>
      </c>
      <c r="G101">
        <v>339199.7080941805</v>
      </c>
      <c r="H101">
        <v>339199.7080941805</v>
      </c>
      <c r="I101">
        <v>339199.7080941805</v>
      </c>
      <c r="J101">
        <v>339199.7080941805</v>
      </c>
      <c r="K101">
        <v>339199.7080941805</v>
      </c>
      <c r="L101">
        <v>339199.7080941805</v>
      </c>
      <c r="M101">
        <v>339199.7080941805</v>
      </c>
      <c r="N101">
        <v>339199.7080941805</v>
      </c>
      <c r="O101">
        <v>339199.7080941805</v>
      </c>
      <c r="P101">
        <v>339199.7080941805</v>
      </c>
      <c r="Q101">
        <v>339199.7080941805</v>
      </c>
      <c r="R101">
        <v>339199.7080941805</v>
      </c>
      <c r="S101">
        <v>339199.7080941805</v>
      </c>
      <c r="T101">
        <v>339199.7080941805</v>
      </c>
      <c r="U101">
        <v>339199.7080941805</v>
      </c>
      <c r="V101">
        <v>339199.7080941805</v>
      </c>
      <c r="W101">
        <v>339199.7080941805</v>
      </c>
      <c r="X101">
        <v>339199.7080941805</v>
      </c>
      <c r="Y101">
        <v>339199.7080941805</v>
      </c>
      <c r="Z101">
        <v>339199.7080941805</v>
      </c>
      <c r="AA101">
        <v>339199.7080941805</v>
      </c>
      <c r="AB101">
        <v>339199.7080941805</v>
      </c>
      <c r="AC101">
        <v>339199.7080941805</v>
      </c>
      <c r="AD101">
        <v>339199.7080941805</v>
      </c>
      <c r="AE101">
        <v>339199.7080941805</v>
      </c>
      <c r="AF101">
        <v>339199.7080941805</v>
      </c>
      <c r="AG101">
        <v>339199.7080941805</v>
      </c>
      <c r="AH101">
        <v>339199.7080941805</v>
      </c>
      <c r="AI101">
        <v>339199.7080941805</v>
      </c>
      <c r="AJ101">
        <v>339199.7080941805</v>
      </c>
      <c r="AK101">
        <v>339199.7080941805</v>
      </c>
      <c r="AL101">
        <v>339199.7080941805</v>
      </c>
      <c r="AM101">
        <v>339199.7080941805</v>
      </c>
      <c r="AN101">
        <v>339199.7080941805</v>
      </c>
      <c r="AO101">
        <v>339199.7080941805</v>
      </c>
      <c r="AP101">
        <v>339199.7080941805</v>
      </c>
      <c r="AQ101">
        <v>339199.7080941805</v>
      </c>
      <c r="AR101">
        <v>339199.7080941805</v>
      </c>
      <c r="AS101">
        <v>339199.7080941805</v>
      </c>
      <c r="AT101">
        <v>339199.7080941805</v>
      </c>
      <c r="AU101">
        <v>339199.7080941805</v>
      </c>
      <c r="AV101">
        <v>339199.7080941805</v>
      </c>
      <c r="AW101">
        <v>339199.7080941805</v>
      </c>
      <c r="AX101">
        <v>339199.7080941805</v>
      </c>
    </row>
    <row r="102" spans="1:50" x14ac:dyDescent="0.2">
      <c r="B102" s="123" t="s">
        <v>59</v>
      </c>
      <c r="C102">
        <v>285163.65053037443</v>
      </c>
      <c r="D102">
        <v>285163.65053037443</v>
      </c>
      <c r="E102">
        <v>285163.65053037443</v>
      </c>
      <c r="F102">
        <v>285163.65053037443</v>
      </c>
      <c r="G102">
        <v>285163.65053037443</v>
      </c>
      <c r="H102">
        <v>285163.65053037443</v>
      </c>
      <c r="I102">
        <v>285163.65053037443</v>
      </c>
      <c r="J102">
        <v>285163.65053037443</v>
      </c>
      <c r="K102">
        <v>285163.65053037443</v>
      </c>
      <c r="L102">
        <v>285163.65053037443</v>
      </c>
      <c r="M102">
        <v>285163.65053037443</v>
      </c>
      <c r="N102">
        <v>285163.65053037443</v>
      </c>
      <c r="O102">
        <v>285163.65053037443</v>
      </c>
      <c r="P102">
        <v>285163.65053037443</v>
      </c>
      <c r="Q102">
        <v>285163.65053037443</v>
      </c>
      <c r="R102">
        <v>285163.65053037443</v>
      </c>
      <c r="S102">
        <v>285163.65053037443</v>
      </c>
      <c r="T102">
        <v>285163.65053037443</v>
      </c>
      <c r="U102">
        <v>285163.65053037443</v>
      </c>
      <c r="V102">
        <v>285163.65053037443</v>
      </c>
      <c r="W102">
        <v>285163.65053037443</v>
      </c>
      <c r="X102">
        <v>285163.65053037443</v>
      </c>
      <c r="Y102">
        <v>285163.65053037443</v>
      </c>
      <c r="Z102">
        <v>285163.65053037443</v>
      </c>
      <c r="AA102">
        <v>285163.65053037443</v>
      </c>
      <c r="AB102">
        <v>285163.65053037443</v>
      </c>
      <c r="AC102">
        <v>285163.65053037443</v>
      </c>
      <c r="AD102">
        <v>285163.65053037443</v>
      </c>
      <c r="AE102">
        <v>285163.65053037443</v>
      </c>
      <c r="AF102">
        <v>285163.65053037443</v>
      </c>
      <c r="AG102">
        <v>285163.65053037443</v>
      </c>
      <c r="AH102">
        <v>285163.65053037443</v>
      </c>
      <c r="AI102">
        <v>285163.65053037443</v>
      </c>
      <c r="AJ102">
        <v>285163.65053037443</v>
      </c>
      <c r="AK102">
        <v>285163.65053037443</v>
      </c>
      <c r="AL102">
        <v>285163.65053037443</v>
      </c>
      <c r="AM102">
        <v>285163.65053037443</v>
      </c>
      <c r="AN102">
        <v>285163.65053037443</v>
      </c>
      <c r="AO102">
        <v>285163.65053037443</v>
      </c>
      <c r="AP102">
        <v>285163.65053037443</v>
      </c>
      <c r="AQ102">
        <v>285163.65053037443</v>
      </c>
      <c r="AR102">
        <v>285163.65053037443</v>
      </c>
      <c r="AS102">
        <v>285163.65053037443</v>
      </c>
      <c r="AT102">
        <v>285163.65053037443</v>
      </c>
      <c r="AU102">
        <v>285163.65053037443</v>
      </c>
      <c r="AV102">
        <v>285163.65053037443</v>
      </c>
      <c r="AW102">
        <v>285163.65053037443</v>
      </c>
      <c r="AX102">
        <v>285163.65053037443</v>
      </c>
    </row>
    <row r="103" spans="1:50" x14ac:dyDescent="0.2">
      <c r="B103" t="s">
        <v>278</v>
      </c>
      <c r="C103" s="123">
        <f>SUM(C$98:C$102)</f>
        <v>767672.94522006041</v>
      </c>
      <c r="D103" s="123">
        <f t="shared" ref="D103:AX103" si="5">SUM(D$98:D$102)</f>
        <v>767672.94522006041</v>
      </c>
      <c r="E103" s="123">
        <f t="shared" si="5"/>
        <v>767672.94522006041</v>
      </c>
      <c r="F103" s="123">
        <f t="shared" si="5"/>
        <v>767672.94522006041</v>
      </c>
      <c r="G103" s="123">
        <f t="shared" si="5"/>
        <v>767672.94522006041</v>
      </c>
      <c r="H103" s="123">
        <f t="shared" si="5"/>
        <v>767672.94522006041</v>
      </c>
      <c r="I103" s="123">
        <f t="shared" si="5"/>
        <v>767672.94522006041</v>
      </c>
      <c r="J103" s="123">
        <f t="shared" si="5"/>
        <v>767672.94522006041</v>
      </c>
      <c r="K103" s="123">
        <f t="shared" si="5"/>
        <v>767672.94522006041</v>
      </c>
      <c r="L103" s="123">
        <f t="shared" si="5"/>
        <v>767672.94522006041</v>
      </c>
      <c r="M103" s="123">
        <f t="shared" si="5"/>
        <v>767672.94522006041</v>
      </c>
      <c r="N103" s="123">
        <f t="shared" si="5"/>
        <v>767672.94522006041</v>
      </c>
      <c r="O103" s="123">
        <f t="shared" si="5"/>
        <v>767672.94522006041</v>
      </c>
      <c r="P103" s="123">
        <f t="shared" si="5"/>
        <v>767672.94522006041</v>
      </c>
      <c r="Q103" s="123">
        <f t="shared" si="5"/>
        <v>767672.94522006041</v>
      </c>
      <c r="R103" s="123">
        <f t="shared" si="5"/>
        <v>767672.94522006041</v>
      </c>
      <c r="S103" s="123">
        <f t="shared" si="5"/>
        <v>767672.94522006041</v>
      </c>
      <c r="T103" s="123">
        <f t="shared" si="5"/>
        <v>767672.94522006041</v>
      </c>
      <c r="U103" s="123">
        <f t="shared" si="5"/>
        <v>767672.94522006041</v>
      </c>
      <c r="V103" s="123">
        <f t="shared" si="5"/>
        <v>767672.94522006041</v>
      </c>
      <c r="W103" s="123">
        <f t="shared" si="5"/>
        <v>767672.94522006041</v>
      </c>
      <c r="X103" s="123">
        <f t="shared" si="5"/>
        <v>767672.94522006041</v>
      </c>
      <c r="Y103" s="123">
        <f t="shared" si="5"/>
        <v>767672.94522006041</v>
      </c>
      <c r="Z103" s="123">
        <f t="shared" si="5"/>
        <v>767672.94522006041</v>
      </c>
      <c r="AA103" s="123">
        <f t="shared" si="5"/>
        <v>767672.94522006041</v>
      </c>
      <c r="AB103" s="123">
        <f t="shared" si="5"/>
        <v>767672.94522006041</v>
      </c>
      <c r="AC103" s="123">
        <f t="shared" si="5"/>
        <v>767672.94522006041</v>
      </c>
      <c r="AD103" s="123">
        <f t="shared" si="5"/>
        <v>767672.94522006041</v>
      </c>
      <c r="AE103" s="123">
        <f t="shared" si="5"/>
        <v>767672.94522006041</v>
      </c>
      <c r="AF103" s="123">
        <f t="shared" si="5"/>
        <v>767672.94522006041</v>
      </c>
      <c r="AG103" s="123">
        <f t="shared" si="5"/>
        <v>767672.94522006041</v>
      </c>
      <c r="AH103" s="123">
        <f t="shared" si="5"/>
        <v>767672.94522006041</v>
      </c>
      <c r="AI103" s="123">
        <f t="shared" si="5"/>
        <v>767672.94522006041</v>
      </c>
      <c r="AJ103" s="123">
        <f t="shared" si="5"/>
        <v>767672.94522006041</v>
      </c>
      <c r="AK103" s="123">
        <f t="shared" si="5"/>
        <v>767672.94522006041</v>
      </c>
      <c r="AL103" s="123">
        <f t="shared" si="5"/>
        <v>767672.94522006041</v>
      </c>
      <c r="AM103" s="123">
        <f t="shared" si="5"/>
        <v>767672.94522006041</v>
      </c>
      <c r="AN103" s="123">
        <f t="shared" si="5"/>
        <v>767672.94522006041</v>
      </c>
      <c r="AO103" s="123">
        <f t="shared" si="5"/>
        <v>767672.94522006041</v>
      </c>
      <c r="AP103" s="123">
        <f t="shared" si="5"/>
        <v>767672.94522006041</v>
      </c>
      <c r="AQ103" s="123">
        <f t="shared" si="5"/>
        <v>767672.94522006041</v>
      </c>
      <c r="AR103" s="123">
        <f t="shared" si="5"/>
        <v>767672.94522006041</v>
      </c>
      <c r="AS103" s="123">
        <f t="shared" si="5"/>
        <v>767672.94522006041</v>
      </c>
      <c r="AT103" s="123">
        <f t="shared" si="5"/>
        <v>767672.94522006041</v>
      </c>
      <c r="AU103" s="123">
        <f t="shared" si="5"/>
        <v>767672.94522006041</v>
      </c>
      <c r="AV103" s="123">
        <f t="shared" si="5"/>
        <v>767672.94522006041</v>
      </c>
      <c r="AW103" s="123">
        <f t="shared" si="5"/>
        <v>767672.94522006041</v>
      </c>
      <c r="AX103" s="123">
        <f t="shared" si="5"/>
        <v>767672.94522006041</v>
      </c>
    </row>
    <row r="104" spans="1:50" x14ac:dyDescent="0.2">
      <c r="A104" s="123" t="s">
        <v>105</v>
      </c>
      <c r="B104" s="123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23" t="s">
        <v>10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</row>
    <row r="106" spans="1:50" x14ac:dyDescent="0.2">
      <c r="B106" s="123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23" t="s">
        <v>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</row>
    <row r="108" spans="1:50" x14ac:dyDescent="0.2">
      <c r="B108" s="123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 x14ac:dyDescent="0.2">
      <c r="B109" s="120" t="s">
        <v>278</v>
      </c>
      <c r="C109" s="123">
        <f>SUM(C$104:C$108)</f>
        <v>0</v>
      </c>
      <c r="D109" s="123">
        <f t="shared" ref="D109:AX109" si="6">SUM(D$104:D$108)</f>
        <v>0</v>
      </c>
      <c r="E109" s="123">
        <f t="shared" si="6"/>
        <v>0</v>
      </c>
      <c r="F109" s="123">
        <f t="shared" si="6"/>
        <v>0</v>
      </c>
      <c r="G109" s="123">
        <f t="shared" si="6"/>
        <v>0</v>
      </c>
      <c r="H109" s="123">
        <f t="shared" si="6"/>
        <v>0</v>
      </c>
      <c r="I109" s="123">
        <f t="shared" si="6"/>
        <v>0</v>
      </c>
      <c r="J109" s="123">
        <f t="shared" si="6"/>
        <v>0</v>
      </c>
      <c r="K109" s="123">
        <f t="shared" si="6"/>
        <v>0</v>
      </c>
      <c r="L109" s="123">
        <f t="shared" si="6"/>
        <v>0</v>
      </c>
      <c r="M109" s="123">
        <f t="shared" si="6"/>
        <v>0</v>
      </c>
      <c r="N109" s="123">
        <f t="shared" si="6"/>
        <v>0</v>
      </c>
      <c r="O109" s="123">
        <f t="shared" si="6"/>
        <v>0</v>
      </c>
      <c r="P109" s="123">
        <f t="shared" si="6"/>
        <v>0</v>
      </c>
      <c r="Q109" s="123">
        <f t="shared" si="6"/>
        <v>0</v>
      </c>
      <c r="R109" s="123">
        <f t="shared" si="6"/>
        <v>0</v>
      </c>
      <c r="S109" s="123">
        <f t="shared" si="6"/>
        <v>0</v>
      </c>
      <c r="T109" s="123">
        <f t="shared" si="6"/>
        <v>0</v>
      </c>
      <c r="U109" s="123">
        <f t="shared" si="6"/>
        <v>0</v>
      </c>
      <c r="V109" s="123">
        <f t="shared" si="6"/>
        <v>0</v>
      </c>
      <c r="W109" s="123">
        <f t="shared" si="6"/>
        <v>0</v>
      </c>
      <c r="X109" s="123">
        <f t="shared" si="6"/>
        <v>0</v>
      </c>
      <c r="Y109" s="123">
        <f t="shared" si="6"/>
        <v>0</v>
      </c>
      <c r="Z109" s="123">
        <f t="shared" si="6"/>
        <v>0</v>
      </c>
      <c r="AA109" s="123">
        <f t="shared" si="6"/>
        <v>0</v>
      </c>
      <c r="AB109" s="123">
        <f t="shared" si="6"/>
        <v>0</v>
      </c>
      <c r="AC109" s="123">
        <f t="shared" si="6"/>
        <v>0</v>
      </c>
      <c r="AD109" s="123">
        <f t="shared" si="6"/>
        <v>0</v>
      </c>
      <c r="AE109" s="123">
        <f t="shared" si="6"/>
        <v>0</v>
      </c>
      <c r="AF109" s="123">
        <f t="shared" si="6"/>
        <v>0</v>
      </c>
      <c r="AG109" s="123">
        <f t="shared" si="6"/>
        <v>0</v>
      </c>
      <c r="AH109" s="123">
        <f t="shared" si="6"/>
        <v>0</v>
      </c>
      <c r="AI109" s="123">
        <f t="shared" si="6"/>
        <v>0</v>
      </c>
      <c r="AJ109" s="123">
        <f t="shared" si="6"/>
        <v>0</v>
      </c>
      <c r="AK109" s="123">
        <f t="shared" si="6"/>
        <v>0</v>
      </c>
      <c r="AL109" s="123">
        <f t="shared" si="6"/>
        <v>0</v>
      </c>
      <c r="AM109" s="123">
        <f t="shared" si="6"/>
        <v>0</v>
      </c>
      <c r="AN109" s="123">
        <f t="shared" si="6"/>
        <v>0</v>
      </c>
      <c r="AO109" s="123">
        <f t="shared" si="6"/>
        <v>0</v>
      </c>
      <c r="AP109" s="123">
        <f t="shared" si="6"/>
        <v>0</v>
      </c>
      <c r="AQ109" s="123">
        <f t="shared" si="6"/>
        <v>0</v>
      </c>
      <c r="AR109" s="123">
        <f t="shared" si="6"/>
        <v>0</v>
      </c>
      <c r="AS109" s="123">
        <f t="shared" si="6"/>
        <v>0</v>
      </c>
      <c r="AT109" s="123">
        <f t="shared" si="6"/>
        <v>0</v>
      </c>
      <c r="AU109" s="123">
        <f t="shared" si="6"/>
        <v>0</v>
      </c>
      <c r="AV109" s="123">
        <f t="shared" si="6"/>
        <v>0</v>
      </c>
      <c r="AW109" s="123">
        <f t="shared" si="6"/>
        <v>0</v>
      </c>
      <c r="AX109" s="123">
        <f t="shared" si="6"/>
        <v>0</v>
      </c>
    </row>
    <row r="110" spans="1:50" x14ac:dyDescent="0.2">
      <c r="A110" s="123" t="s">
        <v>106</v>
      </c>
      <c r="B110" s="123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23" t="s">
        <v>10</v>
      </c>
      <c r="C111">
        <v>64397.183743927868</v>
      </c>
      <c r="D111">
        <v>64538.326672432719</v>
      </c>
      <c r="E111">
        <v>98962.816510469551</v>
      </c>
      <c r="F111">
        <v>98962.816510469551</v>
      </c>
      <c r="G111">
        <v>16240.427488836298</v>
      </c>
      <c r="H111">
        <v>98962.816510469551</v>
      </c>
      <c r="I111">
        <v>98962.816510469551</v>
      </c>
      <c r="J111">
        <v>98962.816510469551</v>
      </c>
      <c r="K111">
        <v>98962.816510469551</v>
      </c>
      <c r="L111">
        <v>98962.816510469551</v>
      </c>
      <c r="M111">
        <v>98962.816510469551</v>
      </c>
      <c r="N111">
        <v>98962.816510469551</v>
      </c>
      <c r="O111">
        <v>98962.816510469551</v>
      </c>
      <c r="P111">
        <v>98962.816510469551</v>
      </c>
      <c r="Q111">
        <v>98962.816510469551</v>
      </c>
      <c r="R111">
        <v>98962.816510469551</v>
      </c>
      <c r="S111">
        <v>98962.816510469551</v>
      </c>
      <c r="T111">
        <v>98962.816510469551</v>
      </c>
      <c r="U111">
        <v>98962.816510469551</v>
      </c>
      <c r="V111">
        <v>98962.816510469551</v>
      </c>
      <c r="W111">
        <v>98962.816510469551</v>
      </c>
      <c r="X111">
        <v>98962.816510469551</v>
      </c>
      <c r="Y111">
        <v>98962.816510469551</v>
      </c>
      <c r="Z111">
        <v>98962.816510469551</v>
      </c>
      <c r="AA111">
        <v>98962.816510469551</v>
      </c>
      <c r="AB111">
        <v>98962.816510469551</v>
      </c>
      <c r="AC111">
        <v>98962.816510469551</v>
      </c>
      <c r="AD111">
        <v>98962.816510469551</v>
      </c>
      <c r="AE111">
        <v>98962.816510469551</v>
      </c>
      <c r="AF111">
        <v>98962.816510469551</v>
      </c>
      <c r="AG111">
        <v>98962.816510469551</v>
      </c>
      <c r="AH111">
        <v>98962.816510469551</v>
      </c>
      <c r="AI111">
        <v>68805.727657663403</v>
      </c>
      <c r="AJ111">
        <v>68935.987875423496</v>
      </c>
      <c r="AK111">
        <v>98962.816510469551</v>
      </c>
      <c r="AL111">
        <v>98962.816510469551</v>
      </c>
      <c r="AM111">
        <v>98962.816510469551</v>
      </c>
      <c r="AN111">
        <v>98962.816510469551</v>
      </c>
      <c r="AO111">
        <v>98962.816510469551</v>
      </c>
      <c r="AP111">
        <v>98962.816510469551</v>
      </c>
      <c r="AQ111">
        <v>69827.01867755501</v>
      </c>
      <c r="AR111">
        <v>98962.816510469551</v>
      </c>
      <c r="AS111">
        <v>17518.575151542664</v>
      </c>
      <c r="AT111">
        <v>98962.816510469551</v>
      </c>
      <c r="AU111">
        <v>70318.043749829507</v>
      </c>
      <c r="AV111">
        <v>70438.539044342862</v>
      </c>
      <c r="AW111">
        <v>98962.816510469551</v>
      </c>
      <c r="AX111">
        <v>98962.816510469551</v>
      </c>
    </row>
    <row r="112" spans="1:50" x14ac:dyDescent="0.2">
      <c r="B112" s="123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23" t="s">
        <v>22</v>
      </c>
      <c r="C113">
        <v>11824.387441513059</v>
      </c>
      <c r="D113">
        <v>11850.303616324483</v>
      </c>
      <c r="E113">
        <v>18171.208998460206</v>
      </c>
      <c r="F113">
        <v>18171.208998460206</v>
      </c>
      <c r="G113">
        <v>2982.0109464322122</v>
      </c>
      <c r="H113">
        <v>18171.208998460206</v>
      </c>
      <c r="I113">
        <v>18171.208998460206</v>
      </c>
      <c r="J113">
        <v>18171.208998460206</v>
      </c>
      <c r="K113">
        <v>18171.208998460206</v>
      </c>
      <c r="L113">
        <v>18171.208998460206</v>
      </c>
      <c r="M113">
        <v>18171.208998460206</v>
      </c>
      <c r="N113">
        <v>18171.208998460206</v>
      </c>
      <c r="O113">
        <v>18171.208998460206</v>
      </c>
      <c r="P113">
        <v>18171.208998460206</v>
      </c>
      <c r="Q113">
        <v>18171.208998460206</v>
      </c>
      <c r="R113">
        <v>18171.208998460206</v>
      </c>
      <c r="S113">
        <v>18171.208998460206</v>
      </c>
      <c r="T113">
        <v>18171.208998460206</v>
      </c>
      <c r="U113">
        <v>18171.208998460206</v>
      </c>
      <c r="V113">
        <v>18171.208998460206</v>
      </c>
      <c r="W113">
        <v>18171.208998460206</v>
      </c>
      <c r="X113">
        <v>18171.208998460206</v>
      </c>
      <c r="Y113">
        <v>18171.208998460206</v>
      </c>
      <c r="Z113">
        <v>18171.208998460206</v>
      </c>
      <c r="AA113">
        <v>18171.208998460206</v>
      </c>
      <c r="AB113">
        <v>18171.208998460206</v>
      </c>
      <c r="AC113">
        <v>18171.208998460206</v>
      </c>
      <c r="AD113">
        <v>18171.208998460206</v>
      </c>
      <c r="AE113">
        <v>18171.208998460206</v>
      </c>
      <c r="AF113">
        <v>18171.208998460206</v>
      </c>
      <c r="AG113">
        <v>18171.208998460206</v>
      </c>
      <c r="AH113">
        <v>18171.208998460206</v>
      </c>
      <c r="AI113">
        <v>12633.868978721563</v>
      </c>
      <c r="AJ113">
        <v>12657.786907945549</v>
      </c>
      <c r="AK113">
        <v>18171.208998460206</v>
      </c>
      <c r="AL113">
        <v>18171.208998460206</v>
      </c>
      <c r="AM113">
        <v>18171.208998460206</v>
      </c>
      <c r="AN113">
        <v>18171.208998460206</v>
      </c>
      <c r="AO113">
        <v>18171.208998460206</v>
      </c>
      <c r="AP113">
        <v>18171.208998460206</v>
      </c>
      <c r="AQ113">
        <v>12821.394892242199</v>
      </c>
      <c r="AR113">
        <v>18171.208998460206</v>
      </c>
      <c r="AS113">
        <v>3216.699985496432</v>
      </c>
      <c r="AT113">
        <v>18171.208998460206</v>
      </c>
      <c r="AU113">
        <v>12911.55521231393</v>
      </c>
      <c r="AV113">
        <v>12933.680140212497</v>
      </c>
      <c r="AW113">
        <v>18171.208998460206</v>
      </c>
      <c r="AX113">
        <v>18171.208998460206</v>
      </c>
    </row>
    <row r="114" spans="1:50" x14ac:dyDescent="0.2">
      <c r="B114" s="123" t="s">
        <v>59</v>
      </c>
      <c r="C114">
        <v>426300.75234884169</v>
      </c>
      <c r="D114">
        <v>427235.09967759426</v>
      </c>
      <c r="E114">
        <v>655120.62298767106</v>
      </c>
      <c r="F114">
        <v>655120.62298767106</v>
      </c>
      <c r="G114">
        <v>107509.46011067658</v>
      </c>
      <c r="H114">
        <v>655120.62298767106</v>
      </c>
      <c r="I114">
        <v>655120.62298767106</v>
      </c>
      <c r="J114">
        <v>655120.62298767106</v>
      </c>
      <c r="K114">
        <v>655120.62298767106</v>
      </c>
      <c r="L114">
        <v>655120.62298767106</v>
      </c>
      <c r="M114">
        <v>655120.62298767106</v>
      </c>
      <c r="N114">
        <v>655120.62298767106</v>
      </c>
      <c r="O114">
        <v>655120.62298767106</v>
      </c>
      <c r="P114">
        <v>655120.62298767106</v>
      </c>
      <c r="Q114">
        <v>655120.62298767106</v>
      </c>
      <c r="R114">
        <v>655120.62298767106</v>
      </c>
      <c r="S114">
        <v>655120.62298767106</v>
      </c>
      <c r="T114">
        <v>655120.62298767106</v>
      </c>
      <c r="U114">
        <v>655120.62298767106</v>
      </c>
      <c r="V114">
        <v>655120.62298767106</v>
      </c>
      <c r="W114">
        <v>655120.62298767106</v>
      </c>
      <c r="X114">
        <v>655120.62298767106</v>
      </c>
      <c r="Y114">
        <v>655120.62298767106</v>
      </c>
      <c r="Z114">
        <v>655120.62298767106</v>
      </c>
      <c r="AA114">
        <v>655120.62298767106</v>
      </c>
      <c r="AB114">
        <v>655120.62298767106</v>
      </c>
      <c r="AC114">
        <v>655120.62298767106</v>
      </c>
      <c r="AD114">
        <v>655120.62298767106</v>
      </c>
      <c r="AE114">
        <v>655120.62298767106</v>
      </c>
      <c r="AF114">
        <v>655120.62298767106</v>
      </c>
      <c r="AG114">
        <v>655120.62298767106</v>
      </c>
      <c r="AH114">
        <v>655120.62298767106</v>
      </c>
      <c r="AI114">
        <v>455484.72403713118</v>
      </c>
      <c r="AJ114">
        <v>456347.02927478042</v>
      </c>
      <c r="AK114">
        <v>655120.62298767106</v>
      </c>
      <c r="AL114">
        <v>655120.62298767106</v>
      </c>
      <c r="AM114">
        <v>655120.62298767106</v>
      </c>
      <c r="AN114">
        <v>655120.62298767106</v>
      </c>
      <c r="AO114">
        <v>655120.62298767106</v>
      </c>
      <c r="AP114">
        <v>655120.62298767106</v>
      </c>
      <c r="AQ114">
        <v>462245.53413525835</v>
      </c>
      <c r="AR114">
        <v>655120.62298767106</v>
      </c>
      <c r="AS114">
        <v>115970.62686590778</v>
      </c>
      <c r="AT114">
        <v>655120.62298767106</v>
      </c>
      <c r="AU114">
        <v>465496.05450840277</v>
      </c>
      <c r="AV114">
        <v>466293.71725883917</v>
      </c>
      <c r="AW114">
        <v>655120.62298767106</v>
      </c>
      <c r="AX114">
        <v>655120.62298767106</v>
      </c>
    </row>
    <row r="115" spans="1:50" x14ac:dyDescent="0.2">
      <c r="B115" t="s">
        <v>278</v>
      </c>
      <c r="C115" s="123">
        <f>SUM(C$110:C$114)</f>
        <v>502522.32353428262</v>
      </c>
      <c r="D115" s="123">
        <f t="shared" ref="D115:AX115" si="7">SUM(D$110:D$114)</f>
        <v>503623.72996635147</v>
      </c>
      <c r="E115" s="123">
        <f t="shared" si="7"/>
        <v>772254.6484966008</v>
      </c>
      <c r="F115" s="123">
        <f t="shared" si="7"/>
        <v>772254.6484966008</v>
      </c>
      <c r="G115" s="123">
        <f t="shared" si="7"/>
        <v>126731.89854594509</v>
      </c>
      <c r="H115" s="123">
        <f t="shared" si="7"/>
        <v>772254.6484966008</v>
      </c>
      <c r="I115" s="123">
        <f t="shared" si="7"/>
        <v>772254.6484966008</v>
      </c>
      <c r="J115" s="123">
        <f t="shared" si="7"/>
        <v>772254.6484966008</v>
      </c>
      <c r="K115" s="123">
        <f t="shared" si="7"/>
        <v>772254.6484966008</v>
      </c>
      <c r="L115" s="123">
        <f t="shared" si="7"/>
        <v>772254.6484966008</v>
      </c>
      <c r="M115" s="123">
        <f t="shared" si="7"/>
        <v>772254.6484966008</v>
      </c>
      <c r="N115" s="123">
        <f t="shared" si="7"/>
        <v>772254.6484966008</v>
      </c>
      <c r="O115" s="123">
        <f t="shared" si="7"/>
        <v>772254.6484966008</v>
      </c>
      <c r="P115" s="123">
        <f t="shared" si="7"/>
        <v>772254.6484966008</v>
      </c>
      <c r="Q115" s="123">
        <f t="shared" si="7"/>
        <v>772254.6484966008</v>
      </c>
      <c r="R115" s="123">
        <f t="shared" si="7"/>
        <v>772254.6484966008</v>
      </c>
      <c r="S115" s="123">
        <f t="shared" si="7"/>
        <v>772254.6484966008</v>
      </c>
      <c r="T115" s="123">
        <f t="shared" si="7"/>
        <v>772254.6484966008</v>
      </c>
      <c r="U115" s="123">
        <f t="shared" si="7"/>
        <v>772254.6484966008</v>
      </c>
      <c r="V115" s="123">
        <f t="shared" si="7"/>
        <v>772254.6484966008</v>
      </c>
      <c r="W115" s="123">
        <f t="shared" si="7"/>
        <v>772254.6484966008</v>
      </c>
      <c r="X115" s="123">
        <f t="shared" si="7"/>
        <v>772254.6484966008</v>
      </c>
      <c r="Y115" s="123">
        <f t="shared" si="7"/>
        <v>772254.6484966008</v>
      </c>
      <c r="Z115" s="123">
        <f t="shared" si="7"/>
        <v>772254.6484966008</v>
      </c>
      <c r="AA115" s="123">
        <f t="shared" si="7"/>
        <v>772254.6484966008</v>
      </c>
      <c r="AB115" s="123">
        <f t="shared" si="7"/>
        <v>772254.6484966008</v>
      </c>
      <c r="AC115" s="123">
        <f t="shared" si="7"/>
        <v>772254.6484966008</v>
      </c>
      <c r="AD115" s="123">
        <f t="shared" si="7"/>
        <v>772254.6484966008</v>
      </c>
      <c r="AE115" s="123">
        <f t="shared" si="7"/>
        <v>772254.6484966008</v>
      </c>
      <c r="AF115" s="123">
        <f t="shared" si="7"/>
        <v>772254.6484966008</v>
      </c>
      <c r="AG115" s="123">
        <f t="shared" si="7"/>
        <v>772254.6484966008</v>
      </c>
      <c r="AH115" s="123">
        <f t="shared" si="7"/>
        <v>772254.6484966008</v>
      </c>
      <c r="AI115" s="123">
        <f t="shared" si="7"/>
        <v>536924.32067351614</v>
      </c>
      <c r="AJ115" s="123">
        <f t="shared" si="7"/>
        <v>537940.80405814946</v>
      </c>
      <c r="AK115" s="123">
        <f t="shared" si="7"/>
        <v>772254.6484966008</v>
      </c>
      <c r="AL115" s="123">
        <f t="shared" si="7"/>
        <v>772254.6484966008</v>
      </c>
      <c r="AM115" s="123">
        <f t="shared" si="7"/>
        <v>772254.6484966008</v>
      </c>
      <c r="AN115" s="123">
        <f t="shared" si="7"/>
        <v>772254.6484966008</v>
      </c>
      <c r="AO115" s="123">
        <f t="shared" si="7"/>
        <v>772254.6484966008</v>
      </c>
      <c r="AP115" s="123">
        <f t="shared" si="7"/>
        <v>772254.6484966008</v>
      </c>
      <c r="AQ115" s="123">
        <f t="shared" si="7"/>
        <v>544893.94770505559</v>
      </c>
      <c r="AR115" s="123">
        <f t="shared" si="7"/>
        <v>772254.6484966008</v>
      </c>
      <c r="AS115" s="123">
        <f t="shared" si="7"/>
        <v>136705.90200294688</v>
      </c>
      <c r="AT115" s="123">
        <f t="shared" si="7"/>
        <v>772254.6484966008</v>
      </c>
      <c r="AU115" s="123">
        <f t="shared" si="7"/>
        <v>548725.65347054624</v>
      </c>
      <c r="AV115" s="123">
        <f t="shared" si="7"/>
        <v>549665.93644339452</v>
      </c>
      <c r="AW115" s="123">
        <f t="shared" si="7"/>
        <v>772254.6484966008</v>
      </c>
      <c r="AX115" s="123">
        <f t="shared" si="7"/>
        <v>772254.6484966008</v>
      </c>
    </row>
    <row r="116" spans="1:50" x14ac:dyDescent="0.2">
      <c r="A116" s="123" t="s">
        <v>107</v>
      </c>
      <c r="B116" s="123" t="s">
        <v>5</v>
      </c>
      <c r="C116">
        <v>1422967.5263423731</v>
      </c>
      <c r="D116">
        <v>1422967.5263423731</v>
      </c>
      <c r="E116">
        <v>1422967.5263423731</v>
      </c>
      <c r="F116">
        <v>1422967.5263423731</v>
      </c>
      <c r="G116">
        <v>1422967.5263423731</v>
      </c>
      <c r="H116">
        <v>1422967.5263423731</v>
      </c>
      <c r="I116">
        <v>1422967.5263423731</v>
      </c>
      <c r="J116">
        <v>1422967.5263423731</v>
      </c>
      <c r="K116">
        <v>1422967.5263423731</v>
      </c>
      <c r="L116">
        <v>1422967.5263423731</v>
      </c>
      <c r="M116">
        <v>1422967.5263423731</v>
      </c>
      <c r="N116">
        <v>1422967.5263423731</v>
      </c>
      <c r="O116">
        <v>1422967.5263423731</v>
      </c>
      <c r="P116">
        <v>1105178.6261105007</v>
      </c>
      <c r="Q116">
        <v>1422967.5263423731</v>
      </c>
      <c r="R116">
        <v>1109828.9693473626</v>
      </c>
      <c r="S116">
        <v>1422967.5263423731</v>
      </c>
      <c r="T116">
        <v>1422967.5263423731</v>
      </c>
      <c r="U116">
        <v>1422967.5263423731</v>
      </c>
      <c r="V116">
        <v>1119064.862883687</v>
      </c>
      <c r="W116">
        <v>1422967.5263423731</v>
      </c>
      <c r="X116">
        <v>1422967.5263423731</v>
      </c>
      <c r="Y116">
        <v>1422967.5263423731</v>
      </c>
      <c r="Z116">
        <v>1422967.5263423731</v>
      </c>
      <c r="AA116">
        <v>1422967.5263423731</v>
      </c>
      <c r="AB116">
        <v>1422967.5263423731</v>
      </c>
      <c r="AC116">
        <v>1422967.5263423731</v>
      </c>
      <c r="AD116">
        <v>1137194.436195554</v>
      </c>
      <c r="AE116">
        <v>651097.94339274266</v>
      </c>
      <c r="AF116">
        <v>652364.82314713439</v>
      </c>
      <c r="AG116">
        <v>653625.82681144541</v>
      </c>
      <c r="AH116">
        <v>654880.75076274725</v>
      </c>
      <c r="AI116">
        <v>1148226.4366211314</v>
      </c>
      <c r="AJ116">
        <v>1150400.2124209648</v>
      </c>
      <c r="AK116">
        <v>1422967.5263423731</v>
      </c>
      <c r="AL116">
        <v>1422967.5263423731</v>
      </c>
      <c r="AM116">
        <v>1422967.5263423731</v>
      </c>
      <c r="AN116">
        <v>1158974.8541537973</v>
      </c>
      <c r="AO116">
        <v>663478.09633288428</v>
      </c>
      <c r="AP116">
        <v>1422967.5263423731</v>
      </c>
      <c r="AQ116">
        <v>1422967.5263423731</v>
      </c>
      <c r="AR116">
        <v>667051.55364956625</v>
      </c>
      <c r="AS116">
        <v>668226.46662763297</v>
      </c>
      <c r="AT116">
        <v>167348.23570470556</v>
      </c>
      <c r="AU116">
        <v>167637.6985166019</v>
      </c>
      <c r="AV116">
        <v>1422967.5263423731</v>
      </c>
      <c r="AW116">
        <v>1422967.5263423731</v>
      </c>
      <c r="AX116">
        <v>1422967.5263423731</v>
      </c>
    </row>
    <row r="117" spans="1:50" x14ac:dyDescent="0.2">
      <c r="B117" s="123" t="s">
        <v>10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</row>
    <row r="118" spans="1:50" x14ac:dyDescent="0.2">
      <c r="B118" s="123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23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23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 x14ac:dyDescent="0.2">
      <c r="B121" t="s">
        <v>278</v>
      </c>
      <c r="C121" s="123">
        <f>SUM(C$116:C$120)</f>
        <v>1422967.5263423731</v>
      </c>
      <c r="D121" s="123">
        <f t="shared" ref="D121:AX121" si="8">SUM(D$116:D$120)</f>
        <v>1422967.5263423731</v>
      </c>
      <c r="E121" s="123">
        <f t="shared" si="8"/>
        <v>1422967.5263423731</v>
      </c>
      <c r="F121" s="123">
        <f t="shared" si="8"/>
        <v>1422967.5263423731</v>
      </c>
      <c r="G121" s="123">
        <f t="shared" si="8"/>
        <v>1422967.5263423731</v>
      </c>
      <c r="H121" s="123">
        <f t="shared" si="8"/>
        <v>1422967.5263423731</v>
      </c>
      <c r="I121" s="123">
        <f t="shared" si="8"/>
        <v>1422967.5263423731</v>
      </c>
      <c r="J121" s="123">
        <f t="shared" si="8"/>
        <v>1422967.5263423731</v>
      </c>
      <c r="K121" s="123">
        <f t="shared" si="8"/>
        <v>1422967.5263423731</v>
      </c>
      <c r="L121" s="123">
        <f t="shared" si="8"/>
        <v>1422967.5263423731</v>
      </c>
      <c r="M121" s="123">
        <f t="shared" si="8"/>
        <v>1422967.5263423731</v>
      </c>
      <c r="N121" s="123">
        <f t="shared" si="8"/>
        <v>1422967.5263423731</v>
      </c>
      <c r="O121" s="123">
        <f t="shared" si="8"/>
        <v>1422967.5263423731</v>
      </c>
      <c r="P121" s="123">
        <f t="shared" si="8"/>
        <v>1105178.6261105007</v>
      </c>
      <c r="Q121" s="123">
        <f t="shared" si="8"/>
        <v>1422967.5263423731</v>
      </c>
      <c r="R121" s="123">
        <f t="shared" si="8"/>
        <v>1109828.9693473626</v>
      </c>
      <c r="S121" s="123">
        <f t="shared" si="8"/>
        <v>1422967.5263423731</v>
      </c>
      <c r="T121" s="123">
        <f t="shared" si="8"/>
        <v>1422967.5263423731</v>
      </c>
      <c r="U121" s="123">
        <f t="shared" si="8"/>
        <v>1422967.5263423731</v>
      </c>
      <c r="V121" s="123">
        <f t="shared" si="8"/>
        <v>1119064.862883687</v>
      </c>
      <c r="W121" s="123">
        <f t="shared" si="8"/>
        <v>1422967.5263423731</v>
      </c>
      <c r="X121" s="123">
        <f t="shared" si="8"/>
        <v>1422967.5263423731</v>
      </c>
      <c r="Y121" s="123">
        <f t="shared" si="8"/>
        <v>1422967.5263423731</v>
      </c>
      <c r="Z121" s="123">
        <f t="shared" si="8"/>
        <v>1422967.5263423731</v>
      </c>
      <c r="AA121" s="123">
        <f t="shared" si="8"/>
        <v>1422967.5263423731</v>
      </c>
      <c r="AB121" s="123">
        <f t="shared" si="8"/>
        <v>1422967.5263423731</v>
      </c>
      <c r="AC121" s="123">
        <f t="shared" si="8"/>
        <v>1422967.5263423731</v>
      </c>
      <c r="AD121" s="123">
        <f t="shared" si="8"/>
        <v>1137194.436195554</v>
      </c>
      <c r="AE121" s="123">
        <f t="shared" si="8"/>
        <v>651097.94339274266</v>
      </c>
      <c r="AF121" s="123">
        <f t="shared" si="8"/>
        <v>652364.82314713439</v>
      </c>
      <c r="AG121" s="123">
        <f t="shared" si="8"/>
        <v>653625.82681144541</v>
      </c>
      <c r="AH121" s="123">
        <f t="shared" si="8"/>
        <v>654880.75076274725</v>
      </c>
      <c r="AI121" s="123">
        <f t="shared" si="8"/>
        <v>1148226.4366211314</v>
      </c>
      <c r="AJ121" s="123">
        <f t="shared" si="8"/>
        <v>1150400.2124209648</v>
      </c>
      <c r="AK121" s="123">
        <f t="shared" si="8"/>
        <v>1422967.5263423731</v>
      </c>
      <c r="AL121" s="123">
        <f t="shared" si="8"/>
        <v>1422967.5263423731</v>
      </c>
      <c r="AM121" s="123">
        <f t="shared" si="8"/>
        <v>1422967.5263423731</v>
      </c>
      <c r="AN121" s="123">
        <f t="shared" si="8"/>
        <v>1158974.8541537973</v>
      </c>
      <c r="AO121" s="123">
        <f t="shared" si="8"/>
        <v>663478.09633288428</v>
      </c>
      <c r="AP121" s="123">
        <f t="shared" si="8"/>
        <v>1422967.5263423731</v>
      </c>
      <c r="AQ121" s="123">
        <f t="shared" si="8"/>
        <v>1422967.5263423731</v>
      </c>
      <c r="AR121" s="123">
        <f t="shared" si="8"/>
        <v>667051.55364956625</v>
      </c>
      <c r="AS121" s="123">
        <f t="shared" si="8"/>
        <v>668226.46662763297</v>
      </c>
      <c r="AT121" s="123">
        <f t="shared" si="8"/>
        <v>167348.23570470556</v>
      </c>
      <c r="AU121" s="123">
        <f t="shared" si="8"/>
        <v>167637.6985166019</v>
      </c>
      <c r="AV121" s="123">
        <f t="shared" si="8"/>
        <v>1422967.5263423731</v>
      </c>
      <c r="AW121" s="123">
        <f t="shared" si="8"/>
        <v>1422967.5263423731</v>
      </c>
      <c r="AX121" s="123">
        <f t="shared" si="8"/>
        <v>1422967.5263423731</v>
      </c>
    </row>
    <row r="122" spans="1:50" x14ac:dyDescent="0.2">
      <c r="A122" s="123" t="s">
        <v>108</v>
      </c>
      <c r="B122" s="123" t="s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</row>
    <row r="123" spans="1:50" x14ac:dyDescent="0.2">
      <c r="B123" s="123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23" t="s">
        <v>12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 x14ac:dyDescent="0.2">
      <c r="B125" s="123" t="s">
        <v>22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 x14ac:dyDescent="0.2">
      <c r="B126" s="123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 x14ac:dyDescent="0.2">
      <c r="B127" t="s">
        <v>278</v>
      </c>
      <c r="C127" s="123">
        <f>SUM(C$122:C$126)</f>
        <v>0</v>
      </c>
      <c r="D127" s="123">
        <f t="shared" ref="D127:AX127" si="9">SUM(D$122:D$126)</f>
        <v>0</v>
      </c>
      <c r="E127" s="123">
        <f t="shared" si="9"/>
        <v>0</v>
      </c>
      <c r="F127" s="123">
        <f t="shared" si="9"/>
        <v>0</v>
      </c>
      <c r="G127" s="123">
        <f t="shared" si="9"/>
        <v>0</v>
      </c>
      <c r="H127" s="123">
        <f t="shared" si="9"/>
        <v>0</v>
      </c>
      <c r="I127" s="123">
        <f t="shared" si="9"/>
        <v>0</v>
      </c>
      <c r="J127" s="123">
        <f t="shared" si="9"/>
        <v>0</v>
      </c>
      <c r="K127" s="123">
        <f t="shared" si="9"/>
        <v>0</v>
      </c>
      <c r="L127" s="123">
        <f t="shared" si="9"/>
        <v>0</v>
      </c>
      <c r="M127" s="123">
        <f t="shared" si="9"/>
        <v>0</v>
      </c>
      <c r="N127" s="123">
        <f t="shared" si="9"/>
        <v>0</v>
      </c>
      <c r="O127" s="123">
        <f t="shared" si="9"/>
        <v>0</v>
      </c>
      <c r="P127" s="123">
        <f t="shared" si="9"/>
        <v>0</v>
      </c>
      <c r="Q127" s="123">
        <f t="shared" si="9"/>
        <v>0</v>
      </c>
      <c r="R127" s="123">
        <f t="shared" si="9"/>
        <v>0</v>
      </c>
      <c r="S127" s="123">
        <f t="shared" si="9"/>
        <v>0</v>
      </c>
      <c r="T127" s="123">
        <f t="shared" si="9"/>
        <v>0</v>
      </c>
      <c r="U127" s="123">
        <f t="shared" si="9"/>
        <v>0</v>
      </c>
      <c r="V127" s="123">
        <f t="shared" si="9"/>
        <v>0</v>
      </c>
      <c r="W127" s="123">
        <f t="shared" si="9"/>
        <v>0</v>
      </c>
      <c r="X127" s="123">
        <f t="shared" si="9"/>
        <v>0</v>
      </c>
      <c r="Y127" s="123">
        <f t="shared" si="9"/>
        <v>0</v>
      </c>
      <c r="Z127" s="123">
        <f t="shared" si="9"/>
        <v>0</v>
      </c>
      <c r="AA127" s="123">
        <f t="shared" si="9"/>
        <v>0</v>
      </c>
      <c r="AB127" s="123">
        <f t="shared" si="9"/>
        <v>0</v>
      </c>
      <c r="AC127" s="123">
        <f t="shared" si="9"/>
        <v>0</v>
      </c>
      <c r="AD127" s="123">
        <f t="shared" si="9"/>
        <v>0</v>
      </c>
      <c r="AE127" s="123">
        <f t="shared" si="9"/>
        <v>0</v>
      </c>
      <c r="AF127" s="123">
        <f t="shared" si="9"/>
        <v>0</v>
      </c>
      <c r="AG127" s="123">
        <f t="shared" si="9"/>
        <v>0</v>
      </c>
      <c r="AH127" s="123">
        <f t="shared" si="9"/>
        <v>0</v>
      </c>
      <c r="AI127" s="123">
        <f t="shared" si="9"/>
        <v>0</v>
      </c>
      <c r="AJ127" s="123">
        <f t="shared" si="9"/>
        <v>0</v>
      </c>
      <c r="AK127" s="123">
        <f t="shared" si="9"/>
        <v>0</v>
      </c>
      <c r="AL127" s="123">
        <f t="shared" si="9"/>
        <v>0</v>
      </c>
      <c r="AM127" s="123">
        <f t="shared" si="9"/>
        <v>0</v>
      </c>
      <c r="AN127" s="123">
        <f t="shared" si="9"/>
        <v>0</v>
      </c>
      <c r="AO127" s="123">
        <f t="shared" si="9"/>
        <v>0</v>
      </c>
      <c r="AP127" s="123">
        <f t="shared" si="9"/>
        <v>0</v>
      </c>
      <c r="AQ127" s="123">
        <f t="shared" si="9"/>
        <v>0</v>
      </c>
      <c r="AR127" s="123">
        <f t="shared" si="9"/>
        <v>0</v>
      </c>
      <c r="AS127" s="123">
        <f t="shared" si="9"/>
        <v>0</v>
      </c>
      <c r="AT127" s="123">
        <f t="shared" si="9"/>
        <v>0</v>
      </c>
      <c r="AU127" s="123">
        <f t="shared" si="9"/>
        <v>0</v>
      </c>
      <c r="AV127" s="123">
        <f t="shared" si="9"/>
        <v>0</v>
      </c>
      <c r="AW127" s="123">
        <f t="shared" si="9"/>
        <v>0</v>
      </c>
      <c r="AX127" s="123">
        <f t="shared" si="9"/>
        <v>0</v>
      </c>
    </row>
    <row r="128" spans="1:50" x14ac:dyDescent="0.2">
      <c r="A128" s="123" t="s">
        <v>109</v>
      </c>
      <c r="B128" s="123" t="s">
        <v>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</row>
    <row r="129" spans="2:50" x14ac:dyDescent="0.2">
      <c r="B129" s="123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23" t="s">
        <v>12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 x14ac:dyDescent="0.2">
      <c r="B131" s="123" t="s">
        <v>22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2:50" x14ac:dyDescent="0.2">
      <c r="B132" s="123" t="s">
        <v>59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</row>
    <row r="133" spans="2:50" x14ac:dyDescent="0.2">
      <c r="B133" t="s">
        <v>278</v>
      </c>
      <c r="C133" s="123">
        <f>SUM(C$128:C$132)</f>
        <v>0</v>
      </c>
      <c r="D133" s="123">
        <f t="shared" ref="D133:AX133" si="10">SUM(D$128:D$132)</f>
        <v>0</v>
      </c>
      <c r="E133" s="123">
        <f t="shared" si="10"/>
        <v>0</v>
      </c>
      <c r="F133" s="123">
        <f t="shared" si="10"/>
        <v>0</v>
      </c>
      <c r="G133" s="123">
        <f t="shared" si="10"/>
        <v>0</v>
      </c>
      <c r="H133" s="123">
        <f t="shared" si="10"/>
        <v>0</v>
      </c>
      <c r="I133" s="123">
        <f t="shared" si="10"/>
        <v>0</v>
      </c>
      <c r="J133" s="123">
        <f t="shared" si="10"/>
        <v>0</v>
      </c>
      <c r="K133" s="123">
        <f t="shared" si="10"/>
        <v>0</v>
      </c>
      <c r="L133" s="123">
        <f t="shared" si="10"/>
        <v>0</v>
      </c>
      <c r="M133" s="123">
        <f t="shared" si="10"/>
        <v>0</v>
      </c>
      <c r="N133" s="123">
        <f t="shared" si="10"/>
        <v>0</v>
      </c>
      <c r="O133" s="123">
        <f t="shared" si="10"/>
        <v>0</v>
      </c>
      <c r="P133" s="123">
        <f t="shared" si="10"/>
        <v>0</v>
      </c>
      <c r="Q133" s="123">
        <f t="shared" si="10"/>
        <v>0</v>
      </c>
      <c r="R133" s="123">
        <f t="shared" si="10"/>
        <v>0</v>
      </c>
      <c r="S133" s="123">
        <f t="shared" si="10"/>
        <v>0</v>
      </c>
      <c r="T133" s="123">
        <f t="shared" si="10"/>
        <v>0</v>
      </c>
      <c r="U133" s="123">
        <f t="shared" si="10"/>
        <v>0</v>
      </c>
      <c r="V133" s="123">
        <f t="shared" si="10"/>
        <v>0</v>
      </c>
      <c r="W133" s="123">
        <f t="shared" si="10"/>
        <v>0</v>
      </c>
      <c r="X133" s="123">
        <f t="shared" si="10"/>
        <v>0</v>
      </c>
      <c r="Y133" s="123">
        <f t="shared" si="10"/>
        <v>0</v>
      </c>
      <c r="Z133" s="123">
        <f t="shared" si="10"/>
        <v>0</v>
      </c>
      <c r="AA133" s="123">
        <f t="shared" si="10"/>
        <v>0</v>
      </c>
      <c r="AB133" s="123">
        <f t="shared" si="10"/>
        <v>0</v>
      </c>
      <c r="AC133" s="123">
        <f t="shared" si="10"/>
        <v>0</v>
      </c>
      <c r="AD133" s="123">
        <f t="shared" si="10"/>
        <v>0</v>
      </c>
      <c r="AE133" s="123">
        <f t="shared" si="10"/>
        <v>0</v>
      </c>
      <c r="AF133" s="123">
        <f t="shared" si="10"/>
        <v>0</v>
      </c>
      <c r="AG133" s="123">
        <f t="shared" si="10"/>
        <v>0</v>
      </c>
      <c r="AH133" s="123">
        <f t="shared" si="10"/>
        <v>0</v>
      </c>
      <c r="AI133" s="123">
        <f t="shared" si="10"/>
        <v>0</v>
      </c>
      <c r="AJ133" s="123">
        <f t="shared" si="10"/>
        <v>0</v>
      </c>
      <c r="AK133" s="123">
        <f t="shared" si="10"/>
        <v>0</v>
      </c>
      <c r="AL133" s="123">
        <f t="shared" si="10"/>
        <v>0</v>
      </c>
      <c r="AM133" s="123">
        <f t="shared" si="10"/>
        <v>0</v>
      </c>
      <c r="AN133" s="123">
        <f t="shared" si="10"/>
        <v>0</v>
      </c>
      <c r="AO133" s="123">
        <f t="shared" si="10"/>
        <v>0</v>
      </c>
      <c r="AP133" s="123">
        <f t="shared" si="10"/>
        <v>0</v>
      </c>
      <c r="AQ133" s="123">
        <f t="shared" si="10"/>
        <v>0</v>
      </c>
      <c r="AR133" s="123">
        <f t="shared" si="10"/>
        <v>0</v>
      </c>
      <c r="AS133" s="123">
        <f t="shared" si="10"/>
        <v>0</v>
      </c>
      <c r="AT133" s="123">
        <f t="shared" si="10"/>
        <v>0</v>
      </c>
      <c r="AU133" s="123">
        <f t="shared" si="10"/>
        <v>0</v>
      </c>
      <c r="AV133" s="123">
        <f t="shared" si="10"/>
        <v>0</v>
      </c>
      <c r="AW133" s="123">
        <f t="shared" si="10"/>
        <v>0</v>
      </c>
      <c r="AX133" s="123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5" t="s">
        <v>5</v>
      </c>
      <c r="E2" s="128"/>
    </row>
    <row r="3" spans="1:52" x14ac:dyDescent="0.2">
      <c r="A3" t="s">
        <v>286</v>
      </c>
      <c r="B3" s="125">
        <v>909</v>
      </c>
      <c r="E3" s="128"/>
    </row>
    <row r="4" spans="1:52" x14ac:dyDescent="0.2">
      <c r="A4" s="1"/>
      <c r="C4" s="9" t="s">
        <v>287</v>
      </c>
    </row>
    <row r="5" spans="1:52" x14ac:dyDescent="0.2">
      <c r="B5" s="124"/>
      <c r="C5" s="129">
        <v>0</v>
      </c>
      <c r="D5" s="129">
        <v>1</v>
      </c>
      <c r="E5" s="129">
        <v>2</v>
      </c>
      <c r="F5" s="129">
        <v>3</v>
      </c>
      <c r="G5" s="129">
        <v>4</v>
      </c>
      <c r="H5" s="129">
        <v>5</v>
      </c>
      <c r="I5" s="129">
        <v>6</v>
      </c>
      <c r="J5" s="129">
        <v>7</v>
      </c>
      <c r="K5" s="129">
        <v>8</v>
      </c>
      <c r="L5" s="129">
        <v>9</v>
      </c>
      <c r="M5" s="129">
        <v>10</v>
      </c>
      <c r="N5" s="129">
        <v>11</v>
      </c>
      <c r="O5" s="129">
        <v>12</v>
      </c>
      <c r="P5" s="129">
        <v>13</v>
      </c>
      <c r="Q5" s="129">
        <v>14</v>
      </c>
      <c r="R5" s="129">
        <v>15</v>
      </c>
      <c r="S5" s="129">
        <v>16</v>
      </c>
      <c r="T5" s="129">
        <v>17</v>
      </c>
      <c r="U5" s="129">
        <v>18</v>
      </c>
      <c r="V5" s="129">
        <v>19</v>
      </c>
      <c r="W5" s="129">
        <v>20</v>
      </c>
      <c r="X5" s="129">
        <v>21</v>
      </c>
      <c r="Y5" s="129">
        <v>22</v>
      </c>
      <c r="Z5" s="129">
        <v>23</v>
      </c>
      <c r="AA5" s="129">
        <v>24</v>
      </c>
      <c r="AB5" s="129">
        <v>25</v>
      </c>
      <c r="AC5" s="129">
        <v>26</v>
      </c>
      <c r="AD5" s="129">
        <v>27</v>
      </c>
      <c r="AE5" s="129">
        <v>28</v>
      </c>
      <c r="AF5" s="129">
        <v>29</v>
      </c>
      <c r="AG5" s="129">
        <v>30</v>
      </c>
      <c r="AH5" s="129">
        <v>31</v>
      </c>
      <c r="AI5" s="129">
        <v>32</v>
      </c>
      <c r="AJ5" s="129">
        <v>33</v>
      </c>
      <c r="AK5" s="129">
        <v>34</v>
      </c>
      <c r="AL5" s="129">
        <v>35</v>
      </c>
      <c r="AM5" s="129">
        <v>36</v>
      </c>
      <c r="AN5" s="129">
        <v>37</v>
      </c>
      <c r="AO5" s="129">
        <v>38</v>
      </c>
      <c r="AP5" s="129">
        <v>39</v>
      </c>
      <c r="AQ5" s="129">
        <v>40</v>
      </c>
      <c r="AR5" s="129">
        <v>41</v>
      </c>
      <c r="AS5" s="129">
        <v>42</v>
      </c>
      <c r="AT5" s="129">
        <v>43</v>
      </c>
      <c r="AU5" s="129">
        <v>44</v>
      </c>
      <c r="AV5" s="129">
        <v>45</v>
      </c>
      <c r="AW5" s="129">
        <v>46</v>
      </c>
      <c r="AX5" s="129">
        <v>47</v>
      </c>
      <c r="AY5" s="129">
        <v>48</v>
      </c>
    </row>
    <row r="6" spans="1:52" x14ac:dyDescent="0.2">
      <c r="A6" s="1" t="s">
        <v>304</v>
      </c>
      <c r="B6" s="131"/>
      <c r="C6" s="130" t="s">
        <v>288</v>
      </c>
      <c r="D6" s="129" t="s">
        <v>289</v>
      </c>
      <c r="E6" s="129" t="s">
        <v>289</v>
      </c>
      <c r="F6" s="129" t="s">
        <v>289</v>
      </c>
      <c r="G6" s="129" t="s">
        <v>289</v>
      </c>
      <c r="H6" s="129" t="s">
        <v>289</v>
      </c>
      <c r="I6" s="129" t="s">
        <v>289</v>
      </c>
      <c r="J6" s="129" t="s">
        <v>289</v>
      </c>
      <c r="K6" s="129" t="s">
        <v>289</v>
      </c>
      <c r="L6" s="129" t="s">
        <v>289</v>
      </c>
      <c r="M6" s="129" t="s">
        <v>289</v>
      </c>
      <c r="N6" s="129" t="s">
        <v>289</v>
      </c>
      <c r="O6" s="129" t="s">
        <v>289</v>
      </c>
      <c r="P6" s="129" t="s">
        <v>289</v>
      </c>
      <c r="Q6" s="129" t="s">
        <v>289</v>
      </c>
      <c r="R6" s="129" t="s">
        <v>289</v>
      </c>
      <c r="S6" s="129" t="s">
        <v>289</v>
      </c>
      <c r="T6" s="129" t="s">
        <v>289</v>
      </c>
      <c r="U6" s="129" t="s">
        <v>289</v>
      </c>
      <c r="V6" s="129" t="s">
        <v>289</v>
      </c>
      <c r="W6" s="129" t="s">
        <v>289</v>
      </c>
      <c r="X6" s="129" t="s">
        <v>289</v>
      </c>
      <c r="Y6" s="129" t="s">
        <v>289</v>
      </c>
      <c r="Z6" s="129" t="s">
        <v>289</v>
      </c>
      <c r="AA6" s="129" t="s">
        <v>289</v>
      </c>
      <c r="AB6" s="129" t="s">
        <v>289</v>
      </c>
      <c r="AC6" s="129" t="s">
        <v>289</v>
      </c>
      <c r="AD6" s="129" t="s">
        <v>289</v>
      </c>
      <c r="AE6" s="129" t="s">
        <v>289</v>
      </c>
      <c r="AF6" s="129" t="s">
        <v>289</v>
      </c>
      <c r="AG6" s="129" t="s">
        <v>289</v>
      </c>
      <c r="AH6" s="129" t="s">
        <v>289</v>
      </c>
      <c r="AI6" s="129" t="s">
        <v>289</v>
      </c>
      <c r="AJ6" s="129" t="s">
        <v>289</v>
      </c>
      <c r="AK6" s="129" t="s">
        <v>289</v>
      </c>
      <c r="AL6" s="129" t="s">
        <v>289</v>
      </c>
      <c r="AM6" s="129" t="s">
        <v>289</v>
      </c>
      <c r="AN6" s="129" t="s">
        <v>289</v>
      </c>
      <c r="AO6" s="129" t="s">
        <v>289</v>
      </c>
      <c r="AP6" s="129" t="s">
        <v>289</v>
      </c>
      <c r="AQ6" s="129" t="s">
        <v>289</v>
      </c>
      <c r="AR6" s="129" t="s">
        <v>289</v>
      </c>
      <c r="AS6" s="129" t="s">
        <v>289</v>
      </c>
      <c r="AT6" s="129" t="s">
        <v>289</v>
      </c>
      <c r="AU6" s="129" t="s">
        <v>289</v>
      </c>
      <c r="AV6" s="129" t="s">
        <v>289</v>
      </c>
      <c r="AW6" s="129" t="s">
        <v>289</v>
      </c>
      <c r="AX6" s="129" t="s">
        <v>289</v>
      </c>
      <c r="AY6" s="9" t="s">
        <v>290</v>
      </c>
      <c r="AZ6" s="159" t="s">
        <v>150</v>
      </c>
    </row>
    <row r="7" spans="1:52" x14ac:dyDescent="0.2">
      <c r="A7" s="132" t="s">
        <v>125</v>
      </c>
      <c r="B7" s="160">
        <v>1</v>
      </c>
      <c r="C7" s="161" t="s">
        <v>293</v>
      </c>
      <c r="D7" s="161">
        <v>2961.8630397012003</v>
      </c>
      <c r="E7" s="161">
        <v>2961.8630397012003</v>
      </c>
      <c r="F7" s="161">
        <v>2961.8630397012003</v>
      </c>
      <c r="G7" s="161">
        <v>2961.8630397012003</v>
      </c>
      <c r="H7" s="161">
        <v>2961.8630397012003</v>
      </c>
      <c r="I7" s="161">
        <v>2961.8630397012003</v>
      </c>
      <c r="J7" s="161">
        <v>2961.8630397012003</v>
      </c>
      <c r="K7" s="161">
        <v>2961.8630397012003</v>
      </c>
      <c r="L7" s="161">
        <v>2961.8630397012003</v>
      </c>
      <c r="M7" s="161">
        <v>2961.8630397012003</v>
      </c>
      <c r="N7" s="161">
        <v>2961.8630397012003</v>
      </c>
      <c r="O7" s="161">
        <v>2961.8630397012003</v>
      </c>
      <c r="P7" s="161">
        <v>2961.8630397012003</v>
      </c>
      <c r="Q7" s="161">
        <v>2339.5041422199565</v>
      </c>
      <c r="R7" s="161">
        <v>2961.8630397012003</v>
      </c>
      <c r="S7" s="161">
        <v>2348.6113907352169</v>
      </c>
      <c r="T7" s="161">
        <v>2961.8630397012003</v>
      </c>
      <c r="U7" s="161">
        <v>2961.8630397012003</v>
      </c>
      <c r="V7" s="161">
        <v>2961.8630397012003</v>
      </c>
      <c r="W7" s="161">
        <v>2366.6989970497448</v>
      </c>
      <c r="X7" s="161">
        <v>2961.8630397012003</v>
      </c>
      <c r="Y7" s="161">
        <v>2961.8630397012003</v>
      </c>
      <c r="Z7" s="161">
        <v>2961.8630397012003</v>
      </c>
      <c r="AA7" s="161">
        <v>2961.8630397012003</v>
      </c>
      <c r="AB7" s="161">
        <v>2961.8630397012003</v>
      </c>
      <c r="AC7" s="161">
        <v>2961.8630397012003</v>
      </c>
      <c r="AD7" s="161">
        <v>2961.8630397012003</v>
      </c>
      <c r="AE7" s="161">
        <v>2402.2040170487012</v>
      </c>
      <c r="AF7" s="161">
        <v>1450.2309396079208</v>
      </c>
      <c r="AG7" s="161">
        <v>1452.712001364984</v>
      </c>
      <c r="AH7" s="161">
        <v>1455.1815553666115</v>
      </c>
      <c r="AI7" s="161">
        <v>1457.6392028369455</v>
      </c>
      <c r="AJ7" s="161">
        <v>2423.8091253985058</v>
      </c>
      <c r="AK7" s="161">
        <v>2428.0662555536769</v>
      </c>
      <c r="AL7" s="161">
        <v>2961.8630397012003</v>
      </c>
      <c r="AM7" s="161">
        <v>2961.8630397012003</v>
      </c>
      <c r="AN7" s="161">
        <v>2961.8630397012003</v>
      </c>
      <c r="AO7" s="161">
        <v>2444.8588640156104</v>
      </c>
      <c r="AP7" s="161">
        <v>1474.4762745735345</v>
      </c>
      <c r="AQ7" s="161">
        <v>2961.8630397012003</v>
      </c>
      <c r="AR7" s="161">
        <v>2961.8630397012003</v>
      </c>
      <c r="AS7" s="161">
        <v>1481.4745459234266</v>
      </c>
      <c r="AT7" s="161">
        <v>1483.7754996229814</v>
      </c>
      <c r="AU7" s="161">
        <v>502.85381437186038</v>
      </c>
      <c r="AV7" s="161">
        <v>503.42069935853607</v>
      </c>
      <c r="AW7" s="161">
        <v>2961.8630397012003</v>
      </c>
      <c r="AX7" s="161">
        <v>2961.8630397012003</v>
      </c>
      <c r="AY7" s="161">
        <v>2961.8630397012003</v>
      </c>
      <c r="AZ7" s="124"/>
    </row>
    <row r="8" spans="1:52" x14ac:dyDescent="0.2">
      <c r="A8" s="162"/>
      <c r="B8" s="163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4"/>
    </row>
    <row r="9" spans="1:52" x14ac:dyDescent="0.2">
      <c r="A9" s="1" t="s">
        <v>294</v>
      </c>
      <c r="B9" s="165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</row>
    <row r="10" spans="1:52" x14ac:dyDescent="0.2">
      <c r="A10" s="166" t="s">
        <v>125</v>
      </c>
      <c r="B10" s="167">
        <v>1</v>
      </c>
      <c r="C10" s="161" t="s">
        <v>293</v>
      </c>
      <c r="D10" s="161">
        <f t="shared" ref="D10:AY10" si="0">MAX(SUM(D$14:D$16)+D$7-$B$3,0)</f>
        <v>2052.8630397012003</v>
      </c>
      <c r="E10" s="161">
        <f t="shared" si="0"/>
        <v>2052.8630397012003</v>
      </c>
      <c r="F10" s="161">
        <f t="shared" si="0"/>
        <v>2052.8630397012003</v>
      </c>
      <c r="G10" s="161">
        <f t="shared" si="0"/>
        <v>2052.8630397012003</v>
      </c>
      <c r="H10" s="161">
        <f t="shared" si="0"/>
        <v>2052.8630397012003</v>
      </c>
      <c r="I10" s="161">
        <f t="shared" si="0"/>
        <v>2052.8630397012003</v>
      </c>
      <c r="J10" s="161">
        <f t="shared" si="0"/>
        <v>2052.8630397012003</v>
      </c>
      <c r="K10" s="161">
        <f t="shared" si="0"/>
        <v>2052.8630397012003</v>
      </c>
      <c r="L10" s="161">
        <f t="shared" si="0"/>
        <v>2052.8630397012003</v>
      </c>
      <c r="M10" s="161">
        <f t="shared" si="0"/>
        <v>2052.8630397012003</v>
      </c>
      <c r="N10" s="161">
        <f t="shared" si="0"/>
        <v>2052.8630397012003</v>
      </c>
      <c r="O10" s="161">
        <f t="shared" si="0"/>
        <v>2052.8630397012003</v>
      </c>
      <c r="P10" s="161">
        <f t="shared" si="0"/>
        <v>2052.8630397012003</v>
      </c>
      <c r="Q10" s="161">
        <f t="shared" si="0"/>
        <v>1430.5041422199565</v>
      </c>
      <c r="R10" s="161">
        <f t="shared" si="0"/>
        <v>2052.8630397012003</v>
      </c>
      <c r="S10" s="161">
        <f t="shared" si="0"/>
        <v>1439.6113907352169</v>
      </c>
      <c r="T10" s="161">
        <f t="shared" si="0"/>
        <v>2052.8630397012003</v>
      </c>
      <c r="U10" s="161">
        <f t="shared" si="0"/>
        <v>2052.8630397012003</v>
      </c>
      <c r="V10" s="161">
        <f t="shared" si="0"/>
        <v>2052.8630397012003</v>
      </c>
      <c r="W10" s="161">
        <f t="shared" si="0"/>
        <v>1457.6989970497448</v>
      </c>
      <c r="X10" s="161">
        <f t="shared" si="0"/>
        <v>2052.8630397012003</v>
      </c>
      <c r="Y10" s="161">
        <f t="shared" si="0"/>
        <v>2052.8630397012003</v>
      </c>
      <c r="Z10" s="161">
        <f t="shared" si="0"/>
        <v>2052.8630397012003</v>
      </c>
      <c r="AA10" s="161">
        <f t="shared" si="0"/>
        <v>2052.8630397012003</v>
      </c>
      <c r="AB10" s="161">
        <f t="shared" si="0"/>
        <v>2052.8630397012003</v>
      </c>
      <c r="AC10" s="161">
        <f t="shared" si="0"/>
        <v>2052.8630397012003</v>
      </c>
      <c r="AD10" s="161">
        <f t="shared" si="0"/>
        <v>2052.8630397012003</v>
      </c>
      <c r="AE10" s="161">
        <f t="shared" si="0"/>
        <v>2402.2040170487012</v>
      </c>
      <c r="AF10" s="161">
        <f t="shared" si="0"/>
        <v>541.23093960792085</v>
      </c>
      <c r="AG10" s="161">
        <f t="shared" si="0"/>
        <v>543.71200136498396</v>
      </c>
      <c r="AH10" s="161">
        <f t="shared" si="0"/>
        <v>546.18155536661152</v>
      </c>
      <c r="AI10" s="161">
        <f t="shared" si="0"/>
        <v>1457.6392028369455</v>
      </c>
      <c r="AJ10" s="161">
        <f t="shared" si="0"/>
        <v>1514.8091253985058</v>
      </c>
      <c r="AK10" s="161">
        <f t="shared" si="0"/>
        <v>2428.0662555536769</v>
      </c>
      <c r="AL10" s="161">
        <f t="shared" si="0"/>
        <v>2052.8630397012003</v>
      </c>
      <c r="AM10" s="161">
        <f t="shared" si="0"/>
        <v>2052.8630397012003</v>
      </c>
      <c r="AN10" s="161">
        <f t="shared" si="0"/>
        <v>2052.8630397012003</v>
      </c>
      <c r="AO10" s="161">
        <f t="shared" si="0"/>
        <v>1535.8588640156104</v>
      </c>
      <c r="AP10" s="161">
        <f t="shared" si="0"/>
        <v>565.47627457353451</v>
      </c>
      <c r="AQ10" s="161">
        <f t="shared" si="0"/>
        <v>2052.8630397012003</v>
      </c>
      <c r="AR10" s="161">
        <f t="shared" si="0"/>
        <v>2052.8630397012003</v>
      </c>
      <c r="AS10" s="161">
        <f t="shared" si="0"/>
        <v>572.4745459234266</v>
      </c>
      <c r="AT10" s="161">
        <f t="shared" si="0"/>
        <v>574.77549962298144</v>
      </c>
      <c r="AU10" s="161">
        <f t="shared" si="0"/>
        <v>0</v>
      </c>
      <c r="AV10" s="161">
        <f t="shared" si="0"/>
        <v>0</v>
      </c>
      <c r="AW10" s="161">
        <f t="shared" si="0"/>
        <v>2052.8630397012003</v>
      </c>
      <c r="AX10" s="161">
        <f t="shared" si="0"/>
        <v>2052.8630397012003</v>
      </c>
      <c r="AY10" s="161">
        <f t="shared" si="0"/>
        <v>2052.8630397012003</v>
      </c>
      <c r="AZ10" s="168">
        <f>SUM($D10:$AY10)</f>
        <v>82701.860081756255</v>
      </c>
    </row>
    <row r="11" spans="1:52" x14ac:dyDescent="0.2">
      <c r="C11" s="128"/>
    </row>
    <row r="12" spans="1:52" x14ac:dyDescent="0.2">
      <c r="A12" s="169" t="s">
        <v>295</v>
      </c>
      <c r="B12" s="163"/>
      <c r="C12" s="128"/>
    </row>
    <row r="13" spans="1:52" x14ac:dyDescent="0.2">
      <c r="A13" s="139" t="s">
        <v>125</v>
      </c>
      <c r="B13" s="140">
        <v>1</v>
      </c>
      <c r="C13" s="141">
        <v>171.61339991679952</v>
      </c>
      <c r="D13" s="155">
        <f t="shared" ref="D13:AY13" si="1">D$7-D$10</f>
        <v>909</v>
      </c>
      <c r="E13" s="155">
        <f t="shared" si="1"/>
        <v>909</v>
      </c>
      <c r="F13" s="155">
        <f t="shared" si="1"/>
        <v>909</v>
      </c>
      <c r="G13" s="155">
        <f t="shared" si="1"/>
        <v>909</v>
      </c>
      <c r="H13" s="155">
        <f t="shared" si="1"/>
        <v>909</v>
      </c>
      <c r="I13" s="155">
        <f t="shared" si="1"/>
        <v>909</v>
      </c>
      <c r="J13" s="155">
        <f t="shared" si="1"/>
        <v>909</v>
      </c>
      <c r="K13" s="155">
        <f t="shared" si="1"/>
        <v>909</v>
      </c>
      <c r="L13" s="155">
        <f t="shared" si="1"/>
        <v>909</v>
      </c>
      <c r="M13" s="155">
        <f t="shared" si="1"/>
        <v>909</v>
      </c>
      <c r="N13" s="155">
        <f t="shared" si="1"/>
        <v>909</v>
      </c>
      <c r="O13" s="155">
        <f t="shared" si="1"/>
        <v>909</v>
      </c>
      <c r="P13" s="155">
        <f t="shared" si="1"/>
        <v>909</v>
      </c>
      <c r="Q13" s="155">
        <f t="shared" si="1"/>
        <v>909</v>
      </c>
      <c r="R13" s="155">
        <f t="shared" si="1"/>
        <v>909</v>
      </c>
      <c r="S13" s="155">
        <f t="shared" si="1"/>
        <v>909</v>
      </c>
      <c r="T13" s="155">
        <f t="shared" si="1"/>
        <v>909</v>
      </c>
      <c r="U13" s="155">
        <f t="shared" si="1"/>
        <v>909</v>
      </c>
      <c r="V13" s="155">
        <f t="shared" si="1"/>
        <v>909</v>
      </c>
      <c r="W13" s="155">
        <f t="shared" si="1"/>
        <v>909</v>
      </c>
      <c r="X13" s="155">
        <f t="shared" si="1"/>
        <v>909</v>
      </c>
      <c r="Y13" s="155">
        <f t="shared" si="1"/>
        <v>909</v>
      </c>
      <c r="Z13" s="155">
        <f t="shared" si="1"/>
        <v>909</v>
      </c>
      <c r="AA13" s="155">
        <f t="shared" si="1"/>
        <v>909</v>
      </c>
      <c r="AB13" s="155">
        <f t="shared" si="1"/>
        <v>909</v>
      </c>
      <c r="AC13" s="155">
        <f t="shared" si="1"/>
        <v>909</v>
      </c>
      <c r="AD13" s="155">
        <f t="shared" si="1"/>
        <v>909</v>
      </c>
      <c r="AE13" s="155">
        <f t="shared" si="1"/>
        <v>0</v>
      </c>
      <c r="AF13" s="155">
        <f t="shared" si="1"/>
        <v>909</v>
      </c>
      <c r="AG13" s="155">
        <f t="shared" si="1"/>
        <v>909</v>
      </c>
      <c r="AH13" s="155">
        <f t="shared" si="1"/>
        <v>909</v>
      </c>
      <c r="AI13" s="155">
        <f t="shared" si="1"/>
        <v>0</v>
      </c>
      <c r="AJ13" s="155">
        <f t="shared" si="1"/>
        <v>909</v>
      </c>
      <c r="AK13" s="155">
        <f t="shared" si="1"/>
        <v>0</v>
      </c>
      <c r="AL13" s="155">
        <f t="shared" si="1"/>
        <v>909</v>
      </c>
      <c r="AM13" s="155">
        <f t="shared" si="1"/>
        <v>909</v>
      </c>
      <c r="AN13" s="155">
        <f t="shared" si="1"/>
        <v>909</v>
      </c>
      <c r="AO13" s="155">
        <f t="shared" si="1"/>
        <v>909</v>
      </c>
      <c r="AP13" s="155">
        <f t="shared" si="1"/>
        <v>909</v>
      </c>
      <c r="AQ13" s="155">
        <f t="shared" si="1"/>
        <v>909</v>
      </c>
      <c r="AR13" s="155">
        <f t="shared" si="1"/>
        <v>909</v>
      </c>
      <c r="AS13" s="155">
        <f t="shared" si="1"/>
        <v>909</v>
      </c>
      <c r="AT13" s="155">
        <f t="shared" si="1"/>
        <v>909</v>
      </c>
      <c r="AU13" s="155">
        <f t="shared" si="1"/>
        <v>502.85381437186038</v>
      </c>
      <c r="AV13" s="155">
        <f t="shared" si="1"/>
        <v>503.42069935853607</v>
      </c>
      <c r="AW13" s="155">
        <f t="shared" si="1"/>
        <v>909</v>
      </c>
      <c r="AX13" s="155">
        <f t="shared" si="1"/>
        <v>909</v>
      </c>
      <c r="AY13" s="155">
        <f t="shared" si="1"/>
        <v>909</v>
      </c>
      <c r="AZ13" s="127"/>
    </row>
    <row r="14" spans="1:52" x14ac:dyDescent="0.2">
      <c r="A14" s="128"/>
      <c r="B14" s="137">
        <v>2</v>
      </c>
      <c r="C14" s="128">
        <v>0</v>
      </c>
      <c r="D14" s="124">
        <f>IF(C$20="Yes",C13,0)</f>
        <v>0</v>
      </c>
      <c r="E14" s="124">
        <f t="shared" ref="E14:AY17" si="2">IF(D$20="Yes",D13,0)</f>
        <v>0</v>
      </c>
      <c r="F14" s="124">
        <f t="shared" si="2"/>
        <v>0</v>
      </c>
      <c r="G14" s="124">
        <f t="shared" si="2"/>
        <v>0</v>
      </c>
      <c r="H14" s="124">
        <f t="shared" si="2"/>
        <v>0</v>
      </c>
      <c r="I14" s="124">
        <f t="shared" si="2"/>
        <v>0</v>
      </c>
      <c r="J14" s="124">
        <f t="shared" si="2"/>
        <v>0</v>
      </c>
      <c r="K14" s="124">
        <f t="shared" si="2"/>
        <v>0</v>
      </c>
      <c r="L14" s="124">
        <f t="shared" si="2"/>
        <v>0</v>
      </c>
      <c r="M14" s="124">
        <f t="shared" si="2"/>
        <v>0</v>
      </c>
      <c r="N14" s="124">
        <f t="shared" si="2"/>
        <v>0</v>
      </c>
      <c r="O14" s="124">
        <f t="shared" si="2"/>
        <v>0</v>
      </c>
      <c r="P14" s="124">
        <f t="shared" si="2"/>
        <v>0</v>
      </c>
      <c r="Q14" s="124">
        <f t="shared" si="2"/>
        <v>0</v>
      </c>
      <c r="R14" s="124">
        <f t="shared" si="2"/>
        <v>0</v>
      </c>
      <c r="S14" s="124">
        <f t="shared" si="2"/>
        <v>0</v>
      </c>
      <c r="T14" s="124">
        <f t="shared" si="2"/>
        <v>0</v>
      </c>
      <c r="U14" s="124">
        <f t="shared" si="2"/>
        <v>0</v>
      </c>
      <c r="V14" s="124">
        <f t="shared" si="2"/>
        <v>0</v>
      </c>
      <c r="W14" s="124">
        <f t="shared" si="2"/>
        <v>0</v>
      </c>
      <c r="X14" s="124">
        <f t="shared" si="2"/>
        <v>0</v>
      </c>
      <c r="Y14" s="124">
        <f t="shared" si="2"/>
        <v>0</v>
      </c>
      <c r="Z14" s="124">
        <f t="shared" si="2"/>
        <v>0</v>
      </c>
      <c r="AA14" s="124">
        <f t="shared" si="2"/>
        <v>0</v>
      </c>
      <c r="AB14" s="124">
        <f t="shared" si="2"/>
        <v>0</v>
      </c>
      <c r="AC14" s="124">
        <f t="shared" si="2"/>
        <v>0</v>
      </c>
      <c r="AD14" s="124">
        <f t="shared" si="2"/>
        <v>0</v>
      </c>
      <c r="AE14" s="124">
        <f t="shared" si="2"/>
        <v>909</v>
      </c>
      <c r="AF14" s="124">
        <f t="shared" si="2"/>
        <v>0</v>
      </c>
      <c r="AG14" s="124">
        <f t="shared" si="2"/>
        <v>0</v>
      </c>
      <c r="AH14" s="124">
        <f t="shared" si="2"/>
        <v>0</v>
      </c>
      <c r="AI14" s="124">
        <f t="shared" si="2"/>
        <v>909</v>
      </c>
      <c r="AJ14" s="124">
        <f t="shared" si="2"/>
        <v>0</v>
      </c>
      <c r="AK14" s="124">
        <f t="shared" si="2"/>
        <v>909</v>
      </c>
      <c r="AL14" s="124">
        <f t="shared" si="2"/>
        <v>0</v>
      </c>
      <c r="AM14" s="124">
        <f t="shared" si="2"/>
        <v>0</v>
      </c>
      <c r="AN14" s="124">
        <f t="shared" si="2"/>
        <v>0</v>
      </c>
      <c r="AO14" s="124">
        <f t="shared" si="2"/>
        <v>0</v>
      </c>
      <c r="AP14" s="124">
        <f t="shared" si="2"/>
        <v>0</v>
      </c>
      <c r="AQ14" s="124">
        <f t="shared" si="2"/>
        <v>0</v>
      </c>
      <c r="AR14" s="124">
        <f t="shared" si="2"/>
        <v>0</v>
      </c>
      <c r="AS14" s="124">
        <f t="shared" si="2"/>
        <v>0</v>
      </c>
      <c r="AT14" s="124">
        <f t="shared" si="2"/>
        <v>0</v>
      </c>
      <c r="AU14" s="124">
        <f t="shared" si="2"/>
        <v>0</v>
      </c>
      <c r="AV14" s="124">
        <f t="shared" si="2"/>
        <v>0</v>
      </c>
      <c r="AW14" s="124">
        <f t="shared" si="2"/>
        <v>0</v>
      </c>
      <c r="AX14" s="124">
        <f t="shared" si="2"/>
        <v>0</v>
      </c>
      <c r="AY14" s="124">
        <f t="shared" si="2"/>
        <v>0</v>
      </c>
      <c r="AZ14" s="127"/>
    </row>
    <row r="15" spans="1:52" x14ac:dyDescent="0.2">
      <c r="A15" s="128"/>
      <c r="B15" s="144">
        <v>3</v>
      </c>
      <c r="C15" s="128">
        <v>0</v>
      </c>
      <c r="D15" s="124">
        <f>IF(C$20="Yes",C14,0)</f>
        <v>0</v>
      </c>
      <c r="E15" s="124">
        <f t="shared" si="2"/>
        <v>0</v>
      </c>
      <c r="F15" s="124">
        <f t="shared" si="2"/>
        <v>0</v>
      </c>
      <c r="G15" s="124">
        <f t="shared" si="2"/>
        <v>0</v>
      </c>
      <c r="H15" s="124">
        <f t="shared" si="2"/>
        <v>0</v>
      </c>
      <c r="I15" s="124">
        <f t="shared" si="2"/>
        <v>0</v>
      </c>
      <c r="J15" s="124">
        <f t="shared" si="2"/>
        <v>0</v>
      </c>
      <c r="K15" s="124">
        <f t="shared" si="2"/>
        <v>0</v>
      </c>
      <c r="L15" s="124">
        <f t="shared" si="2"/>
        <v>0</v>
      </c>
      <c r="M15" s="124">
        <f t="shared" si="2"/>
        <v>0</v>
      </c>
      <c r="N15" s="124">
        <f t="shared" si="2"/>
        <v>0</v>
      </c>
      <c r="O15" s="124">
        <f t="shared" si="2"/>
        <v>0</v>
      </c>
      <c r="P15" s="124">
        <f t="shared" si="2"/>
        <v>0</v>
      </c>
      <c r="Q15" s="124">
        <f t="shared" si="2"/>
        <v>0</v>
      </c>
      <c r="R15" s="124">
        <f t="shared" si="2"/>
        <v>0</v>
      </c>
      <c r="S15" s="124">
        <f t="shared" si="2"/>
        <v>0</v>
      </c>
      <c r="T15" s="124">
        <f t="shared" si="2"/>
        <v>0</v>
      </c>
      <c r="U15" s="124">
        <f t="shared" si="2"/>
        <v>0</v>
      </c>
      <c r="V15" s="124">
        <f t="shared" si="2"/>
        <v>0</v>
      </c>
      <c r="W15" s="124">
        <f t="shared" si="2"/>
        <v>0</v>
      </c>
      <c r="X15" s="124">
        <f t="shared" si="2"/>
        <v>0</v>
      </c>
      <c r="Y15" s="124">
        <f t="shared" si="2"/>
        <v>0</v>
      </c>
      <c r="Z15" s="124">
        <f t="shared" si="2"/>
        <v>0</v>
      </c>
      <c r="AA15" s="124">
        <f t="shared" si="2"/>
        <v>0</v>
      </c>
      <c r="AB15" s="124">
        <f t="shared" si="2"/>
        <v>0</v>
      </c>
      <c r="AC15" s="124">
        <f t="shared" si="2"/>
        <v>0</v>
      </c>
      <c r="AD15" s="124">
        <f t="shared" si="2"/>
        <v>0</v>
      </c>
      <c r="AE15" s="124">
        <f t="shared" si="2"/>
        <v>0</v>
      </c>
      <c r="AF15" s="124">
        <f t="shared" si="2"/>
        <v>0</v>
      </c>
      <c r="AG15" s="124">
        <f t="shared" si="2"/>
        <v>0</v>
      </c>
      <c r="AH15" s="124">
        <f t="shared" si="2"/>
        <v>0</v>
      </c>
      <c r="AI15" s="124">
        <f t="shared" si="2"/>
        <v>0</v>
      </c>
      <c r="AJ15" s="124">
        <f t="shared" si="2"/>
        <v>0</v>
      </c>
      <c r="AK15" s="124">
        <f t="shared" si="2"/>
        <v>0</v>
      </c>
      <c r="AL15" s="124">
        <f t="shared" si="2"/>
        <v>0</v>
      </c>
      <c r="AM15" s="124">
        <f t="shared" si="2"/>
        <v>0</v>
      </c>
      <c r="AN15" s="124">
        <f t="shared" si="2"/>
        <v>0</v>
      </c>
      <c r="AO15" s="124">
        <f t="shared" si="2"/>
        <v>0</v>
      </c>
      <c r="AP15" s="124">
        <f t="shared" si="2"/>
        <v>0</v>
      </c>
      <c r="AQ15" s="124">
        <f t="shared" si="2"/>
        <v>0</v>
      </c>
      <c r="AR15" s="124">
        <f t="shared" si="2"/>
        <v>0</v>
      </c>
      <c r="AS15" s="124">
        <f t="shared" si="2"/>
        <v>0</v>
      </c>
      <c r="AT15" s="124">
        <f t="shared" si="2"/>
        <v>0</v>
      </c>
      <c r="AU15" s="124">
        <f t="shared" si="2"/>
        <v>0</v>
      </c>
      <c r="AV15" s="124">
        <f t="shared" si="2"/>
        <v>0</v>
      </c>
      <c r="AW15" s="124">
        <f t="shared" si="2"/>
        <v>0</v>
      </c>
      <c r="AX15" s="124">
        <f t="shared" si="2"/>
        <v>0</v>
      </c>
      <c r="AY15" s="124">
        <f t="shared" si="2"/>
        <v>0</v>
      </c>
      <c r="AZ15" s="127"/>
    </row>
    <row r="16" spans="1:52" x14ac:dyDescent="0.2">
      <c r="A16" s="128"/>
      <c r="B16" s="147">
        <v>4</v>
      </c>
      <c r="C16" s="128">
        <v>0</v>
      </c>
      <c r="D16" s="124">
        <f>IF(C$20="Yes",C15,0)</f>
        <v>0</v>
      </c>
      <c r="E16" s="124">
        <f t="shared" si="2"/>
        <v>0</v>
      </c>
      <c r="F16" s="124">
        <f t="shared" si="2"/>
        <v>0</v>
      </c>
      <c r="G16" s="124">
        <f t="shared" si="2"/>
        <v>0</v>
      </c>
      <c r="H16" s="124">
        <f t="shared" si="2"/>
        <v>0</v>
      </c>
      <c r="I16" s="124">
        <f t="shared" si="2"/>
        <v>0</v>
      </c>
      <c r="J16" s="124">
        <f t="shared" si="2"/>
        <v>0</v>
      </c>
      <c r="K16" s="124">
        <f t="shared" si="2"/>
        <v>0</v>
      </c>
      <c r="L16" s="124">
        <f t="shared" si="2"/>
        <v>0</v>
      </c>
      <c r="M16" s="124">
        <f t="shared" si="2"/>
        <v>0</v>
      </c>
      <c r="N16" s="124">
        <f t="shared" si="2"/>
        <v>0</v>
      </c>
      <c r="O16" s="124">
        <f t="shared" si="2"/>
        <v>0</v>
      </c>
      <c r="P16" s="124">
        <f t="shared" si="2"/>
        <v>0</v>
      </c>
      <c r="Q16" s="124">
        <f t="shared" si="2"/>
        <v>0</v>
      </c>
      <c r="R16" s="124">
        <f t="shared" si="2"/>
        <v>0</v>
      </c>
      <c r="S16" s="124">
        <f t="shared" si="2"/>
        <v>0</v>
      </c>
      <c r="T16" s="124">
        <f t="shared" si="2"/>
        <v>0</v>
      </c>
      <c r="U16" s="124">
        <f t="shared" si="2"/>
        <v>0</v>
      </c>
      <c r="V16" s="124">
        <f t="shared" si="2"/>
        <v>0</v>
      </c>
      <c r="W16" s="124">
        <f t="shared" si="2"/>
        <v>0</v>
      </c>
      <c r="X16" s="124">
        <f t="shared" si="2"/>
        <v>0</v>
      </c>
      <c r="Y16" s="124">
        <f t="shared" si="2"/>
        <v>0</v>
      </c>
      <c r="Z16" s="124">
        <f t="shared" si="2"/>
        <v>0</v>
      </c>
      <c r="AA16" s="124">
        <f t="shared" si="2"/>
        <v>0</v>
      </c>
      <c r="AB16" s="124">
        <f t="shared" si="2"/>
        <v>0</v>
      </c>
      <c r="AC16" s="124">
        <f t="shared" si="2"/>
        <v>0</v>
      </c>
      <c r="AD16" s="124">
        <f t="shared" si="2"/>
        <v>0</v>
      </c>
      <c r="AE16" s="124">
        <f t="shared" si="2"/>
        <v>0</v>
      </c>
      <c r="AF16" s="124">
        <f t="shared" si="2"/>
        <v>0</v>
      </c>
      <c r="AG16" s="124">
        <f t="shared" si="2"/>
        <v>0</v>
      </c>
      <c r="AH16" s="124">
        <f t="shared" si="2"/>
        <v>0</v>
      </c>
      <c r="AI16" s="124">
        <f t="shared" si="2"/>
        <v>0</v>
      </c>
      <c r="AJ16" s="124">
        <f t="shared" si="2"/>
        <v>0</v>
      </c>
      <c r="AK16" s="124">
        <f t="shared" si="2"/>
        <v>0</v>
      </c>
      <c r="AL16" s="124">
        <f t="shared" si="2"/>
        <v>0</v>
      </c>
      <c r="AM16" s="124">
        <f t="shared" si="2"/>
        <v>0</v>
      </c>
      <c r="AN16" s="124">
        <f t="shared" si="2"/>
        <v>0</v>
      </c>
      <c r="AO16" s="124">
        <f t="shared" si="2"/>
        <v>0</v>
      </c>
      <c r="AP16" s="124">
        <f t="shared" si="2"/>
        <v>0</v>
      </c>
      <c r="AQ16" s="124">
        <f t="shared" si="2"/>
        <v>0</v>
      </c>
      <c r="AR16" s="124">
        <f t="shared" si="2"/>
        <v>0</v>
      </c>
      <c r="AS16" s="124">
        <f t="shared" si="2"/>
        <v>0</v>
      </c>
      <c r="AT16" s="124">
        <f t="shared" si="2"/>
        <v>0</v>
      </c>
      <c r="AU16" s="124">
        <f t="shared" si="2"/>
        <v>0</v>
      </c>
      <c r="AV16" s="124">
        <f t="shared" si="2"/>
        <v>0</v>
      </c>
      <c r="AW16" s="124">
        <f t="shared" si="2"/>
        <v>0</v>
      </c>
      <c r="AX16" s="124">
        <f t="shared" si="2"/>
        <v>0</v>
      </c>
      <c r="AY16" s="124">
        <f t="shared" si="2"/>
        <v>0</v>
      </c>
      <c r="AZ16" s="145"/>
    </row>
    <row r="17" spans="1:52" x14ac:dyDescent="0.2">
      <c r="A17" s="142"/>
      <c r="B17" s="149" t="s">
        <v>296</v>
      </c>
      <c r="C17" s="142">
        <v>0</v>
      </c>
      <c r="D17" s="131">
        <f>IF(C$20="Yes",C16,0)</f>
        <v>0</v>
      </c>
      <c r="E17" s="131">
        <f t="shared" si="2"/>
        <v>0</v>
      </c>
      <c r="F17" s="131">
        <f t="shared" si="2"/>
        <v>0</v>
      </c>
      <c r="G17" s="131">
        <f t="shared" si="2"/>
        <v>0</v>
      </c>
      <c r="H17" s="131">
        <f t="shared" si="2"/>
        <v>0</v>
      </c>
      <c r="I17" s="131">
        <f t="shared" si="2"/>
        <v>0</v>
      </c>
      <c r="J17" s="131">
        <f t="shared" si="2"/>
        <v>0</v>
      </c>
      <c r="K17" s="131">
        <f t="shared" si="2"/>
        <v>0</v>
      </c>
      <c r="L17" s="131">
        <f t="shared" si="2"/>
        <v>0</v>
      </c>
      <c r="M17" s="131">
        <f t="shared" si="2"/>
        <v>0</v>
      </c>
      <c r="N17" s="131">
        <f t="shared" si="2"/>
        <v>0</v>
      </c>
      <c r="O17" s="131">
        <f t="shared" si="2"/>
        <v>0</v>
      </c>
      <c r="P17" s="131">
        <f t="shared" si="2"/>
        <v>0</v>
      </c>
      <c r="Q17" s="131">
        <f t="shared" si="2"/>
        <v>0</v>
      </c>
      <c r="R17" s="131">
        <f t="shared" si="2"/>
        <v>0</v>
      </c>
      <c r="S17" s="131">
        <f t="shared" si="2"/>
        <v>0</v>
      </c>
      <c r="T17" s="131">
        <f t="shared" si="2"/>
        <v>0</v>
      </c>
      <c r="U17" s="131">
        <f t="shared" si="2"/>
        <v>0</v>
      </c>
      <c r="V17" s="131">
        <f t="shared" si="2"/>
        <v>0</v>
      </c>
      <c r="W17" s="131">
        <f t="shared" si="2"/>
        <v>0</v>
      </c>
      <c r="X17" s="131">
        <f t="shared" si="2"/>
        <v>0</v>
      </c>
      <c r="Y17" s="131">
        <f t="shared" si="2"/>
        <v>0</v>
      </c>
      <c r="Z17" s="131">
        <f t="shared" si="2"/>
        <v>0</v>
      </c>
      <c r="AA17" s="131">
        <f t="shared" si="2"/>
        <v>0</v>
      </c>
      <c r="AB17" s="131">
        <f t="shared" si="2"/>
        <v>0</v>
      </c>
      <c r="AC17" s="131">
        <f t="shared" si="2"/>
        <v>0</v>
      </c>
      <c r="AD17" s="131">
        <f t="shared" si="2"/>
        <v>0</v>
      </c>
      <c r="AE17" s="131">
        <f t="shared" si="2"/>
        <v>0</v>
      </c>
      <c r="AF17" s="131">
        <f t="shared" si="2"/>
        <v>0</v>
      </c>
      <c r="AG17" s="131">
        <f t="shared" si="2"/>
        <v>0</v>
      </c>
      <c r="AH17" s="131">
        <f t="shared" si="2"/>
        <v>0</v>
      </c>
      <c r="AI17" s="131">
        <f t="shared" si="2"/>
        <v>0</v>
      </c>
      <c r="AJ17" s="131">
        <f t="shared" si="2"/>
        <v>0</v>
      </c>
      <c r="AK17" s="131">
        <f t="shared" si="2"/>
        <v>0</v>
      </c>
      <c r="AL17" s="131">
        <f t="shared" si="2"/>
        <v>0</v>
      </c>
      <c r="AM17" s="131">
        <f t="shared" si="2"/>
        <v>0</v>
      </c>
      <c r="AN17" s="131">
        <f t="shared" si="2"/>
        <v>0</v>
      </c>
      <c r="AO17" s="131">
        <f t="shared" si="2"/>
        <v>0</v>
      </c>
      <c r="AP17" s="131">
        <f t="shared" si="2"/>
        <v>0</v>
      </c>
      <c r="AQ17" s="131">
        <f t="shared" si="2"/>
        <v>0</v>
      </c>
      <c r="AR17" s="131">
        <f t="shared" si="2"/>
        <v>0</v>
      </c>
      <c r="AS17" s="131">
        <f t="shared" si="2"/>
        <v>0</v>
      </c>
      <c r="AT17" s="131">
        <f t="shared" si="2"/>
        <v>0</v>
      </c>
      <c r="AU17" s="131">
        <f t="shared" si="2"/>
        <v>0</v>
      </c>
      <c r="AV17" s="131">
        <f t="shared" si="2"/>
        <v>0</v>
      </c>
      <c r="AW17" s="131">
        <f t="shared" si="2"/>
        <v>0</v>
      </c>
      <c r="AX17" s="131">
        <f t="shared" si="2"/>
        <v>0</v>
      </c>
      <c r="AY17" s="131">
        <f t="shared" si="2"/>
        <v>0</v>
      </c>
      <c r="AZ17" s="168">
        <f>SUM($D$17:$AY$17)</f>
        <v>0</v>
      </c>
    </row>
    <row r="18" spans="1:52" x14ac:dyDescent="0.2">
      <c r="A18" s="124"/>
      <c r="B18" s="170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24"/>
    </row>
    <row r="19" spans="1:52" x14ac:dyDescent="0.2">
      <c r="A19" s="1" t="s">
        <v>116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</row>
    <row r="20" spans="1:52" s="128" customFormat="1" x14ac:dyDescent="0.2">
      <c r="A20" s="132" t="s">
        <v>305</v>
      </c>
      <c r="B20" s="171" t="s">
        <v>306</v>
      </c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34"/>
      <c r="AC20" s="134"/>
      <c r="AD20" s="134" t="s">
        <v>339</v>
      </c>
      <c r="AE20" s="134"/>
      <c r="AF20" s="134"/>
      <c r="AG20" s="134"/>
      <c r="AH20" s="134" t="s">
        <v>339</v>
      </c>
      <c r="AI20" s="134"/>
      <c r="AJ20" s="134" t="s">
        <v>339</v>
      </c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25"/>
    </row>
    <row r="21" spans="1:52" s="128" customFormat="1" x14ac:dyDescent="0.2">
      <c r="A21" s="172" t="s">
        <v>133</v>
      </c>
      <c r="B21" s="173">
        <f>shipping_manufacturing!$C$19/100</f>
        <v>0.3</v>
      </c>
      <c r="C21" s="173" t="s">
        <v>293</v>
      </c>
      <c r="D21" s="124">
        <f>IF(C$20="Yes",0,SUM(C$13:C$16)*$B$21)</f>
        <v>51.484019975039857</v>
      </c>
      <c r="E21" s="124">
        <f t="shared" ref="E21:AY21" si="3">IF(D$20="Yes",0,SUM(D$13:D$16)*$B$21)</f>
        <v>272.7</v>
      </c>
      <c r="F21" s="124">
        <f t="shared" si="3"/>
        <v>272.7</v>
      </c>
      <c r="G21" s="124">
        <f t="shared" si="3"/>
        <v>272.7</v>
      </c>
      <c r="H21" s="124">
        <f t="shared" si="3"/>
        <v>272.7</v>
      </c>
      <c r="I21" s="124">
        <f t="shared" si="3"/>
        <v>272.7</v>
      </c>
      <c r="J21" s="124">
        <f t="shared" si="3"/>
        <v>272.7</v>
      </c>
      <c r="K21" s="124">
        <f t="shared" si="3"/>
        <v>272.7</v>
      </c>
      <c r="L21" s="124">
        <f t="shared" si="3"/>
        <v>272.7</v>
      </c>
      <c r="M21" s="124">
        <f t="shared" si="3"/>
        <v>272.7</v>
      </c>
      <c r="N21" s="124">
        <f t="shared" si="3"/>
        <v>272.7</v>
      </c>
      <c r="O21" s="124">
        <f t="shared" si="3"/>
        <v>272.7</v>
      </c>
      <c r="P21" s="124">
        <f t="shared" si="3"/>
        <v>272.7</v>
      </c>
      <c r="Q21" s="124">
        <f t="shared" si="3"/>
        <v>272.7</v>
      </c>
      <c r="R21" s="124">
        <f t="shared" si="3"/>
        <v>272.7</v>
      </c>
      <c r="S21" s="124">
        <f t="shared" si="3"/>
        <v>272.7</v>
      </c>
      <c r="T21" s="124">
        <f t="shared" si="3"/>
        <v>272.7</v>
      </c>
      <c r="U21" s="124">
        <f t="shared" si="3"/>
        <v>272.7</v>
      </c>
      <c r="V21" s="124">
        <f t="shared" si="3"/>
        <v>272.7</v>
      </c>
      <c r="W21" s="124">
        <f t="shared" si="3"/>
        <v>272.7</v>
      </c>
      <c r="X21" s="124">
        <f t="shared" si="3"/>
        <v>272.7</v>
      </c>
      <c r="Y21" s="124">
        <f t="shared" si="3"/>
        <v>272.7</v>
      </c>
      <c r="Z21" s="124">
        <f t="shared" si="3"/>
        <v>272.7</v>
      </c>
      <c r="AA21" s="124">
        <f t="shared" si="3"/>
        <v>272.7</v>
      </c>
      <c r="AB21" s="124">
        <f t="shared" si="3"/>
        <v>272.7</v>
      </c>
      <c r="AC21" s="124">
        <f t="shared" si="3"/>
        <v>272.7</v>
      </c>
      <c r="AD21" s="124">
        <f t="shared" si="3"/>
        <v>272.7</v>
      </c>
      <c r="AE21" s="124">
        <f t="shared" si="3"/>
        <v>0</v>
      </c>
      <c r="AF21" s="124">
        <f t="shared" si="3"/>
        <v>272.7</v>
      </c>
      <c r="AG21" s="124">
        <f t="shared" si="3"/>
        <v>272.7</v>
      </c>
      <c r="AH21" s="124">
        <f t="shared" si="3"/>
        <v>272.7</v>
      </c>
      <c r="AI21" s="124">
        <f t="shared" si="3"/>
        <v>0</v>
      </c>
      <c r="AJ21" s="124">
        <f t="shared" si="3"/>
        <v>272.7</v>
      </c>
      <c r="AK21" s="124">
        <f t="shared" si="3"/>
        <v>0</v>
      </c>
      <c r="AL21" s="124">
        <f t="shared" si="3"/>
        <v>272.7</v>
      </c>
      <c r="AM21" s="124">
        <f t="shared" si="3"/>
        <v>272.7</v>
      </c>
      <c r="AN21" s="124">
        <f t="shared" si="3"/>
        <v>272.7</v>
      </c>
      <c r="AO21" s="124">
        <f t="shared" si="3"/>
        <v>272.7</v>
      </c>
      <c r="AP21" s="124">
        <f t="shared" si="3"/>
        <v>272.7</v>
      </c>
      <c r="AQ21" s="124">
        <f t="shared" si="3"/>
        <v>272.7</v>
      </c>
      <c r="AR21" s="124">
        <f t="shared" si="3"/>
        <v>272.7</v>
      </c>
      <c r="AS21" s="124">
        <f t="shared" si="3"/>
        <v>272.7</v>
      </c>
      <c r="AT21" s="124">
        <f t="shared" si="3"/>
        <v>272.7</v>
      </c>
      <c r="AU21" s="124">
        <f t="shared" si="3"/>
        <v>272.7</v>
      </c>
      <c r="AV21" s="124">
        <f t="shared" si="3"/>
        <v>150.8561443115581</v>
      </c>
      <c r="AW21" s="124">
        <f t="shared" si="3"/>
        <v>151.0262098075608</v>
      </c>
      <c r="AX21" s="124">
        <f t="shared" si="3"/>
        <v>272.7</v>
      </c>
      <c r="AY21" s="124">
        <f t="shared" si="3"/>
        <v>272.7</v>
      </c>
      <c r="AZ21" s="174">
        <f>SUM($D21:$AY21)</f>
        <v>11806.766374094163</v>
      </c>
    </row>
    <row r="22" spans="1:52" s="128" customFormat="1" x14ac:dyDescent="0.2">
      <c r="A22" s="175" t="s">
        <v>123</v>
      </c>
      <c r="B22" s="176">
        <f>1-$B$21</f>
        <v>0.7</v>
      </c>
      <c r="C22" s="176" t="s">
        <v>293</v>
      </c>
      <c r="D22" s="131">
        <f>IF(C$20="Yes",0,SUM(C$13:C$16)*$B$22)</f>
        <v>120.12937994175965</v>
      </c>
      <c r="E22" s="131">
        <f t="shared" ref="E22:AY22" si="4">IF(D$20="Yes",0,SUM(D$13:D$16)*$B$22)</f>
        <v>636.29999999999995</v>
      </c>
      <c r="F22" s="131">
        <f t="shared" si="4"/>
        <v>636.29999999999995</v>
      </c>
      <c r="G22" s="131">
        <f t="shared" si="4"/>
        <v>636.29999999999995</v>
      </c>
      <c r="H22" s="131">
        <f t="shared" si="4"/>
        <v>636.29999999999995</v>
      </c>
      <c r="I22" s="131">
        <f t="shared" si="4"/>
        <v>636.29999999999995</v>
      </c>
      <c r="J22" s="131">
        <f t="shared" si="4"/>
        <v>636.29999999999995</v>
      </c>
      <c r="K22" s="131">
        <f t="shared" si="4"/>
        <v>636.29999999999995</v>
      </c>
      <c r="L22" s="131">
        <f t="shared" si="4"/>
        <v>636.29999999999995</v>
      </c>
      <c r="M22" s="131">
        <f t="shared" si="4"/>
        <v>636.29999999999995</v>
      </c>
      <c r="N22" s="131">
        <f t="shared" si="4"/>
        <v>636.29999999999995</v>
      </c>
      <c r="O22" s="131">
        <f t="shared" si="4"/>
        <v>636.29999999999995</v>
      </c>
      <c r="P22" s="131">
        <f t="shared" si="4"/>
        <v>636.29999999999995</v>
      </c>
      <c r="Q22" s="131">
        <f t="shared" si="4"/>
        <v>636.29999999999995</v>
      </c>
      <c r="R22" s="131">
        <f t="shared" si="4"/>
        <v>636.29999999999995</v>
      </c>
      <c r="S22" s="131">
        <f t="shared" si="4"/>
        <v>636.29999999999995</v>
      </c>
      <c r="T22" s="131">
        <f t="shared" si="4"/>
        <v>636.29999999999995</v>
      </c>
      <c r="U22" s="131">
        <f t="shared" si="4"/>
        <v>636.29999999999995</v>
      </c>
      <c r="V22" s="131">
        <f t="shared" si="4"/>
        <v>636.29999999999995</v>
      </c>
      <c r="W22" s="131">
        <f t="shared" si="4"/>
        <v>636.29999999999995</v>
      </c>
      <c r="X22" s="131">
        <f t="shared" si="4"/>
        <v>636.29999999999995</v>
      </c>
      <c r="Y22" s="131">
        <f t="shared" si="4"/>
        <v>636.29999999999995</v>
      </c>
      <c r="Z22" s="131">
        <f t="shared" si="4"/>
        <v>636.29999999999995</v>
      </c>
      <c r="AA22" s="131">
        <f t="shared" si="4"/>
        <v>636.29999999999995</v>
      </c>
      <c r="AB22" s="131">
        <f t="shared" si="4"/>
        <v>636.29999999999995</v>
      </c>
      <c r="AC22" s="131">
        <f t="shared" si="4"/>
        <v>636.29999999999995</v>
      </c>
      <c r="AD22" s="131">
        <f t="shared" si="4"/>
        <v>636.29999999999995</v>
      </c>
      <c r="AE22" s="131">
        <f t="shared" si="4"/>
        <v>0</v>
      </c>
      <c r="AF22" s="131">
        <f t="shared" si="4"/>
        <v>636.29999999999995</v>
      </c>
      <c r="AG22" s="131">
        <f t="shared" si="4"/>
        <v>636.29999999999995</v>
      </c>
      <c r="AH22" s="131">
        <f t="shared" si="4"/>
        <v>636.29999999999995</v>
      </c>
      <c r="AI22" s="131">
        <f t="shared" si="4"/>
        <v>0</v>
      </c>
      <c r="AJ22" s="131">
        <f t="shared" si="4"/>
        <v>636.29999999999995</v>
      </c>
      <c r="AK22" s="131">
        <f t="shared" si="4"/>
        <v>0</v>
      </c>
      <c r="AL22" s="131">
        <f t="shared" si="4"/>
        <v>636.29999999999995</v>
      </c>
      <c r="AM22" s="131">
        <f t="shared" si="4"/>
        <v>636.29999999999995</v>
      </c>
      <c r="AN22" s="131">
        <f t="shared" si="4"/>
        <v>636.29999999999995</v>
      </c>
      <c r="AO22" s="131">
        <f t="shared" si="4"/>
        <v>636.29999999999995</v>
      </c>
      <c r="AP22" s="131">
        <f t="shared" si="4"/>
        <v>636.29999999999995</v>
      </c>
      <c r="AQ22" s="131">
        <f t="shared" si="4"/>
        <v>636.29999999999995</v>
      </c>
      <c r="AR22" s="131">
        <f t="shared" si="4"/>
        <v>636.29999999999995</v>
      </c>
      <c r="AS22" s="131">
        <f t="shared" si="4"/>
        <v>636.29999999999995</v>
      </c>
      <c r="AT22" s="131">
        <f t="shared" si="4"/>
        <v>636.29999999999995</v>
      </c>
      <c r="AU22" s="131">
        <f t="shared" si="4"/>
        <v>636.29999999999995</v>
      </c>
      <c r="AV22" s="131">
        <f t="shared" si="4"/>
        <v>351.99767006030226</v>
      </c>
      <c r="AW22" s="131">
        <f t="shared" si="4"/>
        <v>352.39448955097521</v>
      </c>
      <c r="AX22" s="131">
        <f t="shared" si="4"/>
        <v>636.29999999999995</v>
      </c>
      <c r="AY22" s="131">
        <f t="shared" si="4"/>
        <v>636.29999999999995</v>
      </c>
      <c r="AZ22" s="158">
        <f t="shared" ref="AZ22:AZ30" si="5">SUM($D22:$AY22)</f>
        <v>27549.12153955302</v>
      </c>
    </row>
    <row r="23" spans="1:52" x14ac:dyDescent="0.2">
      <c r="A23" s="177" t="s">
        <v>307</v>
      </c>
      <c r="B23" s="141">
        <v>2000</v>
      </c>
      <c r="C23" t="s">
        <v>293</v>
      </c>
      <c r="D23">
        <f>D$21*$B$23</f>
        <v>102968.03995007971</v>
      </c>
      <c r="E23">
        <f t="shared" ref="E23:AY23" si="6">E$21*$B$23</f>
        <v>545400</v>
      </c>
      <c r="F23">
        <f t="shared" si="6"/>
        <v>545400</v>
      </c>
      <c r="G23">
        <f t="shared" si="6"/>
        <v>545400</v>
      </c>
      <c r="H23">
        <f t="shared" si="6"/>
        <v>545400</v>
      </c>
      <c r="I23">
        <f t="shared" si="6"/>
        <v>545400</v>
      </c>
      <c r="J23">
        <f t="shared" si="6"/>
        <v>545400</v>
      </c>
      <c r="K23">
        <f t="shared" si="6"/>
        <v>545400</v>
      </c>
      <c r="L23">
        <f t="shared" si="6"/>
        <v>545400</v>
      </c>
      <c r="M23">
        <f t="shared" si="6"/>
        <v>545400</v>
      </c>
      <c r="N23">
        <f t="shared" si="6"/>
        <v>545400</v>
      </c>
      <c r="O23">
        <f t="shared" si="6"/>
        <v>545400</v>
      </c>
      <c r="P23">
        <f t="shared" si="6"/>
        <v>545400</v>
      </c>
      <c r="Q23">
        <f t="shared" si="6"/>
        <v>545400</v>
      </c>
      <c r="R23">
        <f t="shared" si="6"/>
        <v>545400</v>
      </c>
      <c r="S23">
        <f t="shared" si="6"/>
        <v>545400</v>
      </c>
      <c r="T23">
        <f t="shared" si="6"/>
        <v>545400</v>
      </c>
      <c r="U23">
        <f t="shared" si="6"/>
        <v>545400</v>
      </c>
      <c r="V23">
        <f t="shared" si="6"/>
        <v>545400</v>
      </c>
      <c r="W23">
        <f t="shared" si="6"/>
        <v>545400</v>
      </c>
      <c r="X23">
        <f t="shared" si="6"/>
        <v>545400</v>
      </c>
      <c r="Y23">
        <f t="shared" si="6"/>
        <v>545400</v>
      </c>
      <c r="Z23">
        <f t="shared" si="6"/>
        <v>545400</v>
      </c>
      <c r="AA23">
        <f t="shared" si="6"/>
        <v>545400</v>
      </c>
      <c r="AB23">
        <f t="shared" si="6"/>
        <v>545400</v>
      </c>
      <c r="AC23">
        <f t="shared" si="6"/>
        <v>545400</v>
      </c>
      <c r="AD23">
        <f t="shared" si="6"/>
        <v>545400</v>
      </c>
      <c r="AE23">
        <f t="shared" si="6"/>
        <v>0</v>
      </c>
      <c r="AF23">
        <f t="shared" si="6"/>
        <v>545400</v>
      </c>
      <c r="AG23">
        <f t="shared" si="6"/>
        <v>545400</v>
      </c>
      <c r="AH23">
        <f t="shared" si="6"/>
        <v>545400</v>
      </c>
      <c r="AI23">
        <f t="shared" si="6"/>
        <v>0</v>
      </c>
      <c r="AJ23">
        <f t="shared" si="6"/>
        <v>545400</v>
      </c>
      <c r="AK23">
        <f t="shared" si="6"/>
        <v>0</v>
      </c>
      <c r="AL23">
        <f t="shared" si="6"/>
        <v>545400</v>
      </c>
      <c r="AM23">
        <f t="shared" si="6"/>
        <v>545400</v>
      </c>
      <c r="AN23">
        <f t="shared" si="6"/>
        <v>545400</v>
      </c>
      <c r="AO23">
        <f t="shared" si="6"/>
        <v>545400</v>
      </c>
      <c r="AP23">
        <f t="shared" si="6"/>
        <v>545400</v>
      </c>
      <c r="AQ23">
        <f t="shared" si="6"/>
        <v>545400</v>
      </c>
      <c r="AR23">
        <f t="shared" si="6"/>
        <v>545400</v>
      </c>
      <c r="AS23">
        <f t="shared" si="6"/>
        <v>545400</v>
      </c>
      <c r="AT23">
        <f t="shared" si="6"/>
        <v>545400</v>
      </c>
      <c r="AU23">
        <f t="shared" si="6"/>
        <v>545400</v>
      </c>
      <c r="AV23">
        <f t="shared" si="6"/>
        <v>301712.28862311621</v>
      </c>
      <c r="AW23">
        <f t="shared" si="6"/>
        <v>302052.41961512162</v>
      </c>
      <c r="AX23">
        <f t="shared" si="6"/>
        <v>545400</v>
      </c>
      <c r="AY23">
        <f t="shared" si="6"/>
        <v>545400</v>
      </c>
      <c r="AZ23" s="156">
        <f t="shared" si="5"/>
        <v>23613532.748188321</v>
      </c>
    </row>
    <row r="24" spans="1:52" s="128" customFormat="1" x14ac:dyDescent="0.2">
      <c r="A24" s="178" t="s">
        <v>308</v>
      </c>
      <c r="B24" s="179">
        <v>1000</v>
      </c>
      <c r="C24" s="173" t="s">
        <v>293</v>
      </c>
      <c r="D24" s="124">
        <f>D$22*$B$24</f>
        <v>120129.37994175965</v>
      </c>
      <c r="E24" s="124">
        <f t="shared" ref="E24:AY24" si="7">E$22*$B$24</f>
        <v>636300</v>
      </c>
      <c r="F24" s="124">
        <f t="shared" si="7"/>
        <v>636300</v>
      </c>
      <c r="G24" s="124">
        <f t="shared" si="7"/>
        <v>636300</v>
      </c>
      <c r="H24" s="124">
        <f t="shared" si="7"/>
        <v>636300</v>
      </c>
      <c r="I24" s="124">
        <f t="shared" si="7"/>
        <v>636300</v>
      </c>
      <c r="J24" s="124">
        <f t="shared" si="7"/>
        <v>636300</v>
      </c>
      <c r="K24" s="124">
        <f t="shared" si="7"/>
        <v>636300</v>
      </c>
      <c r="L24" s="124">
        <f t="shared" si="7"/>
        <v>636300</v>
      </c>
      <c r="M24" s="124">
        <f t="shared" si="7"/>
        <v>636300</v>
      </c>
      <c r="N24" s="124">
        <f t="shared" si="7"/>
        <v>636300</v>
      </c>
      <c r="O24" s="124">
        <f t="shared" si="7"/>
        <v>636300</v>
      </c>
      <c r="P24" s="124">
        <f t="shared" si="7"/>
        <v>636300</v>
      </c>
      <c r="Q24" s="124">
        <f t="shared" si="7"/>
        <v>636300</v>
      </c>
      <c r="R24" s="124">
        <f t="shared" si="7"/>
        <v>636300</v>
      </c>
      <c r="S24" s="124">
        <f t="shared" si="7"/>
        <v>636300</v>
      </c>
      <c r="T24" s="124">
        <f t="shared" si="7"/>
        <v>636300</v>
      </c>
      <c r="U24" s="124">
        <f t="shared" si="7"/>
        <v>636300</v>
      </c>
      <c r="V24" s="124">
        <f t="shared" si="7"/>
        <v>636300</v>
      </c>
      <c r="W24" s="124">
        <f t="shared" si="7"/>
        <v>636300</v>
      </c>
      <c r="X24" s="124">
        <f t="shared" si="7"/>
        <v>636300</v>
      </c>
      <c r="Y24" s="124">
        <f t="shared" si="7"/>
        <v>636300</v>
      </c>
      <c r="Z24" s="124">
        <f t="shared" si="7"/>
        <v>636300</v>
      </c>
      <c r="AA24" s="124">
        <f t="shared" si="7"/>
        <v>636300</v>
      </c>
      <c r="AB24" s="124">
        <f t="shared" si="7"/>
        <v>636300</v>
      </c>
      <c r="AC24" s="124">
        <f t="shared" si="7"/>
        <v>636300</v>
      </c>
      <c r="AD24" s="124">
        <f t="shared" si="7"/>
        <v>636300</v>
      </c>
      <c r="AE24" s="124">
        <f t="shared" si="7"/>
        <v>0</v>
      </c>
      <c r="AF24" s="124">
        <f t="shared" si="7"/>
        <v>636300</v>
      </c>
      <c r="AG24" s="124">
        <f t="shared" si="7"/>
        <v>636300</v>
      </c>
      <c r="AH24" s="124">
        <f t="shared" si="7"/>
        <v>636300</v>
      </c>
      <c r="AI24" s="124">
        <f t="shared" si="7"/>
        <v>0</v>
      </c>
      <c r="AJ24" s="124">
        <f t="shared" si="7"/>
        <v>636300</v>
      </c>
      <c r="AK24" s="124">
        <f t="shared" si="7"/>
        <v>0</v>
      </c>
      <c r="AL24" s="124">
        <f t="shared" si="7"/>
        <v>636300</v>
      </c>
      <c r="AM24" s="124">
        <f t="shared" si="7"/>
        <v>636300</v>
      </c>
      <c r="AN24" s="124">
        <f t="shared" si="7"/>
        <v>636300</v>
      </c>
      <c r="AO24" s="124">
        <f t="shared" si="7"/>
        <v>636300</v>
      </c>
      <c r="AP24" s="124">
        <f t="shared" si="7"/>
        <v>636300</v>
      </c>
      <c r="AQ24" s="124">
        <f t="shared" si="7"/>
        <v>636300</v>
      </c>
      <c r="AR24" s="124">
        <f t="shared" si="7"/>
        <v>636300</v>
      </c>
      <c r="AS24" s="124">
        <f t="shared" si="7"/>
        <v>636300</v>
      </c>
      <c r="AT24" s="124">
        <f t="shared" si="7"/>
        <v>636300</v>
      </c>
      <c r="AU24" s="124">
        <f t="shared" si="7"/>
        <v>636300</v>
      </c>
      <c r="AV24" s="124">
        <f t="shared" si="7"/>
        <v>351997.67006030225</v>
      </c>
      <c r="AW24" s="124">
        <f t="shared" si="7"/>
        <v>352394.48955097521</v>
      </c>
      <c r="AX24" s="124">
        <f t="shared" si="7"/>
        <v>636300</v>
      </c>
      <c r="AY24" s="124">
        <f t="shared" si="7"/>
        <v>636300</v>
      </c>
      <c r="AZ24" s="158">
        <f t="shared" si="5"/>
        <v>27549121.539553039</v>
      </c>
    </row>
    <row r="25" spans="1:52" x14ac:dyDescent="0.2"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24"/>
    </row>
    <row r="26" spans="1:52" x14ac:dyDescent="0.2">
      <c r="A26" s="180" t="s">
        <v>18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</row>
    <row r="27" spans="1:52" x14ac:dyDescent="0.2">
      <c r="B27" s="152" t="s">
        <v>309</v>
      </c>
      <c r="C27" s="141">
        <v>13</v>
      </c>
      <c r="D27" s="141">
        <f>C$27-C$28+C$29</f>
        <v>13</v>
      </c>
      <c r="E27" s="141">
        <f t="shared" ref="E27:AY27" si="8">D27-D28+D29</f>
        <v>13</v>
      </c>
      <c r="F27" s="141">
        <f t="shared" si="8"/>
        <v>6</v>
      </c>
      <c r="G27" s="141">
        <f t="shared" si="8"/>
        <v>13</v>
      </c>
      <c r="H27" s="141">
        <f t="shared" si="8"/>
        <v>6</v>
      </c>
      <c r="I27" s="141">
        <f t="shared" si="8"/>
        <v>13</v>
      </c>
      <c r="J27" s="141">
        <f t="shared" si="8"/>
        <v>6</v>
      </c>
      <c r="K27" s="141">
        <f t="shared" si="8"/>
        <v>13</v>
      </c>
      <c r="L27" s="141">
        <f t="shared" si="8"/>
        <v>6</v>
      </c>
      <c r="M27" s="141">
        <f t="shared" si="8"/>
        <v>13</v>
      </c>
      <c r="N27" s="141">
        <f t="shared" si="8"/>
        <v>6</v>
      </c>
      <c r="O27" s="141">
        <f t="shared" si="8"/>
        <v>13</v>
      </c>
      <c r="P27" s="141">
        <f t="shared" si="8"/>
        <v>6</v>
      </c>
      <c r="Q27" s="141">
        <f t="shared" si="8"/>
        <v>13</v>
      </c>
      <c r="R27" s="141">
        <f t="shared" si="8"/>
        <v>6</v>
      </c>
      <c r="S27" s="141">
        <f t="shared" si="8"/>
        <v>13</v>
      </c>
      <c r="T27" s="141">
        <f t="shared" si="8"/>
        <v>6</v>
      </c>
      <c r="U27" s="141">
        <f t="shared" si="8"/>
        <v>13</v>
      </c>
      <c r="V27" s="141">
        <f t="shared" si="8"/>
        <v>6</v>
      </c>
      <c r="W27" s="141">
        <f t="shared" si="8"/>
        <v>13</v>
      </c>
      <c r="X27" s="141">
        <f t="shared" si="8"/>
        <v>6</v>
      </c>
      <c r="Y27" s="141">
        <f t="shared" si="8"/>
        <v>13</v>
      </c>
      <c r="Z27" s="141">
        <f t="shared" si="8"/>
        <v>6</v>
      </c>
      <c r="AA27" s="141">
        <f t="shared" si="8"/>
        <v>13</v>
      </c>
      <c r="AB27" s="141">
        <f t="shared" si="8"/>
        <v>6</v>
      </c>
      <c r="AC27" s="141">
        <f t="shared" si="8"/>
        <v>13</v>
      </c>
      <c r="AD27" s="141">
        <f t="shared" si="8"/>
        <v>6</v>
      </c>
      <c r="AE27" s="141">
        <f t="shared" si="8"/>
        <v>13</v>
      </c>
      <c r="AF27" s="141">
        <f t="shared" si="8"/>
        <v>19</v>
      </c>
      <c r="AG27" s="141">
        <f t="shared" si="8"/>
        <v>0</v>
      </c>
      <c r="AH27" s="141">
        <f t="shared" si="8"/>
        <v>19</v>
      </c>
      <c r="AI27" s="141">
        <f t="shared" si="8"/>
        <v>0</v>
      </c>
      <c r="AJ27" s="141">
        <f t="shared" si="8"/>
        <v>19</v>
      </c>
      <c r="AK27" s="141">
        <f t="shared" si="8"/>
        <v>0</v>
      </c>
      <c r="AL27" s="141">
        <f t="shared" si="8"/>
        <v>19</v>
      </c>
      <c r="AM27" s="141">
        <f t="shared" si="8"/>
        <v>0</v>
      </c>
      <c r="AN27" s="141">
        <f t="shared" si="8"/>
        <v>19</v>
      </c>
      <c r="AO27" s="141">
        <f t="shared" si="8"/>
        <v>0</v>
      </c>
      <c r="AP27" s="141">
        <f t="shared" si="8"/>
        <v>19</v>
      </c>
      <c r="AQ27" s="141">
        <f t="shared" si="8"/>
        <v>0</v>
      </c>
      <c r="AR27" s="141">
        <f t="shared" si="8"/>
        <v>19</v>
      </c>
      <c r="AS27" s="141">
        <f t="shared" si="8"/>
        <v>0</v>
      </c>
      <c r="AT27" s="141">
        <f t="shared" si="8"/>
        <v>19</v>
      </c>
      <c r="AU27" s="141">
        <f t="shared" si="8"/>
        <v>0</v>
      </c>
      <c r="AV27" s="141">
        <f t="shared" si="8"/>
        <v>19</v>
      </c>
      <c r="AW27" s="141">
        <f t="shared" si="8"/>
        <v>2</v>
      </c>
      <c r="AX27" s="141">
        <f t="shared" si="8"/>
        <v>17</v>
      </c>
      <c r="AY27" s="181">
        <f t="shared" si="8"/>
        <v>2</v>
      </c>
      <c r="AZ27" s="124"/>
    </row>
    <row r="28" spans="1:52" x14ac:dyDescent="0.2">
      <c r="B28" s="182" t="s">
        <v>310</v>
      </c>
      <c r="C28" s="128">
        <v>6</v>
      </c>
      <c r="D28" s="128">
        <v>6</v>
      </c>
      <c r="E28" s="128">
        <v>13</v>
      </c>
      <c r="F28" s="128">
        <v>6</v>
      </c>
      <c r="G28" s="128">
        <v>13</v>
      </c>
      <c r="H28" s="128">
        <v>6</v>
      </c>
      <c r="I28" s="128">
        <v>13</v>
      </c>
      <c r="J28" s="128">
        <v>6</v>
      </c>
      <c r="K28" s="128">
        <v>13</v>
      </c>
      <c r="L28" s="128">
        <v>6</v>
      </c>
      <c r="M28" s="128">
        <v>13</v>
      </c>
      <c r="N28" s="128">
        <v>6</v>
      </c>
      <c r="O28" s="128">
        <v>13</v>
      </c>
      <c r="P28" s="128">
        <v>6</v>
      </c>
      <c r="Q28" s="128">
        <v>13</v>
      </c>
      <c r="R28" s="128">
        <v>6</v>
      </c>
      <c r="S28" s="128">
        <v>13</v>
      </c>
      <c r="T28" s="128">
        <v>6</v>
      </c>
      <c r="U28" s="128">
        <v>13</v>
      </c>
      <c r="V28" s="128">
        <v>6</v>
      </c>
      <c r="W28" s="128">
        <v>13</v>
      </c>
      <c r="X28" s="128">
        <v>6</v>
      </c>
      <c r="Y28" s="128">
        <v>13</v>
      </c>
      <c r="Z28" s="128">
        <v>6</v>
      </c>
      <c r="AA28" s="128">
        <v>13</v>
      </c>
      <c r="AB28" s="128">
        <v>6</v>
      </c>
      <c r="AC28" s="128">
        <v>13</v>
      </c>
      <c r="AD28" s="128">
        <v>6</v>
      </c>
      <c r="AE28" s="128">
        <v>0</v>
      </c>
      <c r="AF28" s="128">
        <v>19</v>
      </c>
      <c r="AG28" s="128">
        <v>0</v>
      </c>
      <c r="AH28" s="128">
        <v>19</v>
      </c>
      <c r="AI28" s="128">
        <v>0</v>
      </c>
      <c r="AJ28" s="128">
        <v>19</v>
      </c>
      <c r="AK28" s="128">
        <v>0</v>
      </c>
      <c r="AL28" s="128">
        <v>19</v>
      </c>
      <c r="AM28" s="128">
        <v>0</v>
      </c>
      <c r="AN28" s="128">
        <v>19</v>
      </c>
      <c r="AO28" s="128">
        <v>0</v>
      </c>
      <c r="AP28" s="128">
        <v>19</v>
      </c>
      <c r="AQ28" s="128">
        <v>0</v>
      </c>
      <c r="AR28" s="128">
        <v>19</v>
      </c>
      <c r="AS28" s="128">
        <v>0</v>
      </c>
      <c r="AT28" s="128">
        <v>19</v>
      </c>
      <c r="AU28" s="128">
        <v>0</v>
      </c>
      <c r="AV28" s="128">
        <v>17</v>
      </c>
      <c r="AW28" s="128">
        <v>2</v>
      </c>
      <c r="AX28" s="128">
        <v>17</v>
      </c>
      <c r="AY28" s="183">
        <v>2</v>
      </c>
      <c r="AZ28" s="124"/>
    </row>
    <row r="29" spans="1:52" x14ac:dyDescent="0.2">
      <c r="B29" s="153" t="s">
        <v>311</v>
      </c>
      <c r="C29" s="142">
        <v>6</v>
      </c>
      <c r="D29" s="142">
        <f>C$28</f>
        <v>6</v>
      </c>
      <c r="E29" s="142">
        <f t="shared" ref="E29:AY29" si="9">D$28</f>
        <v>6</v>
      </c>
      <c r="F29" s="142">
        <f t="shared" si="9"/>
        <v>13</v>
      </c>
      <c r="G29" s="142">
        <f t="shared" si="9"/>
        <v>6</v>
      </c>
      <c r="H29" s="142">
        <f t="shared" si="9"/>
        <v>13</v>
      </c>
      <c r="I29" s="142">
        <f t="shared" si="9"/>
        <v>6</v>
      </c>
      <c r="J29" s="142">
        <f t="shared" si="9"/>
        <v>13</v>
      </c>
      <c r="K29" s="142">
        <f t="shared" si="9"/>
        <v>6</v>
      </c>
      <c r="L29" s="142">
        <f t="shared" si="9"/>
        <v>13</v>
      </c>
      <c r="M29" s="142">
        <f t="shared" si="9"/>
        <v>6</v>
      </c>
      <c r="N29" s="142">
        <f t="shared" si="9"/>
        <v>13</v>
      </c>
      <c r="O29" s="142">
        <f t="shared" si="9"/>
        <v>6</v>
      </c>
      <c r="P29" s="142">
        <f t="shared" si="9"/>
        <v>13</v>
      </c>
      <c r="Q29" s="142">
        <f t="shared" si="9"/>
        <v>6</v>
      </c>
      <c r="R29" s="142">
        <f t="shared" si="9"/>
        <v>13</v>
      </c>
      <c r="S29" s="142">
        <f t="shared" si="9"/>
        <v>6</v>
      </c>
      <c r="T29" s="142">
        <f t="shared" si="9"/>
        <v>13</v>
      </c>
      <c r="U29" s="142">
        <f t="shared" si="9"/>
        <v>6</v>
      </c>
      <c r="V29" s="142">
        <f t="shared" si="9"/>
        <v>13</v>
      </c>
      <c r="W29" s="142">
        <f t="shared" si="9"/>
        <v>6</v>
      </c>
      <c r="X29" s="142">
        <f t="shared" si="9"/>
        <v>13</v>
      </c>
      <c r="Y29" s="142">
        <f t="shared" si="9"/>
        <v>6</v>
      </c>
      <c r="Z29" s="142">
        <f t="shared" si="9"/>
        <v>13</v>
      </c>
      <c r="AA29" s="142">
        <f t="shared" si="9"/>
        <v>6</v>
      </c>
      <c r="AB29" s="142">
        <f t="shared" si="9"/>
        <v>13</v>
      </c>
      <c r="AC29" s="142">
        <f t="shared" si="9"/>
        <v>6</v>
      </c>
      <c r="AD29" s="142">
        <f t="shared" si="9"/>
        <v>13</v>
      </c>
      <c r="AE29" s="142">
        <f t="shared" si="9"/>
        <v>6</v>
      </c>
      <c r="AF29" s="142">
        <f t="shared" si="9"/>
        <v>0</v>
      </c>
      <c r="AG29" s="142">
        <f t="shared" si="9"/>
        <v>19</v>
      </c>
      <c r="AH29" s="142">
        <f t="shared" si="9"/>
        <v>0</v>
      </c>
      <c r="AI29" s="142">
        <f t="shared" si="9"/>
        <v>19</v>
      </c>
      <c r="AJ29" s="142">
        <f t="shared" si="9"/>
        <v>0</v>
      </c>
      <c r="AK29" s="142">
        <f t="shared" si="9"/>
        <v>19</v>
      </c>
      <c r="AL29" s="142">
        <f t="shared" si="9"/>
        <v>0</v>
      </c>
      <c r="AM29" s="142">
        <f t="shared" si="9"/>
        <v>19</v>
      </c>
      <c r="AN29" s="142">
        <f t="shared" si="9"/>
        <v>0</v>
      </c>
      <c r="AO29" s="142">
        <f t="shared" si="9"/>
        <v>19</v>
      </c>
      <c r="AP29" s="142">
        <f t="shared" si="9"/>
        <v>0</v>
      </c>
      <c r="AQ29" s="142">
        <f t="shared" si="9"/>
        <v>19</v>
      </c>
      <c r="AR29" s="142">
        <f t="shared" si="9"/>
        <v>0</v>
      </c>
      <c r="AS29" s="142">
        <f t="shared" si="9"/>
        <v>19</v>
      </c>
      <c r="AT29" s="142">
        <f t="shared" si="9"/>
        <v>0</v>
      </c>
      <c r="AU29" s="142">
        <f t="shared" si="9"/>
        <v>19</v>
      </c>
      <c r="AV29" s="142">
        <f t="shared" si="9"/>
        <v>0</v>
      </c>
      <c r="AW29" s="142">
        <f t="shared" si="9"/>
        <v>17</v>
      </c>
      <c r="AX29" s="142">
        <f t="shared" si="9"/>
        <v>2</v>
      </c>
      <c r="AY29" s="184">
        <f t="shared" si="9"/>
        <v>17</v>
      </c>
      <c r="AZ29" s="185"/>
    </row>
    <row r="30" spans="1:52" x14ac:dyDescent="0.2">
      <c r="A30" s="186" t="s">
        <v>312</v>
      </c>
      <c r="B30" s="161">
        <v>10</v>
      </c>
      <c r="C30" s="134" t="s">
        <v>293</v>
      </c>
      <c r="D30" s="134">
        <f>D$27*$B$30</f>
        <v>130</v>
      </c>
      <c r="E30" s="134">
        <f t="shared" ref="E30:AY30" si="10">E$27*$B$30</f>
        <v>130</v>
      </c>
      <c r="F30" s="134">
        <f t="shared" si="10"/>
        <v>60</v>
      </c>
      <c r="G30" s="134">
        <f t="shared" si="10"/>
        <v>130</v>
      </c>
      <c r="H30" s="134">
        <f t="shared" si="10"/>
        <v>60</v>
      </c>
      <c r="I30" s="134">
        <f t="shared" si="10"/>
        <v>130</v>
      </c>
      <c r="J30" s="134">
        <f t="shared" si="10"/>
        <v>60</v>
      </c>
      <c r="K30" s="134">
        <f t="shared" si="10"/>
        <v>130</v>
      </c>
      <c r="L30" s="134">
        <f t="shared" si="10"/>
        <v>60</v>
      </c>
      <c r="M30" s="134">
        <f t="shared" si="10"/>
        <v>130</v>
      </c>
      <c r="N30" s="134">
        <f t="shared" si="10"/>
        <v>60</v>
      </c>
      <c r="O30" s="134">
        <f t="shared" si="10"/>
        <v>130</v>
      </c>
      <c r="P30" s="134">
        <f t="shared" si="10"/>
        <v>60</v>
      </c>
      <c r="Q30" s="134">
        <f t="shared" si="10"/>
        <v>130</v>
      </c>
      <c r="R30" s="134">
        <f>R$27*$B$30</f>
        <v>60</v>
      </c>
      <c r="S30" s="134">
        <f t="shared" si="10"/>
        <v>130</v>
      </c>
      <c r="T30" s="134">
        <f t="shared" si="10"/>
        <v>60</v>
      </c>
      <c r="U30" s="134">
        <f t="shared" si="10"/>
        <v>130</v>
      </c>
      <c r="V30" s="134">
        <f t="shared" si="10"/>
        <v>60</v>
      </c>
      <c r="W30" s="134">
        <f t="shared" si="10"/>
        <v>130</v>
      </c>
      <c r="X30" s="134">
        <f t="shared" si="10"/>
        <v>60</v>
      </c>
      <c r="Y30" s="134">
        <f t="shared" si="10"/>
        <v>130</v>
      </c>
      <c r="Z30" s="134">
        <f t="shared" si="10"/>
        <v>60</v>
      </c>
      <c r="AA30" s="134">
        <f t="shared" si="10"/>
        <v>130</v>
      </c>
      <c r="AB30" s="134">
        <f t="shared" si="10"/>
        <v>60</v>
      </c>
      <c r="AC30" s="134">
        <f t="shared" si="10"/>
        <v>130</v>
      </c>
      <c r="AD30" s="134">
        <f t="shared" si="10"/>
        <v>60</v>
      </c>
      <c r="AE30" s="134">
        <f>AE$27*$B$30</f>
        <v>130</v>
      </c>
      <c r="AF30" s="134">
        <f t="shared" si="10"/>
        <v>190</v>
      </c>
      <c r="AG30" s="134">
        <f t="shared" si="10"/>
        <v>0</v>
      </c>
      <c r="AH30" s="134">
        <f t="shared" si="10"/>
        <v>190</v>
      </c>
      <c r="AI30" s="134">
        <f t="shared" si="10"/>
        <v>0</v>
      </c>
      <c r="AJ30" s="134">
        <f t="shared" si="10"/>
        <v>190</v>
      </c>
      <c r="AK30" s="134">
        <f t="shared" si="10"/>
        <v>0</v>
      </c>
      <c r="AL30" s="134">
        <f t="shared" si="10"/>
        <v>190</v>
      </c>
      <c r="AM30" s="134">
        <f t="shared" si="10"/>
        <v>0</v>
      </c>
      <c r="AN30" s="134">
        <f t="shared" si="10"/>
        <v>190</v>
      </c>
      <c r="AO30" s="134">
        <f t="shared" si="10"/>
        <v>0</v>
      </c>
      <c r="AP30" s="134">
        <f t="shared" si="10"/>
        <v>190</v>
      </c>
      <c r="AQ30" s="134">
        <f t="shared" si="10"/>
        <v>0</v>
      </c>
      <c r="AR30" s="134">
        <f t="shared" si="10"/>
        <v>190</v>
      </c>
      <c r="AS30" s="134">
        <f t="shared" si="10"/>
        <v>0</v>
      </c>
      <c r="AT30" s="134">
        <f t="shared" si="10"/>
        <v>190</v>
      </c>
      <c r="AU30" s="134">
        <f t="shared" si="10"/>
        <v>0</v>
      </c>
      <c r="AV30" s="134">
        <f t="shared" si="10"/>
        <v>190</v>
      </c>
      <c r="AW30" s="134">
        <f t="shared" si="10"/>
        <v>20</v>
      </c>
      <c r="AX30" s="134">
        <f t="shared" si="10"/>
        <v>170</v>
      </c>
      <c r="AY30" s="134">
        <f t="shared" si="10"/>
        <v>20</v>
      </c>
      <c r="AZ30" s="158">
        <f t="shared" si="5"/>
        <v>4650</v>
      </c>
    </row>
    <row r="32" spans="1:52" x14ac:dyDescent="0.2">
      <c r="A32" s="1" t="s">
        <v>300</v>
      </c>
    </row>
    <row r="33" spans="1:52" x14ac:dyDescent="0.2">
      <c r="A33" s="152" t="s">
        <v>22</v>
      </c>
      <c r="B33" s="152" t="s">
        <v>341</v>
      </c>
      <c r="C33" s="141"/>
      <c r="D33" s="141">
        <f>D$21*shipping_manufacturing!$D$27/100</f>
        <v>0</v>
      </c>
      <c r="E33" s="141">
        <f>E$21*shipping_manufacturing!$D$27/100</f>
        <v>0</v>
      </c>
      <c r="F33" s="141">
        <f>F$21*shipping_manufacturing!$D$27/100</f>
        <v>0</v>
      </c>
      <c r="G33" s="141">
        <f>G$21*shipping_manufacturing!$D$27/100</f>
        <v>0</v>
      </c>
      <c r="H33" s="141">
        <f>H$21*shipping_manufacturing!$D$27/100</f>
        <v>0</v>
      </c>
      <c r="I33" s="141">
        <f>I$21*shipping_manufacturing!$D$27/100</f>
        <v>0</v>
      </c>
      <c r="J33" s="141">
        <f>J$21*shipping_manufacturing!$D$27/100</f>
        <v>0</v>
      </c>
      <c r="K33" s="141">
        <f>K$21*shipping_manufacturing!$D$27/100</f>
        <v>0</v>
      </c>
      <c r="L33" s="141">
        <f>L$21*shipping_manufacturing!$D$27/100</f>
        <v>0</v>
      </c>
      <c r="M33" s="141">
        <f>M$21*shipping_manufacturing!$D$27/100</f>
        <v>0</v>
      </c>
      <c r="N33" s="141">
        <f>N$21*shipping_manufacturing!$D$27/100</f>
        <v>0</v>
      </c>
      <c r="O33" s="141">
        <f>O$21*shipping_manufacturing!$D$27/100</f>
        <v>0</v>
      </c>
      <c r="P33" s="141">
        <f>P$21*shipping_manufacturing!$D$27/100</f>
        <v>0</v>
      </c>
      <c r="Q33" s="141">
        <f>Q$21*shipping_manufacturing!$D$27/100</f>
        <v>0</v>
      </c>
      <c r="R33" s="141">
        <f>R$21*shipping_manufacturing!$D$27/100</f>
        <v>0</v>
      </c>
      <c r="S33" s="141">
        <f>S$21*shipping_manufacturing!$D$27/100</f>
        <v>0</v>
      </c>
      <c r="T33" s="141">
        <f>T$21*shipping_manufacturing!$D$27/100</f>
        <v>0</v>
      </c>
      <c r="U33" s="141">
        <f>U$21*shipping_manufacturing!$D$27/100</f>
        <v>0</v>
      </c>
      <c r="V33" s="141">
        <f>V$21*shipping_manufacturing!$D$27/100</f>
        <v>0</v>
      </c>
      <c r="W33" s="141">
        <f>W$21*shipping_manufacturing!$D$27/100</f>
        <v>0</v>
      </c>
      <c r="X33" s="141">
        <f>X$21*shipping_manufacturing!$D$27/100</f>
        <v>0</v>
      </c>
      <c r="Y33" s="141">
        <f>Y$21*shipping_manufacturing!$D$27/100</f>
        <v>0</v>
      </c>
      <c r="Z33" s="141">
        <f>Z$21*shipping_manufacturing!$D$27/100</f>
        <v>0</v>
      </c>
      <c r="AA33" s="141">
        <f>AA$21*shipping_manufacturing!$D$27/100</f>
        <v>0</v>
      </c>
      <c r="AB33" s="141">
        <f>AB$21*shipping_manufacturing!$D$27/100</f>
        <v>0</v>
      </c>
      <c r="AC33" s="141">
        <f>AC$21*shipping_manufacturing!$D$27/100</f>
        <v>0</v>
      </c>
      <c r="AD33" s="141">
        <f>AD$21*shipping_manufacturing!$D$27/100</f>
        <v>0</v>
      </c>
      <c r="AE33" s="141">
        <f>AE$21*shipping_manufacturing!$D$27/100</f>
        <v>0</v>
      </c>
      <c r="AF33" s="141">
        <f>AF$21*shipping_manufacturing!$D$27/100</f>
        <v>0</v>
      </c>
      <c r="AG33" s="141">
        <f>AG$21*shipping_manufacturing!$D$27/100</f>
        <v>0</v>
      </c>
      <c r="AH33" s="141">
        <f>AH$21*shipping_manufacturing!$D$27/100</f>
        <v>0</v>
      </c>
      <c r="AI33" s="141">
        <f>AI$21*shipping_manufacturing!$D$27/100</f>
        <v>0</v>
      </c>
      <c r="AJ33" s="141">
        <f>AJ$21*shipping_manufacturing!$D$27/100</f>
        <v>0</v>
      </c>
      <c r="AK33" s="141">
        <f>AK$21*shipping_manufacturing!$D$27/100</f>
        <v>0</v>
      </c>
      <c r="AL33" s="141">
        <f>AL$21*shipping_manufacturing!$D$27/100</f>
        <v>0</v>
      </c>
      <c r="AM33" s="141">
        <f>AM$21*shipping_manufacturing!$D$27/100</f>
        <v>0</v>
      </c>
      <c r="AN33" s="141">
        <f>AN$21*shipping_manufacturing!$D$27/100</f>
        <v>0</v>
      </c>
      <c r="AO33" s="141">
        <f>AO$21*shipping_manufacturing!$D$27/100</f>
        <v>0</v>
      </c>
      <c r="AP33" s="141">
        <f>AP$21*shipping_manufacturing!$D$27/100</f>
        <v>0</v>
      </c>
      <c r="AQ33" s="141">
        <f>AQ$21*shipping_manufacturing!$D$27/100</f>
        <v>0</v>
      </c>
      <c r="AR33" s="141">
        <f>AR$21*shipping_manufacturing!$D$27/100</f>
        <v>0</v>
      </c>
      <c r="AS33" s="141">
        <f>AS$21*shipping_manufacturing!$D$27/100</f>
        <v>0</v>
      </c>
      <c r="AT33" s="141">
        <f>AT$21*shipping_manufacturing!$D$27/100</f>
        <v>0</v>
      </c>
      <c r="AU33" s="141">
        <f>AU$21*shipping_manufacturing!$D$27/100</f>
        <v>0</v>
      </c>
      <c r="AV33" s="141">
        <f>AV$21*shipping_manufacturing!$D$27/100</f>
        <v>0</v>
      </c>
      <c r="AW33" s="141">
        <f>AW$21*shipping_manufacturing!$D$27/100</f>
        <v>0</v>
      </c>
      <c r="AX33" s="141">
        <f>AX$21*shipping_manufacturing!$D$27/100</f>
        <v>0</v>
      </c>
      <c r="AY33" s="141">
        <f>AY$21*shipping_manufacturing!$D$27/100</f>
        <v>0</v>
      </c>
    </row>
    <row r="34" spans="1:52" x14ac:dyDescent="0.2">
      <c r="A34" s="130" t="s">
        <v>340</v>
      </c>
      <c r="B34" s="182" t="s">
        <v>342</v>
      </c>
      <c r="C34" s="128"/>
      <c r="D34" s="128">
        <f>D$22*shipping_manufacturing!$E$27/100</f>
        <v>0</v>
      </c>
      <c r="E34" s="128">
        <f>E$22*shipping_manufacturing!$E$27/100</f>
        <v>0</v>
      </c>
      <c r="F34" s="128">
        <f>F$22*shipping_manufacturing!$E$27/100</f>
        <v>0</v>
      </c>
      <c r="G34" s="128">
        <f>G$22*shipping_manufacturing!$E$27/100</f>
        <v>0</v>
      </c>
      <c r="H34" s="128">
        <f>H$22*shipping_manufacturing!$E$27/100</f>
        <v>0</v>
      </c>
      <c r="I34" s="128">
        <f>I$22*shipping_manufacturing!$E$27/100</f>
        <v>0</v>
      </c>
      <c r="J34" s="128">
        <f>J$22*shipping_manufacturing!$E$27/100</f>
        <v>0</v>
      </c>
      <c r="K34" s="128">
        <f>K$22*shipping_manufacturing!$E$27/100</f>
        <v>0</v>
      </c>
      <c r="L34" s="128">
        <f>L$22*shipping_manufacturing!$E$27/100</f>
        <v>0</v>
      </c>
      <c r="M34" s="128">
        <f>M$22*shipping_manufacturing!$E$27/100</f>
        <v>0</v>
      </c>
      <c r="N34" s="128">
        <f>N$22*shipping_manufacturing!$E$27/100</f>
        <v>0</v>
      </c>
      <c r="O34" s="128">
        <f>O$22*shipping_manufacturing!$E$27/100</f>
        <v>0</v>
      </c>
      <c r="P34" s="128">
        <f>P$22*shipping_manufacturing!$E$27/100</f>
        <v>0</v>
      </c>
      <c r="Q34" s="128">
        <f>Q$22*shipping_manufacturing!$E$27/100</f>
        <v>0</v>
      </c>
      <c r="R34" s="128">
        <f>R$22*shipping_manufacturing!$E$27/100</f>
        <v>0</v>
      </c>
      <c r="S34" s="128">
        <f>S$22*shipping_manufacturing!$E$27/100</f>
        <v>0</v>
      </c>
      <c r="T34" s="128">
        <f>T$22*shipping_manufacturing!$E$27/100</f>
        <v>0</v>
      </c>
      <c r="U34" s="128">
        <f>U$22*shipping_manufacturing!$E$27/100</f>
        <v>0</v>
      </c>
      <c r="V34" s="128">
        <f>V$22*shipping_manufacturing!$E$27/100</f>
        <v>0</v>
      </c>
      <c r="W34" s="128">
        <f>W$22*shipping_manufacturing!$E$27/100</f>
        <v>0</v>
      </c>
      <c r="X34" s="128">
        <f>X$22*shipping_manufacturing!$E$27/100</f>
        <v>0</v>
      </c>
      <c r="Y34" s="128">
        <f>Y$22*shipping_manufacturing!$E$27/100</f>
        <v>0</v>
      </c>
      <c r="Z34" s="128">
        <f>Z$22*shipping_manufacturing!$E$27/100</f>
        <v>0</v>
      </c>
      <c r="AA34" s="128">
        <f>AA$22*shipping_manufacturing!$E$27/100</f>
        <v>0</v>
      </c>
      <c r="AB34" s="128">
        <f>AB$22*shipping_manufacturing!$E$27/100</f>
        <v>0</v>
      </c>
      <c r="AC34" s="128">
        <f>AC$22*shipping_manufacturing!$E$27/100</f>
        <v>0</v>
      </c>
      <c r="AD34" s="128">
        <f>AD$22*shipping_manufacturing!$E$27/100</f>
        <v>0</v>
      </c>
      <c r="AE34" s="128">
        <f>AE$22*shipping_manufacturing!$E$27/100</f>
        <v>0</v>
      </c>
      <c r="AF34" s="128">
        <f>AF$22*shipping_manufacturing!$E$27/100</f>
        <v>0</v>
      </c>
      <c r="AG34" s="128">
        <f>AG$22*shipping_manufacturing!$E$27/100</f>
        <v>0</v>
      </c>
      <c r="AH34" s="128">
        <f>AH$22*shipping_manufacturing!$E$27/100</f>
        <v>0</v>
      </c>
      <c r="AI34" s="128">
        <f>AI$22*shipping_manufacturing!$E$27/100</f>
        <v>0</v>
      </c>
      <c r="AJ34" s="128">
        <f>AJ$22*shipping_manufacturing!$E$27/100</f>
        <v>0</v>
      </c>
      <c r="AK34" s="128">
        <f>AK$22*shipping_manufacturing!$E$27/100</f>
        <v>0</v>
      </c>
      <c r="AL34" s="128">
        <f>AL$22*shipping_manufacturing!$E$27/100</f>
        <v>0</v>
      </c>
      <c r="AM34" s="128">
        <f>AM$22*shipping_manufacturing!$E$27/100</f>
        <v>0</v>
      </c>
      <c r="AN34" s="128">
        <f>AN$22*shipping_manufacturing!$E$27/100</f>
        <v>0</v>
      </c>
      <c r="AO34" s="128">
        <f>AO$22*shipping_manufacturing!$E$27/100</f>
        <v>0</v>
      </c>
      <c r="AP34" s="128">
        <f>AP$22*shipping_manufacturing!$E$27/100</f>
        <v>0</v>
      </c>
      <c r="AQ34" s="128">
        <f>AQ$22*shipping_manufacturing!$E$27/100</f>
        <v>0</v>
      </c>
      <c r="AR34" s="128">
        <f>AR$22*shipping_manufacturing!$E$27/100</f>
        <v>0</v>
      </c>
      <c r="AS34" s="128">
        <f>AS$22*shipping_manufacturing!$E$27/100</f>
        <v>0</v>
      </c>
      <c r="AT34" s="128">
        <f>AT$22*shipping_manufacturing!$E$27/100</f>
        <v>0</v>
      </c>
      <c r="AU34" s="128">
        <f>AU$22*shipping_manufacturing!$E$27/100</f>
        <v>0</v>
      </c>
      <c r="AV34" s="128">
        <f>AV$22*shipping_manufacturing!$E$27/100</f>
        <v>0</v>
      </c>
      <c r="AW34" s="128">
        <f>AW$22*shipping_manufacturing!$E$27/100</f>
        <v>0</v>
      </c>
      <c r="AX34" s="128">
        <f>AX$22*shipping_manufacturing!$E$27/100</f>
        <v>0</v>
      </c>
      <c r="AY34" s="128">
        <f>AY$22*shipping_manufacturing!$E$27/100</f>
        <v>0</v>
      </c>
    </row>
    <row r="35" spans="1:52" x14ac:dyDescent="0.2">
      <c r="A35" s="128">
        <v>1335</v>
      </c>
      <c r="B35" s="182" t="s">
        <v>343</v>
      </c>
      <c r="C35" s="128"/>
      <c r="D35" s="128">
        <f>SUM(D33:D34)</f>
        <v>0</v>
      </c>
      <c r="E35" s="128">
        <f t="shared" ref="E35:AY35" si="11">SUM(E33:E34)</f>
        <v>0</v>
      </c>
      <c r="F35" s="128">
        <f t="shared" si="11"/>
        <v>0</v>
      </c>
      <c r="G35" s="128">
        <f t="shared" si="11"/>
        <v>0</v>
      </c>
      <c r="H35" s="128">
        <f t="shared" si="11"/>
        <v>0</v>
      </c>
      <c r="I35" s="128">
        <f t="shared" si="11"/>
        <v>0</v>
      </c>
      <c r="J35" s="128">
        <f t="shared" si="11"/>
        <v>0</v>
      </c>
      <c r="K35" s="128">
        <f t="shared" si="11"/>
        <v>0</v>
      </c>
      <c r="L35" s="128">
        <f t="shared" si="11"/>
        <v>0</v>
      </c>
      <c r="M35" s="128">
        <f t="shared" si="11"/>
        <v>0</v>
      </c>
      <c r="N35" s="128">
        <f t="shared" si="11"/>
        <v>0</v>
      </c>
      <c r="O35" s="128">
        <f t="shared" si="11"/>
        <v>0</v>
      </c>
      <c r="P35" s="128">
        <f t="shared" si="11"/>
        <v>0</v>
      </c>
      <c r="Q35" s="128">
        <f t="shared" si="11"/>
        <v>0</v>
      </c>
      <c r="R35" s="128">
        <f t="shared" si="11"/>
        <v>0</v>
      </c>
      <c r="S35" s="128">
        <f t="shared" si="11"/>
        <v>0</v>
      </c>
      <c r="T35" s="128">
        <f t="shared" si="11"/>
        <v>0</v>
      </c>
      <c r="U35" s="128">
        <f t="shared" si="11"/>
        <v>0</v>
      </c>
      <c r="V35" s="128">
        <f t="shared" si="11"/>
        <v>0</v>
      </c>
      <c r="W35" s="128">
        <f t="shared" si="11"/>
        <v>0</v>
      </c>
      <c r="X35" s="128">
        <f t="shared" si="11"/>
        <v>0</v>
      </c>
      <c r="Y35" s="128">
        <f t="shared" si="11"/>
        <v>0</v>
      </c>
      <c r="Z35" s="128">
        <f t="shared" si="11"/>
        <v>0</v>
      </c>
      <c r="AA35" s="128">
        <f t="shared" si="11"/>
        <v>0</v>
      </c>
      <c r="AB35" s="128">
        <f t="shared" si="11"/>
        <v>0</v>
      </c>
      <c r="AC35" s="128">
        <f t="shared" si="11"/>
        <v>0</v>
      </c>
      <c r="AD35" s="128">
        <f t="shared" si="11"/>
        <v>0</v>
      </c>
      <c r="AE35" s="128">
        <f t="shared" si="11"/>
        <v>0</v>
      </c>
      <c r="AF35" s="128">
        <f t="shared" si="11"/>
        <v>0</v>
      </c>
      <c r="AG35" s="128">
        <f t="shared" si="11"/>
        <v>0</v>
      </c>
      <c r="AH35" s="128">
        <f t="shared" si="11"/>
        <v>0</v>
      </c>
      <c r="AI35" s="128">
        <f t="shared" si="11"/>
        <v>0</v>
      </c>
      <c r="AJ35" s="128">
        <f t="shared" si="11"/>
        <v>0</v>
      </c>
      <c r="AK35" s="128">
        <f t="shared" si="11"/>
        <v>0</v>
      </c>
      <c r="AL35" s="128">
        <f t="shared" si="11"/>
        <v>0</v>
      </c>
      <c r="AM35" s="128">
        <f t="shared" si="11"/>
        <v>0</v>
      </c>
      <c r="AN35" s="128">
        <f t="shared" si="11"/>
        <v>0</v>
      </c>
      <c r="AO35" s="128">
        <f t="shared" si="11"/>
        <v>0</v>
      </c>
      <c r="AP35" s="128">
        <f t="shared" si="11"/>
        <v>0</v>
      </c>
      <c r="AQ35" s="128">
        <f t="shared" si="11"/>
        <v>0</v>
      </c>
      <c r="AR35" s="128">
        <f t="shared" si="11"/>
        <v>0</v>
      </c>
      <c r="AS35" s="128">
        <f t="shared" si="11"/>
        <v>0</v>
      </c>
      <c r="AT35" s="128">
        <f t="shared" si="11"/>
        <v>0</v>
      </c>
      <c r="AU35" s="128">
        <f t="shared" si="11"/>
        <v>0</v>
      </c>
      <c r="AV35" s="128">
        <f t="shared" si="11"/>
        <v>0</v>
      </c>
      <c r="AW35" s="128">
        <f t="shared" si="11"/>
        <v>0</v>
      </c>
      <c r="AX35" s="128">
        <f t="shared" si="11"/>
        <v>0</v>
      </c>
      <c r="AY35" s="128">
        <f t="shared" si="11"/>
        <v>0</v>
      </c>
    </row>
    <row r="36" spans="1:52" x14ac:dyDescent="0.2">
      <c r="A36" s="128"/>
      <c r="B36" s="182" t="s">
        <v>344</v>
      </c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</row>
    <row r="37" spans="1:52" x14ac:dyDescent="0.2">
      <c r="A37" s="128"/>
      <c r="B37" s="182" t="s">
        <v>345</v>
      </c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</row>
    <row r="38" spans="1:52" x14ac:dyDescent="0.2">
      <c r="A38" s="128"/>
      <c r="B38" s="182" t="s">
        <v>346</v>
      </c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</row>
    <row r="39" spans="1:52" x14ac:dyDescent="0.2">
      <c r="A39" s="128"/>
      <c r="B39" s="182" t="s">
        <v>347</v>
      </c>
      <c r="C39" s="128"/>
      <c r="D39" s="128">
        <f>D33-D36</f>
        <v>0</v>
      </c>
      <c r="E39" s="128">
        <f t="shared" ref="E39:AY39" si="12">E33-E36</f>
        <v>0</v>
      </c>
      <c r="F39" s="128">
        <f t="shared" si="12"/>
        <v>0</v>
      </c>
      <c r="G39" s="128">
        <f t="shared" si="12"/>
        <v>0</v>
      </c>
      <c r="H39" s="128">
        <f t="shared" si="12"/>
        <v>0</v>
      </c>
      <c r="I39" s="128">
        <f t="shared" si="12"/>
        <v>0</v>
      </c>
      <c r="J39" s="128">
        <f t="shared" si="12"/>
        <v>0</v>
      </c>
      <c r="K39" s="128">
        <f t="shared" si="12"/>
        <v>0</v>
      </c>
      <c r="L39" s="128">
        <f t="shared" si="12"/>
        <v>0</v>
      </c>
      <c r="M39" s="128">
        <f t="shared" si="12"/>
        <v>0</v>
      </c>
      <c r="N39" s="128">
        <f t="shared" si="12"/>
        <v>0</v>
      </c>
      <c r="O39" s="128">
        <f t="shared" si="12"/>
        <v>0</v>
      </c>
      <c r="P39" s="128">
        <f t="shared" si="12"/>
        <v>0</v>
      </c>
      <c r="Q39" s="128">
        <f t="shared" si="12"/>
        <v>0</v>
      </c>
      <c r="R39" s="128">
        <f t="shared" si="12"/>
        <v>0</v>
      </c>
      <c r="S39" s="128">
        <f t="shared" si="12"/>
        <v>0</v>
      </c>
      <c r="T39" s="128">
        <f t="shared" si="12"/>
        <v>0</v>
      </c>
      <c r="U39" s="128">
        <f t="shared" si="12"/>
        <v>0</v>
      </c>
      <c r="V39" s="128">
        <f t="shared" si="12"/>
        <v>0</v>
      </c>
      <c r="W39" s="128">
        <f t="shared" si="12"/>
        <v>0</v>
      </c>
      <c r="X39" s="128">
        <f t="shared" si="12"/>
        <v>0</v>
      </c>
      <c r="Y39" s="128">
        <f t="shared" si="12"/>
        <v>0</v>
      </c>
      <c r="Z39" s="128">
        <f t="shared" si="12"/>
        <v>0</v>
      </c>
      <c r="AA39" s="128">
        <f t="shared" si="12"/>
        <v>0</v>
      </c>
      <c r="AB39" s="128">
        <f t="shared" si="12"/>
        <v>0</v>
      </c>
      <c r="AC39" s="128">
        <f t="shared" si="12"/>
        <v>0</v>
      </c>
      <c r="AD39" s="128">
        <f t="shared" si="12"/>
        <v>0</v>
      </c>
      <c r="AE39" s="128">
        <f t="shared" si="12"/>
        <v>0</v>
      </c>
      <c r="AF39" s="128">
        <f t="shared" si="12"/>
        <v>0</v>
      </c>
      <c r="AG39" s="128">
        <f t="shared" si="12"/>
        <v>0</v>
      </c>
      <c r="AH39" s="128">
        <f t="shared" si="12"/>
        <v>0</v>
      </c>
      <c r="AI39" s="128">
        <f t="shared" si="12"/>
        <v>0</v>
      </c>
      <c r="AJ39" s="128">
        <f t="shared" si="12"/>
        <v>0</v>
      </c>
      <c r="AK39" s="128">
        <f t="shared" si="12"/>
        <v>0</v>
      </c>
      <c r="AL39" s="128">
        <f t="shared" si="12"/>
        <v>0</v>
      </c>
      <c r="AM39" s="128">
        <f t="shared" si="12"/>
        <v>0</v>
      </c>
      <c r="AN39" s="128">
        <f t="shared" si="12"/>
        <v>0</v>
      </c>
      <c r="AO39" s="128">
        <f t="shared" si="12"/>
        <v>0</v>
      </c>
      <c r="AP39" s="128">
        <f t="shared" si="12"/>
        <v>0</v>
      </c>
      <c r="AQ39" s="128">
        <f t="shared" si="12"/>
        <v>0</v>
      </c>
      <c r="AR39" s="128">
        <f t="shared" si="12"/>
        <v>0</v>
      </c>
      <c r="AS39" s="128">
        <f t="shared" si="12"/>
        <v>0</v>
      </c>
      <c r="AT39" s="128">
        <f t="shared" si="12"/>
        <v>0</v>
      </c>
      <c r="AU39" s="128">
        <f t="shared" si="12"/>
        <v>0</v>
      </c>
      <c r="AV39" s="128">
        <f t="shared" si="12"/>
        <v>0</v>
      </c>
      <c r="AW39" s="128">
        <f t="shared" si="12"/>
        <v>0</v>
      </c>
      <c r="AX39" s="128">
        <f t="shared" si="12"/>
        <v>0</v>
      </c>
      <c r="AY39" s="128">
        <f t="shared" si="12"/>
        <v>0</v>
      </c>
    </row>
    <row r="40" spans="1:52" x14ac:dyDescent="0.2">
      <c r="A40" s="128"/>
      <c r="B40" s="182" t="s">
        <v>348</v>
      </c>
      <c r="C40" s="128"/>
      <c r="D40" s="128">
        <f>D34-D37</f>
        <v>0</v>
      </c>
      <c r="E40" s="128">
        <f t="shared" ref="E40:AY40" si="13">E34-E37</f>
        <v>0</v>
      </c>
      <c r="F40" s="128">
        <f t="shared" si="13"/>
        <v>0</v>
      </c>
      <c r="G40" s="128">
        <f t="shared" si="13"/>
        <v>0</v>
      </c>
      <c r="H40" s="128">
        <f t="shared" si="13"/>
        <v>0</v>
      </c>
      <c r="I40" s="128">
        <f t="shared" si="13"/>
        <v>0</v>
      </c>
      <c r="J40" s="128">
        <f t="shared" si="13"/>
        <v>0</v>
      </c>
      <c r="K40" s="128">
        <f t="shared" si="13"/>
        <v>0</v>
      </c>
      <c r="L40" s="128">
        <f t="shared" si="13"/>
        <v>0</v>
      </c>
      <c r="M40" s="128">
        <f t="shared" si="13"/>
        <v>0</v>
      </c>
      <c r="N40" s="128">
        <f t="shared" si="13"/>
        <v>0</v>
      </c>
      <c r="O40" s="128">
        <f t="shared" si="13"/>
        <v>0</v>
      </c>
      <c r="P40" s="128">
        <f t="shared" si="13"/>
        <v>0</v>
      </c>
      <c r="Q40" s="128">
        <f t="shared" si="13"/>
        <v>0</v>
      </c>
      <c r="R40" s="128">
        <f t="shared" si="13"/>
        <v>0</v>
      </c>
      <c r="S40" s="128">
        <f t="shared" si="13"/>
        <v>0</v>
      </c>
      <c r="T40" s="128">
        <f t="shared" si="13"/>
        <v>0</v>
      </c>
      <c r="U40" s="128">
        <f t="shared" si="13"/>
        <v>0</v>
      </c>
      <c r="V40" s="128">
        <f t="shared" si="13"/>
        <v>0</v>
      </c>
      <c r="W40" s="128">
        <f t="shared" si="13"/>
        <v>0</v>
      </c>
      <c r="X40" s="128">
        <f t="shared" si="13"/>
        <v>0</v>
      </c>
      <c r="Y40" s="128">
        <f t="shared" si="13"/>
        <v>0</v>
      </c>
      <c r="Z40" s="128">
        <f t="shared" si="13"/>
        <v>0</v>
      </c>
      <c r="AA40" s="128">
        <f t="shared" si="13"/>
        <v>0</v>
      </c>
      <c r="AB40" s="128">
        <f t="shared" si="13"/>
        <v>0</v>
      </c>
      <c r="AC40" s="128">
        <f t="shared" si="13"/>
        <v>0</v>
      </c>
      <c r="AD40" s="128">
        <f t="shared" si="13"/>
        <v>0</v>
      </c>
      <c r="AE40" s="128">
        <f t="shared" si="13"/>
        <v>0</v>
      </c>
      <c r="AF40" s="128">
        <f t="shared" si="13"/>
        <v>0</v>
      </c>
      <c r="AG40" s="128">
        <f t="shared" si="13"/>
        <v>0</v>
      </c>
      <c r="AH40" s="128">
        <f t="shared" si="13"/>
        <v>0</v>
      </c>
      <c r="AI40" s="128">
        <f t="shared" si="13"/>
        <v>0</v>
      </c>
      <c r="AJ40" s="128">
        <f t="shared" si="13"/>
        <v>0</v>
      </c>
      <c r="AK40" s="128">
        <f t="shared" si="13"/>
        <v>0</v>
      </c>
      <c r="AL40" s="128">
        <f t="shared" si="13"/>
        <v>0</v>
      </c>
      <c r="AM40" s="128">
        <f t="shared" si="13"/>
        <v>0</v>
      </c>
      <c r="AN40" s="128">
        <f t="shared" si="13"/>
        <v>0</v>
      </c>
      <c r="AO40" s="128">
        <f t="shared" si="13"/>
        <v>0</v>
      </c>
      <c r="AP40" s="128">
        <f t="shared" si="13"/>
        <v>0</v>
      </c>
      <c r="AQ40" s="128">
        <f t="shared" si="13"/>
        <v>0</v>
      </c>
      <c r="AR40" s="128">
        <f t="shared" si="13"/>
        <v>0</v>
      </c>
      <c r="AS40" s="128">
        <f t="shared" si="13"/>
        <v>0</v>
      </c>
      <c r="AT40" s="128">
        <f t="shared" si="13"/>
        <v>0</v>
      </c>
      <c r="AU40" s="128">
        <f t="shared" si="13"/>
        <v>0</v>
      </c>
      <c r="AV40" s="128">
        <f t="shared" si="13"/>
        <v>0</v>
      </c>
      <c r="AW40" s="128">
        <f t="shared" si="13"/>
        <v>0</v>
      </c>
      <c r="AX40" s="128">
        <f t="shared" si="13"/>
        <v>0</v>
      </c>
      <c r="AY40" s="128">
        <f t="shared" si="13"/>
        <v>0</v>
      </c>
    </row>
    <row r="41" spans="1:52" x14ac:dyDescent="0.2">
      <c r="A41" s="128"/>
      <c r="B41" s="182" t="s">
        <v>349</v>
      </c>
      <c r="C41" s="128"/>
      <c r="D41" s="128">
        <v>2</v>
      </c>
      <c r="E41" s="128">
        <v>1</v>
      </c>
      <c r="F41" s="128">
        <v>1</v>
      </c>
      <c r="G41" s="128">
        <v>1</v>
      </c>
      <c r="H41" s="128">
        <v>1</v>
      </c>
      <c r="I41" s="128">
        <v>2</v>
      </c>
      <c r="J41" s="128">
        <v>1</v>
      </c>
      <c r="K41" s="128">
        <v>1</v>
      </c>
      <c r="L41" s="128">
        <v>1</v>
      </c>
      <c r="M41" s="128">
        <v>1</v>
      </c>
      <c r="N41" s="128">
        <v>2</v>
      </c>
      <c r="O41" s="128">
        <v>3</v>
      </c>
      <c r="P41" s="128">
        <v>1</v>
      </c>
      <c r="Q41" s="128">
        <v>1</v>
      </c>
      <c r="R41" s="128">
        <v>1</v>
      </c>
      <c r="S41" s="128">
        <v>1</v>
      </c>
      <c r="T41" s="128">
        <v>2</v>
      </c>
      <c r="U41" s="128">
        <v>1</v>
      </c>
      <c r="V41" s="128">
        <v>2</v>
      </c>
      <c r="W41" s="128">
        <v>1</v>
      </c>
      <c r="X41" s="128">
        <v>1</v>
      </c>
      <c r="Y41" s="128">
        <v>1</v>
      </c>
      <c r="Z41" s="128">
        <v>1</v>
      </c>
      <c r="AA41" s="128">
        <v>1</v>
      </c>
      <c r="AB41" s="128">
        <v>1</v>
      </c>
      <c r="AC41" s="128">
        <v>1</v>
      </c>
      <c r="AD41" s="128">
        <v>1</v>
      </c>
      <c r="AE41" s="128">
        <v>1</v>
      </c>
      <c r="AF41" s="128">
        <v>2</v>
      </c>
      <c r="AG41" s="128">
        <v>1</v>
      </c>
      <c r="AH41" s="128">
        <v>1</v>
      </c>
      <c r="AI41" s="128">
        <v>3</v>
      </c>
      <c r="AJ41" s="128">
        <v>1</v>
      </c>
      <c r="AK41" s="128">
        <v>1</v>
      </c>
      <c r="AL41" s="128">
        <v>1</v>
      </c>
      <c r="AM41" s="128">
        <v>1</v>
      </c>
      <c r="AN41" s="128">
        <v>1</v>
      </c>
      <c r="AO41" s="128">
        <v>2</v>
      </c>
      <c r="AP41" s="128">
        <v>1</v>
      </c>
      <c r="AQ41" s="128">
        <v>1</v>
      </c>
      <c r="AR41" s="128">
        <v>1</v>
      </c>
      <c r="AS41" s="128">
        <v>2</v>
      </c>
      <c r="AT41" s="128">
        <v>1</v>
      </c>
      <c r="AU41" s="128">
        <v>2</v>
      </c>
      <c r="AV41" s="128">
        <v>1</v>
      </c>
      <c r="AW41" s="128">
        <v>1</v>
      </c>
      <c r="AX41" s="128">
        <v>2</v>
      </c>
      <c r="AY41" s="128">
        <v>1</v>
      </c>
    </row>
    <row r="42" spans="1:52" x14ac:dyDescent="0.2">
      <c r="A42" s="128"/>
      <c r="B42" s="193" t="s">
        <v>350</v>
      </c>
      <c r="C42" s="128"/>
      <c r="D42" s="128">
        <v>0</v>
      </c>
      <c r="E42" s="128">
        <v>0</v>
      </c>
      <c r="F42" s="128">
        <v>0</v>
      </c>
      <c r="G42" s="128">
        <v>0</v>
      </c>
      <c r="H42" s="128">
        <v>0</v>
      </c>
      <c r="I42" s="128">
        <v>0</v>
      </c>
      <c r="J42" s="128">
        <v>0</v>
      </c>
      <c r="K42" s="128">
        <v>0</v>
      </c>
      <c r="L42" s="128">
        <v>0</v>
      </c>
      <c r="M42" s="128">
        <v>0</v>
      </c>
      <c r="N42" s="128">
        <v>0</v>
      </c>
      <c r="O42" s="128">
        <v>0</v>
      </c>
      <c r="P42" s="128">
        <v>0</v>
      </c>
      <c r="Q42" s="128">
        <v>0</v>
      </c>
      <c r="R42" s="128">
        <v>0</v>
      </c>
      <c r="S42" s="128">
        <v>0</v>
      </c>
      <c r="T42" s="128">
        <v>0</v>
      </c>
      <c r="U42" s="128">
        <v>0</v>
      </c>
      <c r="V42" s="128">
        <v>0</v>
      </c>
      <c r="W42" s="128">
        <v>0</v>
      </c>
      <c r="X42" s="128">
        <v>0</v>
      </c>
      <c r="Y42" s="128">
        <v>0</v>
      </c>
      <c r="Z42" s="128">
        <v>0</v>
      </c>
      <c r="AA42" s="128">
        <v>0</v>
      </c>
      <c r="AB42" s="128">
        <v>0</v>
      </c>
      <c r="AC42" s="128">
        <v>0</v>
      </c>
      <c r="AD42" s="128">
        <v>0</v>
      </c>
      <c r="AE42" s="128">
        <v>0</v>
      </c>
      <c r="AF42" s="128">
        <v>0</v>
      </c>
      <c r="AG42" s="128">
        <v>0</v>
      </c>
      <c r="AH42" s="128">
        <v>0</v>
      </c>
      <c r="AI42" s="128">
        <v>0</v>
      </c>
      <c r="AJ42" s="128">
        <v>0</v>
      </c>
      <c r="AK42" s="128">
        <v>0</v>
      </c>
      <c r="AL42" s="128">
        <v>0</v>
      </c>
      <c r="AM42" s="128">
        <v>0</v>
      </c>
      <c r="AN42" s="128">
        <v>0</v>
      </c>
      <c r="AO42" s="128">
        <v>0</v>
      </c>
      <c r="AP42" s="128">
        <v>0</v>
      </c>
      <c r="AQ42" s="128">
        <v>0</v>
      </c>
      <c r="AR42" s="128">
        <v>0</v>
      </c>
      <c r="AS42" s="128">
        <v>0</v>
      </c>
      <c r="AT42" s="128">
        <v>0</v>
      </c>
      <c r="AU42" s="128">
        <v>0</v>
      </c>
      <c r="AV42" s="128">
        <v>0</v>
      </c>
      <c r="AW42" s="128">
        <v>0</v>
      </c>
      <c r="AX42" s="128">
        <v>0</v>
      </c>
      <c r="AY42" s="128">
        <v>0</v>
      </c>
      <c r="AZ42">
        <f>SUM($D$42:$AY$42)</f>
        <v>0</v>
      </c>
    </row>
    <row r="43" spans="1:52" x14ac:dyDescent="0.2">
      <c r="A43" s="128"/>
      <c r="B43" s="193" t="s">
        <v>351</v>
      </c>
      <c r="C43" s="128"/>
      <c r="D43" s="128">
        <v>0</v>
      </c>
      <c r="E43" s="128">
        <v>0</v>
      </c>
      <c r="F43" s="128">
        <v>0</v>
      </c>
      <c r="G43" s="128">
        <v>0</v>
      </c>
      <c r="H43" s="128">
        <v>0</v>
      </c>
      <c r="I43" s="128">
        <v>0</v>
      </c>
      <c r="J43" s="128">
        <v>0</v>
      </c>
      <c r="K43" s="128">
        <v>0</v>
      </c>
      <c r="L43" s="128">
        <v>0</v>
      </c>
      <c r="M43" s="128">
        <v>0</v>
      </c>
      <c r="N43" s="128">
        <v>0</v>
      </c>
      <c r="O43" s="128">
        <v>0</v>
      </c>
      <c r="P43" s="128">
        <v>0</v>
      </c>
      <c r="Q43" s="128">
        <v>0</v>
      </c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128">
        <v>0</v>
      </c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  <c r="AD43" s="128">
        <v>0</v>
      </c>
      <c r="AE43" s="128">
        <v>0</v>
      </c>
      <c r="AF43" s="128">
        <v>0</v>
      </c>
      <c r="AG43" s="128">
        <v>0</v>
      </c>
      <c r="AH43" s="128">
        <v>0</v>
      </c>
      <c r="AI43" s="128">
        <v>0</v>
      </c>
      <c r="AJ43" s="128">
        <v>0</v>
      </c>
      <c r="AK43" s="128">
        <v>0</v>
      </c>
      <c r="AL43" s="128">
        <v>0</v>
      </c>
      <c r="AM43" s="128">
        <v>0</v>
      </c>
      <c r="AN43" s="128">
        <v>0</v>
      </c>
      <c r="AO43" s="128">
        <v>0</v>
      </c>
      <c r="AP43" s="128">
        <v>0</v>
      </c>
      <c r="AQ43" s="128">
        <v>0</v>
      </c>
      <c r="AR43" s="128">
        <v>0</v>
      </c>
      <c r="AS43" s="128">
        <v>0</v>
      </c>
      <c r="AT43" s="128">
        <v>0</v>
      </c>
      <c r="AU43" s="128">
        <v>0</v>
      </c>
      <c r="AV43" s="128">
        <v>0</v>
      </c>
      <c r="AW43" s="128">
        <v>0</v>
      </c>
      <c r="AX43" s="128">
        <v>0</v>
      </c>
      <c r="AY43" s="128">
        <v>0</v>
      </c>
      <c r="AZ43">
        <f>SUM($D$43:$AY$43)</f>
        <v>0</v>
      </c>
    </row>
    <row r="44" spans="1:52" x14ac:dyDescent="0.2">
      <c r="A44" s="152" t="s">
        <v>59</v>
      </c>
      <c r="B44" s="152" t="s">
        <v>341</v>
      </c>
      <c r="C44" s="141"/>
      <c r="D44" s="141">
        <f>D$21*shipping_manufacturing!$D$28/100</f>
        <v>51.484019975039857</v>
      </c>
      <c r="E44" s="141">
        <f>E$21*shipping_manufacturing!$D$28/100</f>
        <v>272.7</v>
      </c>
      <c r="F44" s="141">
        <f>F$21*shipping_manufacturing!$D$28/100</f>
        <v>272.7</v>
      </c>
      <c r="G44" s="141">
        <f>G$21*shipping_manufacturing!$D$28/100</f>
        <v>272.7</v>
      </c>
      <c r="H44" s="141">
        <f>H$21*shipping_manufacturing!$D$28/100</f>
        <v>272.7</v>
      </c>
      <c r="I44" s="141">
        <f>I$21*shipping_manufacturing!$D$28/100</f>
        <v>272.7</v>
      </c>
      <c r="J44" s="141">
        <f>J$21*shipping_manufacturing!$D$28/100</f>
        <v>272.7</v>
      </c>
      <c r="K44" s="141">
        <f>K$21*shipping_manufacturing!$D$28/100</f>
        <v>272.7</v>
      </c>
      <c r="L44" s="141">
        <f>L$21*shipping_manufacturing!$D$28/100</f>
        <v>272.7</v>
      </c>
      <c r="M44" s="141">
        <f>M$21*shipping_manufacturing!$D$28/100</f>
        <v>272.7</v>
      </c>
      <c r="N44" s="141">
        <f>N$21*shipping_manufacturing!$D$28/100</f>
        <v>272.7</v>
      </c>
      <c r="O44" s="141">
        <f>O$21*shipping_manufacturing!$D$28/100</f>
        <v>272.7</v>
      </c>
      <c r="P44" s="141">
        <f>P$21*shipping_manufacturing!$D$28/100</f>
        <v>272.7</v>
      </c>
      <c r="Q44" s="141">
        <f>Q$21*shipping_manufacturing!$D$28/100</f>
        <v>272.7</v>
      </c>
      <c r="R44" s="141">
        <f>R$21*shipping_manufacturing!$D$28/100</f>
        <v>272.7</v>
      </c>
      <c r="S44" s="141">
        <f>S$21*shipping_manufacturing!$D$28/100</f>
        <v>272.7</v>
      </c>
      <c r="T44" s="141">
        <f>T$21*shipping_manufacturing!$D$28/100</f>
        <v>272.7</v>
      </c>
      <c r="U44" s="141">
        <f>U$21*shipping_manufacturing!$D$28/100</f>
        <v>272.7</v>
      </c>
      <c r="V44" s="141">
        <f>V$21*shipping_manufacturing!$D$28/100</f>
        <v>272.7</v>
      </c>
      <c r="W44" s="141">
        <f>W$21*shipping_manufacturing!$D$28/100</f>
        <v>272.7</v>
      </c>
      <c r="X44" s="141">
        <f>X$21*shipping_manufacturing!$D$28/100</f>
        <v>272.7</v>
      </c>
      <c r="Y44" s="141">
        <f>Y$21*shipping_manufacturing!$D$28/100</f>
        <v>272.7</v>
      </c>
      <c r="Z44" s="141">
        <f>Z$21*shipping_manufacturing!$D$28/100</f>
        <v>272.7</v>
      </c>
      <c r="AA44" s="141">
        <f>AA$21*shipping_manufacturing!$D$28/100</f>
        <v>272.7</v>
      </c>
      <c r="AB44" s="141">
        <f>AB$21*shipping_manufacturing!$D$28/100</f>
        <v>272.7</v>
      </c>
      <c r="AC44" s="141">
        <f>AC$21*shipping_manufacturing!$D$28/100</f>
        <v>272.7</v>
      </c>
      <c r="AD44" s="141">
        <f>AD$21*shipping_manufacturing!$D$28/100</f>
        <v>272.7</v>
      </c>
      <c r="AE44" s="141">
        <f>AE$21*shipping_manufacturing!$D$28/100</f>
        <v>0</v>
      </c>
      <c r="AF44" s="141">
        <f>AF$21*shipping_manufacturing!$D$28/100</f>
        <v>272.7</v>
      </c>
      <c r="AG44" s="141">
        <f>AG$21*shipping_manufacturing!$D$28/100</f>
        <v>272.7</v>
      </c>
      <c r="AH44" s="141">
        <f>AH$21*shipping_manufacturing!$D$28/100</f>
        <v>272.7</v>
      </c>
      <c r="AI44" s="141">
        <f>AI$21*shipping_manufacturing!$D$28/100</f>
        <v>0</v>
      </c>
      <c r="AJ44" s="141">
        <f>AJ$21*shipping_manufacturing!$D$28/100</f>
        <v>272.7</v>
      </c>
      <c r="AK44" s="141">
        <f>AK$21*shipping_manufacturing!$D$28/100</f>
        <v>0</v>
      </c>
      <c r="AL44" s="141">
        <f>AL$21*shipping_manufacturing!$D$28/100</f>
        <v>272.7</v>
      </c>
      <c r="AM44" s="141">
        <f>AM$21*shipping_manufacturing!$D$28/100</f>
        <v>272.7</v>
      </c>
      <c r="AN44" s="141">
        <f>AN$21*shipping_manufacturing!$D$28/100</f>
        <v>272.7</v>
      </c>
      <c r="AO44" s="141">
        <f>AO$21*shipping_manufacturing!$D$28/100</f>
        <v>272.7</v>
      </c>
      <c r="AP44" s="141">
        <f>AP$21*shipping_manufacturing!$D$28/100</f>
        <v>272.7</v>
      </c>
      <c r="AQ44" s="141">
        <f>AQ$21*shipping_manufacturing!$D$28/100</f>
        <v>272.7</v>
      </c>
      <c r="AR44" s="141">
        <f>AR$21*shipping_manufacturing!$D$28/100</f>
        <v>272.7</v>
      </c>
      <c r="AS44" s="141">
        <f>AS$21*shipping_manufacturing!$D$28/100</f>
        <v>272.7</v>
      </c>
      <c r="AT44" s="141">
        <f>AT$21*shipping_manufacturing!$D$28/100</f>
        <v>272.7</v>
      </c>
      <c r="AU44" s="141">
        <f>AU$21*shipping_manufacturing!$D$28/100</f>
        <v>272.7</v>
      </c>
      <c r="AV44" s="141">
        <f>AV$21*shipping_manufacturing!$D$28/100</f>
        <v>150.8561443115581</v>
      </c>
      <c r="AW44" s="141">
        <f>AW$21*shipping_manufacturing!$D$28/100</f>
        <v>151.0262098075608</v>
      </c>
      <c r="AX44" s="141">
        <f>AX$21*shipping_manufacturing!$D$28/100</f>
        <v>272.7</v>
      </c>
      <c r="AY44" s="141">
        <f>AY$21*shipping_manufacturing!$D$28/100</f>
        <v>272.7</v>
      </c>
    </row>
    <row r="45" spans="1:52" x14ac:dyDescent="0.2">
      <c r="A45" s="130" t="s">
        <v>340</v>
      </c>
      <c r="B45" s="182" t="s">
        <v>342</v>
      </c>
      <c r="C45" s="128"/>
      <c r="D45" s="128">
        <f>D$22*shipping_manufacturing!$E$28/100</f>
        <v>120.12937994175965</v>
      </c>
      <c r="E45" s="128">
        <f>E$22*shipping_manufacturing!$E$28/100</f>
        <v>636.29999999999995</v>
      </c>
      <c r="F45" s="128">
        <f>F$22*shipping_manufacturing!$E$28/100</f>
        <v>636.29999999999995</v>
      </c>
      <c r="G45" s="128">
        <f>G$22*shipping_manufacturing!$E$28/100</f>
        <v>636.29999999999995</v>
      </c>
      <c r="H45" s="128">
        <f>H$22*shipping_manufacturing!$E$28/100</f>
        <v>636.29999999999995</v>
      </c>
      <c r="I45" s="128">
        <f>I$22*shipping_manufacturing!$E$28/100</f>
        <v>636.29999999999995</v>
      </c>
      <c r="J45" s="128">
        <f>J$22*shipping_manufacturing!$E$28/100</f>
        <v>636.29999999999995</v>
      </c>
      <c r="K45" s="128">
        <f>K$22*shipping_manufacturing!$E$28/100</f>
        <v>636.29999999999995</v>
      </c>
      <c r="L45" s="128">
        <f>L$22*shipping_manufacturing!$E$28/100</f>
        <v>636.29999999999995</v>
      </c>
      <c r="M45" s="128">
        <f>M$22*shipping_manufacturing!$E$28/100</f>
        <v>636.29999999999995</v>
      </c>
      <c r="N45" s="128">
        <f>N$22*shipping_manufacturing!$E$28/100</f>
        <v>636.29999999999995</v>
      </c>
      <c r="O45" s="128">
        <f>O$22*shipping_manufacturing!$E$28/100</f>
        <v>636.29999999999995</v>
      </c>
      <c r="P45" s="128">
        <f>P$22*shipping_manufacturing!$E$28/100</f>
        <v>636.29999999999995</v>
      </c>
      <c r="Q45" s="128">
        <f>Q$22*shipping_manufacturing!$E$28/100</f>
        <v>636.29999999999995</v>
      </c>
      <c r="R45" s="128">
        <f>R$22*shipping_manufacturing!$E$28/100</f>
        <v>636.29999999999995</v>
      </c>
      <c r="S45" s="128">
        <f>S$22*shipping_manufacturing!$E$28/100</f>
        <v>636.29999999999995</v>
      </c>
      <c r="T45" s="128">
        <f>T$22*shipping_manufacturing!$E$28/100</f>
        <v>636.29999999999995</v>
      </c>
      <c r="U45" s="128">
        <f>U$22*shipping_manufacturing!$E$28/100</f>
        <v>636.29999999999995</v>
      </c>
      <c r="V45" s="128">
        <f>V$22*shipping_manufacturing!$E$28/100</f>
        <v>636.29999999999995</v>
      </c>
      <c r="W45" s="128">
        <f>W$22*shipping_manufacturing!$E$28/100</f>
        <v>636.29999999999995</v>
      </c>
      <c r="X45" s="128">
        <f>X$22*shipping_manufacturing!$E$28/100</f>
        <v>636.29999999999995</v>
      </c>
      <c r="Y45" s="128">
        <f>Y$22*shipping_manufacturing!$E$28/100</f>
        <v>636.29999999999995</v>
      </c>
      <c r="Z45" s="128">
        <f>Z$22*shipping_manufacturing!$E$28/100</f>
        <v>636.29999999999995</v>
      </c>
      <c r="AA45" s="128">
        <f>AA$22*shipping_manufacturing!$E$28/100</f>
        <v>636.29999999999995</v>
      </c>
      <c r="AB45" s="128">
        <f>AB$22*shipping_manufacturing!$E$28/100</f>
        <v>636.29999999999995</v>
      </c>
      <c r="AC45" s="128">
        <f>AC$22*shipping_manufacturing!$E$28/100</f>
        <v>636.29999999999995</v>
      </c>
      <c r="AD45" s="128">
        <f>AD$22*shipping_manufacturing!$E$28/100</f>
        <v>636.29999999999995</v>
      </c>
      <c r="AE45" s="128">
        <f>AE$22*shipping_manufacturing!$E$28/100</f>
        <v>0</v>
      </c>
      <c r="AF45" s="128">
        <f>AF$22*shipping_manufacturing!$E$28/100</f>
        <v>636.29999999999995</v>
      </c>
      <c r="AG45" s="128">
        <f>AG$22*shipping_manufacturing!$E$28/100</f>
        <v>636.29999999999995</v>
      </c>
      <c r="AH45" s="128">
        <f>AH$22*shipping_manufacturing!$E$28/100</f>
        <v>636.29999999999995</v>
      </c>
      <c r="AI45" s="128">
        <f>AI$22*shipping_manufacturing!$E$28/100</f>
        <v>0</v>
      </c>
      <c r="AJ45" s="128">
        <f>AJ$22*shipping_manufacturing!$E$28/100</f>
        <v>636.29999999999995</v>
      </c>
      <c r="AK45" s="128">
        <f>AK$22*shipping_manufacturing!$E$28/100</f>
        <v>0</v>
      </c>
      <c r="AL45" s="128">
        <f>AL$22*shipping_manufacturing!$E$28/100</f>
        <v>636.29999999999995</v>
      </c>
      <c r="AM45" s="128">
        <f>AM$22*shipping_manufacturing!$E$28/100</f>
        <v>636.29999999999995</v>
      </c>
      <c r="AN45" s="128">
        <f>AN$22*shipping_manufacturing!$E$28/100</f>
        <v>636.29999999999995</v>
      </c>
      <c r="AO45" s="128">
        <f>AO$22*shipping_manufacturing!$E$28/100</f>
        <v>636.29999999999995</v>
      </c>
      <c r="AP45" s="128">
        <f>AP$22*shipping_manufacturing!$E$28/100</f>
        <v>636.29999999999995</v>
      </c>
      <c r="AQ45" s="128">
        <f>AQ$22*shipping_manufacturing!$E$28/100</f>
        <v>636.29999999999995</v>
      </c>
      <c r="AR45" s="128">
        <f>AR$22*shipping_manufacturing!$E$28/100</f>
        <v>636.29999999999995</v>
      </c>
      <c r="AS45" s="128">
        <f>AS$22*shipping_manufacturing!$E$28/100</f>
        <v>636.29999999999995</v>
      </c>
      <c r="AT45" s="128">
        <f>AT$22*shipping_manufacturing!$E$28/100</f>
        <v>636.29999999999995</v>
      </c>
      <c r="AU45" s="128">
        <f>AU$22*shipping_manufacturing!$E$28/100</f>
        <v>636.29999999999995</v>
      </c>
      <c r="AV45" s="128">
        <f>AV$22*shipping_manufacturing!$E$28/100</f>
        <v>351.99767006030226</v>
      </c>
      <c r="AW45" s="128">
        <f>AW$22*shipping_manufacturing!$E$28/100</f>
        <v>352.39448955097521</v>
      </c>
      <c r="AX45" s="128">
        <f>AX$22*shipping_manufacturing!$E$28/100</f>
        <v>636.29999999999995</v>
      </c>
      <c r="AY45" s="128">
        <f>AY$22*shipping_manufacturing!$E$28/100</f>
        <v>636.29999999999995</v>
      </c>
    </row>
    <row r="46" spans="1:52" x14ac:dyDescent="0.2">
      <c r="A46" s="128">
        <v>718</v>
      </c>
      <c r="B46" s="182" t="s">
        <v>343</v>
      </c>
      <c r="C46" s="128"/>
      <c r="D46" s="128">
        <f>SUM(D44:D45)</f>
        <v>171.61339991679949</v>
      </c>
      <c r="E46" s="128">
        <f t="shared" ref="E46:AY46" si="14">SUM(E44:E45)</f>
        <v>909</v>
      </c>
      <c r="F46" s="128">
        <f t="shared" si="14"/>
        <v>909</v>
      </c>
      <c r="G46" s="128">
        <f t="shared" si="14"/>
        <v>909</v>
      </c>
      <c r="H46" s="128">
        <f t="shared" si="14"/>
        <v>909</v>
      </c>
      <c r="I46" s="128">
        <f t="shared" si="14"/>
        <v>909</v>
      </c>
      <c r="J46" s="128">
        <f t="shared" si="14"/>
        <v>909</v>
      </c>
      <c r="K46" s="128">
        <f t="shared" si="14"/>
        <v>909</v>
      </c>
      <c r="L46" s="128">
        <f t="shared" si="14"/>
        <v>909</v>
      </c>
      <c r="M46" s="128">
        <f t="shared" si="14"/>
        <v>909</v>
      </c>
      <c r="N46" s="128">
        <f t="shared" si="14"/>
        <v>909</v>
      </c>
      <c r="O46" s="128">
        <f t="shared" si="14"/>
        <v>909</v>
      </c>
      <c r="P46" s="128">
        <f t="shared" si="14"/>
        <v>909</v>
      </c>
      <c r="Q46" s="128">
        <f t="shared" si="14"/>
        <v>909</v>
      </c>
      <c r="R46" s="128">
        <f t="shared" si="14"/>
        <v>909</v>
      </c>
      <c r="S46" s="128">
        <f t="shared" si="14"/>
        <v>909</v>
      </c>
      <c r="T46" s="128">
        <f t="shared" si="14"/>
        <v>909</v>
      </c>
      <c r="U46" s="128">
        <f t="shared" si="14"/>
        <v>909</v>
      </c>
      <c r="V46" s="128">
        <f t="shared" si="14"/>
        <v>909</v>
      </c>
      <c r="W46" s="128">
        <f t="shared" si="14"/>
        <v>909</v>
      </c>
      <c r="X46" s="128">
        <f t="shared" si="14"/>
        <v>909</v>
      </c>
      <c r="Y46" s="128">
        <f t="shared" si="14"/>
        <v>909</v>
      </c>
      <c r="Z46" s="128">
        <f t="shared" si="14"/>
        <v>909</v>
      </c>
      <c r="AA46" s="128">
        <f t="shared" si="14"/>
        <v>909</v>
      </c>
      <c r="AB46" s="128">
        <f t="shared" si="14"/>
        <v>909</v>
      </c>
      <c r="AC46" s="128">
        <f t="shared" si="14"/>
        <v>909</v>
      </c>
      <c r="AD46" s="128">
        <f t="shared" si="14"/>
        <v>909</v>
      </c>
      <c r="AE46" s="128">
        <f t="shared" si="14"/>
        <v>0</v>
      </c>
      <c r="AF46" s="128">
        <f t="shared" si="14"/>
        <v>909</v>
      </c>
      <c r="AG46" s="128">
        <f t="shared" si="14"/>
        <v>909</v>
      </c>
      <c r="AH46" s="128">
        <f t="shared" si="14"/>
        <v>909</v>
      </c>
      <c r="AI46" s="128">
        <f t="shared" si="14"/>
        <v>0</v>
      </c>
      <c r="AJ46" s="128">
        <f t="shared" si="14"/>
        <v>909</v>
      </c>
      <c r="AK46" s="128">
        <f t="shared" si="14"/>
        <v>0</v>
      </c>
      <c r="AL46" s="128">
        <f t="shared" si="14"/>
        <v>909</v>
      </c>
      <c r="AM46" s="128">
        <f t="shared" si="14"/>
        <v>909</v>
      </c>
      <c r="AN46" s="128">
        <f t="shared" si="14"/>
        <v>909</v>
      </c>
      <c r="AO46" s="128">
        <f t="shared" si="14"/>
        <v>909</v>
      </c>
      <c r="AP46" s="128">
        <f t="shared" si="14"/>
        <v>909</v>
      </c>
      <c r="AQ46" s="128">
        <f t="shared" si="14"/>
        <v>909</v>
      </c>
      <c r="AR46" s="128">
        <f t="shared" si="14"/>
        <v>909</v>
      </c>
      <c r="AS46" s="128">
        <f t="shared" si="14"/>
        <v>909</v>
      </c>
      <c r="AT46" s="128">
        <f t="shared" si="14"/>
        <v>909</v>
      </c>
      <c r="AU46" s="128">
        <f t="shared" si="14"/>
        <v>909</v>
      </c>
      <c r="AV46" s="128">
        <f t="shared" si="14"/>
        <v>502.85381437186038</v>
      </c>
      <c r="AW46" s="128">
        <f t="shared" si="14"/>
        <v>503.42069935853601</v>
      </c>
      <c r="AX46" s="128">
        <f t="shared" si="14"/>
        <v>909</v>
      </c>
      <c r="AY46" s="128">
        <f t="shared" si="14"/>
        <v>909</v>
      </c>
    </row>
    <row r="47" spans="1:52" x14ac:dyDescent="0.2">
      <c r="A47" s="128"/>
      <c r="B47" s="182" t="s">
        <v>344</v>
      </c>
      <c r="C47" s="128"/>
      <c r="D47" s="128">
        <v>51.484019975039857</v>
      </c>
      <c r="E47" s="128">
        <v>117</v>
      </c>
      <c r="F47" s="128">
        <v>54</v>
      </c>
      <c r="G47" s="128">
        <v>117</v>
      </c>
      <c r="H47" s="128">
        <v>54</v>
      </c>
      <c r="I47" s="128">
        <v>117</v>
      </c>
      <c r="J47" s="128">
        <v>54</v>
      </c>
      <c r="K47" s="128">
        <v>117</v>
      </c>
      <c r="L47" s="128">
        <v>54</v>
      </c>
      <c r="M47" s="128">
        <v>117</v>
      </c>
      <c r="N47" s="128">
        <v>54</v>
      </c>
      <c r="O47" s="128">
        <v>117</v>
      </c>
      <c r="P47" s="128">
        <v>54</v>
      </c>
      <c r="Q47" s="128">
        <v>117</v>
      </c>
      <c r="R47" s="128">
        <v>54</v>
      </c>
      <c r="S47" s="128">
        <v>117</v>
      </c>
      <c r="T47" s="128">
        <v>54</v>
      </c>
      <c r="U47" s="128">
        <v>117</v>
      </c>
      <c r="V47" s="128">
        <v>54</v>
      </c>
      <c r="W47" s="128">
        <v>117</v>
      </c>
      <c r="X47" s="128">
        <v>54</v>
      </c>
      <c r="Y47" s="128">
        <v>117</v>
      </c>
      <c r="Z47" s="128">
        <v>54</v>
      </c>
      <c r="AA47" s="128">
        <v>117</v>
      </c>
      <c r="AB47" s="128">
        <v>54</v>
      </c>
      <c r="AC47" s="128">
        <v>117</v>
      </c>
      <c r="AD47" s="128">
        <v>54</v>
      </c>
      <c r="AE47" s="128"/>
      <c r="AF47" s="128">
        <v>171</v>
      </c>
      <c r="AG47" s="128"/>
      <c r="AH47" s="128">
        <v>171</v>
      </c>
      <c r="AI47" s="128"/>
      <c r="AJ47" s="128">
        <v>171</v>
      </c>
      <c r="AK47" s="128"/>
      <c r="AL47" s="128">
        <v>171</v>
      </c>
      <c r="AM47" s="128"/>
      <c r="AN47" s="128">
        <v>171</v>
      </c>
      <c r="AO47" s="128"/>
      <c r="AP47" s="128">
        <v>171</v>
      </c>
      <c r="AQ47" s="128"/>
      <c r="AR47" s="128">
        <v>171</v>
      </c>
      <c r="AS47" s="128"/>
      <c r="AT47" s="128">
        <v>171</v>
      </c>
      <c r="AU47" s="128"/>
      <c r="AV47" s="128">
        <v>150.8561443115581</v>
      </c>
      <c r="AW47" s="128">
        <v>18</v>
      </c>
      <c r="AX47" s="128">
        <v>153</v>
      </c>
      <c r="AY47" s="128">
        <v>18</v>
      </c>
    </row>
    <row r="48" spans="1:52" x14ac:dyDescent="0.2">
      <c r="A48" s="128"/>
      <c r="B48" s="182" t="s">
        <v>345</v>
      </c>
      <c r="C48" s="128"/>
      <c r="D48" s="128">
        <v>120.12937994175965</v>
      </c>
      <c r="E48" s="128">
        <v>273</v>
      </c>
      <c r="F48" s="128">
        <v>126</v>
      </c>
      <c r="G48" s="128">
        <v>273</v>
      </c>
      <c r="H48" s="128">
        <v>126</v>
      </c>
      <c r="I48" s="128">
        <v>273</v>
      </c>
      <c r="J48" s="128">
        <v>126</v>
      </c>
      <c r="K48" s="128">
        <v>273</v>
      </c>
      <c r="L48" s="128">
        <v>126</v>
      </c>
      <c r="M48" s="128">
        <v>273</v>
      </c>
      <c r="N48" s="128">
        <v>126</v>
      </c>
      <c r="O48" s="128">
        <v>273</v>
      </c>
      <c r="P48" s="128">
        <v>126</v>
      </c>
      <c r="Q48" s="128">
        <v>273</v>
      </c>
      <c r="R48" s="128">
        <v>126</v>
      </c>
      <c r="S48" s="128">
        <v>273</v>
      </c>
      <c r="T48" s="128">
        <v>126</v>
      </c>
      <c r="U48" s="128">
        <v>273</v>
      </c>
      <c r="V48" s="128">
        <v>126</v>
      </c>
      <c r="W48" s="128">
        <v>273</v>
      </c>
      <c r="X48" s="128">
        <v>126</v>
      </c>
      <c r="Y48" s="128">
        <v>273</v>
      </c>
      <c r="Z48" s="128">
        <v>126</v>
      </c>
      <c r="AA48" s="128">
        <v>273</v>
      </c>
      <c r="AB48" s="128">
        <v>126</v>
      </c>
      <c r="AC48" s="128">
        <v>273</v>
      </c>
      <c r="AD48" s="128">
        <v>126</v>
      </c>
      <c r="AE48" s="128"/>
      <c r="AF48" s="128">
        <v>399</v>
      </c>
      <c r="AG48" s="128"/>
      <c r="AH48" s="128">
        <v>399</v>
      </c>
      <c r="AI48" s="128"/>
      <c r="AJ48" s="128">
        <v>399</v>
      </c>
      <c r="AK48" s="128"/>
      <c r="AL48" s="128">
        <v>399</v>
      </c>
      <c r="AM48" s="128"/>
      <c r="AN48" s="128">
        <v>399</v>
      </c>
      <c r="AO48" s="128"/>
      <c r="AP48" s="128">
        <v>399</v>
      </c>
      <c r="AQ48" s="128"/>
      <c r="AR48" s="128">
        <v>399</v>
      </c>
      <c r="AS48" s="128"/>
      <c r="AT48" s="128">
        <v>399</v>
      </c>
      <c r="AU48" s="128"/>
      <c r="AV48" s="128">
        <v>351.99767006030226</v>
      </c>
      <c r="AW48" s="128">
        <v>42</v>
      </c>
      <c r="AX48" s="128">
        <v>357</v>
      </c>
      <c r="AY48" s="128">
        <v>42</v>
      </c>
    </row>
    <row r="49" spans="1:52" x14ac:dyDescent="0.2">
      <c r="A49" s="128"/>
      <c r="B49" s="182" t="s">
        <v>346</v>
      </c>
      <c r="C49" s="128"/>
      <c r="D49" s="128">
        <v>6</v>
      </c>
      <c r="E49" s="128">
        <v>13</v>
      </c>
      <c r="F49" s="128">
        <v>6</v>
      </c>
      <c r="G49" s="128">
        <v>13</v>
      </c>
      <c r="H49" s="128">
        <v>6</v>
      </c>
      <c r="I49" s="128">
        <v>13</v>
      </c>
      <c r="J49" s="128">
        <v>6</v>
      </c>
      <c r="K49" s="128">
        <v>13</v>
      </c>
      <c r="L49" s="128">
        <v>6</v>
      </c>
      <c r="M49" s="128">
        <v>13</v>
      </c>
      <c r="N49" s="128">
        <v>6</v>
      </c>
      <c r="O49" s="128">
        <v>13</v>
      </c>
      <c r="P49" s="128">
        <v>6</v>
      </c>
      <c r="Q49" s="128">
        <v>13</v>
      </c>
      <c r="R49" s="128">
        <v>6</v>
      </c>
      <c r="S49" s="128">
        <v>13</v>
      </c>
      <c r="T49" s="128">
        <v>6</v>
      </c>
      <c r="U49" s="128">
        <v>13</v>
      </c>
      <c r="V49" s="128">
        <v>6</v>
      </c>
      <c r="W49" s="128">
        <v>13</v>
      </c>
      <c r="X49" s="128">
        <v>6</v>
      </c>
      <c r="Y49" s="128">
        <v>13</v>
      </c>
      <c r="Z49" s="128">
        <v>6</v>
      </c>
      <c r="AA49" s="128">
        <v>13</v>
      </c>
      <c r="AB49" s="128">
        <v>6</v>
      </c>
      <c r="AC49" s="128">
        <v>13</v>
      </c>
      <c r="AD49" s="128">
        <v>6</v>
      </c>
      <c r="AE49" s="128"/>
      <c r="AF49" s="128">
        <v>19</v>
      </c>
      <c r="AG49" s="128"/>
      <c r="AH49" s="128">
        <v>19</v>
      </c>
      <c r="AI49" s="128"/>
      <c r="AJ49" s="128">
        <v>19</v>
      </c>
      <c r="AK49" s="128"/>
      <c r="AL49" s="128">
        <v>19</v>
      </c>
      <c r="AM49" s="128"/>
      <c r="AN49" s="128">
        <v>19</v>
      </c>
      <c r="AO49" s="128"/>
      <c r="AP49" s="128">
        <v>19</v>
      </c>
      <c r="AQ49" s="128"/>
      <c r="AR49" s="128">
        <v>19</v>
      </c>
      <c r="AS49" s="128"/>
      <c r="AT49" s="128">
        <v>19</v>
      </c>
      <c r="AU49" s="128"/>
      <c r="AV49" s="128">
        <v>17</v>
      </c>
      <c r="AW49" s="128">
        <v>2</v>
      </c>
      <c r="AX49" s="128">
        <v>17</v>
      </c>
      <c r="AY49" s="128">
        <v>2</v>
      </c>
    </row>
    <row r="50" spans="1:52" x14ac:dyDescent="0.2">
      <c r="A50" s="128"/>
      <c r="B50" s="182" t="s">
        <v>347</v>
      </c>
      <c r="C50" s="128"/>
      <c r="D50" s="128">
        <f>D44-D47</f>
        <v>0</v>
      </c>
      <c r="E50" s="128">
        <f t="shared" ref="E50:AY50" si="15">E44-E47</f>
        <v>155.69999999999999</v>
      </c>
      <c r="F50" s="128">
        <f t="shared" si="15"/>
        <v>218.7</v>
      </c>
      <c r="G50" s="128">
        <f t="shared" si="15"/>
        <v>155.69999999999999</v>
      </c>
      <c r="H50" s="128">
        <f t="shared" si="15"/>
        <v>218.7</v>
      </c>
      <c r="I50" s="128">
        <f t="shared" si="15"/>
        <v>155.69999999999999</v>
      </c>
      <c r="J50" s="128">
        <f t="shared" si="15"/>
        <v>218.7</v>
      </c>
      <c r="K50" s="128">
        <f t="shared" si="15"/>
        <v>155.69999999999999</v>
      </c>
      <c r="L50" s="128">
        <f t="shared" si="15"/>
        <v>218.7</v>
      </c>
      <c r="M50" s="128">
        <f t="shared" si="15"/>
        <v>155.69999999999999</v>
      </c>
      <c r="N50" s="128">
        <f t="shared" si="15"/>
        <v>218.7</v>
      </c>
      <c r="O50" s="128">
        <f t="shared" si="15"/>
        <v>155.69999999999999</v>
      </c>
      <c r="P50" s="128">
        <f t="shared" si="15"/>
        <v>218.7</v>
      </c>
      <c r="Q50" s="128">
        <f t="shared" si="15"/>
        <v>155.69999999999999</v>
      </c>
      <c r="R50" s="128">
        <f t="shared" si="15"/>
        <v>218.7</v>
      </c>
      <c r="S50" s="128">
        <f t="shared" si="15"/>
        <v>155.69999999999999</v>
      </c>
      <c r="T50" s="128">
        <f t="shared" si="15"/>
        <v>218.7</v>
      </c>
      <c r="U50" s="128">
        <f t="shared" si="15"/>
        <v>155.69999999999999</v>
      </c>
      <c r="V50" s="128">
        <f t="shared" si="15"/>
        <v>218.7</v>
      </c>
      <c r="W50" s="128">
        <f t="shared" si="15"/>
        <v>155.69999999999999</v>
      </c>
      <c r="X50" s="128">
        <f t="shared" si="15"/>
        <v>218.7</v>
      </c>
      <c r="Y50" s="128">
        <f t="shared" si="15"/>
        <v>155.69999999999999</v>
      </c>
      <c r="Z50" s="128">
        <f t="shared" si="15"/>
        <v>218.7</v>
      </c>
      <c r="AA50" s="128">
        <f t="shared" si="15"/>
        <v>155.69999999999999</v>
      </c>
      <c r="AB50" s="128">
        <f t="shared" si="15"/>
        <v>218.7</v>
      </c>
      <c r="AC50" s="128">
        <f t="shared" si="15"/>
        <v>155.69999999999999</v>
      </c>
      <c r="AD50" s="128">
        <f t="shared" si="15"/>
        <v>218.7</v>
      </c>
      <c r="AE50" s="128">
        <f t="shared" si="15"/>
        <v>0</v>
      </c>
      <c r="AF50" s="128">
        <f t="shared" si="15"/>
        <v>101.69999999999999</v>
      </c>
      <c r="AG50" s="128">
        <f t="shared" si="15"/>
        <v>272.7</v>
      </c>
      <c r="AH50" s="128">
        <f t="shared" si="15"/>
        <v>101.69999999999999</v>
      </c>
      <c r="AI50" s="128">
        <f t="shared" si="15"/>
        <v>0</v>
      </c>
      <c r="AJ50" s="128">
        <f t="shared" si="15"/>
        <v>101.69999999999999</v>
      </c>
      <c r="AK50" s="128">
        <f t="shared" si="15"/>
        <v>0</v>
      </c>
      <c r="AL50" s="128">
        <f t="shared" si="15"/>
        <v>101.69999999999999</v>
      </c>
      <c r="AM50" s="128">
        <f t="shared" si="15"/>
        <v>272.7</v>
      </c>
      <c r="AN50" s="128">
        <f t="shared" si="15"/>
        <v>101.69999999999999</v>
      </c>
      <c r="AO50" s="128">
        <f t="shared" si="15"/>
        <v>272.7</v>
      </c>
      <c r="AP50" s="128">
        <f t="shared" si="15"/>
        <v>101.69999999999999</v>
      </c>
      <c r="AQ50" s="128">
        <f t="shared" si="15"/>
        <v>272.7</v>
      </c>
      <c r="AR50" s="128">
        <f t="shared" si="15"/>
        <v>101.69999999999999</v>
      </c>
      <c r="AS50" s="128">
        <f t="shared" si="15"/>
        <v>272.7</v>
      </c>
      <c r="AT50" s="128">
        <f t="shared" si="15"/>
        <v>101.69999999999999</v>
      </c>
      <c r="AU50" s="128">
        <f t="shared" si="15"/>
        <v>272.7</v>
      </c>
      <c r="AV50" s="128">
        <f t="shared" si="15"/>
        <v>0</v>
      </c>
      <c r="AW50" s="128">
        <f t="shared" si="15"/>
        <v>133.0262098075608</v>
      </c>
      <c r="AX50" s="128">
        <f t="shared" si="15"/>
        <v>119.69999999999999</v>
      </c>
      <c r="AY50" s="128">
        <f t="shared" si="15"/>
        <v>254.7</v>
      </c>
    </row>
    <row r="51" spans="1:52" x14ac:dyDescent="0.2">
      <c r="A51" s="128"/>
      <c r="B51" s="182" t="s">
        <v>348</v>
      </c>
      <c r="C51" s="128"/>
      <c r="D51" s="128">
        <f>D45-D48</f>
        <v>0</v>
      </c>
      <c r="E51" s="128">
        <f t="shared" ref="E51:AY51" si="16">E45-E48</f>
        <v>363.29999999999995</v>
      </c>
      <c r="F51" s="128">
        <f t="shared" si="16"/>
        <v>510.29999999999995</v>
      </c>
      <c r="G51" s="128">
        <f t="shared" si="16"/>
        <v>363.29999999999995</v>
      </c>
      <c r="H51" s="128">
        <f t="shared" si="16"/>
        <v>510.29999999999995</v>
      </c>
      <c r="I51" s="128">
        <f t="shared" si="16"/>
        <v>363.29999999999995</v>
      </c>
      <c r="J51" s="128">
        <f t="shared" si="16"/>
        <v>510.29999999999995</v>
      </c>
      <c r="K51" s="128">
        <f t="shared" si="16"/>
        <v>363.29999999999995</v>
      </c>
      <c r="L51" s="128">
        <f t="shared" si="16"/>
        <v>510.29999999999995</v>
      </c>
      <c r="M51" s="128">
        <f t="shared" si="16"/>
        <v>363.29999999999995</v>
      </c>
      <c r="N51" s="128">
        <f t="shared" si="16"/>
        <v>510.29999999999995</v>
      </c>
      <c r="O51" s="128">
        <f t="shared" si="16"/>
        <v>363.29999999999995</v>
      </c>
      <c r="P51" s="128">
        <f t="shared" si="16"/>
        <v>510.29999999999995</v>
      </c>
      <c r="Q51" s="128">
        <f t="shared" si="16"/>
        <v>363.29999999999995</v>
      </c>
      <c r="R51" s="128">
        <f t="shared" si="16"/>
        <v>510.29999999999995</v>
      </c>
      <c r="S51" s="128">
        <f t="shared" si="16"/>
        <v>363.29999999999995</v>
      </c>
      <c r="T51" s="128">
        <f t="shared" si="16"/>
        <v>510.29999999999995</v>
      </c>
      <c r="U51" s="128">
        <f t="shared" si="16"/>
        <v>363.29999999999995</v>
      </c>
      <c r="V51" s="128">
        <f t="shared" si="16"/>
        <v>510.29999999999995</v>
      </c>
      <c r="W51" s="128">
        <f t="shared" si="16"/>
        <v>363.29999999999995</v>
      </c>
      <c r="X51" s="128">
        <f t="shared" si="16"/>
        <v>510.29999999999995</v>
      </c>
      <c r="Y51" s="128">
        <f t="shared" si="16"/>
        <v>363.29999999999995</v>
      </c>
      <c r="Z51" s="128">
        <f t="shared" si="16"/>
        <v>510.29999999999995</v>
      </c>
      <c r="AA51" s="128">
        <f t="shared" si="16"/>
        <v>363.29999999999995</v>
      </c>
      <c r="AB51" s="128">
        <f t="shared" si="16"/>
        <v>510.29999999999995</v>
      </c>
      <c r="AC51" s="128">
        <f t="shared" si="16"/>
        <v>363.29999999999995</v>
      </c>
      <c r="AD51" s="128">
        <f t="shared" si="16"/>
        <v>510.29999999999995</v>
      </c>
      <c r="AE51" s="128">
        <f t="shared" si="16"/>
        <v>0</v>
      </c>
      <c r="AF51" s="128">
        <f t="shared" si="16"/>
        <v>237.29999999999995</v>
      </c>
      <c r="AG51" s="128">
        <f t="shared" si="16"/>
        <v>636.29999999999995</v>
      </c>
      <c r="AH51" s="128">
        <f t="shared" si="16"/>
        <v>237.29999999999995</v>
      </c>
      <c r="AI51" s="128">
        <f t="shared" si="16"/>
        <v>0</v>
      </c>
      <c r="AJ51" s="128">
        <f t="shared" si="16"/>
        <v>237.29999999999995</v>
      </c>
      <c r="AK51" s="128">
        <f t="shared" si="16"/>
        <v>0</v>
      </c>
      <c r="AL51" s="128">
        <f t="shared" si="16"/>
        <v>237.29999999999995</v>
      </c>
      <c r="AM51" s="128">
        <f t="shared" si="16"/>
        <v>636.29999999999995</v>
      </c>
      <c r="AN51" s="128">
        <f t="shared" si="16"/>
        <v>237.29999999999995</v>
      </c>
      <c r="AO51" s="128">
        <f t="shared" si="16"/>
        <v>636.29999999999995</v>
      </c>
      <c r="AP51" s="128">
        <f t="shared" si="16"/>
        <v>237.29999999999995</v>
      </c>
      <c r="AQ51" s="128">
        <f t="shared" si="16"/>
        <v>636.29999999999995</v>
      </c>
      <c r="AR51" s="128">
        <f t="shared" si="16"/>
        <v>237.29999999999995</v>
      </c>
      <c r="AS51" s="128">
        <f t="shared" si="16"/>
        <v>636.29999999999995</v>
      </c>
      <c r="AT51" s="128">
        <f t="shared" si="16"/>
        <v>237.29999999999995</v>
      </c>
      <c r="AU51" s="128">
        <f t="shared" si="16"/>
        <v>636.29999999999995</v>
      </c>
      <c r="AV51" s="128">
        <f t="shared" si="16"/>
        <v>0</v>
      </c>
      <c r="AW51" s="128">
        <f t="shared" si="16"/>
        <v>310.39448955097521</v>
      </c>
      <c r="AX51" s="128">
        <f t="shared" si="16"/>
        <v>279.29999999999995</v>
      </c>
      <c r="AY51" s="128">
        <f t="shared" si="16"/>
        <v>594.29999999999995</v>
      </c>
    </row>
    <row r="52" spans="1:52" x14ac:dyDescent="0.2">
      <c r="A52" s="128"/>
      <c r="B52" s="182" t="s">
        <v>349</v>
      </c>
      <c r="C52" s="128"/>
      <c r="D52" s="128">
        <v>1</v>
      </c>
      <c r="E52" s="128">
        <v>2</v>
      </c>
      <c r="F52" s="128">
        <v>2</v>
      </c>
      <c r="G52" s="128">
        <v>2</v>
      </c>
      <c r="H52" s="128">
        <v>1</v>
      </c>
      <c r="I52" s="128">
        <v>1</v>
      </c>
      <c r="J52" s="128">
        <v>2</v>
      </c>
      <c r="K52" s="128">
        <v>1</v>
      </c>
      <c r="L52" s="128">
        <v>2</v>
      </c>
      <c r="M52" s="128">
        <v>1</v>
      </c>
      <c r="N52" s="128">
        <v>1</v>
      </c>
      <c r="O52" s="128">
        <v>1</v>
      </c>
      <c r="P52" s="128">
        <v>1</v>
      </c>
      <c r="Q52" s="128">
        <v>2</v>
      </c>
      <c r="R52" s="128">
        <v>2</v>
      </c>
      <c r="S52" s="128">
        <v>1</v>
      </c>
      <c r="T52" s="128">
        <v>1</v>
      </c>
      <c r="U52" s="128">
        <v>1</v>
      </c>
      <c r="V52" s="128">
        <v>1</v>
      </c>
      <c r="W52" s="128">
        <v>1</v>
      </c>
      <c r="X52" s="128">
        <v>2</v>
      </c>
      <c r="Y52" s="128">
        <v>1</v>
      </c>
      <c r="Z52" s="128">
        <v>1</v>
      </c>
      <c r="AA52" s="128">
        <v>1</v>
      </c>
      <c r="AB52" s="128">
        <v>1</v>
      </c>
      <c r="AC52" s="128">
        <v>3</v>
      </c>
      <c r="AD52" s="128">
        <v>1</v>
      </c>
      <c r="AE52" s="128">
        <v>2</v>
      </c>
      <c r="AF52" s="128">
        <v>1</v>
      </c>
      <c r="AG52" s="128">
        <v>1</v>
      </c>
      <c r="AH52" s="128">
        <v>1</v>
      </c>
      <c r="AI52" s="128">
        <v>2</v>
      </c>
      <c r="AJ52" s="128">
        <v>1</v>
      </c>
      <c r="AK52" s="128">
        <v>3</v>
      </c>
      <c r="AL52" s="128">
        <v>3</v>
      </c>
      <c r="AM52" s="128">
        <v>1</v>
      </c>
      <c r="AN52" s="128">
        <v>2</v>
      </c>
      <c r="AO52" s="128">
        <v>1</v>
      </c>
      <c r="AP52" s="128">
        <v>1</v>
      </c>
      <c r="AQ52" s="128">
        <v>1</v>
      </c>
      <c r="AR52" s="128">
        <v>1</v>
      </c>
      <c r="AS52" s="128">
        <v>2</v>
      </c>
      <c r="AT52" s="128">
        <v>1</v>
      </c>
      <c r="AU52" s="128">
        <v>2</v>
      </c>
      <c r="AV52" s="128">
        <v>1</v>
      </c>
      <c r="AW52" s="128">
        <v>1</v>
      </c>
      <c r="AX52" s="128">
        <v>1</v>
      </c>
      <c r="AY52" s="128">
        <v>1</v>
      </c>
    </row>
    <row r="53" spans="1:52" x14ac:dyDescent="0.2">
      <c r="A53" s="128"/>
      <c r="B53" s="193" t="s">
        <v>350</v>
      </c>
      <c r="C53" s="128"/>
      <c r="D53" s="128">
        <v>155088</v>
      </c>
      <c r="E53" s="128">
        <v>336024</v>
      </c>
      <c r="F53" s="128">
        <v>155088</v>
      </c>
      <c r="G53" s="128">
        <v>336024</v>
      </c>
      <c r="H53" s="128">
        <v>155088</v>
      </c>
      <c r="I53" s="128">
        <v>336024</v>
      </c>
      <c r="J53" s="128">
        <v>155088</v>
      </c>
      <c r="K53" s="128">
        <v>336024</v>
      </c>
      <c r="L53" s="128">
        <v>155088</v>
      </c>
      <c r="M53" s="128">
        <v>336024</v>
      </c>
      <c r="N53" s="128">
        <v>155088</v>
      </c>
      <c r="O53" s="128">
        <v>336024</v>
      </c>
      <c r="P53" s="128">
        <v>155088</v>
      </c>
      <c r="Q53" s="128">
        <v>336024</v>
      </c>
      <c r="R53" s="128">
        <v>155088</v>
      </c>
      <c r="S53" s="128">
        <v>336024</v>
      </c>
      <c r="T53" s="128">
        <v>155088</v>
      </c>
      <c r="U53" s="128">
        <v>336024</v>
      </c>
      <c r="V53" s="128">
        <v>155088</v>
      </c>
      <c r="W53" s="128">
        <v>336024</v>
      </c>
      <c r="X53" s="128">
        <v>155088</v>
      </c>
      <c r="Y53" s="128">
        <v>336024</v>
      </c>
      <c r="Z53" s="128">
        <v>155088</v>
      </c>
      <c r="AA53" s="128">
        <v>336024</v>
      </c>
      <c r="AB53" s="128">
        <v>155088</v>
      </c>
      <c r="AC53" s="128">
        <v>336024</v>
      </c>
      <c r="AD53" s="128">
        <v>155088</v>
      </c>
      <c r="AE53" s="128">
        <v>0</v>
      </c>
      <c r="AF53" s="128">
        <v>491112</v>
      </c>
      <c r="AG53" s="128">
        <v>0</v>
      </c>
      <c r="AH53" s="128">
        <v>491112</v>
      </c>
      <c r="AI53" s="128">
        <v>0</v>
      </c>
      <c r="AJ53" s="128">
        <v>491112</v>
      </c>
      <c r="AK53" s="128">
        <v>0</v>
      </c>
      <c r="AL53" s="128">
        <v>491112</v>
      </c>
      <c r="AM53" s="128">
        <v>0</v>
      </c>
      <c r="AN53" s="128">
        <v>491112</v>
      </c>
      <c r="AO53" s="128">
        <v>0</v>
      </c>
      <c r="AP53" s="128">
        <v>491112</v>
      </c>
      <c r="AQ53" s="128">
        <v>0</v>
      </c>
      <c r="AR53" s="128">
        <v>491112</v>
      </c>
      <c r="AS53" s="128">
        <v>0</v>
      </c>
      <c r="AT53" s="128">
        <v>491112</v>
      </c>
      <c r="AU53" s="128">
        <v>0</v>
      </c>
      <c r="AV53" s="128">
        <v>439416</v>
      </c>
      <c r="AW53" s="128">
        <v>51696</v>
      </c>
      <c r="AX53" s="128">
        <v>439416</v>
      </c>
      <c r="AY53" s="128">
        <v>51696</v>
      </c>
      <c r="AZ53">
        <f>SUM($D$53:$AY$53)</f>
        <v>11450664</v>
      </c>
    </row>
    <row r="54" spans="1:52" x14ac:dyDescent="0.2">
      <c r="A54" s="142"/>
      <c r="B54" s="157" t="s">
        <v>351</v>
      </c>
      <c r="C54" s="142"/>
      <c r="D54" s="142">
        <v>0</v>
      </c>
      <c r="E54" s="142">
        <v>242217.30000000002</v>
      </c>
      <c r="F54" s="142">
        <v>340224.3</v>
      </c>
      <c r="G54" s="142">
        <v>242217.30000000002</v>
      </c>
      <c r="H54" s="142">
        <v>340224.3</v>
      </c>
      <c r="I54" s="142">
        <v>242217.30000000002</v>
      </c>
      <c r="J54" s="142">
        <v>340224.3</v>
      </c>
      <c r="K54" s="142">
        <v>242217.30000000002</v>
      </c>
      <c r="L54" s="142">
        <v>340224.3</v>
      </c>
      <c r="M54" s="142">
        <v>242217.30000000002</v>
      </c>
      <c r="N54" s="142">
        <v>340224.3</v>
      </c>
      <c r="O54" s="142">
        <v>242217.30000000002</v>
      </c>
      <c r="P54" s="142">
        <v>340224.3</v>
      </c>
      <c r="Q54" s="142">
        <v>242217.30000000002</v>
      </c>
      <c r="R54" s="142">
        <v>340224.3</v>
      </c>
      <c r="S54" s="142">
        <v>242217.30000000002</v>
      </c>
      <c r="T54" s="142">
        <v>340224.3</v>
      </c>
      <c r="U54" s="142">
        <v>242217.30000000002</v>
      </c>
      <c r="V54" s="142">
        <v>340224.3</v>
      </c>
      <c r="W54" s="142">
        <v>242217.30000000002</v>
      </c>
      <c r="X54" s="142">
        <v>340224.3</v>
      </c>
      <c r="Y54" s="142">
        <v>242217.30000000002</v>
      </c>
      <c r="Z54" s="142">
        <v>340224.3</v>
      </c>
      <c r="AA54" s="142">
        <v>242217.30000000002</v>
      </c>
      <c r="AB54" s="142">
        <v>340224.3</v>
      </c>
      <c r="AC54" s="142">
        <v>242217.30000000002</v>
      </c>
      <c r="AD54" s="142">
        <v>340224.3</v>
      </c>
      <c r="AE54" s="142">
        <v>0</v>
      </c>
      <c r="AF54" s="142">
        <v>158211.29999999999</v>
      </c>
      <c r="AG54" s="142">
        <v>424230.3</v>
      </c>
      <c r="AH54" s="142">
        <v>158211.29999999999</v>
      </c>
      <c r="AI54" s="142">
        <v>0</v>
      </c>
      <c r="AJ54" s="142">
        <v>158211.29999999999</v>
      </c>
      <c r="AK54" s="142">
        <v>0</v>
      </c>
      <c r="AL54" s="142">
        <v>158211.29999999999</v>
      </c>
      <c r="AM54" s="142">
        <v>424230.3</v>
      </c>
      <c r="AN54" s="142">
        <v>158211.29999999999</v>
      </c>
      <c r="AO54" s="142">
        <v>424230.3</v>
      </c>
      <c r="AP54" s="142">
        <v>158211.29999999999</v>
      </c>
      <c r="AQ54" s="142">
        <v>424230.3</v>
      </c>
      <c r="AR54" s="142">
        <v>158211.29999999999</v>
      </c>
      <c r="AS54" s="142">
        <v>424230.3</v>
      </c>
      <c r="AT54" s="142">
        <v>158211.29999999999</v>
      </c>
      <c r="AU54" s="142">
        <v>424230.3</v>
      </c>
      <c r="AV54" s="142">
        <v>0</v>
      </c>
      <c r="AW54" s="142">
        <v>206944.44039062876</v>
      </c>
      <c r="AX54" s="142">
        <v>186213.29999999996</v>
      </c>
      <c r="AY54" s="142">
        <v>396228.3</v>
      </c>
      <c r="AZ54">
        <f>SUM($D$54:$AY$54)</f>
        <v>12172199.040390633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5" t="s">
        <v>10</v>
      </c>
      <c r="E2" s="128"/>
    </row>
    <row r="3" spans="1:52" x14ac:dyDescent="0.2">
      <c r="A3" t="s">
        <v>286</v>
      </c>
      <c r="B3" s="125">
        <v>712</v>
      </c>
      <c r="E3" s="128"/>
    </row>
    <row r="4" spans="1:52" x14ac:dyDescent="0.2">
      <c r="A4" s="1"/>
      <c r="C4" s="9" t="s">
        <v>287</v>
      </c>
    </row>
    <row r="5" spans="1:52" x14ac:dyDescent="0.2">
      <c r="B5" s="124"/>
      <c r="C5" s="129">
        <v>0</v>
      </c>
      <c r="D5" s="129">
        <v>1</v>
      </c>
      <c r="E5" s="129">
        <v>2</v>
      </c>
      <c r="F5" s="129">
        <v>3</v>
      </c>
      <c r="G5" s="129">
        <v>4</v>
      </c>
      <c r="H5" s="129">
        <v>5</v>
      </c>
      <c r="I5" s="129">
        <v>6</v>
      </c>
      <c r="J5" s="129">
        <v>7</v>
      </c>
      <c r="K5" s="129">
        <v>8</v>
      </c>
      <c r="L5" s="129">
        <v>9</v>
      </c>
      <c r="M5" s="129">
        <v>10</v>
      </c>
      <c r="N5" s="129">
        <v>11</v>
      </c>
      <c r="O5" s="129">
        <v>12</v>
      </c>
      <c r="P5" s="129">
        <v>13</v>
      </c>
      <c r="Q5" s="129">
        <v>14</v>
      </c>
      <c r="R5" s="129">
        <v>15</v>
      </c>
      <c r="S5" s="129">
        <v>16</v>
      </c>
      <c r="T5" s="129">
        <v>17</v>
      </c>
      <c r="U5" s="129">
        <v>18</v>
      </c>
      <c r="V5" s="129">
        <v>19</v>
      </c>
      <c r="W5" s="129">
        <v>20</v>
      </c>
      <c r="X5" s="129">
        <v>21</v>
      </c>
      <c r="Y5" s="129">
        <v>22</v>
      </c>
      <c r="Z5" s="129">
        <v>23</v>
      </c>
      <c r="AA5" s="129">
        <v>24</v>
      </c>
      <c r="AB5" s="129">
        <v>25</v>
      </c>
      <c r="AC5" s="129">
        <v>26</v>
      </c>
      <c r="AD5" s="129">
        <v>27</v>
      </c>
      <c r="AE5" s="129">
        <v>28</v>
      </c>
      <c r="AF5" s="129">
        <v>29</v>
      </c>
      <c r="AG5" s="129">
        <v>30</v>
      </c>
      <c r="AH5" s="129">
        <v>31</v>
      </c>
      <c r="AI5" s="129">
        <v>32</v>
      </c>
      <c r="AJ5" s="129">
        <v>33</v>
      </c>
      <c r="AK5" s="129">
        <v>34</v>
      </c>
      <c r="AL5" s="129">
        <v>35</v>
      </c>
      <c r="AM5" s="129">
        <v>36</v>
      </c>
      <c r="AN5" s="129">
        <v>37</v>
      </c>
      <c r="AO5" s="129">
        <v>38</v>
      </c>
      <c r="AP5" s="129">
        <v>39</v>
      </c>
      <c r="AQ5" s="129">
        <v>40</v>
      </c>
      <c r="AR5" s="129">
        <v>41</v>
      </c>
      <c r="AS5" s="129">
        <v>42</v>
      </c>
      <c r="AT5" s="129">
        <v>43</v>
      </c>
      <c r="AU5" s="129">
        <v>44</v>
      </c>
      <c r="AV5" s="129">
        <v>45</v>
      </c>
      <c r="AW5" s="129">
        <v>46</v>
      </c>
      <c r="AX5" s="129">
        <v>47</v>
      </c>
      <c r="AY5" s="129">
        <v>48</v>
      </c>
    </row>
    <row r="6" spans="1:52" x14ac:dyDescent="0.2">
      <c r="A6" s="1" t="s">
        <v>304</v>
      </c>
      <c r="B6" s="131"/>
      <c r="C6" s="130" t="s">
        <v>288</v>
      </c>
      <c r="D6" s="129" t="s">
        <v>289</v>
      </c>
      <c r="E6" s="129" t="s">
        <v>289</v>
      </c>
      <c r="F6" s="129" t="s">
        <v>289</v>
      </c>
      <c r="G6" s="129" t="s">
        <v>289</v>
      </c>
      <c r="H6" s="129" t="s">
        <v>289</v>
      </c>
      <c r="I6" s="129" t="s">
        <v>289</v>
      </c>
      <c r="J6" s="129" t="s">
        <v>289</v>
      </c>
      <c r="K6" s="129" t="s">
        <v>289</v>
      </c>
      <c r="L6" s="129" t="s">
        <v>289</v>
      </c>
      <c r="M6" s="129" t="s">
        <v>289</v>
      </c>
      <c r="N6" s="129" t="s">
        <v>289</v>
      </c>
      <c r="O6" s="129" t="s">
        <v>289</v>
      </c>
      <c r="P6" s="129" t="s">
        <v>289</v>
      </c>
      <c r="Q6" s="129" t="s">
        <v>289</v>
      </c>
      <c r="R6" s="129" t="s">
        <v>289</v>
      </c>
      <c r="S6" s="129" t="s">
        <v>289</v>
      </c>
      <c r="T6" s="129" t="s">
        <v>289</v>
      </c>
      <c r="U6" s="129" t="s">
        <v>289</v>
      </c>
      <c r="V6" s="129" t="s">
        <v>289</v>
      </c>
      <c r="W6" s="129" t="s">
        <v>289</v>
      </c>
      <c r="X6" s="129" t="s">
        <v>289</v>
      </c>
      <c r="Y6" s="129" t="s">
        <v>289</v>
      </c>
      <c r="Z6" s="129" t="s">
        <v>289</v>
      </c>
      <c r="AA6" s="129" t="s">
        <v>289</v>
      </c>
      <c r="AB6" s="129" t="s">
        <v>289</v>
      </c>
      <c r="AC6" s="129" t="s">
        <v>289</v>
      </c>
      <c r="AD6" s="129" t="s">
        <v>289</v>
      </c>
      <c r="AE6" s="129" t="s">
        <v>289</v>
      </c>
      <c r="AF6" s="129" t="s">
        <v>289</v>
      </c>
      <c r="AG6" s="129" t="s">
        <v>289</v>
      </c>
      <c r="AH6" s="129" t="s">
        <v>289</v>
      </c>
      <c r="AI6" s="129" t="s">
        <v>289</v>
      </c>
      <c r="AJ6" s="129" t="s">
        <v>289</v>
      </c>
      <c r="AK6" s="129" t="s">
        <v>289</v>
      </c>
      <c r="AL6" s="129" t="s">
        <v>289</v>
      </c>
      <c r="AM6" s="129" t="s">
        <v>289</v>
      </c>
      <c r="AN6" s="129" t="s">
        <v>289</v>
      </c>
      <c r="AO6" s="129" t="s">
        <v>289</v>
      </c>
      <c r="AP6" s="129" t="s">
        <v>289</v>
      </c>
      <c r="AQ6" s="129" t="s">
        <v>289</v>
      </c>
      <c r="AR6" s="129" t="s">
        <v>289</v>
      </c>
      <c r="AS6" s="129" t="s">
        <v>289</v>
      </c>
      <c r="AT6" s="129" t="s">
        <v>289</v>
      </c>
      <c r="AU6" s="129" t="s">
        <v>289</v>
      </c>
      <c r="AV6" s="129" t="s">
        <v>289</v>
      </c>
      <c r="AW6" s="129" t="s">
        <v>289</v>
      </c>
      <c r="AX6" s="129" t="s">
        <v>289</v>
      </c>
      <c r="AY6" s="9" t="s">
        <v>290</v>
      </c>
      <c r="AZ6" s="159" t="s">
        <v>150</v>
      </c>
    </row>
    <row r="7" spans="1:52" x14ac:dyDescent="0.2">
      <c r="A7" s="132" t="s">
        <v>125</v>
      </c>
      <c r="B7" s="160">
        <v>1</v>
      </c>
      <c r="C7" s="161" t="s">
        <v>293</v>
      </c>
      <c r="D7" s="161">
        <v>241.71302358654705</v>
      </c>
      <c r="E7" s="161">
        <v>242.24279961126308</v>
      </c>
      <c r="F7" s="161">
        <v>371.45415700949462</v>
      </c>
      <c r="G7" s="161">
        <v>371.45415700949462</v>
      </c>
      <c r="H7" s="161">
        <v>60.957989223167552</v>
      </c>
      <c r="I7" s="161">
        <v>371.45415700949462</v>
      </c>
      <c r="J7" s="161">
        <v>371.45415700949462</v>
      </c>
      <c r="K7" s="161">
        <v>371.45415700949462</v>
      </c>
      <c r="L7" s="161">
        <v>371.45415700949462</v>
      </c>
      <c r="M7" s="161">
        <v>371.45415700949462</v>
      </c>
      <c r="N7" s="161">
        <v>371.45415700949462</v>
      </c>
      <c r="O7" s="161">
        <v>371.45415700949462</v>
      </c>
      <c r="P7" s="161">
        <v>371.45415700949462</v>
      </c>
      <c r="Q7" s="161">
        <v>371.45415700949462</v>
      </c>
      <c r="R7" s="161">
        <v>371.45415700949462</v>
      </c>
      <c r="S7" s="161">
        <v>371.45415700949462</v>
      </c>
      <c r="T7" s="161">
        <v>371.45415700949462</v>
      </c>
      <c r="U7" s="161">
        <v>371.45415700949462</v>
      </c>
      <c r="V7" s="161">
        <v>371.45415700949462</v>
      </c>
      <c r="W7" s="161">
        <v>371.45415700949462</v>
      </c>
      <c r="X7" s="161">
        <v>371.45415700949462</v>
      </c>
      <c r="Y7" s="161">
        <v>371.45415700949462</v>
      </c>
      <c r="Z7" s="161">
        <v>371.45415700949462</v>
      </c>
      <c r="AA7" s="161">
        <v>371.45415700949462</v>
      </c>
      <c r="AB7" s="161">
        <v>371.45415700949462</v>
      </c>
      <c r="AC7" s="161">
        <v>371.45415700949462</v>
      </c>
      <c r="AD7" s="161">
        <v>371.45415700949462</v>
      </c>
      <c r="AE7" s="161">
        <v>371.45415700949462</v>
      </c>
      <c r="AF7" s="161">
        <v>371.45415700949462</v>
      </c>
      <c r="AG7" s="161">
        <v>371.45415700949462</v>
      </c>
      <c r="AH7" s="161">
        <v>371.45415700949462</v>
      </c>
      <c r="AI7" s="161">
        <v>371.45415700949462</v>
      </c>
      <c r="AJ7" s="161">
        <v>258.26036955807899</v>
      </c>
      <c r="AK7" s="161">
        <v>258.74929763314879</v>
      </c>
      <c r="AL7" s="161">
        <v>371.45415700949462</v>
      </c>
      <c r="AM7" s="161">
        <v>371.45415700949462</v>
      </c>
      <c r="AN7" s="161">
        <v>371.45415700949462</v>
      </c>
      <c r="AO7" s="161">
        <v>371.45415700949462</v>
      </c>
      <c r="AP7" s="161">
        <v>371.45415700949462</v>
      </c>
      <c r="AQ7" s="161">
        <v>371.45415700949462</v>
      </c>
      <c r="AR7" s="161">
        <v>262.09375676583966</v>
      </c>
      <c r="AS7" s="161">
        <v>371.45415700949462</v>
      </c>
      <c r="AT7" s="161">
        <v>65.755480637875024</v>
      </c>
      <c r="AU7" s="161">
        <v>371.45415700949462</v>
      </c>
      <c r="AV7" s="161">
        <v>263.93680560704718</v>
      </c>
      <c r="AW7" s="161">
        <v>264.38908131650351</v>
      </c>
      <c r="AX7" s="161">
        <v>371.45415700949462</v>
      </c>
      <c r="AY7" s="161">
        <v>371.45415700949462</v>
      </c>
      <c r="AZ7" s="124"/>
    </row>
    <row r="8" spans="1:52" x14ac:dyDescent="0.2">
      <c r="A8" s="162"/>
      <c r="B8" s="163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4"/>
    </row>
    <row r="9" spans="1:52" x14ac:dyDescent="0.2">
      <c r="A9" s="1" t="s">
        <v>294</v>
      </c>
      <c r="B9" s="165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</row>
    <row r="10" spans="1:52" x14ac:dyDescent="0.2">
      <c r="A10" s="166" t="s">
        <v>125</v>
      </c>
      <c r="B10" s="167">
        <v>1</v>
      </c>
      <c r="C10" s="161" t="s">
        <v>293</v>
      </c>
      <c r="D10" s="161">
        <f t="shared" ref="D10:AY10" si="0">MAX(SUM(D$14:D$16)+D$7-$B$3,0)</f>
        <v>0</v>
      </c>
      <c r="E10" s="161">
        <f t="shared" si="0"/>
        <v>0</v>
      </c>
      <c r="F10" s="161">
        <f t="shared" si="0"/>
        <v>0</v>
      </c>
      <c r="G10" s="161">
        <f t="shared" si="0"/>
        <v>0</v>
      </c>
      <c r="H10" s="161">
        <f t="shared" si="0"/>
        <v>0</v>
      </c>
      <c r="I10" s="161">
        <f t="shared" si="0"/>
        <v>0</v>
      </c>
      <c r="J10" s="161">
        <f t="shared" si="0"/>
        <v>0</v>
      </c>
      <c r="K10" s="161">
        <f t="shared" si="0"/>
        <v>0</v>
      </c>
      <c r="L10" s="161">
        <f t="shared" si="0"/>
        <v>0</v>
      </c>
      <c r="M10" s="161">
        <f t="shared" si="0"/>
        <v>0</v>
      </c>
      <c r="N10" s="161">
        <f t="shared" si="0"/>
        <v>0</v>
      </c>
      <c r="O10" s="161">
        <f t="shared" si="0"/>
        <v>0</v>
      </c>
      <c r="P10" s="161">
        <f t="shared" si="0"/>
        <v>0</v>
      </c>
      <c r="Q10" s="161">
        <f t="shared" si="0"/>
        <v>0</v>
      </c>
      <c r="R10" s="161">
        <f t="shared" si="0"/>
        <v>0</v>
      </c>
      <c r="S10" s="161">
        <f t="shared" si="0"/>
        <v>0</v>
      </c>
      <c r="T10" s="161">
        <f t="shared" si="0"/>
        <v>0</v>
      </c>
      <c r="U10" s="161">
        <f t="shared" si="0"/>
        <v>0</v>
      </c>
      <c r="V10" s="161">
        <f t="shared" si="0"/>
        <v>0</v>
      </c>
      <c r="W10" s="161">
        <f t="shared" si="0"/>
        <v>0</v>
      </c>
      <c r="X10" s="161">
        <f t="shared" si="0"/>
        <v>0</v>
      </c>
      <c r="Y10" s="161">
        <f t="shared" si="0"/>
        <v>0</v>
      </c>
      <c r="Z10" s="161">
        <f t="shared" si="0"/>
        <v>0</v>
      </c>
      <c r="AA10" s="161">
        <f t="shared" si="0"/>
        <v>0</v>
      </c>
      <c r="AB10" s="161">
        <f t="shared" si="0"/>
        <v>0</v>
      </c>
      <c r="AC10" s="161">
        <f t="shared" si="0"/>
        <v>0</v>
      </c>
      <c r="AD10" s="161">
        <f t="shared" si="0"/>
        <v>0</v>
      </c>
      <c r="AE10" s="161">
        <f t="shared" si="0"/>
        <v>0</v>
      </c>
      <c r="AF10" s="161">
        <f t="shared" si="0"/>
        <v>0</v>
      </c>
      <c r="AG10" s="161">
        <f t="shared" si="0"/>
        <v>0</v>
      </c>
      <c r="AH10" s="161">
        <f t="shared" si="0"/>
        <v>30.908314018989245</v>
      </c>
      <c r="AI10" s="161">
        <f t="shared" si="0"/>
        <v>0</v>
      </c>
      <c r="AJ10" s="161">
        <f t="shared" si="0"/>
        <v>0</v>
      </c>
      <c r="AK10" s="161">
        <f t="shared" si="0"/>
        <v>0</v>
      </c>
      <c r="AL10" s="161">
        <f t="shared" si="0"/>
        <v>0</v>
      </c>
      <c r="AM10" s="161">
        <f t="shared" si="0"/>
        <v>0</v>
      </c>
      <c r="AN10" s="161">
        <f t="shared" si="0"/>
        <v>0</v>
      </c>
      <c r="AO10" s="161">
        <f t="shared" si="0"/>
        <v>0</v>
      </c>
      <c r="AP10" s="161">
        <f t="shared" si="0"/>
        <v>0</v>
      </c>
      <c r="AQ10" s="161">
        <f t="shared" si="0"/>
        <v>0</v>
      </c>
      <c r="AR10" s="161">
        <f t="shared" si="0"/>
        <v>0</v>
      </c>
      <c r="AS10" s="161">
        <f t="shared" si="0"/>
        <v>0</v>
      </c>
      <c r="AT10" s="161">
        <f t="shared" si="0"/>
        <v>0</v>
      </c>
      <c r="AU10" s="161">
        <f t="shared" si="0"/>
        <v>0</v>
      </c>
      <c r="AV10" s="161">
        <f t="shared" si="0"/>
        <v>0</v>
      </c>
      <c r="AW10" s="161">
        <f t="shared" si="0"/>
        <v>0</v>
      </c>
      <c r="AX10" s="161">
        <f t="shared" si="0"/>
        <v>0</v>
      </c>
      <c r="AY10" s="161">
        <f t="shared" si="0"/>
        <v>0</v>
      </c>
      <c r="AZ10" s="168">
        <f>SUM($D10:$AY10)</f>
        <v>30.908314018989245</v>
      </c>
    </row>
    <row r="11" spans="1:52" x14ac:dyDescent="0.2">
      <c r="C11" s="128"/>
    </row>
    <row r="12" spans="1:52" x14ac:dyDescent="0.2">
      <c r="A12" s="169" t="s">
        <v>295</v>
      </c>
      <c r="B12" s="163"/>
      <c r="C12" s="128"/>
    </row>
    <row r="13" spans="1:52" x14ac:dyDescent="0.2">
      <c r="A13" s="139" t="s">
        <v>125</v>
      </c>
      <c r="B13" s="140">
        <v>1</v>
      </c>
      <c r="C13" s="141">
        <v>913</v>
      </c>
      <c r="D13" s="155">
        <f t="shared" ref="D13:AY13" si="1">D$7-D$10</f>
        <v>241.71302358654705</v>
      </c>
      <c r="E13" s="155">
        <f t="shared" si="1"/>
        <v>242.24279961126308</v>
      </c>
      <c r="F13" s="155">
        <f t="shared" si="1"/>
        <v>371.45415700949462</v>
      </c>
      <c r="G13" s="155">
        <f t="shared" si="1"/>
        <v>371.45415700949462</v>
      </c>
      <c r="H13" s="155">
        <f t="shared" si="1"/>
        <v>60.957989223167552</v>
      </c>
      <c r="I13" s="155">
        <f t="shared" si="1"/>
        <v>371.45415700949462</v>
      </c>
      <c r="J13" s="155">
        <f t="shared" si="1"/>
        <v>371.45415700949462</v>
      </c>
      <c r="K13" s="155">
        <f t="shared" si="1"/>
        <v>371.45415700949462</v>
      </c>
      <c r="L13" s="155">
        <f t="shared" si="1"/>
        <v>371.45415700949462</v>
      </c>
      <c r="M13" s="155">
        <f t="shared" si="1"/>
        <v>371.45415700949462</v>
      </c>
      <c r="N13" s="155">
        <f t="shared" si="1"/>
        <v>371.45415700949462</v>
      </c>
      <c r="O13" s="155">
        <f t="shared" si="1"/>
        <v>371.45415700949462</v>
      </c>
      <c r="P13" s="155">
        <f t="shared" si="1"/>
        <v>371.45415700949462</v>
      </c>
      <c r="Q13" s="155">
        <f t="shared" si="1"/>
        <v>371.45415700949462</v>
      </c>
      <c r="R13" s="155">
        <f t="shared" si="1"/>
        <v>371.45415700949462</v>
      </c>
      <c r="S13" s="155">
        <f t="shared" si="1"/>
        <v>371.45415700949462</v>
      </c>
      <c r="T13" s="155">
        <f t="shared" si="1"/>
        <v>371.45415700949462</v>
      </c>
      <c r="U13" s="155">
        <f t="shared" si="1"/>
        <v>371.45415700949462</v>
      </c>
      <c r="V13" s="155">
        <f t="shared" si="1"/>
        <v>371.45415700949462</v>
      </c>
      <c r="W13" s="155">
        <f t="shared" si="1"/>
        <v>371.45415700949462</v>
      </c>
      <c r="X13" s="155">
        <f t="shared" si="1"/>
        <v>371.45415700949462</v>
      </c>
      <c r="Y13" s="155">
        <f t="shared" si="1"/>
        <v>371.45415700949462</v>
      </c>
      <c r="Z13" s="155">
        <f t="shared" si="1"/>
        <v>371.45415700949462</v>
      </c>
      <c r="AA13" s="155">
        <f t="shared" si="1"/>
        <v>371.45415700949462</v>
      </c>
      <c r="AB13" s="155">
        <f t="shared" si="1"/>
        <v>371.45415700949462</v>
      </c>
      <c r="AC13" s="155">
        <f t="shared" si="1"/>
        <v>371.45415700949462</v>
      </c>
      <c r="AD13" s="155">
        <f t="shared" si="1"/>
        <v>371.45415700949462</v>
      </c>
      <c r="AE13" s="155">
        <f t="shared" si="1"/>
        <v>371.45415700949462</v>
      </c>
      <c r="AF13" s="155">
        <f t="shared" si="1"/>
        <v>371.45415700949462</v>
      </c>
      <c r="AG13" s="155">
        <f t="shared" si="1"/>
        <v>371.45415700949462</v>
      </c>
      <c r="AH13" s="155">
        <f t="shared" si="1"/>
        <v>340.54584299050538</v>
      </c>
      <c r="AI13" s="155">
        <f t="shared" si="1"/>
        <v>371.45415700949462</v>
      </c>
      <c r="AJ13" s="155">
        <f t="shared" si="1"/>
        <v>258.26036955807899</v>
      </c>
      <c r="AK13" s="155">
        <f t="shared" si="1"/>
        <v>258.74929763314879</v>
      </c>
      <c r="AL13" s="155">
        <f t="shared" si="1"/>
        <v>371.45415700949462</v>
      </c>
      <c r="AM13" s="155">
        <f t="shared" si="1"/>
        <v>371.45415700949462</v>
      </c>
      <c r="AN13" s="155">
        <f t="shared" si="1"/>
        <v>371.45415700949462</v>
      </c>
      <c r="AO13" s="155">
        <f t="shared" si="1"/>
        <v>371.45415700949462</v>
      </c>
      <c r="AP13" s="155">
        <f t="shared" si="1"/>
        <v>371.45415700949462</v>
      </c>
      <c r="AQ13" s="155">
        <f t="shared" si="1"/>
        <v>371.45415700949462</v>
      </c>
      <c r="AR13" s="155">
        <f t="shared" si="1"/>
        <v>262.09375676583966</v>
      </c>
      <c r="AS13" s="155">
        <f t="shared" si="1"/>
        <v>371.45415700949462</v>
      </c>
      <c r="AT13" s="155">
        <f t="shared" si="1"/>
        <v>65.755480637875024</v>
      </c>
      <c r="AU13" s="155">
        <f t="shared" si="1"/>
        <v>371.45415700949462</v>
      </c>
      <c r="AV13" s="155">
        <f t="shared" si="1"/>
        <v>263.93680560704718</v>
      </c>
      <c r="AW13" s="155">
        <f t="shared" si="1"/>
        <v>264.38908131650351</v>
      </c>
      <c r="AX13" s="155">
        <f t="shared" si="1"/>
        <v>371.45415700949462</v>
      </c>
      <c r="AY13" s="155">
        <f t="shared" si="1"/>
        <v>371.45415700949462</v>
      </c>
      <c r="AZ13" s="127"/>
    </row>
    <row r="14" spans="1:52" x14ac:dyDescent="0.2">
      <c r="A14" s="128"/>
      <c r="B14" s="137">
        <v>2</v>
      </c>
      <c r="C14" s="128">
        <v>0</v>
      </c>
      <c r="D14" s="124">
        <f>IF(C$20="Yes",C13,0)</f>
        <v>0</v>
      </c>
      <c r="E14" s="124">
        <f t="shared" ref="E14:AY17" si="2">IF(D$20="Yes",D13,0)</f>
        <v>0</v>
      </c>
      <c r="F14" s="124">
        <f t="shared" si="2"/>
        <v>0</v>
      </c>
      <c r="G14" s="124">
        <f t="shared" si="2"/>
        <v>0</v>
      </c>
      <c r="H14" s="124">
        <f t="shared" si="2"/>
        <v>0</v>
      </c>
      <c r="I14" s="124">
        <f t="shared" si="2"/>
        <v>0</v>
      </c>
      <c r="J14" s="124">
        <f t="shared" si="2"/>
        <v>0</v>
      </c>
      <c r="K14" s="124">
        <f t="shared" si="2"/>
        <v>0</v>
      </c>
      <c r="L14" s="124">
        <f t="shared" si="2"/>
        <v>0</v>
      </c>
      <c r="M14" s="124">
        <f t="shared" si="2"/>
        <v>0</v>
      </c>
      <c r="N14" s="124">
        <f t="shared" si="2"/>
        <v>0</v>
      </c>
      <c r="O14" s="124">
        <f t="shared" si="2"/>
        <v>0</v>
      </c>
      <c r="P14" s="124">
        <f t="shared" si="2"/>
        <v>0</v>
      </c>
      <c r="Q14" s="124">
        <f t="shared" si="2"/>
        <v>0</v>
      </c>
      <c r="R14" s="124">
        <f t="shared" si="2"/>
        <v>0</v>
      </c>
      <c r="S14" s="124">
        <f t="shared" si="2"/>
        <v>0</v>
      </c>
      <c r="T14" s="124">
        <f t="shared" si="2"/>
        <v>0</v>
      </c>
      <c r="U14" s="124">
        <f t="shared" si="2"/>
        <v>0</v>
      </c>
      <c r="V14" s="124">
        <f t="shared" si="2"/>
        <v>0</v>
      </c>
      <c r="W14" s="124">
        <f t="shared" si="2"/>
        <v>0</v>
      </c>
      <c r="X14" s="124">
        <f t="shared" si="2"/>
        <v>0</v>
      </c>
      <c r="Y14" s="124">
        <f t="shared" si="2"/>
        <v>0</v>
      </c>
      <c r="Z14" s="124">
        <f t="shared" si="2"/>
        <v>0</v>
      </c>
      <c r="AA14" s="124">
        <f t="shared" si="2"/>
        <v>0</v>
      </c>
      <c r="AB14" s="124">
        <f t="shared" si="2"/>
        <v>0</v>
      </c>
      <c r="AC14" s="124">
        <f t="shared" si="2"/>
        <v>0</v>
      </c>
      <c r="AD14" s="124">
        <f t="shared" si="2"/>
        <v>0</v>
      </c>
      <c r="AE14" s="124">
        <f t="shared" si="2"/>
        <v>0</v>
      </c>
      <c r="AF14" s="124">
        <f t="shared" si="2"/>
        <v>0</v>
      </c>
      <c r="AG14" s="124">
        <f t="shared" si="2"/>
        <v>0</v>
      </c>
      <c r="AH14" s="124">
        <f t="shared" si="2"/>
        <v>371.45415700949462</v>
      </c>
      <c r="AI14" s="124">
        <f t="shared" si="2"/>
        <v>0</v>
      </c>
      <c r="AJ14" s="124">
        <f t="shared" si="2"/>
        <v>0</v>
      </c>
      <c r="AK14" s="124">
        <f t="shared" si="2"/>
        <v>0</v>
      </c>
      <c r="AL14" s="124">
        <f t="shared" si="2"/>
        <v>0</v>
      </c>
      <c r="AM14" s="124">
        <f t="shared" si="2"/>
        <v>0</v>
      </c>
      <c r="AN14" s="124">
        <f t="shared" si="2"/>
        <v>0</v>
      </c>
      <c r="AO14" s="124">
        <f t="shared" si="2"/>
        <v>0</v>
      </c>
      <c r="AP14" s="124">
        <f t="shared" si="2"/>
        <v>0</v>
      </c>
      <c r="AQ14" s="124">
        <f t="shared" si="2"/>
        <v>0</v>
      </c>
      <c r="AR14" s="124">
        <f t="shared" si="2"/>
        <v>0</v>
      </c>
      <c r="AS14" s="124">
        <f t="shared" si="2"/>
        <v>262.09375676583966</v>
      </c>
      <c r="AT14" s="124">
        <f t="shared" si="2"/>
        <v>0</v>
      </c>
      <c r="AU14" s="124">
        <f t="shared" si="2"/>
        <v>0</v>
      </c>
      <c r="AV14" s="124">
        <f t="shared" si="2"/>
        <v>371.45415700949462</v>
      </c>
      <c r="AW14" s="124">
        <f t="shared" si="2"/>
        <v>0</v>
      </c>
      <c r="AX14" s="124">
        <f t="shared" si="2"/>
        <v>0</v>
      </c>
      <c r="AY14" s="124">
        <f t="shared" si="2"/>
        <v>0</v>
      </c>
      <c r="AZ14" s="127"/>
    </row>
    <row r="15" spans="1:52" x14ac:dyDescent="0.2">
      <c r="A15" s="128"/>
      <c r="B15" s="144">
        <v>3</v>
      </c>
      <c r="C15" s="128">
        <v>0</v>
      </c>
      <c r="D15" s="124">
        <f>IF(C$20="Yes",C14,0)</f>
        <v>0</v>
      </c>
      <c r="E15" s="124">
        <f t="shared" si="2"/>
        <v>0</v>
      </c>
      <c r="F15" s="124">
        <f t="shared" si="2"/>
        <v>0</v>
      </c>
      <c r="G15" s="124">
        <f t="shared" si="2"/>
        <v>0</v>
      </c>
      <c r="H15" s="124">
        <f t="shared" si="2"/>
        <v>0</v>
      </c>
      <c r="I15" s="124">
        <f t="shared" si="2"/>
        <v>0</v>
      </c>
      <c r="J15" s="124">
        <f t="shared" si="2"/>
        <v>0</v>
      </c>
      <c r="K15" s="124">
        <f t="shared" si="2"/>
        <v>0</v>
      </c>
      <c r="L15" s="124">
        <f t="shared" si="2"/>
        <v>0</v>
      </c>
      <c r="M15" s="124">
        <f t="shared" si="2"/>
        <v>0</v>
      </c>
      <c r="N15" s="124">
        <f t="shared" si="2"/>
        <v>0</v>
      </c>
      <c r="O15" s="124">
        <f t="shared" si="2"/>
        <v>0</v>
      </c>
      <c r="P15" s="124">
        <f t="shared" si="2"/>
        <v>0</v>
      </c>
      <c r="Q15" s="124">
        <f t="shared" si="2"/>
        <v>0</v>
      </c>
      <c r="R15" s="124">
        <f t="shared" si="2"/>
        <v>0</v>
      </c>
      <c r="S15" s="124">
        <f t="shared" si="2"/>
        <v>0</v>
      </c>
      <c r="T15" s="124">
        <f t="shared" si="2"/>
        <v>0</v>
      </c>
      <c r="U15" s="124">
        <f t="shared" si="2"/>
        <v>0</v>
      </c>
      <c r="V15" s="124">
        <f t="shared" si="2"/>
        <v>0</v>
      </c>
      <c r="W15" s="124">
        <f t="shared" si="2"/>
        <v>0</v>
      </c>
      <c r="X15" s="124">
        <f t="shared" si="2"/>
        <v>0</v>
      </c>
      <c r="Y15" s="124">
        <f t="shared" si="2"/>
        <v>0</v>
      </c>
      <c r="Z15" s="124">
        <f t="shared" si="2"/>
        <v>0</v>
      </c>
      <c r="AA15" s="124">
        <f t="shared" si="2"/>
        <v>0</v>
      </c>
      <c r="AB15" s="124">
        <f t="shared" si="2"/>
        <v>0</v>
      </c>
      <c r="AC15" s="124">
        <f t="shared" si="2"/>
        <v>0</v>
      </c>
      <c r="AD15" s="124">
        <f t="shared" si="2"/>
        <v>0</v>
      </c>
      <c r="AE15" s="124">
        <f t="shared" si="2"/>
        <v>0</v>
      </c>
      <c r="AF15" s="124">
        <f t="shared" si="2"/>
        <v>0</v>
      </c>
      <c r="AG15" s="124">
        <f t="shared" si="2"/>
        <v>0</v>
      </c>
      <c r="AH15" s="124">
        <f t="shared" si="2"/>
        <v>0</v>
      </c>
      <c r="AI15" s="124">
        <f t="shared" si="2"/>
        <v>0</v>
      </c>
      <c r="AJ15" s="124">
        <f t="shared" si="2"/>
        <v>0</v>
      </c>
      <c r="AK15" s="124">
        <f t="shared" si="2"/>
        <v>0</v>
      </c>
      <c r="AL15" s="124">
        <f t="shared" si="2"/>
        <v>0</v>
      </c>
      <c r="AM15" s="124">
        <f t="shared" si="2"/>
        <v>0</v>
      </c>
      <c r="AN15" s="124">
        <f t="shared" si="2"/>
        <v>0</v>
      </c>
      <c r="AO15" s="124">
        <f t="shared" si="2"/>
        <v>0</v>
      </c>
      <c r="AP15" s="124">
        <f t="shared" si="2"/>
        <v>0</v>
      </c>
      <c r="AQ15" s="124">
        <f t="shared" si="2"/>
        <v>0</v>
      </c>
      <c r="AR15" s="124">
        <f t="shared" si="2"/>
        <v>0</v>
      </c>
      <c r="AS15" s="124">
        <f t="shared" si="2"/>
        <v>0</v>
      </c>
      <c r="AT15" s="124">
        <f t="shared" si="2"/>
        <v>0</v>
      </c>
      <c r="AU15" s="124">
        <f t="shared" si="2"/>
        <v>0</v>
      </c>
      <c r="AV15" s="124">
        <f t="shared" si="2"/>
        <v>0</v>
      </c>
      <c r="AW15" s="124">
        <f t="shared" si="2"/>
        <v>0</v>
      </c>
      <c r="AX15" s="124">
        <f t="shared" si="2"/>
        <v>0</v>
      </c>
      <c r="AY15" s="124">
        <f t="shared" si="2"/>
        <v>0</v>
      </c>
      <c r="AZ15" s="127"/>
    </row>
    <row r="16" spans="1:52" x14ac:dyDescent="0.2">
      <c r="A16" s="128"/>
      <c r="B16" s="147">
        <v>4</v>
      </c>
      <c r="C16" s="128">
        <v>0</v>
      </c>
      <c r="D16" s="124">
        <f>IF(C$20="Yes",C15,0)</f>
        <v>0</v>
      </c>
      <c r="E16" s="124">
        <f t="shared" si="2"/>
        <v>0</v>
      </c>
      <c r="F16" s="124">
        <f t="shared" si="2"/>
        <v>0</v>
      </c>
      <c r="G16" s="124">
        <f t="shared" si="2"/>
        <v>0</v>
      </c>
      <c r="H16" s="124">
        <f t="shared" si="2"/>
        <v>0</v>
      </c>
      <c r="I16" s="124">
        <f t="shared" si="2"/>
        <v>0</v>
      </c>
      <c r="J16" s="124">
        <f t="shared" si="2"/>
        <v>0</v>
      </c>
      <c r="K16" s="124">
        <f t="shared" si="2"/>
        <v>0</v>
      </c>
      <c r="L16" s="124">
        <f t="shared" si="2"/>
        <v>0</v>
      </c>
      <c r="M16" s="124">
        <f t="shared" si="2"/>
        <v>0</v>
      </c>
      <c r="N16" s="124">
        <f t="shared" si="2"/>
        <v>0</v>
      </c>
      <c r="O16" s="124">
        <f t="shared" si="2"/>
        <v>0</v>
      </c>
      <c r="P16" s="124">
        <f t="shared" si="2"/>
        <v>0</v>
      </c>
      <c r="Q16" s="124">
        <f t="shared" si="2"/>
        <v>0</v>
      </c>
      <c r="R16" s="124">
        <f t="shared" si="2"/>
        <v>0</v>
      </c>
      <c r="S16" s="124">
        <f t="shared" si="2"/>
        <v>0</v>
      </c>
      <c r="T16" s="124">
        <f t="shared" si="2"/>
        <v>0</v>
      </c>
      <c r="U16" s="124">
        <f t="shared" si="2"/>
        <v>0</v>
      </c>
      <c r="V16" s="124">
        <f t="shared" si="2"/>
        <v>0</v>
      </c>
      <c r="W16" s="124">
        <f t="shared" si="2"/>
        <v>0</v>
      </c>
      <c r="X16" s="124">
        <f t="shared" si="2"/>
        <v>0</v>
      </c>
      <c r="Y16" s="124">
        <f t="shared" si="2"/>
        <v>0</v>
      </c>
      <c r="Z16" s="124">
        <f t="shared" si="2"/>
        <v>0</v>
      </c>
      <c r="AA16" s="124">
        <f t="shared" si="2"/>
        <v>0</v>
      </c>
      <c r="AB16" s="124">
        <f t="shared" si="2"/>
        <v>0</v>
      </c>
      <c r="AC16" s="124">
        <f t="shared" si="2"/>
        <v>0</v>
      </c>
      <c r="AD16" s="124">
        <f t="shared" si="2"/>
        <v>0</v>
      </c>
      <c r="AE16" s="124">
        <f t="shared" si="2"/>
        <v>0</v>
      </c>
      <c r="AF16" s="124">
        <f t="shared" si="2"/>
        <v>0</v>
      </c>
      <c r="AG16" s="124">
        <f t="shared" si="2"/>
        <v>0</v>
      </c>
      <c r="AH16" s="124">
        <f t="shared" si="2"/>
        <v>0</v>
      </c>
      <c r="AI16" s="124">
        <f t="shared" si="2"/>
        <v>0</v>
      </c>
      <c r="AJ16" s="124">
        <f t="shared" si="2"/>
        <v>0</v>
      </c>
      <c r="AK16" s="124">
        <f t="shared" si="2"/>
        <v>0</v>
      </c>
      <c r="AL16" s="124">
        <f t="shared" si="2"/>
        <v>0</v>
      </c>
      <c r="AM16" s="124">
        <f t="shared" si="2"/>
        <v>0</v>
      </c>
      <c r="AN16" s="124">
        <f t="shared" si="2"/>
        <v>0</v>
      </c>
      <c r="AO16" s="124">
        <f t="shared" si="2"/>
        <v>0</v>
      </c>
      <c r="AP16" s="124">
        <f t="shared" si="2"/>
        <v>0</v>
      </c>
      <c r="AQ16" s="124">
        <f t="shared" si="2"/>
        <v>0</v>
      </c>
      <c r="AR16" s="124">
        <f t="shared" si="2"/>
        <v>0</v>
      </c>
      <c r="AS16" s="124">
        <f t="shared" si="2"/>
        <v>0</v>
      </c>
      <c r="AT16" s="124">
        <f t="shared" si="2"/>
        <v>0</v>
      </c>
      <c r="AU16" s="124">
        <f t="shared" si="2"/>
        <v>0</v>
      </c>
      <c r="AV16" s="124">
        <f t="shared" si="2"/>
        <v>0</v>
      </c>
      <c r="AW16" s="124">
        <f t="shared" si="2"/>
        <v>0</v>
      </c>
      <c r="AX16" s="124">
        <f t="shared" si="2"/>
        <v>0</v>
      </c>
      <c r="AY16" s="124">
        <f t="shared" si="2"/>
        <v>0</v>
      </c>
      <c r="AZ16" s="145"/>
    </row>
    <row r="17" spans="1:52" x14ac:dyDescent="0.2">
      <c r="A17" s="142"/>
      <c r="B17" s="149" t="s">
        <v>296</v>
      </c>
      <c r="C17" s="142">
        <v>0</v>
      </c>
      <c r="D17" s="131">
        <f>IF(C$20="Yes",C16,0)</f>
        <v>0</v>
      </c>
      <c r="E17" s="131">
        <f t="shared" si="2"/>
        <v>0</v>
      </c>
      <c r="F17" s="131">
        <f t="shared" si="2"/>
        <v>0</v>
      </c>
      <c r="G17" s="131">
        <f t="shared" si="2"/>
        <v>0</v>
      </c>
      <c r="H17" s="131">
        <f t="shared" si="2"/>
        <v>0</v>
      </c>
      <c r="I17" s="131">
        <f t="shared" si="2"/>
        <v>0</v>
      </c>
      <c r="J17" s="131">
        <f t="shared" si="2"/>
        <v>0</v>
      </c>
      <c r="K17" s="131">
        <f t="shared" si="2"/>
        <v>0</v>
      </c>
      <c r="L17" s="131">
        <f t="shared" si="2"/>
        <v>0</v>
      </c>
      <c r="M17" s="131">
        <f t="shared" si="2"/>
        <v>0</v>
      </c>
      <c r="N17" s="131">
        <f t="shared" si="2"/>
        <v>0</v>
      </c>
      <c r="O17" s="131">
        <f t="shared" si="2"/>
        <v>0</v>
      </c>
      <c r="P17" s="131">
        <f t="shared" si="2"/>
        <v>0</v>
      </c>
      <c r="Q17" s="131">
        <f t="shared" si="2"/>
        <v>0</v>
      </c>
      <c r="R17" s="131">
        <f t="shared" si="2"/>
        <v>0</v>
      </c>
      <c r="S17" s="131">
        <f t="shared" si="2"/>
        <v>0</v>
      </c>
      <c r="T17" s="131">
        <f t="shared" si="2"/>
        <v>0</v>
      </c>
      <c r="U17" s="131">
        <f t="shared" si="2"/>
        <v>0</v>
      </c>
      <c r="V17" s="131">
        <f t="shared" si="2"/>
        <v>0</v>
      </c>
      <c r="W17" s="131">
        <f t="shared" si="2"/>
        <v>0</v>
      </c>
      <c r="X17" s="131">
        <f t="shared" si="2"/>
        <v>0</v>
      </c>
      <c r="Y17" s="131">
        <f t="shared" si="2"/>
        <v>0</v>
      </c>
      <c r="Z17" s="131">
        <f t="shared" si="2"/>
        <v>0</v>
      </c>
      <c r="AA17" s="131">
        <f t="shared" si="2"/>
        <v>0</v>
      </c>
      <c r="AB17" s="131">
        <f t="shared" si="2"/>
        <v>0</v>
      </c>
      <c r="AC17" s="131">
        <f t="shared" si="2"/>
        <v>0</v>
      </c>
      <c r="AD17" s="131">
        <f t="shared" si="2"/>
        <v>0</v>
      </c>
      <c r="AE17" s="131">
        <f t="shared" si="2"/>
        <v>0</v>
      </c>
      <c r="AF17" s="131">
        <f t="shared" si="2"/>
        <v>0</v>
      </c>
      <c r="AG17" s="131">
        <f t="shared" si="2"/>
        <v>0</v>
      </c>
      <c r="AH17" s="131">
        <f t="shared" si="2"/>
        <v>0</v>
      </c>
      <c r="AI17" s="131">
        <f t="shared" si="2"/>
        <v>0</v>
      </c>
      <c r="AJ17" s="131">
        <f t="shared" si="2"/>
        <v>0</v>
      </c>
      <c r="AK17" s="131">
        <f t="shared" si="2"/>
        <v>0</v>
      </c>
      <c r="AL17" s="131">
        <f t="shared" si="2"/>
        <v>0</v>
      </c>
      <c r="AM17" s="131">
        <f t="shared" si="2"/>
        <v>0</v>
      </c>
      <c r="AN17" s="131">
        <f t="shared" si="2"/>
        <v>0</v>
      </c>
      <c r="AO17" s="131">
        <f t="shared" si="2"/>
        <v>0</v>
      </c>
      <c r="AP17" s="131">
        <f t="shared" si="2"/>
        <v>0</v>
      </c>
      <c r="AQ17" s="131">
        <f t="shared" si="2"/>
        <v>0</v>
      </c>
      <c r="AR17" s="131">
        <f t="shared" si="2"/>
        <v>0</v>
      </c>
      <c r="AS17" s="131">
        <f t="shared" si="2"/>
        <v>0</v>
      </c>
      <c r="AT17" s="131">
        <f t="shared" si="2"/>
        <v>0</v>
      </c>
      <c r="AU17" s="131">
        <f t="shared" si="2"/>
        <v>0</v>
      </c>
      <c r="AV17" s="131">
        <f t="shared" si="2"/>
        <v>0</v>
      </c>
      <c r="AW17" s="131">
        <f t="shared" si="2"/>
        <v>0</v>
      </c>
      <c r="AX17" s="131">
        <f t="shared" si="2"/>
        <v>0</v>
      </c>
      <c r="AY17" s="131">
        <f t="shared" si="2"/>
        <v>0</v>
      </c>
      <c r="AZ17" s="168">
        <f>SUM($D$17:$AY$17)</f>
        <v>0</v>
      </c>
    </row>
    <row r="18" spans="1:52" x14ac:dyDescent="0.2">
      <c r="A18" s="124"/>
      <c r="B18" s="170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24"/>
    </row>
    <row r="19" spans="1:52" x14ac:dyDescent="0.2">
      <c r="A19" s="1" t="s">
        <v>116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</row>
    <row r="20" spans="1:52" s="128" customFormat="1" x14ac:dyDescent="0.2">
      <c r="A20" s="132" t="s">
        <v>305</v>
      </c>
      <c r="B20" s="171" t="s">
        <v>306</v>
      </c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34"/>
      <c r="AC20" s="134"/>
      <c r="AD20" s="134"/>
      <c r="AE20" s="134"/>
      <c r="AF20" s="134"/>
      <c r="AG20" s="134" t="s">
        <v>339</v>
      </c>
      <c r="AH20" s="134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 t="s">
        <v>339</v>
      </c>
      <c r="AS20" s="134"/>
      <c r="AT20" s="134"/>
      <c r="AU20" s="134" t="s">
        <v>339</v>
      </c>
      <c r="AV20" s="134"/>
      <c r="AW20" s="134"/>
      <c r="AX20" s="134"/>
      <c r="AY20" s="134"/>
      <c r="AZ20" s="125"/>
    </row>
    <row r="21" spans="1:52" s="128" customFormat="1" x14ac:dyDescent="0.2">
      <c r="A21" s="172" t="s">
        <v>133</v>
      </c>
      <c r="B21" s="173">
        <f>shipping_manufacturing!$E$19/100</f>
        <v>1</v>
      </c>
      <c r="C21" s="173" t="s">
        <v>293</v>
      </c>
      <c r="D21" s="124">
        <f>IF(C$20="Yes",0,SUM(C$13:C$16)*$B$21)</f>
        <v>913</v>
      </c>
      <c r="E21" s="124">
        <f t="shared" ref="E21:AY21" si="3">IF(D$20="Yes",0,SUM(D$13:D$16)*$B$21)</f>
        <v>241.71302358654705</v>
      </c>
      <c r="F21" s="124">
        <f t="shared" si="3"/>
        <v>242.24279961126308</v>
      </c>
      <c r="G21" s="124">
        <f t="shared" si="3"/>
        <v>371.45415700949462</v>
      </c>
      <c r="H21" s="124">
        <f t="shared" si="3"/>
        <v>371.45415700949462</v>
      </c>
      <c r="I21" s="124">
        <f t="shared" si="3"/>
        <v>60.957989223167552</v>
      </c>
      <c r="J21" s="124">
        <f t="shared" si="3"/>
        <v>371.45415700949462</v>
      </c>
      <c r="K21" s="124">
        <f t="shared" si="3"/>
        <v>371.45415700949462</v>
      </c>
      <c r="L21" s="124">
        <f t="shared" si="3"/>
        <v>371.45415700949462</v>
      </c>
      <c r="M21" s="124">
        <f t="shared" si="3"/>
        <v>371.45415700949462</v>
      </c>
      <c r="N21" s="124">
        <f t="shared" si="3"/>
        <v>371.45415700949462</v>
      </c>
      <c r="O21" s="124">
        <f t="shared" si="3"/>
        <v>371.45415700949462</v>
      </c>
      <c r="P21" s="124">
        <f t="shared" si="3"/>
        <v>371.45415700949462</v>
      </c>
      <c r="Q21" s="124">
        <f t="shared" si="3"/>
        <v>371.45415700949462</v>
      </c>
      <c r="R21" s="124">
        <f t="shared" si="3"/>
        <v>371.45415700949462</v>
      </c>
      <c r="S21" s="124">
        <f t="shared" si="3"/>
        <v>371.45415700949462</v>
      </c>
      <c r="T21" s="124">
        <f t="shared" si="3"/>
        <v>371.45415700949462</v>
      </c>
      <c r="U21" s="124">
        <f t="shared" si="3"/>
        <v>371.45415700949462</v>
      </c>
      <c r="V21" s="124">
        <f t="shared" si="3"/>
        <v>371.45415700949462</v>
      </c>
      <c r="W21" s="124">
        <f t="shared" si="3"/>
        <v>371.45415700949462</v>
      </c>
      <c r="X21" s="124">
        <f t="shared" si="3"/>
        <v>371.45415700949462</v>
      </c>
      <c r="Y21" s="124">
        <f t="shared" si="3"/>
        <v>371.45415700949462</v>
      </c>
      <c r="Z21" s="124">
        <f t="shared" si="3"/>
        <v>371.45415700949462</v>
      </c>
      <c r="AA21" s="124">
        <f t="shared" si="3"/>
        <v>371.45415700949462</v>
      </c>
      <c r="AB21" s="124">
        <f t="shared" si="3"/>
        <v>371.45415700949462</v>
      </c>
      <c r="AC21" s="124">
        <f t="shared" si="3"/>
        <v>371.45415700949462</v>
      </c>
      <c r="AD21" s="124">
        <f t="shared" si="3"/>
        <v>371.45415700949462</v>
      </c>
      <c r="AE21" s="124">
        <f t="shared" si="3"/>
        <v>371.45415700949462</v>
      </c>
      <c r="AF21" s="124">
        <f t="shared" si="3"/>
        <v>371.45415700949462</v>
      </c>
      <c r="AG21" s="124">
        <f t="shared" si="3"/>
        <v>371.45415700949462</v>
      </c>
      <c r="AH21" s="124">
        <f t="shared" si="3"/>
        <v>0</v>
      </c>
      <c r="AI21" s="124">
        <f t="shared" si="3"/>
        <v>712</v>
      </c>
      <c r="AJ21" s="124">
        <f t="shared" si="3"/>
        <v>371.45415700949462</v>
      </c>
      <c r="AK21" s="124">
        <f t="shared" si="3"/>
        <v>258.26036955807899</v>
      </c>
      <c r="AL21" s="124">
        <f t="shared" si="3"/>
        <v>258.74929763314879</v>
      </c>
      <c r="AM21" s="124">
        <f t="shared" si="3"/>
        <v>371.45415700949462</v>
      </c>
      <c r="AN21" s="124">
        <f t="shared" si="3"/>
        <v>371.45415700949462</v>
      </c>
      <c r="AO21" s="124">
        <f t="shared" si="3"/>
        <v>371.45415700949462</v>
      </c>
      <c r="AP21" s="124">
        <f t="shared" si="3"/>
        <v>371.45415700949462</v>
      </c>
      <c r="AQ21" s="124">
        <f t="shared" si="3"/>
        <v>371.45415700949462</v>
      </c>
      <c r="AR21" s="124">
        <f t="shared" si="3"/>
        <v>371.45415700949462</v>
      </c>
      <c r="AS21" s="124">
        <f t="shared" si="3"/>
        <v>0</v>
      </c>
      <c r="AT21" s="124">
        <f t="shared" si="3"/>
        <v>633.54791377533434</v>
      </c>
      <c r="AU21" s="124">
        <f t="shared" si="3"/>
        <v>65.755480637875024</v>
      </c>
      <c r="AV21" s="124">
        <f t="shared" si="3"/>
        <v>0</v>
      </c>
      <c r="AW21" s="124">
        <f t="shared" si="3"/>
        <v>635.39096261654186</v>
      </c>
      <c r="AX21" s="124">
        <f t="shared" si="3"/>
        <v>264.38908131650351</v>
      </c>
      <c r="AY21" s="124">
        <f t="shared" si="3"/>
        <v>371.45415700949462</v>
      </c>
      <c r="AZ21" s="174">
        <f>SUM($D21:$AY21)</f>
        <v>16915.448256281285</v>
      </c>
    </row>
    <row r="22" spans="1:52" s="128" customFormat="1" x14ac:dyDescent="0.2">
      <c r="A22" s="175" t="s">
        <v>123</v>
      </c>
      <c r="B22" s="176">
        <f>1-$B$21</f>
        <v>0</v>
      </c>
      <c r="C22" s="176" t="s">
        <v>293</v>
      </c>
      <c r="D22" s="131">
        <f>IF(C$20="Yes",0,SUM(C$13:C$16)*$B$22)</f>
        <v>0</v>
      </c>
      <c r="E22" s="131">
        <f t="shared" ref="E22:AY22" si="4">IF(D$20="Yes",0,SUM(D$13:D$16)*$B$22)</f>
        <v>0</v>
      </c>
      <c r="F22" s="131">
        <f t="shared" si="4"/>
        <v>0</v>
      </c>
      <c r="G22" s="131">
        <f t="shared" si="4"/>
        <v>0</v>
      </c>
      <c r="H22" s="131">
        <f t="shared" si="4"/>
        <v>0</v>
      </c>
      <c r="I22" s="131">
        <f t="shared" si="4"/>
        <v>0</v>
      </c>
      <c r="J22" s="131">
        <f t="shared" si="4"/>
        <v>0</v>
      </c>
      <c r="K22" s="131">
        <f t="shared" si="4"/>
        <v>0</v>
      </c>
      <c r="L22" s="131">
        <f t="shared" si="4"/>
        <v>0</v>
      </c>
      <c r="M22" s="131">
        <f t="shared" si="4"/>
        <v>0</v>
      </c>
      <c r="N22" s="131">
        <f t="shared" si="4"/>
        <v>0</v>
      </c>
      <c r="O22" s="131">
        <f t="shared" si="4"/>
        <v>0</v>
      </c>
      <c r="P22" s="131">
        <f t="shared" si="4"/>
        <v>0</v>
      </c>
      <c r="Q22" s="131">
        <f t="shared" si="4"/>
        <v>0</v>
      </c>
      <c r="R22" s="131">
        <f t="shared" si="4"/>
        <v>0</v>
      </c>
      <c r="S22" s="131">
        <f t="shared" si="4"/>
        <v>0</v>
      </c>
      <c r="T22" s="131">
        <f t="shared" si="4"/>
        <v>0</v>
      </c>
      <c r="U22" s="131">
        <f t="shared" si="4"/>
        <v>0</v>
      </c>
      <c r="V22" s="131">
        <f t="shared" si="4"/>
        <v>0</v>
      </c>
      <c r="W22" s="131">
        <f t="shared" si="4"/>
        <v>0</v>
      </c>
      <c r="X22" s="131">
        <f t="shared" si="4"/>
        <v>0</v>
      </c>
      <c r="Y22" s="131">
        <f t="shared" si="4"/>
        <v>0</v>
      </c>
      <c r="Z22" s="131">
        <f t="shared" si="4"/>
        <v>0</v>
      </c>
      <c r="AA22" s="131">
        <f t="shared" si="4"/>
        <v>0</v>
      </c>
      <c r="AB22" s="131">
        <f t="shared" si="4"/>
        <v>0</v>
      </c>
      <c r="AC22" s="131">
        <f t="shared" si="4"/>
        <v>0</v>
      </c>
      <c r="AD22" s="131">
        <f t="shared" si="4"/>
        <v>0</v>
      </c>
      <c r="AE22" s="131">
        <f t="shared" si="4"/>
        <v>0</v>
      </c>
      <c r="AF22" s="131">
        <f t="shared" si="4"/>
        <v>0</v>
      </c>
      <c r="AG22" s="131">
        <f t="shared" si="4"/>
        <v>0</v>
      </c>
      <c r="AH22" s="131">
        <f t="shared" si="4"/>
        <v>0</v>
      </c>
      <c r="AI22" s="131">
        <f t="shared" si="4"/>
        <v>0</v>
      </c>
      <c r="AJ22" s="131">
        <f t="shared" si="4"/>
        <v>0</v>
      </c>
      <c r="AK22" s="131">
        <f t="shared" si="4"/>
        <v>0</v>
      </c>
      <c r="AL22" s="131">
        <f t="shared" si="4"/>
        <v>0</v>
      </c>
      <c r="AM22" s="131">
        <f t="shared" si="4"/>
        <v>0</v>
      </c>
      <c r="AN22" s="131">
        <f t="shared" si="4"/>
        <v>0</v>
      </c>
      <c r="AO22" s="131">
        <f t="shared" si="4"/>
        <v>0</v>
      </c>
      <c r="AP22" s="131">
        <f t="shared" si="4"/>
        <v>0</v>
      </c>
      <c r="AQ22" s="131">
        <f t="shared" si="4"/>
        <v>0</v>
      </c>
      <c r="AR22" s="131">
        <f t="shared" si="4"/>
        <v>0</v>
      </c>
      <c r="AS22" s="131">
        <f t="shared" si="4"/>
        <v>0</v>
      </c>
      <c r="AT22" s="131">
        <f t="shared" si="4"/>
        <v>0</v>
      </c>
      <c r="AU22" s="131">
        <f t="shared" si="4"/>
        <v>0</v>
      </c>
      <c r="AV22" s="131">
        <f t="shared" si="4"/>
        <v>0</v>
      </c>
      <c r="AW22" s="131">
        <f t="shared" si="4"/>
        <v>0</v>
      </c>
      <c r="AX22" s="131">
        <f t="shared" si="4"/>
        <v>0</v>
      </c>
      <c r="AY22" s="131">
        <f t="shared" si="4"/>
        <v>0</v>
      </c>
      <c r="AZ22" s="158">
        <f t="shared" ref="AZ22:AZ30" si="5">SUM($D22:$AY22)</f>
        <v>0</v>
      </c>
    </row>
    <row r="23" spans="1:52" x14ac:dyDescent="0.2">
      <c r="A23" s="177" t="s">
        <v>307</v>
      </c>
      <c r="B23" s="141">
        <v>2000</v>
      </c>
      <c r="C23" t="s">
        <v>293</v>
      </c>
      <c r="D23">
        <f>D$21*$B$23</f>
        <v>1826000</v>
      </c>
      <c r="E23">
        <f t="shared" ref="E23:AY23" si="6">E$21*$B$23</f>
        <v>483426.04717309412</v>
      </c>
      <c r="F23">
        <f t="shared" si="6"/>
        <v>484485.59922252619</v>
      </c>
      <c r="G23">
        <f t="shared" si="6"/>
        <v>742908.31401898921</v>
      </c>
      <c r="H23">
        <f t="shared" si="6"/>
        <v>742908.31401898921</v>
      </c>
      <c r="I23">
        <f t="shared" si="6"/>
        <v>121915.97844633511</v>
      </c>
      <c r="J23">
        <f t="shared" si="6"/>
        <v>742908.31401898921</v>
      </c>
      <c r="K23">
        <f t="shared" si="6"/>
        <v>742908.31401898921</v>
      </c>
      <c r="L23">
        <f t="shared" si="6"/>
        <v>742908.31401898921</v>
      </c>
      <c r="M23">
        <f t="shared" si="6"/>
        <v>742908.31401898921</v>
      </c>
      <c r="N23">
        <f t="shared" si="6"/>
        <v>742908.31401898921</v>
      </c>
      <c r="O23">
        <f t="shared" si="6"/>
        <v>742908.31401898921</v>
      </c>
      <c r="P23">
        <f t="shared" si="6"/>
        <v>742908.31401898921</v>
      </c>
      <c r="Q23">
        <f t="shared" si="6"/>
        <v>742908.31401898921</v>
      </c>
      <c r="R23">
        <f t="shared" si="6"/>
        <v>742908.31401898921</v>
      </c>
      <c r="S23">
        <f t="shared" si="6"/>
        <v>742908.31401898921</v>
      </c>
      <c r="T23">
        <f t="shared" si="6"/>
        <v>742908.31401898921</v>
      </c>
      <c r="U23">
        <f t="shared" si="6"/>
        <v>742908.31401898921</v>
      </c>
      <c r="V23">
        <f t="shared" si="6"/>
        <v>742908.31401898921</v>
      </c>
      <c r="W23">
        <f t="shared" si="6"/>
        <v>742908.31401898921</v>
      </c>
      <c r="X23">
        <f t="shared" si="6"/>
        <v>742908.31401898921</v>
      </c>
      <c r="Y23">
        <f t="shared" si="6"/>
        <v>742908.31401898921</v>
      </c>
      <c r="Z23">
        <f t="shared" si="6"/>
        <v>742908.31401898921</v>
      </c>
      <c r="AA23">
        <f t="shared" si="6"/>
        <v>742908.31401898921</v>
      </c>
      <c r="AB23">
        <f t="shared" si="6"/>
        <v>742908.31401898921</v>
      </c>
      <c r="AC23">
        <f t="shared" si="6"/>
        <v>742908.31401898921</v>
      </c>
      <c r="AD23">
        <f t="shared" si="6"/>
        <v>742908.31401898921</v>
      </c>
      <c r="AE23">
        <f t="shared" si="6"/>
        <v>742908.31401898921</v>
      </c>
      <c r="AF23">
        <f t="shared" si="6"/>
        <v>742908.31401898921</v>
      </c>
      <c r="AG23">
        <f t="shared" si="6"/>
        <v>742908.31401898921</v>
      </c>
      <c r="AH23">
        <f t="shared" si="6"/>
        <v>0</v>
      </c>
      <c r="AI23">
        <f t="shared" si="6"/>
        <v>1424000</v>
      </c>
      <c r="AJ23">
        <f t="shared" si="6"/>
        <v>742908.31401898921</v>
      </c>
      <c r="AK23">
        <f t="shared" si="6"/>
        <v>516520.73911615799</v>
      </c>
      <c r="AL23">
        <f t="shared" si="6"/>
        <v>517498.59526629758</v>
      </c>
      <c r="AM23">
        <f t="shared" si="6"/>
        <v>742908.31401898921</v>
      </c>
      <c r="AN23">
        <f t="shared" si="6"/>
        <v>742908.31401898921</v>
      </c>
      <c r="AO23">
        <f t="shared" si="6"/>
        <v>742908.31401898921</v>
      </c>
      <c r="AP23">
        <f t="shared" si="6"/>
        <v>742908.31401898921</v>
      </c>
      <c r="AQ23">
        <f t="shared" si="6"/>
        <v>742908.31401898921</v>
      </c>
      <c r="AR23">
        <f t="shared" si="6"/>
        <v>742908.31401898921</v>
      </c>
      <c r="AS23">
        <f t="shared" si="6"/>
        <v>0</v>
      </c>
      <c r="AT23">
        <f t="shared" si="6"/>
        <v>1267095.8275506687</v>
      </c>
      <c r="AU23">
        <f t="shared" si="6"/>
        <v>131510.96127575004</v>
      </c>
      <c r="AV23">
        <f t="shared" si="6"/>
        <v>0</v>
      </c>
      <c r="AW23">
        <f t="shared" si="6"/>
        <v>1270781.9252330838</v>
      </c>
      <c r="AX23">
        <f t="shared" si="6"/>
        <v>528778.16263300704</v>
      </c>
      <c r="AY23">
        <f t="shared" si="6"/>
        <v>742908.31401898921</v>
      </c>
      <c r="AZ23" s="156">
        <f t="shared" si="5"/>
        <v>33830896.512562573</v>
      </c>
    </row>
    <row r="24" spans="1:52" s="128" customFormat="1" x14ac:dyDescent="0.2">
      <c r="A24" s="178" t="s">
        <v>308</v>
      </c>
      <c r="B24" s="179">
        <v>1000</v>
      </c>
      <c r="C24" s="173" t="s">
        <v>293</v>
      </c>
      <c r="D24" s="124">
        <f>D$22*$B$24</f>
        <v>0</v>
      </c>
      <c r="E24" s="124">
        <f t="shared" ref="E24:AY24" si="7">E$22*$B$24</f>
        <v>0</v>
      </c>
      <c r="F24" s="124">
        <f t="shared" si="7"/>
        <v>0</v>
      </c>
      <c r="G24" s="124">
        <f t="shared" si="7"/>
        <v>0</v>
      </c>
      <c r="H24" s="124">
        <f t="shared" si="7"/>
        <v>0</v>
      </c>
      <c r="I24" s="124">
        <f t="shared" si="7"/>
        <v>0</v>
      </c>
      <c r="J24" s="124">
        <f t="shared" si="7"/>
        <v>0</v>
      </c>
      <c r="K24" s="124">
        <f t="shared" si="7"/>
        <v>0</v>
      </c>
      <c r="L24" s="124">
        <f t="shared" si="7"/>
        <v>0</v>
      </c>
      <c r="M24" s="124">
        <f t="shared" si="7"/>
        <v>0</v>
      </c>
      <c r="N24" s="124">
        <f t="shared" si="7"/>
        <v>0</v>
      </c>
      <c r="O24" s="124">
        <f t="shared" si="7"/>
        <v>0</v>
      </c>
      <c r="P24" s="124">
        <f t="shared" si="7"/>
        <v>0</v>
      </c>
      <c r="Q24" s="124">
        <f t="shared" si="7"/>
        <v>0</v>
      </c>
      <c r="R24" s="124">
        <f t="shared" si="7"/>
        <v>0</v>
      </c>
      <c r="S24" s="124">
        <f t="shared" si="7"/>
        <v>0</v>
      </c>
      <c r="T24" s="124">
        <f t="shared" si="7"/>
        <v>0</v>
      </c>
      <c r="U24" s="124">
        <f t="shared" si="7"/>
        <v>0</v>
      </c>
      <c r="V24" s="124">
        <f t="shared" si="7"/>
        <v>0</v>
      </c>
      <c r="W24" s="124">
        <f t="shared" si="7"/>
        <v>0</v>
      </c>
      <c r="X24" s="124">
        <f t="shared" si="7"/>
        <v>0</v>
      </c>
      <c r="Y24" s="124">
        <f t="shared" si="7"/>
        <v>0</v>
      </c>
      <c r="Z24" s="124">
        <f t="shared" si="7"/>
        <v>0</v>
      </c>
      <c r="AA24" s="124">
        <f t="shared" si="7"/>
        <v>0</v>
      </c>
      <c r="AB24" s="124">
        <f t="shared" si="7"/>
        <v>0</v>
      </c>
      <c r="AC24" s="124">
        <f t="shared" si="7"/>
        <v>0</v>
      </c>
      <c r="AD24" s="124">
        <f t="shared" si="7"/>
        <v>0</v>
      </c>
      <c r="AE24" s="124">
        <f t="shared" si="7"/>
        <v>0</v>
      </c>
      <c r="AF24" s="124">
        <f t="shared" si="7"/>
        <v>0</v>
      </c>
      <c r="AG24" s="124">
        <f t="shared" si="7"/>
        <v>0</v>
      </c>
      <c r="AH24" s="124">
        <f t="shared" si="7"/>
        <v>0</v>
      </c>
      <c r="AI24" s="124">
        <f t="shared" si="7"/>
        <v>0</v>
      </c>
      <c r="AJ24" s="124">
        <f t="shared" si="7"/>
        <v>0</v>
      </c>
      <c r="AK24" s="124">
        <f t="shared" si="7"/>
        <v>0</v>
      </c>
      <c r="AL24" s="124">
        <f t="shared" si="7"/>
        <v>0</v>
      </c>
      <c r="AM24" s="124">
        <f t="shared" si="7"/>
        <v>0</v>
      </c>
      <c r="AN24" s="124">
        <f t="shared" si="7"/>
        <v>0</v>
      </c>
      <c r="AO24" s="124">
        <f t="shared" si="7"/>
        <v>0</v>
      </c>
      <c r="AP24" s="124">
        <f t="shared" si="7"/>
        <v>0</v>
      </c>
      <c r="AQ24" s="124">
        <f t="shared" si="7"/>
        <v>0</v>
      </c>
      <c r="AR24" s="124">
        <f t="shared" si="7"/>
        <v>0</v>
      </c>
      <c r="AS24" s="124">
        <f t="shared" si="7"/>
        <v>0</v>
      </c>
      <c r="AT24" s="124">
        <f t="shared" si="7"/>
        <v>0</v>
      </c>
      <c r="AU24" s="124">
        <f t="shared" si="7"/>
        <v>0</v>
      </c>
      <c r="AV24" s="124">
        <f t="shared" si="7"/>
        <v>0</v>
      </c>
      <c r="AW24" s="124">
        <f t="shared" si="7"/>
        <v>0</v>
      </c>
      <c r="AX24" s="124">
        <f t="shared" si="7"/>
        <v>0</v>
      </c>
      <c r="AY24" s="124">
        <f t="shared" si="7"/>
        <v>0</v>
      </c>
      <c r="AZ24" s="158">
        <f t="shared" si="5"/>
        <v>0</v>
      </c>
    </row>
    <row r="25" spans="1:52" x14ac:dyDescent="0.2"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24"/>
    </row>
    <row r="26" spans="1:52" x14ac:dyDescent="0.2">
      <c r="A26" s="180" t="s">
        <v>18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</row>
    <row r="27" spans="1:52" x14ac:dyDescent="0.2">
      <c r="B27" s="152" t="s">
        <v>309</v>
      </c>
      <c r="C27" s="141">
        <v>-1</v>
      </c>
      <c r="D27" s="141">
        <f>C$27-C$28+C$29</f>
        <v>28</v>
      </c>
      <c r="E27" s="141">
        <f t="shared" ref="E27:AY27" si="8">D27-D28+D29</f>
        <v>0</v>
      </c>
      <c r="F27" s="141">
        <f t="shared" si="8"/>
        <v>28</v>
      </c>
      <c r="G27" s="141">
        <f t="shared" si="8"/>
        <v>19</v>
      </c>
      <c r="H27" s="141">
        <f t="shared" si="8"/>
        <v>15</v>
      </c>
      <c r="I27" s="141">
        <f t="shared" si="8"/>
        <v>15</v>
      </c>
      <c r="J27" s="141">
        <f t="shared" si="8"/>
        <v>25</v>
      </c>
      <c r="K27" s="141">
        <f t="shared" si="8"/>
        <v>15</v>
      </c>
      <c r="L27" s="141">
        <f t="shared" si="8"/>
        <v>15</v>
      </c>
      <c r="M27" s="141">
        <f t="shared" si="8"/>
        <v>15</v>
      </c>
      <c r="N27" s="141">
        <f t="shared" si="8"/>
        <v>15</v>
      </c>
      <c r="O27" s="141">
        <f t="shared" si="8"/>
        <v>15</v>
      </c>
      <c r="P27" s="141">
        <f t="shared" si="8"/>
        <v>15</v>
      </c>
      <c r="Q27" s="141">
        <f t="shared" si="8"/>
        <v>15</v>
      </c>
      <c r="R27" s="141">
        <f t="shared" si="8"/>
        <v>15</v>
      </c>
      <c r="S27" s="141">
        <f t="shared" si="8"/>
        <v>15</v>
      </c>
      <c r="T27" s="141">
        <f t="shared" si="8"/>
        <v>15</v>
      </c>
      <c r="U27" s="141">
        <f t="shared" si="8"/>
        <v>15</v>
      </c>
      <c r="V27" s="141">
        <f t="shared" si="8"/>
        <v>15</v>
      </c>
      <c r="W27" s="141">
        <f t="shared" si="8"/>
        <v>15</v>
      </c>
      <c r="X27" s="141">
        <f t="shared" si="8"/>
        <v>15</v>
      </c>
      <c r="Y27" s="141">
        <f t="shared" si="8"/>
        <v>15</v>
      </c>
      <c r="Z27" s="141">
        <f t="shared" si="8"/>
        <v>15</v>
      </c>
      <c r="AA27" s="141">
        <f t="shared" si="8"/>
        <v>15</v>
      </c>
      <c r="AB27" s="141">
        <f t="shared" si="8"/>
        <v>15</v>
      </c>
      <c r="AC27" s="141">
        <f t="shared" si="8"/>
        <v>15</v>
      </c>
      <c r="AD27" s="141">
        <f t="shared" si="8"/>
        <v>15</v>
      </c>
      <c r="AE27" s="141">
        <f t="shared" si="8"/>
        <v>15</v>
      </c>
      <c r="AF27" s="141">
        <f t="shared" si="8"/>
        <v>15</v>
      </c>
      <c r="AG27" s="141">
        <f t="shared" si="8"/>
        <v>15</v>
      </c>
      <c r="AH27" s="141">
        <f t="shared" si="8"/>
        <v>15</v>
      </c>
      <c r="AI27" s="141">
        <f t="shared" si="8"/>
        <v>28</v>
      </c>
      <c r="AJ27" s="141">
        <f t="shared" si="8"/>
        <v>4</v>
      </c>
      <c r="AK27" s="141">
        <f t="shared" si="8"/>
        <v>24</v>
      </c>
      <c r="AL27" s="141">
        <f t="shared" si="8"/>
        <v>19</v>
      </c>
      <c r="AM27" s="141">
        <f t="shared" si="8"/>
        <v>19</v>
      </c>
      <c r="AN27" s="141">
        <f t="shared" si="8"/>
        <v>15</v>
      </c>
      <c r="AO27" s="141">
        <f t="shared" si="8"/>
        <v>15</v>
      </c>
      <c r="AP27" s="141">
        <f t="shared" si="8"/>
        <v>15</v>
      </c>
      <c r="AQ27" s="141">
        <f t="shared" si="8"/>
        <v>15</v>
      </c>
      <c r="AR27" s="141">
        <f t="shared" si="8"/>
        <v>15</v>
      </c>
      <c r="AS27" s="141">
        <f t="shared" si="8"/>
        <v>15</v>
      </c>
      <c r="AT27" s="141">
        <f t="shared" si="8"/>
        <v>28</v>
      </c>
      <c r="AU27" s="141">
        <f t="shared" si="8"/>
        <v>6</v>
      </c>
      <c r="AV27" s="141">
        <f t="shared" si="8"/>
        <v>25</v>
      </c>
      <c r="AW27" s="141">
        <f t="shared" si="8"/>
        <v>28</v>
      </c>
      <c r="AX27" s="141">
        <f t="shared" si="8"/>
        <v>6</v>
      </c>
      <c r="AY27" s="181">
        <f t="shared" si="8"/>
        <v>22</v>
      </c>
      <c r="AZ27" s="124"/>
    </row>
    <row r="28" spans="1:52" x14ac:dyDescent="0.2">
      <c r="B28" s="182" t="s">
        <v>310</v>
      </c>
      <c r="C28" s="128">
        <v>0</v>
      </c>
      <c r="D28" s="128">
        <v>28</v>
      </c>
      <c r="E28" s="128">
        <v>0</v>
      </c>
      <c r="F28" s="128">
        <v>9</v>
      </c>
      <c r="G28" s="128">
        <v>13</v>
      </c>
      <c r="H28" s="128">
        <v>13</v>
      </c>
      <c r="I28" s="128">
        <v>3</v>
      </c>
      <c r="J28" s="128">
        <v>13</v>
      </c>
      <c r="K28" s="128">
        <v>13</v>
      </c>
      <c r="L28" s="128">
        <v>13</v>
      </c>
      <c r="M28" s="128">
        <v>13</v>
      </c>
      <c r="N28" s="128">
        <v>13</v>
      </c>
      <c r="O28" s="128">
        <v>13</v>
      </c>
      <c r="P28" s="128">
        <v>13</v>
      </c>
      <c r="Q28" s="128">
        <v>13</v>
      </c>
      <c r="R28" s="128">
        <v>13</v>
      </c>
      <c r="S28" s="128">
        <v>13</v>
      </c>
      <c r="T28" s="128">
        <v>13</v>
      </c>
      <c r="U28" s="128">
        <v>13</v>
      </c>
      <c r="V28" s="128">
        <v>13</v>
      </c>
      <c r="W28" s="128">
        <v>13</v>
      </c>
      <c r="X28" s="128">
        <v>13</v>
      </c>
      <c r="Y28" s="128">
        <v>13</v>
      </c>
      <c r="Z28" s="128">
        <v>13</v>
      </c>
      <c r="AA28" s="128">
        <v>13</v>
      </c>
      <c r="AB28" s="128">
        <v>13</v>
      </c>
      <c r="AC28" s="128">
        <v>13</v>
      </c>
      <c r="AD28" s="128">
        <v>13</v>
      </c>
      <c r="AE28" s="128">
        <v>13</v>
      </c>
      <c r="AF28" s="128">
        <v>13</v>
      </c>
      <c r="AG28" s="128">
        <v>13</v>
      </c>
      <c r="AH28" s="128">
        <v>0</v>
      </c>
      <c r="AI28" s="128">
        <v>24</v>
      </c>
      <c r="AJ28" s="128">
        <v>4</v>
      </c>
      <c r="AK28" s="128">
        <v>9</v>
      </c>
      <c r="AL28" s="128">
        <v>9</v>
      </c>
      <c r="AM28" s="128">
        <v>13</v>
      </c>
      <c r="AN28" s="128">
        <v>13</v>
      </c>
      <c r="AO28" s="128">
        <v>13</v>
      </c>
      <c r="AP28" s="128">
        <v>13</v>
      </c>
      <c r="AQ28" s="128">
        <v>13</v>
      </c>
      <c r="AR28" s="128">
        <v>13</v>
      </c>
      <c r="AS28" s="128">
        <v>0</v>
      </c>
      <c r="AT28" s="128">
        <v>22</v>
      </c>
      <c r="AU28" s="128">
        <v>3</v>
      </c>
      <c r="AV28" s="128">
        <v>0</v>
      </c>
      <c r="AW28" s="128">
        <v>22</v>
      </c>
      <c r="AX28" s="128">
        <v>6</v>
      </c>
      <c r="AY28" s="183">
        <v>13</v>
      </c>
      <c r="AZ28" s="124"/>
    </row>
    <row r="29" spans="1:52" x14ac:dyDescent="0.2">
      <c r="B29" s="153" t="s">
        <v>311</v>
      </c>
      <c r="C29" s="142">
        <v>29</v>
      </c>
      <c r="D29" s="142">
        <f>C$28</f>
        <v>0</v>
      </c>
      <c r="E29" s="142">
        <f t="shared" ref="E29:AY29" si="9">D$28</f>
        <v>28</v>
      </c>
      <c r="F29" s="142">
        <f t="shared" si="9"/>
        <v>0</v>
      </c>
      <c r="G29" s="142">
        <f t="shared" si="9"/>
        <v>9</v>
      </c>
      <c r="H29" s="142">
        <f t="shared" si="9"/>
        <v>13</v>
      </c>
      <c r="I29" s="142">
        <f t="shared" si="9"/>
        <v>13</v>
      </c>
      <c r="J29" s="142">
        <f t="shared" si="9"/>
        <v>3</v>
      </c>
      <c r="K29" s="142">
        <f t="shared" si="9"/>
        <v>13</v>
      </c>
      <c r="L29" s="142">
        <f t="shared" si="9"/>
        <v>13</v>
      </c>
      <c r="M29" s="142">
        <f t="shared" si="9"/>
        <v>13</v>
      </c>
      <c r="N29" s="142">
        <f t="shared" si="9"/>
        <v>13</v>
      </c>
      <c r="O29" s="142">
        <f t="shared" si="9"/>
        <v>13</v>
      </c>
      <c r="P29" s="142">
        <f t="shared" si="9"/>
        <v>13</v>
      </c>
      <c r="Q29" s="142">
        <f t="shared" si="9"/>
        <v>13</v>
      </c>
      <c r="R29" s="142">
        <f t="shared" si="9"/>
        <v>13</v>
      </c>
      <c r="S29" s="142">
        <f t="shared" si="9"/>
        <v>13</v>
      </c>
      <c r="T29" s="142">
        <f t="shared" si="9"/>
        <v>13</v>
      </c>
      <c r="U29" s="142">
        <f t="shared" si="9"/>
        <v>13</v>
      </c>
      <c r="V29" s="142">
        <f t="shared" si="9"/>
        <v>13</v>
      </c>
      <c r="W29" s="142">
        <f t="shared" si="9"/>
        <v>13</v>
      </c>
      <c r="X29" s="142">
        <f t="shared" si="9"/>
        <v>13</v>
      </c>
      <c r="Y29" s="142">
        <f t="shared" si="9"/>
        <v>13</v>
      </c>
      <c r="Z29" s="142">
        <f t="shared" si="9"/>
        <v>13</v>
      </c>
      <c r="AA29" s="142">
        <f t="shared" si="9"/>
        <v>13</v>
      </c>
      <c r="AB29" s="142">
        <f t="shared" si="9"/>
        <v>13</v>
      </c>
      <c r="AC29" s="142">
        <f t="shared" si="9"/>
        <v>13</v>
      </c>
      <c r="AD29" s="142">
        <f t="shared" si="9"/>
        <v>13</v>
      </c>
      <c r="AE29" s="142">
        <f t="shared" si="9"/>
        <v>13</v>
      </c>
      <c r="AF29" s="142">
        <f t="shared" si="9"/>
        <v>13</v>
      </c>
      <c r="AG29" s="142">
        <f t="shared" si="9"/>
        <v>13</v>
      </c>
      <c r="AH29" s="142">
        <f t="shared" si="9"/>
        <v>13</v>
      </c>
      <c r="AI29" s="142">
        <f t="shared" si="9"/>
        <v>0</v>
      </c>
      <c r="AJ29" s="142">
        <f t="shared" si="9"/>
        <v>24</v>
      </c>
      <c r="AK29" s="142">
        <f t="shared" si="9"/>
        <v>4</v>
      </c>
      <c r="AL29" s="142">
        <f t="shared" si="9"/>
        <v>9</v>
      </c>
      <c r="AM29" s="142">
        <f t="shared" si="9"/>
        <v>9</v>
      </c>
      <c r="AN29" s="142">
        <f t="shared" si="9"/>
        <v>13</v>
      </c>
      <c r="AO29" s="142">
        <f t="shared" si="9"/>
        <v>13</v>
      </c>
      <c r="AP29" s="142">
        <f t="shared" si="9"/>
        <v>13</v>
      </c>
      <c r="AQ29" s="142">
        <f t="shared" si="9"/>
        <v>13</v>
      </c>
      <c r="AR29" s="142">
        <f t="shared" si="9"/>
        <v>13</v>
      </c>
      <c r="AS29" s="142">
        <f t="shared" si="9"/>
        <v>13</v>
      </c>
      <c r="AT29" s="142">
        <f t="shared" si="9"/>
        <v>0</v>
      </c>
      <c r="AU29" s="142">
        <f t="shared" si="9"/>
        <v>22</v>
      </c>
      <c r="AV29" s="142">
        <f t="shared" si="9"/>
        <v>3</v>
      </c>
      <c r="AW29" s="142">
        <f t="shared" si="9"/>
        <v>0</v>
      </c>
      <c r="AX29" s="142">
        <f t="shared" si="9"/>
        <v>22</v>
      </c>
      <c r="AY29" s="184">
        <f t="shared" si="9"/>
        <v>6</v>
      </c>
      <c r="AZ29" s="185"/>
    </row>
    <row r="30" spans="1:52" x14ac:dyDescent="0.2">
      <c r="A30" s="186" t="s">
        <v>312</v>
      </c>
      <c r="B30" s="161">
        <v>10</v>
      </c>
      <c r="C30" s="134" t="s">
        <v>293</v>
      </c>
      <c r="D30" s="134">
        <f>D$27*$B$30</f>
        <v>280</v>
      </c>
      <c r="E30" s="134">
        <f t="shared" ref="E30:AY30" si="10">E$27*$B$30</f>
        <v>0</v>
      </c>
      <c r="F30" s="134">
        <f t="shared" si="10"/>
        <v>280</v>
      </c>
      <c r="G30" s="134">
        <f t="shared" si="10"/>
        <v>190</v>
      </c>
      <c r="H30" s="134">
        <f t="shared" si="10"/>
        <v>150</v>
      </c>
      <c r="I30" s="134">
        <f t="shared" si="10"/>
        <v>150</v>
      </c>
      <c r="J30" s="134">
        <f t="shared" si="10"/>
        <v>250</v>
      </c>
      <c r="K30" s="134">
        <f t="shared" si="10"/>
        <v>150</v>
      </c>
      <c r="L30" s="134">
        <f t="shared" si="10"/>
        <v>150</v>
      </c>
      <c r="M30" s="134">
        <f t="shared" si="10"/>
        <v>150</v>
      </c>
      <c r="N30" s="134">
        <f t="shared" si="10"/>
        <v>150</v>
      </c>
      <c r="O30" s="134">
        <f t="shared" si="10"/>
        <v>150</v>
      </c>
      <c r="P30" s="134">
        <f t="shared" si="10"/>
        <v>150</v>
      </c>
      <c r="Q30" s="134">
        <f t="shared" si="10"/>
        <v>150</v>
      </c>
      <c r="R30" s="134">
        <f>R$27*$B$30</f>
        <v>150</v>
      </c>
      <c r="S30" s="134">
        <f t="shared" si="10"/>
        <v>150</v>
      </c>
      <c r="T30" s="134">
        <f t="shared" si="10"/>
        <v>150</v>
      </c>
      <c r="U30" s="134">
        <f t="shared" si="10"/>
        <v>150</v>
      </c>
      <c r="V30" s="134">
        <f t="shared" si="10"/>
        <v>150</v>
      </c>
      <c r="W30" s="134">
        <f t="shared" si="10"/>
        <v>150</v>
      </c>
      <c r="X30" s="134">
        <f t="shared" si="10"/>
        <v>150</v>
      </c>
      <c r="Y30" s="134">
        <f t="shared" si="10"/>
        <v>150</v>
      </c>
      <c r="Z30" s="134">
        <f t="shared" si="10"/>
        <v>150</v>
      </c>
      <c r="AA30" s="134">
        <f t="shared" si="10"/>
        <v>150</v>
      </c>
      <c r="AB30" s="134">
        <f t="shared" si="10"/>
        <v>150</v>
      </c>
      <c r="AC30" s="134">
        <f t="shared" si="10"/>
        <v>150</v>
      </c>
      <c r="AD30" s="134">
        <f t="shared" si="10"/>
        <v>150</v>
      </c>
      <c r="AE30" s="134">
        <f>AE$27*$B$30</f>
        <v>150</v>
      </c>
      <c r="AF30" s="134">
        <f t="shared" si="10"/>
        <v>150</v>
      </c>
      <c r="AG30" s="134">
        <f t="shared" si="10"/>
        <v>150</v>
      </c>
      <c r="AH30" s="134">
        <f t="shared" si="10"/>
        <v>150</v>
      </c>
      <c r="AI30" s="134">
        <f t="shared" si="10"/>
        <v>280</v>
      </c>
      <c r="AJ30" s="134">
        <f t="shared" si="10"/>
        <v>40</v>
      </c>
      <c r="AK30" s="134">
        <f t="shared" si="10"/>
        <v>240</v>
      </c>
      <c r="AL30" s="134">
        <f t="shared" si="10"/>
        <v>190</v>
      </c>
      <c r="AM30" s="134">
        <f t="shared" si="10"/>
        <v>190</v>
      </c>
      <c r="AN30" s="134">
        <f t="shared" si="10"/>
        <v>150</v>
      </c>
      <c r="AO30" s="134">
        <f t="shared" si="10"/>
        <v>150</v>
      </c>
      <c r="AP30" s="134">
        <f t="shared" si="10"/>
        <v>150</v>
      </c>
      <c r="AQ30" s="134">
        <f t="shared" si="10"/>
        <v>150</v>
      </c>
      <c r="AR30" s="134">
        <f t="shared" si="10"/>
        <v>150</v>
      </c>
      <c r="AS30" s="134">
        <f t="shared" si="10"/>
        <v>150</v>
      </c>
      <c r="AT30" s="134">
        <f t="shared" si="10"/>
        <v>280</v>
      </c>
      <c r="AU30" s="134">
        <f t="shared" si="10"/>
        <v>60</v>
      </c>
      <c r="AV30" s="134">
        <f t="shared" si="10"/>
        <v>250</v>
      </c>
      <c r="AW30" s="134">
        <f t="shared" si="10"/>
        <v>280</v>
      </c>
      <c r="AX30" s="134">
        <f t="shared" si="10"/>
        <v>60</v>
      </c>
      <c r="AY30" s="134">
        <f t="shared" si="10"/>
        <v>220</v>
      </c>
      <c r="AZ30" s="158">
        <f t="shared" si="5"/>
        <v>7890</v>
      </c>
    </row>
    <row r="32" spans="1:52" x14ac:dyDescent="0.2">
      <c r="A32" s="1" t="s">
        <v>300</v>
      </c>
    </row>
    <row r="33" spans="1:52" x14ac:dyDescent="0.2">
      <c r="A33" s="152" t="s">
        <v>22</v>
      </c>
      <c r="B33" s="152" t="s">
        <v>341</v>
      </c>
      <c r="C33" s="141"/>
      <c r="D33" s="141">
        <f>D$21*shipping_manufacturing!$F$27/100</f>
        <v>0</v>
      </c>
      <c r="E33" s="141">
        <f>E$21*shipping_manufacturing!$F$27/100</f>
        <v>0</v>
      </c>
      <c r="F33" s="141">
        <f>F$21*shipping_manufacturing!$F$27/100</f>
        <v>0</v>
      </c>
      <c r="G33" s="141">
        <f>G$21*shipping_manufacturing!$F$27/100</f>
        <v>0</v>
      </c>
      <c r="H33" s="141">
        <f>H$21*shipping_manufacturing!$F$27/100</f>
        <v>0</v>
      </c>
      <c r="I33" s="141">
        <f>I$21*shipping_manufacturing!$F$27/100</f>
        <v>0</v>
      </c>
      <c r="J33" s="141">
        <f>J$21*shipping_manufacturing!$F$27/100</f>
        <v>0</v>
      </c>
      <c r="K33" s="141">
        <f>K$21*shipping_manufacturing!$F$27/100</f>
        <v>0</v>
      </c>
      <c r="L33" s="141">
        <f>L$21*shipping_manufacturing!$F$27/100</f>
        <v>0</v>
      </c>
      <c r="M33" s="141">
        <f>M$21*shipping_manufacturing!$F$27/100</f>
        <v>0</v>
      </c>
      <c r="N33" s="141">
        <f>N$21*shipping_manufacturing!$F$27/100</f>
        <v>0</v>
      </c>
      <c r="O33" s="141">
        <f>O$21*shipping_manufacturing!$F$27/100</f>
        <v>0</v>
      </c>
      <c r="P33" s="141">
        <f>P$21*shipping_manufacturing!$F$27/100</f>
        <v>0</v>
      </c>
      <c r="Q33" s="141">
        <f>Q$21*shipping_manufacturing!$F$27/100</f>
        <v>0</v>
      </c>
      <c r="R33" s="141">
        <f>R$21*shipping_manufacturing!$F$27/100</f>
        <v>0</v>
      </c>
      <c r="S33" s="141">
        <f>S$21*shipping_manufacturing!$F$27/100</f>
        <v>0</v>
      </c>
      <c r="T33" s="141">
        <f>T$21*shipping_manufacturing!$F$27/100</f>
        <v>0</v>
      </c>
      <c r="U33" s="141">
        <f>U$21*shipping_manufacturing!$F$27/100</f>
        <v>0</v>
      </c>
      <c r="V33" s="141">
        <f>V$21*shipping_manufacturing!$F$27/100</f>
        <v>0</v>
      </c>
      <c r="W33" s="141">
        <f>W$21*shipping_manufacturing!$F$27/100</f>
        <v>0</v>
      </c>
      <c r="X33" s="141">
        <f>X$21*shipping_manufacturing!$F$27/100</f>
        <v>0</v>
      </c>
      <c r="Y33" s="141">
        <f>Y$21*shipping_manufacturing!$F$27/100</f>
        <v>0</v>
      </c>
      <c r="Z33" s="141">
        <f>Z$21*shipping_manufacturing!$F$27/100</f>
        <v>0</v>
      </c>
      <c r="AA33" s="141">
        <f>AA$21*shipping_manufacturing!$F$27/100</f>
        <v>0</v>
      </c>
      <c r="AB33" s="141">
        <f>AB$21*shipping_manufacturing!$F$27/100</f>
        <v>0</v>
      </c>
      <c r="AC33" s="141">
        <f>AC$21*shipping_manufacturing!$F$27/100</f>
        <v>0</v>
      </c>
      <c r="AD33" s="141">
        <f>AD$21*shipping_manufacturing!$F$27/100</f>
        <v>0</v>
      </c>
      <c r="AE33" s="141">
        <f>AE$21*shipping_manufacturing!$F$27/100</f>
        <v>0</v>
      </c>
      <c r="AF33" s="141">
        <f>AF$21*shipping_manufacturing!$F$27/100</f>
        <v>0</v>
      </c>
      <c r="AG33" s="141">
        <f>AG$21*shipping_manufacturing!$F$27/100</f>
        <v>0</v>
      </c>
      <c r="AH33" s="141">
        <f>AH$21*shipping_manufacturing!$F$27/100</f>
        <v>0</v>
      </c>
      <c r="AI33" s="141">
        <f>AI$21*shipping_manufacturing!$F$27/100</f>
        <v>0</v>
      </c>
      <c r="AJ33" s="141">
        <f>AJ$21*shipping_manufacturing!$F$27/100</f>
        <v>0</v>
      </c>
      <c r="AK33" s="141">
        <f>AK$21*shipping_manufacturing!$F$27/100</f>
        <v>0</v>
      </c>
      <c r="AL33" s="141">
        <f>AL$21*shipping_manufacturing!$F$27/100</f>
        <v>0</v>
      </c>
      <c r="AM33" s="141">
        <f>AM$21*shipping_manufacturing!$F$27/100</f>
        <v>0</v>
      </c>
      <c r="AN33" s="141">
        <f>AN$21*shipping_manufacturing!$F$27/100</f>
        <v>0</v>
      </c>
      <c r="AO33" s="141">
        <f>AO$21*shipping_manufacturing!$F$27/100</f>
        <v>0</v>
      </c>
      <c r="AP33" s="141">
        <f>AP$21*shipping_manufacturing!$F$27/100</f>
        <v>0</v>
      </c>
      <c r="AQ33" s="141">
        <f>AQ$21*shipping_manufacturing!$F$27/100</f>
        <v>0</v>
      </c>
      <c r="AR33" s="141">
        <f>AR$21*shipping_manufacturing!$F$27/100</f>
        <v>0</v>
      </c>
      <c r="AS33" s="141">
        <f>AS$21*shipping_manufacturing!$F$27/100</f>
        <v>0</v>
      </c>
      <c r="AT33" s="141">
        <f>AT$21*shipping_manufacturing!$F$27/100</f>
        <v>0</v>
      </c>
      <c r="AU33" s="141">
        <f>AU$21*shipping_manufacturing!$F$27/100</f>
        <v>0</v>
      </c>
      <c r="AV33" s="141">
        <f>AV$21*shipping_manufacturing!$F$27/100</f>
        <v>0</v>
      </c>
      <c r="AW33" s="141">
        <f>AW$21*shipping_manufacturing!$F$27/100</f>
        <v>0</v>
      </c>
      <c r="AX33" s="141">
        <f>AX$21*shipping_manufacturing!$F$27/100</f>
        <v>0</v>
      </c>
      <c r="AY33" s="141">
        <f>AY$21*shipping_manufacturing!$F$27/100</f>
        <v>0</v>
      </c>
    </row>
    <row r="34" spans="1:52" x14ac:dyDescent="0.2">
      <c r="A34" s="130" t="s">
        <v>340</v>
      </c>
      <c r="B34" s="182" t="s">
        <v>342</v>
      </c>
      <c r="C34" s="128"/>
      <c r="D34" s="128">
        <f>D$22*shipping_manufacturing!$G$27/100</f>
        <v>0</v>
      </c>
      <c r="E34" s="128">
        <f>E$22*shipping_manufacturing!$G$27/100</f>
        <v>0</v>
      </c>
      <c r="F34" s="128">
        <f>F$22*shipping_manufacturing!$G$27/100</f>
        <v>0</v>
      </c>
      <c r="G34" s="128">
        <f>G$22*shipping_manufacturing!$G$27/100</f>
        <v>0</v>
      </c>
      <c r="H34" s="128">
        <f>H$22*shipping_manufacturing!$G$27/100</f>
        <v>0</v>
      </c>
      <c r="I34" s="128">
        <f>I$22*shipping_manufacturing!$G$27/100</f>
        <v>0</v>
      </c>
      <c r="J34" s="128">
        <f>J$22*shipping_manufacturing!$G$27/100</f>
        <v>0</v>
      </c>
      <c r="K34" s="128">
        <f>K$22*shipping_manufacturing!$G$27/100</f>
        <v>0</v>
      </c>
      <c r="L34" s="128">
        <f>L$22*shipping_manufacturing!$G$27/100</f>
        <v>0</v>
      </c>
      <c r="M34" s="128">
        <f>M$22*shipping_manufacturing!$G$27/100</f>
        <v>0</v>
      </c>
      <c r="N34" s="128">
        <f>N$22*shipping_manufacturing!$G$27/100</f>
        <v>0</v>
      </c>
      <c r="O34" s="128">
        <f>O$22*shipping_manufacturing!$G$27/100</f>
        <v>0</v>
      </c>
      <c r="P34" s="128">
        <f>P$22*shipping_manufacturing!$G$27/100</f>
        <v>0</v>
      </c>
      <c r="Q34" s="128">
        <f>Q$22*shipping_manufacturing!$G$27/100</f>
        <v>0</v>
      </c>
      <c r="R34" s="128">
        <f>R$22*shipping_manufacturing!$G$27/100</f>
        <v>0</v>
      </c>
      <c r="S34" s="128">
        <f>S$22*shipping_manufacturing!$G$27/100</f>
        <v>0</v>
      </c>
      <c r="T34" s="128">
        <f>T$22*shipping_manufacturing!$G$27/100</f>
        <v>0</v>
      </c>
      <c r="U34" s="128">
        <f>U$22*shipping_manufacturing!$G$27/100</f>
        <v>0</v>
      </c>
      <c r="V34" s="128">
        <f>V$22*shipping_manufacturing!$G$27/100</f>
        <v>0</v>
      </c>
      <c r="W34" s="128">
        <f>W$22*shipping_manufacturing!$G$27/100</f>
        <v>0</v>
      </c>
      <c r="X34" s="128">
        <f>X$22*shipping_manufacturing!$G$27/100</f>
        <v>0</v>
      </c>
      <c r="Y34" s="128">
        <f>Y$22*shipping_manufacturing!$G$27/100</f>
        <v>0</v>
      </c>
      <c r="Z34" s="128">
        <f>Z$22*shipping_manufacturing!$G$27/100</f>
        <v>0</v>
      </c>
      <c r="AA34" s="128">
        <f>AA$22*shipping_manufacturing!$G$27/100</f>
        <v>0</v>
      </c>
      <c r="AB34" s="128">
        <f>AB$22*shipping_manufacturing!$G$27/100</f>
        <v>0</v>
      </c>
      <c r="AC34" s="128">
        <f>AC$22*shipping_manufacturing!$G$27/100</f>
        <v>0</v>
      </c>
      <c r="AD34" s="128">
        <f>AD$22*shipping_manufacturing!$G$27/100</f>
        <v>0</v>
      </c>
      <c r="AE34" s="128">
        <f>AE$22*shipping_manufacturing!$G$27/100</f>
        <v>0</v>
      </c>
      <c r="AF34" s="128">
        <f>AF$22*shipping_manufacturing!$G$27/100</f>
        <v>0</v>
      </c>
      <c r="AG34" s="128">
        <f>AG$22*shipping_manufacturing!$G$27/100</f>
        <v>0</v>
      </c>
      <c r="AH34" s="128">
        <f>AH$22*shipping_manufacturing!$G$27/100</f>
        <v>0</v>
      </c>
      <c r="AI34" s="128">
        <f>AI$22*shipping_manufacturing!$G$27/100</f>
        <v>0</v>
      </c>
      <c r="AJ34" s="128">
        <f>AJ$22*shipping_manufacturing!$G$27/100</f>
        <v>0</v>
      </c>
      <c r="AK34" s="128">
        <f>AK$22*shipping_manufacturing!$G$27/100</f>
        <v>0</v>
      </c>
      <c r="AL34" s="128">
        <f>AL$22*shipping_manufacturing!$G$27/100</f>
        <v>0</v>
      </c>
      <c r="AM34" s="128">
        <f>AM$22*shipping_manufacturing!$G$27/100</f>
        <v>0</v>
      </c>
      <c r="AN34" s="128">
        <f>AN$22*shipping_manufacturing!$G$27/100</f>
        <v>0</v>
      </c>
      <c r="AO34" s="128">
        <f>AO$22*shipping_manufacturing!$G$27/100</f>
        <v>0</v>
      </c>
      <c r="AP34" s="128">
        <f>AP$22*shipping_manufacturing!$G$27/100</f>
        <v>0</v>
      </c>
      <c r="AQ34" s="128">
        <f>AQ$22*shipping_manufacturing!$G$27/100</f>
        <v>0</v>
      </c>
      <c r="AR34" s="128">
        <f>AR$22*shipping_manufacturing!$G$27/100</f>
        <v>0</v>
      </c>
      <c r="AS34" s="128">
        <f>AS$22*shipping_manufacturing!$G$27/100</f>
        <v>0</v>
      </c>
      <c r="AT34" s="128">
        <f>AT$22*shipping_manufacturing!$G$27/100</f>
        <v>0</v>
      </c>
      <c r="AU34" s="128">
        <f>AU$22*shipping_manufacturing!$G$27/100</f>
        <v>0</v>
      </c>
      <c r="AV34" s="128">
        <f>AV$22*shipping_manufacturing!$G$27/100</f>
        <v>0</v>
      </c>
      <c r="AW34" s="128">
        <f>AW$22*shipping_manufacturing!$G$27/100</f>
        <v>0</v>
      </c>
      <c r="AX34" s="128">
        <f>AX$22*shipping_manufacturing!$G$27/100</f>
        <v>0</v>
      </c>
      <c r="AY34" s="128">
        <f>AY$22*shipping_manufacturing!$G$27/100</f>
        <v>0</v>
      </c>
    </row>
    <row r="35" spans="1:52" x14ac:dyDescent="0.2">
      <c r="A35" s="128">
        <v>1225</v>
      </c>
      <c r="B35" s="182" t="s">
        <v>343</v>
      </c>
      <c r="C35" s="128"/>
      <c r="D35" s="128">
        <f>SUM(D33:D34)</f>
        <v>0</v>
      </c>
      <c r="E35" s="128">
        <f t="shared" ref="E35:AY35" si="11">SUM(E33:E34)</f>
        <v>0</v>
      </c>
      <c r="F35" s="128">
        <f t="shared" si="11"/>
        <v>0</v>
      </c>
      <c r="G35" s="128">
        <f t="shared" si="11"/>
        <v>0</v>
      </c>
      <c r="H35" s="128">
        <f t="shared" si="11"/>
        <v>0</v>
      </c>
      <c r="I35" s="128">
        <f t="shared" si="11"/>
        <v>0</v>
      </c>
      <c r="J35" s="128">
        <f t="shared" si="11"/>
        <v>0</v>
      </c>
      <c r="K35" s="128">
        <f t="shared" si="11"/>
        <v>0</v>
      </c>
      <c r="L35" s="128">
        <f t="shared" si="11"/>
        <v>0</v>
      </c>
      <c r="M35" s="128">
        <f t="shared" si="11"/>
        <v>0</v>
      </c>
      <c r="N35" s="128">
        <f t="shared" si="11"/>
        <v>0</v>
      </c>
      <c r="O35" s="128">
        <f t="shared" si="11"/>
        <v>0</v>
      </c>
      <c r="P35" s="128">
        <f t="shared" si="11"/>
        <v>0</v>
      </c>
      <c r="Q35" s="128">
        <f t="shared" si="11"/>
        <v>0</v>
      </c>
      <c r="R35" s="128">
        <f t="shared" si="11"/>
        <v>0</v>
      </c>
      <c r="S35" s="128">
        <f t="shared" si="11"/>
        <v>0</v>
      </c>
      <c r="T35" s="128">
        <f t="shared" si="11"/>
        <v>0</v>
      </c>
      <c r="U35" s="128">
        <f t="shared" si="11"/>
        <v>0</v>
      </c>
      <c r="V35" s="128">
        <f t="shared" si="11"/>
        <v>0</v>
      </c>
      <c r="W35" s="128">
        <f t="shared" si="11"/>
        <v>0</v>
      </c>
      <c r="X35" s="128">
        <f t="shared" si="11"/>
        <v>0</v>
      </c>
      <c r="Y35" s="128">
        <f t="shared" si="11"/>
        <v>0</v>
      </c>
      <c r="Z35" s="128">
        <f t="shared" si="11"/>
        <v>0</v>
      </c>
      <c r="AA35" s="128">
        <f t="shared" si="11"/>
        <v>0</v>
      </c>
      <c r="AB35" s="128">
        <f t="shared" si="11"/>
        <v>0</v>
      </c>
      <c r="AC35" s="128">
        <f t="shared" si="11"/>
        <v>0</v>
      </c>
      <c r="AD35" s="128">
        <f t="shared" si="11"/>
        <v>0</v>
      </c>
      <c r="AE35" s="128">
        <f t="shared" si="11"/>
        <v>0</v>
      </c>
      <c r="AF35" s="128">
        <f t="shared" si="11"/>
        <v>0</v>
      </c>
      <c r="AG35" s="128">
        <f t="shared" si="11"/>
        <v>0</v>
      </c>
      <c r="AH35" s="128">
        <f t="shared" si="11"/>
        <v>0</v>
      </c>
      <c r="AI35" s="128">
        <f t="shared" si="11"/>
        <v>0</v>
      </c>
      <c r="AJ35" s="128">
        <f t="shared" si="11"/>
        <v>0</v>
      </c>
      <c r="AK35" s="128">
        <f t="shared" si="11"/>
        <v>0</v>
      </c>
      <c r="AL35" s="128">
        <f t="shared" si="11"/>
        <v>0</v>
      </c>
      <c r="AM35" s="128">
        <f t="shared" si="11"/>
        <v>0</v>
      </c>
      <c r="AN35" s="128">
        <f t="shared" si="11"/>
        <v>0</v>
      </c>
      <c r="AO35" s="128">
        <f t="shared" si="11"/>
        <v>0</v>
      </c>
      <c r="AP35" s="128">
        <f t="shared" si="11"/>
        <v>0</v>
      </c>
      <c r="AQ35" s="128">
        <f t="shared" si="11"/>
        <v>0</v>
      </c>
      <c r="AR35" s="128">
        <f t="shared" si="11"/>
        <v>0</v>
      </c>
      <c r="AS35" s="128">
        <f t="shared" si="11"/>
        <v>0</v>
      </c>
      <c r="AT35" s="128">
        <f t="shared" si="11"/>
        <v>0</v>
      </c>
      <c r="AU35" s="128">
        <f t="shared" si="11"/>
        <v>0</v>
      </c>
      <c r="AV35" s="128">
        <f t="shared" si="11"/>
        <v>0</v>
      </c>
      <c r="AW35" s="128">
        <f t="shared" si="11"/>
        <v>0</v>
      </c>
      <c r="AX35" s="128">
        <f t="shared" si="11"/>
        <v>0</v>
      </c>
      <c r="AY35" s="128">
        <f t="shared" si="11"/>
        <v>0</v>
      </c>
    </row>
    <row r="36" spans="1:52" x14ac:dyDescent="0.2">
      <c r="A36" s="128"/>
      <c r="B36" s="182" t="s">
        <v>344</v>
      </c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</row>
    <row r="37" spans="1:52" x14ac:dyDescent="0.2">
      <c r="A37" s="128"/>
      <c r="B37" s="182" t="s">
        <v>345</v>
      </c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</row>
    <row r="38" spans="1:52" x14ac:dyDescent="0.2">
      <c r="A38" s="128"/>
      <c r="B38" s="182" t="s">
        <v>346</v>
      </c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</row>
    <row r="39" spans="1:52" x14ac:dyDescent="0.2">
      <c r="A39" s="128"/>
      <c r="B39" s="182" t="s">
        <v>347</v>
      </c>
      <c r="C39" s="128"/>
      <c r="D39" s="128">
        <f>D33-D36</f>
        <v>0</v>
      </c>
      <c r="E39" s="128">
        <f t="shared" ref="E39:AY39" si="12">E33-E36</f>
        <v>0</v>
      </c>
      <c r="F39" s="128">
        <f t="shared" si="12"/>
        <v>0</v>
      </c>
      <c r="G39" s="128">
        <f t="shared" si="12"/>
        <v>0</v>
      </c>
      <c r="H39" s="128">
        <f t="shared" si="12"/>
        <v>0</v>
      </c>
      <c r="I39" s="128">
        <f t="shared" si="12"/>
        <v>0</v>
      </c>
      <c r="J39" s="128">
        <f t="shared" si="12"/>
        <v>0</v>
      </c>
      <c r="K39" s="128">
        <f t="shared" si="12"/>
        <v>0</v>
      </c>
      <c r="L39" s="128">
        <f t="shared" si="12"/>
        <v>0</v>
      </c>
      <c r="M39" s="128">
        <f t="shared" si="12"/>
        <v>0</v>
      </c>
      <c r="N39" s="128">
        <f t="shared" si="12"/>
        <v>0</v>
      </c>
      <c r="O39" s="128">
        <f t="shared" si="12"/>
        <v>0</v>
      </c>
      <c r="P39" s="128">
        <f t="shared" si="12"/>
        <v>0</v>
      </c>
      <c r="Q39" s="128">
        <f t="shared" si="12"/>
        <v>0</v>
      </c>
      <c r="R39" s="128">
        <f t="shared" si="12"/>
        <v>0</v>
      </c>
      <c r="S39" s="128">
        <f t="shared" si="12"/>
        <v>0</v>
      </c>
      <c r="T39" s="128">
        <f t="shared" si="12"/>
        <v>0</v>
      </c>
      <c r="U39" s="128">
        <f t="shared" si="12"/>
        <v>0</v>
      </c>
      <c r="V39" s="128">
        <f t="shared" si="12"/>
        <v>0</v>
      </c>
      <c r="W39" s="128">
        <f t="shared" si="12"/>
        <v>0</v>
      </c>
      <c r="X39" s="128">
        <f t="shared" si="12"/>
        <v>0</v>
      </c>
      <c r="Y39" s="128">
        <f t="shared" si="12"/>
        <v>0</v>
      </c>
      <c r="Z39" s="128">
        <f t="shared" si="12"/>
        <v>0</v>
      </c>
      <c r="AA39" s="128">
        <f t="shared" si="12"/>
        <v>0</v>
      </c>
      <c r="AB39" s="128">
        <f t="shared" si="12"/>
        <v>0</v>
      </c>
      <c r="AC39" s="128">
        <f t="shared" si="12"/>
        <v>0</v>
      </c>
      <c r="AD39" s="128">
        <f t="shared" si="12"/>
        <v>0</v>
      </c>
      <c r="AE39" s="128">
        <f t="shared" si="12"/>
        <v>0</v>
      </c>
      <c r="AF39" s="128">
        <f t="shared" si="12"/>
        <v>0</v>
      </c>
      <c r="AG39" s="128">
        <f t="shared" si="12"/>
        <v>0</v>
      </c>
      <c r="AH39" s="128">
        <f t="shared" si="12"/>
        <v>0</v>
      </c>
      <c r="AI39" s="128">
        <f t="shared" si="12"/>
        <v>0</v>
      </c>
      <c r="AJ39" s="128">
        <f t="shared" si="12"/>
        <v>0</v>
      </c>
      <c r="AK39" s="128">
        <f t="shared" si="12"/>
        <v>0</v>
      </c>
      <c r="AL39" s="128">
        <f t="shared" si="12"/>
        <v>0</v>
      </c>
      <c r="AM39" s="128">
        <f t="shared" si="12"/>
        <v>0</v>
      </c>
      <c r="AN39" s="128">
        <f t="shared" si="12"/>
        <v>0</v>
      </c>
      <c r="AO39" s="128">
        <f t="shared" si="12"/>
        <v>0</v>
      </c>
      <c r="AP39" s="128">
        <f t="shared" si="12"/>
        <v>0</v>
      </c>
      <c r="AQ39" s="128">
        <f t="shared" si="12"/>
        <v>0</v>
      </c>
      <c r="AR39" s="128">
        <f t="shared" si="12"/>
        <v>0</v>
      </c>
      <c r="AS39" s="128">
        <f t="shared" si="12"/>
        <v>0</v>
      </c>
      <c r="AT39" s="128">
        <f t="shared" si="12"/>
        <v>0</v>
      </c>
      <c r="AU39" s="128">
        <f t="shared" si="12"/>
        <v>0</v>
      </c>
      <c r="AV39" s="128">
        <f t="shared" si="12"/>
        <v>0</v>
      </c>
      <c r="AW39" s="128">
        <f t="shared" si="12"/>
        <v>0</v>
      </c>
      <c r="AX39" s="128">
        <f t="shared" si="12"/>
        <v>0</v>
      </c>
      <c r="AY39" s="128">
        <f t="shared" si="12"/>
        <v>0</v>
      </c>
    </row>
    <row r="40" spans="1:52" x14ac:dyDescent="0.2">
      <c r="A40" s="128"/>
      <c r="B40" s="182" t="s">
        <v>348</v>
      </c>
      <c r="C40" s="128"/>
      <c r="D40" s="128">
        <f>D34-D37</f>
        <v>0</v>
      </c>
      <c r="E40" s="128">
        <f t="shared" ref="E40:AY40" si="13">E34-E37</f>
        <v>0</v>
      </c>
      <c r="F40" s="128">
        <f t="shared" si="13"/>
        <v>0</v>
      </c>
      <c r="G40" s="128">
        <f t="shared" si="13"/>
        <v>0</v>
      </c>
      <c r="H40" s="128">
        <f t="shared" si="13"/>
        <v>0</v>
      </c>
      <c r="I40" s="128">
        <f t="shared" si="13"/>
        <v>0</v>
      </c>
      <c r="J40" s="128">
        <f t="shared" si="13"/>
        <v>0</v>
      </c>
      <c r="K40" s="128">
        <f t="shared" si="13"/>
        <v>0</v>
      </c>
      <c r="L40" s="128">
        <f t="shared" si="13"/>
        <v>0</v>
      </c>
      <c r="M40" s="128">
        <f t="shared" si="13"/>
        <v>0</v>
      </c>
      <c r="N40" s="128">
        <f t="shared" si="13"/>
        <v>0</v>
      </c>
      <c r="O40" s="128">
        <f t="shared" si="13"/>
        <v>0</v>
      </c>
      <c r="P40" s="128">
        <f t="shared" si="13"/>
        <v>0</v>
      </c>
      <c r="Q40" s="128">
        <f t="shared" si="13"/>
        <v>0</v>
      </c>
      <c r="R40" s="128">
        <f t="shared" si="13"/>
        <v>0</v>
      </c>
      <c r="S40" s="128">
        <f t="shared" si="13"/>
        <v>0</v>
      </c>
      <c r="T40" s="128">
        <f t="shared" si="13"/>
        <v>0</v>
      </c>
      <c r="U40" s="128">
        <f t="shared" si="13"/>
        <v>0</v>
      </c>
      <c r="V40" s="128">
        <f t="shared" si="13"/>
        <v>0</v>
      </c>
      <c r="W40" s="128">
        <f t="shared" si="13"/>
        <v>0</v>
      </c>
      <c r="X40" s="128">
        <f t="shared" si="13"/>
        <v>0</v>
      </c>
      <c r="Y40" s="128">
        <f t="shared" si="13"/>
        <v>0</v>
      </c>
      <c r="Z40" s="128">
        <f t="shared" si="13"/>
        <v>0</v>
      </c>
      <c r="AA40" s="128">
        <f t="shared" si="13"/>
        <v>0</v>
      </c>
      <c r="AB40" s="128">
        <f t="shared" si="13"/>
        <v>0</v>
      </c>
      <c r="AC40" s="128">
        <f t="shared" si="13"/>
        <v>0</v>
      </c>
      <c r="AD40" s="128">
        <f t="shared" si="13"/>
        <v>0</v>
      </c>
      <c r="AE40" s="128">
        <f t="shared" si="13"/>
        <v>0</v>
      </c>
      <c r="AF40" s="128">
        <f t="shared" si="13"/>
        <v>0</v>
      </c>
      <c r="AG40" s="128">
        <f t="shared" si="13"/>
        <v>0</v>
      </c>
      <c r="AH40" s="128">
        <f t="shared" si="13"/>
        <v>0</v>
      </c>
      <c r="AI40" s="128">
        <f t="shared" si="13"/>
        <v>0</v>
      </c>
      <c r="AJ40" s="128">
        <f t="shared" si="13"/>
        <v>0</v>
      </c>
      <c r="AK40" s="128">
        <f t="shared" si="13"/>
        <v>0</v>
      </c>
      <c r="AL40" s="128">
        <f t="shared" si="13"/>
        <v>0</v>
      </c>
      <c r="AM40" s="128">
        <f t="shared" si="13"/>
        <v>0</v>
      </c>
      <c r="AN40" s="128">
        <f t="shared" si="13"/>
        <v>0</v>
      </c>
      <c r="AO40" s="128">
        <f t="shared" si="13"/>
        <v>0</v>
      </c>
      <c r="AP40" s="128">
        <f t="shared" si="13"/>
        <v>0</v>
      </c>
      <c r="AQ40" s="128">
        <f t="shared" si="13"/>
        <v>0</v>
      </c>
      <c r="AR40" s="128">
        <f t="shared" si="13"/>
        <v>0</v>
      </c>
      <c r="AS40" s="128">
        <f t="shared" si="13"/>
        <v>0</v>
      </c>
      <c r="AT40" s="128">
        <f t="shared" si="13"/>
        <v>0</v>
      </c>
      <c r="AU40" s="128">
        <f t="shared" si="13"/>
        <v>0</v>
      </c>
      <c r="AV40" s="128">
        <f t="shared" si="13"/>
        <v>0</v>
      </c>
      <c r="AW40" s="128">
        <f t="shared" si="13"/>
        <v>0</v>
      </c>
      <c r="AX40" s="128">
        <f t="shared" si="13"/>
        <v>0</v>
      </c>
      <c r="AY40" s="128">
        <f t="shared" si="13"/>
        <v>0</v>
      </c>
    </row>
    <row r="41" spans="1:52" x14ac:dyDescent="0.2">
      <c r="A41" s="128"/>
      <c r="B41" s="182" t="s">
        <v>349</v>
      </c>
      <c r="C41" s="128"/>
      <c r="D41" s="128">
        <v>2</v>
      </c>
      <c r="E41" s="128">
        <v>2</v>
      </c>
      <c r="F41" s="128">
        <v>2</v>
      </c>
      <c r="G41" s="128">
        <v>2</v>
      </c>
      <c r="H41" s="128">
        <v>2</v>
      </c>
      <c r="I41" s="128">
        <v>2</v>
      </c>
      <c r="J41" s="128">
        <v>1</v>
      </c>
      <c r="K41" s="128">
        <v>1</v>
      </c>
      <c r="L41" s="128">
        <v>2</v>
      </c>
      <c r="M41" s="128">
        <v>1</v>
      </c>
      <c r="N41" s="128">
        <v>1</v>
      </c>
      <c r="O41" s="128">
        <v>2</v>
      </c>
      <c r="P41" s="128">
        <v>2</v>
      </c>
      <c r="Q41" s="128">
        <v>1</v>
      </c>
      <c r="R41" s="128">
        <v>1</v>
      </c>
      <c r="S41" s="128">
        <v>2</v>
      </c>
      <c r="T41" s="128">
        <v>1</v>
      </c>
      <c r="U41" s="128">
        <v>1</v>
      </c>
      <c r="V41" s="128">
        <v>1</v>
      </c>
      <c r="W41" s="128">
        <v>1</v>
      </c>
      <c r="X41" s="128">
        <v>1</v>
      </c>
      <c r="Y41" s="128">
        <v>3</v>
      </c>
      <c r="Z41" s="128">
        <v>1</v>
      </c>
      <c r="AA41" s="128">
        <v>2</v>
      </c>
      <c r="AB41" s="128">
        <v>2</v>
      </c>
      <c r="AC41" s="128">
        <v>1</v>
      </c>
      <c r="AD41" s="128">
        <v>1</v>
      </c>
      <c r="AE41" s="128">
        <v>1</v>
      </c>
      <c r="AF41" s="128">
        <v>2</v>
      </c>
      <c r="AG41" s="128">
        <v>1</v>
      </c>
      <c r="AH41" s="128">
        <v>1</v>
      </c>
      <c r="AI41" s="128">
        <v>3</v>
      </c>
      <c r="AJ41" s="128">
        <v>1</v>
      </c>
      <c r="AK41" s="128">
        <v>1</v>
      </c>
      <c r="AL41" s="128">
        <v>2</v>
      </c>
      <c r="AM41" s="128">
        <v>1</v>
      </c>
      <c r="AN41" s="128">
        <v>1</v>
      </c>
      <c r="AO41" s="128">
        <v>1</v>
      </c>
      <c r="AP41" s="128">
        <v>2</v>
      </c>
      <c r="AQ41" s="128">
        <v>3</v>
      </c>
      <c r="AR41" s="128">
        <v>1</v>
      </c>
      <c r="AS41" s="128">
        <v>2</v>
      </c>
      <c r="AT41" s="128">
        <v>1</v>
      </c>
      <c r="AU41" s="128">
        <v>1</v>
      </c>
      <c r="AV41" s="128">
        <v>1</v>
      </c>
      <c r="AW41" s="128">
        <v>1</v>
      </c>
      <c r="AX41" s="128">
        <v>2</v>
      </c>
      <c r="AY41" s="128">
        <v>2</v>
      </c>
    </row>
    <row r="42" spans="1:52" x14ac:dyDescent="0.2">
      <c r="A42" s="128"/>
      <c r="B42" s="193" t="s">
        <v>350</v>
      </c>
      <c r="C42" s="128"/>
      <c r="D42" s="128">
        <v>0</v>
      </c>
      <c r="E42" s="128">
        <v>0</v>
      </c>
      <c r="F42" s="128">
        <v>0</v>
      </c>
      <c r="G42" s="128">
        <v>0</v>
      </c>
      <c r="H42" s="128">
        <v>0</v>
      </c>
      <c r="I42" s="128">
        <v>0</v>
      </c>
      <c r="J42" s="128">
        <v>0</v>
      </c>
      <c r="K42" s="128">
        <v>0</v>
      </c>
      <c r="L42" s="128">
        <v>0</v>
      </c>
      <c r="M42" s="128">
        <v>0</v>
      </c>
      <c r="N42" s="128">
        <v>0</v>
      </c>
      <c r="O42" s="128">
        <v>0</v>
      </c>
      <c r="P42" s="128">
        <v>0</v>
      </c>
      <c r="Q42" s="128">
        <v>0</v>
      </c>
      <c r="R42" s="128">
        <v>0</v>
      </c>
      <c r="S42" s="128">
        <v>0</v>
      </c>
      <c r="T42" s="128">
        <v>0</v>
      </c>
      <c r="U42" s="128">
        <v>0</v>
      </c>
      <c r="V42" s="128">
        <v>0</v>
      </c>
      <c r="W42" s="128">
        <v>0</v>
      </c>
      <c r="X42" s="128">
        <v>0</v>
      </c>
      <c r="Y42" s="128">
        <v>0</v>
      </c>
      <c r="Z42" s="128">
        <v>0</v>
      </c>
      <c r="AA42" s="128">
        <v>0</v>
      </c>
      <c r="AB42" s="128">
        <v>0</v>
      </c>
      <c r="AC42" s="128">
        <v>0</v>
      </c>
      <c r="AD42" s="128">
        <v>0</v>
      </c>
      <c r="AE42" s="128">
        <v>0</v>
      </c>
      <c r="AF42" s="128">
        <v>0</v>
      </c>
      <c r="AG42" s="128">
        <v>0</v>
      </c>
      <c r="AH42" s="128">
        <v>0</v>
      </c>
      <c r="AI42" s="128">
        <v>0</v>
      </c>
      <c r="AJ42" s="128">
        <v>0</v>
      </c>
      <c r="AK42" s="128">
        <v>0</v>
      </c>
      <c r="AL42" s="128">
        <v>0</v>
      </c>
      <c r="AM42" s="128">
        <v>0</v>
      </c>
      <c r="AN42" s="128">
        <v>0</v>
      </c>
      <c r="AO42" s="128">
        <v>0</v>
      </c>
      <c r="AP42" s="128">
        <v>0</v>
      </c>
      <c r="AQ42" s="128">
        <v>0</v>
      </c>
      <c r="AR42" s="128">
        <v>0</v>
      </c>
      <c r="AS42" s="128">
        <v>0</v>
      </c>
      <c r="AT42" s="128">
        <v>0</v>
      </c>
      <c r="AU42" s="128">
        <v>0</v>
      </c>
      <c r="AV42" s="128">
        <v>0</v>
      </c>
      <c r="AW42" s="128">
        <v>0</v>
      </c>
      <c r="AX42" s="128">
        <v>0</v>
      </c>
      <c r="AY42" s="128">
        <v>0</v>
      </c>
      <c r="AZ42">
        <f>SUM($D$42:$AY$42)</f>
        <v>0</v>
      </c>
    </row>
    <row r="43" spans="1:52" x14ac:dyDescent="0.2">
      <c r="A43" s="128"/>
      <c r="B43" s="193" t="s">
        <v>351</v>
      </c>
      <c r="C43" s="128"/>
      <c r="D43" s="128">
        <v>0</v>
      </c>
      <c r="E43" s="128">
        <v>0</v>
      </c>
      <c r="F43" s="128">
        <v>0</v>
      </c>
      <c r="G43" s="128">
        <v>0</v>
      </c>
      <c r="H43" s="128">
        <v>0</v>
      </c>
      <c r="I43" s="128">
        <v>0</v>
      </c>
      <c r="J43" s="128">
        <v>0</v>
      </c>
      <c r="K43" s="128">
        <v>0</v>
      </c>
      <c r="L43" s="128">
        <v>0</v>
      </c>
      <c r="M43" s="128">
        <v>0</v>
      </c>
      <c r="N43" s="128">
        <v>0</v>
      </c>
      <c r="O43" s="128">
        <v>0</v>
      </c>
      <c r="P43" s="128">
        <v>0</v>
      </c>
      <c r="Q43" s="128">
        <v>0</v>
      </c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128">
        <v>0</v>
      </c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  <c r="AD43" s="128">
        <v>0</v>
      </c>
      <c r="AE43" s="128">
        <v>0</v>
      </c>
      <c r="AF43" s="128">
        <v>0</v>
      </c>
      <c r="AG43" s="128">
        <v>0</v>
      </c>
      <c r="AH43" s="128">
        <v>0</v>
      </c>
      <c r="AI43" s="128">
        <v>0</v>
      </c>
      <c r="AJ43" s="128">
        <v>0</v>
      </c>
      <c r="AK43" s="128">
        <v>0</v>
      </c>
      <c r="AL43" s="128">
        <v>0</v>
      </c>
      <c r="AM43" s="128">
        <v>0</v>
      </c>
      <c r="AN43" s="128">
        <v>0</v>
      </c>
      <c r="AO43" s="128">
        <v>0</v>
      </c>
      <c r="AP43" s="128">
        <v>0</v>
      </c>
      <c r="AQ43" s="128">
        <v>0</v>
      </c>
      <c r="AR43" s="128">
        <v>0</v>
      </c>
      <c r="AS43" s="128">
        <v>0</v>
      </c>
      <c r="AT43" s="128">
        <v>0</v>
      </c>
      <c r="AU43" s="128">
        <v>0</v>
      </c>
      <c r="AV43" s="128">
        <v>0</v>
      </c>
      <c r="AW43" s="128">
        <v>0</v>
      </c>
      <c r="AX43" s="128">
        <v>0</v>
      </c>
      <c r="AY43" s="128">
        <v>0</v>
      </c>
      <c r="AZ43">
        <f>SUM($D$43:$AY$43)</f>
        <v>0</v>
      </c>
    </row>
    <row r="44" spans="1:52" x14ac:dyDescent="0.2">
      <c r="A44" s="152" t="s">
        <v>59</v>
      </c>
      <c r="B44" s="152" t="s">
        <v>341</v>
      </c>
      <c r="C44" s="141"/>
      <c r="D44" s="141">
        <f>D$21*shipping_manufacturing!$F$28/100</f>
        <v>913</v>
      </c>
      <c r="E44" s="141">
        <f>E$21*shipping_manufacturing!$F$28/100</f>
        <v>241.71302358654705</v>
      </c>
      <c r="F44" s="141">
        <f>F$21*shipping_manufacturing!$F$28/100</f>
        <v>242.24279961126308</v>
      </c>
      <c r="G44" s="141">
        <f>G$21*shipping_manufacturing!$F$28/100</f>
        <v>371.45415700949457</v>
      </c>
      <c r="H44" s="141">
        <f>H$21*shipping_manufacturing!$F$28/100</f>
        <v>371.45415700949457</v>
      </c>
      <c r="I44" s="141">
        <f>I$21*shipping_manufacturing!$F$28/100</f>
        <v>60.957989223167552</v>
      </c>
      <c r="J44" s="141">
        <f>J$21*shipping_manufacturing!$F$28/100</f>
        <v>371.45415700949457</v>
      </c>
      <c r="K44" s="141">
        <f>K$21*shipping_manufacturing!$F$28/100</f>
        <v>371.45415700949457</v>
      </c>
      <c r="L44" s="141">
        <f>L$21*shipping_manufacturing!$F$28/100</f>
        <v>371.45415700949457</v>
      </c>
      <c r="M44" s="141">
        <f>M$21*shipping_manufacturing!$F$28/100</f>
        <v>371.45415700949457</v>
      </c>
      <c r="N44" s="141">
        <f>N$21*shipping_manufacturing!$F$28/100</f>
        <v>371.45415700949457</v>
      </c>
      <c r="O44" s="141">
        <f>O$21*shipping_manufacturing!$F$28/100</f>
        <v>371.45415700949457</v>
      </c>
      <c r="P44" s="141">
        <f>P$21*shipping_manufacturing!$F$28/100</f>
        <v>371.45415700949457</v>
      </c>
      <c r="Q44" s="141">
        <f>Q$21*shipping_manufacturing!$F$28/100</f>
        <v>371.45415700949457</v>
      </c>
      <c r="R44" s="141">
        <f>R$21*shipping_manufacturing!$F$28/100</f>
        <v>371.45415700949457</v>
      </c>
      <c r="S44" s="141">
        <f>S$21*shipping_manufacturing!$F$28/100</f>
        <v>371.45415700949457</v>
      </c>
      <c r="T44" s="141">
        <f>T$21*shipping_manufacturing!$F$28/100</f>
        <v>371.45415700949457</v>
      </c>
      <c r="U44" s="141">
        <f>U$21*shipping_manufacturing!$F$28/100</f>
        <v>371.45415700949457</v>
      </c>
      <c r="V44" s="141">
        <f>V$21*shipping_manufacturing!$F$28/100</f>
        <v>371.45415700949457</v>
      </c>
      <c r="W44" s="141">
        <f>W$21*shipping_manufacturing!$F$28/100</f>
        <v>371.45415700949457</v>
      </c>
      <c r="X44" s="141">
        <f>X$21*shipping_manufacturing!$F$28/100</f>
        <v>371.45415700949457</v>
      </c>
      <c r="Y44" s="141">
        <f>Y$21*shipping_manufacturing!$F$28/100</f>
        <v>371.45415700949457</v>
      </c>
      <c r="Z44" s="141">
        <f>Z$21*shipping_manufacturing!$F$28/100</f>
        <v>371.45415700949457</v>
      </c>
      <c r="AA44" s="141">
        <f>AA$21*shipping_manufacturing!$F$28/100</f>
        <v>371.45415700949457</v>
      </c>
      <c r="AB44" s="141">
        <f>AB$21*shipping_manufacturing!$F$28/100</f>
        <v>371.45415700949457</v>
      </c>
      <c r="AC44" s="141">
        <f>AC$21*shipping_manufacturing!$F$28/100</f>
        <v>371.45415700949457</v>
      </c>
      <c r="AD44" s="141">
        <f>AD$21*shipping_manufacturing!$F$28/100</f>
        <v>371.45415700949457</v>
      </c>
      <c r="AE44" s="141">
        <f>AE$21*shipping_manufacturing!$F$28/100</f>
        <v>371.45415700949457</v>
      </c>
      <c r="AF44" s="141">
        <f>AF$21*shipping_manufacturing!$F$28/100</f>
        <v>371.45415700949457</v>
      </c>
      <c r="AG44" s="141">
        <f>AG$21*shipping_manufacturing!$F$28/100</f>
        <v>371.45415700949457</v>
      </c>
      <c r="AH44" s="141">
        <f>AH$21*shipping_manufacturing!$F$28/100</f>
        <v>0</v>
      </c>
      <c r="AI44" s="141">
        <f>AI$21*shipping_manufacturing!$F$28/100</f>
        <v>712</v>
      </c>
      <c r="AJ44" s="141">
        <f>AJ$21*shipping_manufacturing!$F$28/100</f>
        <v>371.45415700949457</v>
      </c>
      <c r="AK44" s="141">
        <f>AK$21*shipping_manufacturing!$F$28/100</f>
        <v>258.26036955807899</v>
      </c>
      <c r="AL44" s="141">
        <f>AL$21*shipping_manufacturing!$F$28/100</f>
        <v>258.74929763314879</v>
      </c>
      <c r="AM44" s="141">
        <f>AM$21*shipping_manufacturing!$F$28/100</f>
        <v>371.45415700949457</v>
      </c>
      <c r="AN44" s="141">
        <f>AN$21*shipping_manufacturing!$F$28/100</f>
        <v>371.45415700949457</v>
      </c>
      <c r="AO44" s="141">
        <f>AO$21*shipping_manufacturing!$F$28/100</f>
        <v>371.45415700949457</v>
      </c>
      <c r="AP44" s="141">
        <f>AP$21*shipping_manufacturing!$F$28/100</f>
        <v>371.45415700949457</v>
      </c>
      <c r="AQ44" s="141">
        <f>AQ$21*shipping_manufacturing!$F$28/100</f>
        <v>371.45415700949457</v>
      </c>
      <c r="AR44" s="141">
        <f>AR$21*shipping_manufacturing!$F$28/100</f>
        <v>371.45415700949457</v>
      </c>
      <c r="AS44" s="141">
        <f>AS$21*shipping_manufacturing!$F$28/100</f>
        <v>0</v>
      </c>
      <c r="AT44" s="141">
        <f>AT$21*shipping_manufacturing!$F$28/100</f>
        <v>633.54791377533434</v>
      </c>
      <c r="AU44" s="141">
        <f>AU$21*shipping_manufacturing!$F$28/100</f>
        <v>65.755480637875024</v>
      </c>
      <c r="AV44" s="141">
        <f>AV$21*shipping_manufacturing!$F$28/100</f>
        <v>0</v>
      </c>
      <c r="AW44" s="141">
        <f>AW$21*shipping_manufacturing!$F$28/100</f>
        <v>635.39096261654186</v>
      </c>
      <c r="AX44" s="141">
        <f>AX$21*shipping_manufacturing!$F$28/100</f>
        <v>264.38908131650351</v>
      </c>
      <c r="AY44" s="141">
        <f>AY$21*shipping_manufacturing!$F$28/100</f>
        <v>371.45415700949457</v>
      </c>
    </row>
    <row r="45" spans="1:52" x14ac:dyDescent="0.2">
      <c r="A45" s="130" t="s">
        <v>340</v>
      </c>
      <c r="B45" s="182" t="s">
        <v>342</v>
      </c>
      <c r="C45" s="128"/>
      <c r="D45" s="128">
        <f>D$22*shipping_manufacturing!$G$28/100</f>
        <v>0</v>
      </c>
      <c r="E45" s="128">
        <f>E$22*shipping_manufacturing!$G$28/100</f>
        <v>0</v>
      </c>
      <c r="F45" s="128">
        <f>F$22*shipping_manufacturing!$G$28/100</f>
        <v>0</v>
      </c>
      <c r="G45" s="128">
        <f>G$22*shipping_manufacturing!$G$28/100</f>
        <v>0</v>
      </c>
      <c r="H45" s="128">
        <f>H$22*shipping_manufacturing!$G$28/100</f>
        <v>0</v>
      </c>
      <c r="I45" s="128">
        <f>I$22*shipping_manufacturing!$G$28/100</f>
        <v>0</v>
      </c>
      <c r="J45" s="128">
        <f>J$22*shipping_manufacturing!$G$28/100</f>
        <v>0</v>
      </c>
      <c r="K45" s="128">
        <f>K$22*shipping_manufacturing!$G$28/100</f>
        <v>0</v>
      </c>
      <c r="L45" s="128">
        <f>L$22*shipping_manufacturing!$G$28/100</f>
        <v>0</v>
      </c>
      <c r="M45" s="128">
        <f>M$22*shipping_manufacturing!$G$28/100</f>
        <v>0</v>
      </c>
      <c r="N45" s="128">
        <f>N$22*shipping_manufacturing!$G$28/100</f>
        <v>0</v>
      </c>
      <c r="O45" s="128">
        <f>O$22*shipping_manufacturing!$G$28/100</f>
        <v>0</v>
      </c>
      <c r="P45" s="128">
        <f>P$22*shipping_manufacturing!$G$28/100</f>
        <v>0</v>
      </c>
      <c r="Q45" s="128">
        <f>Q$22*shipping_manufacturing!$G$28/100</f>
        <v>0</v>
      </c>
      <c r="R45" s="128">
        <f>R$22*shipping_manufacturing!$G$28/100</f>
        <v>0</v>
      </c>
      <c r="S45" s="128">
        <f>S$22*shipping_manufacturing!$G$28/100</f>
        <v>0</v>
      </c>
      <c r="T45" s="128">
        <f>T$22*shipping_manufacturing!$G$28/100</f>
        <v>0</v>
      </c>
      <c r="U45" s="128">
        <f>U$22*shipping_manufacturing!$G$28/100</f>
        <v>0</v>
      </c>
      <c r="V45" s="128">
        <f>V$22*shipping_manufacturing!$G$28/100</f>
        <v>0</v>
      </c>
      <c r="W45" s="128">
        <f>W$22*shipping_manufacturing!$G$28/100</f>
        <v>0</v>
      </c>
      <c r="X45" s="128">
        <f>X$22*shipping_manufacturing!$G$28/100</f>
        <v>0</v>
      </c>
      <c r="Y45" s="128">
        <f>Y$22*shipping_manufacturing!$G$28/100</f>
        <v>0</v>
      </c>
      <c r="Z45" s="128">
        <f>Z$22*shipping_manufacturing!$G$28/100</f>
        <v>0</v>
      </c>
      <c r="AA45" s="128">
        <f>AA$22*shipping_manufacturing!$G$28/100</f>
        <v>0</v>
      </c>
      <c r="AB45" s="128">
        <f>AB$22*shipping_manufacturing!$G$28/100</f>
        <v>0</v>
      </c>
      <c r="AC45" s="128">
        <f>AC$22*shipping_manufacturing!$G$28/100</f>
        <v>0</v>
      </c>
      <c r="AD45" s="128">
        <f>AD$22*shipping_manufacturing!$G$28/100</f>
        <v>0</v>
      </c>
      <c r="AE45" s="128">
        <f>AE$22*shipping_manufacturing!$G$28/100</f>
        <v>0</v>
      </c>
      <c r="AF45" s="128">
        <f>AF$22*shipping_manufacturing!$G$28/100</f>
        <v>0</v>
      </c>
      <c r="AG45" s="128">
        <f>AG$22*shipping_manufacturing!$G$28/100</f>
        <v>0</v>
      </c>
      <c r="AH45" s="128">
        <f>AH$22*shipping_manufacturing!$G$28/100</f>
        <v>0</v>
      </c>
      <c r="AI45" s="128">
        <f>AI$22*shipping_manufacturing!$G$28/100</f>
        <v>0</v>
      </c>
      <c r="AJ45" s="128">
        <f>AJ$22*shipping_manufacturing!$G$28/100</f>
        <v>0</v>
      </c>
      <c r="AK45" s="128">
        <f>AK$22*shipping_manufacturing!$G$28/100</f>
        <v>0</v>
      </c>
      <c r="AL45" s="128">
        <f>AL$22*shipping_manufacturing!$G$28/100</f>
        <v>0</v>
      </c>
      <c r="AM45" s="128">
        <f>AM$22*shipping_manufacturing!$G$28/100</f>
        <v>0</v>
      </c>
      <c r="AN45" s="128">
        <f>AN$22*shipping_manufacturing!$G$28/100</f>
        <v>0</v>
      </c>
      <c r="AO45" s="128">
        <f>AO$22*shipping_manufacturing!$G$28/100</f>
        <v>0</v>
      </c>
      <c r="AP45" s="128">
        <f>AP$22*shipping_manufacturing!$G$28/100</f>
        <v>0</v>
      </c>
      <c r="AQ45" s="128">
        <f>AQ$22*shipping_manufacturing!$G$28/100</f>
        <v>0</v>
      </c>
      <c r="AR45" s="128">
        <f>AR$22*shipping_manufacturing!$G$28/100</f>
        <v>0</v>
      </c>
      <c r="AS45" s="128">
        <f>AS$22*shipping_manufacturing!$G$28/100</f>
        <v>0</v>
      </c>
      <c r="AT45" s="128">
        <f>AT$22*shipping_manufacturing!$G$28/100</f>
        <v>0</v>
      </c>
      <c r="AU45" s="128">
        <f>AU$22*shipping_manufacturing!$G$28/100</f>
        <v>0</v>
      </c>
      <c r="AV45" s="128">
        <f>AV$22*shipping_manufacturing!$G$28/100</f>
        <v>0</v>
      </c>
      <c r="AW45" s="128">
        <f>AW$22*shipping_manufacturing!$G$28/100</f>
        <v>0</v>
      </c>
      <c r="AX45" s="128">
        <f>AX$22*shipping_manufacturing!$G$28/100</f>
        <v>0</v>
      </c>
      <c r="AY45" s="128">
        <f>AY$22*shipping_manufacturing!$G$28/100</f>
        <v>0</v>
      </c>
    </row>
    <row r="46" spans="1:52" x14ac:dyDescent="0.2">
      <c r="A46" s="128">
        <v>2339</v>
      </c>
      <c r="B46" s="182" t="s">
        <v>343</v>
      </c>
      <c r="C46" s="128"/>
      <c r="D46" s="128">
        <f>SUM(D44:D45)</f>
        <v>913</v>
      </c>
      <c r="E46" s="128">
        <f t="shared" ref="E46:AY46" si="14">SUM(E44:E45)</f>
        <v>241.71302358654705</v>
      </c>
      <c r="F46" s="128">
        <f t="shared" si="14"/>
        <v>242.24279961126308</v>
      </c>
      <c r="G46" s="128">
        <f t="shared" si="14"/>
        <v>371.45415700949457</v>
      </c>
      <c r="H46" s="128">
        <f t="shared" si="14"/>
        <v>371.45415700949457</v>
      </c>
      <c r="I46" s="128">
        <f t="shared" si="14"/>
        <v>60.957989223167552</v>
      </c>
      <c r="J46" s="128">
        <f t="shared" si="14"/>
        <v>371.45415700949457</v>
      </c>
      <c r="K46" s="128">
        <f t="shared" si="14"/>
        <v>371.45415700949457</v>
      </c>
      <c r="L46" s="128">
        <f t="shared" si="14"/>
        <v>371.45415700949457</v>
      </c>
      <c r="M46" s="128">
        <f t="shared" si="14"/>
        <v>371.45415700949457</v>
      </c>
      <c r="N46" s="128">
        <f t="shared" si="14"/>
        <v>371.45415700949457</v>
      </c>
      <c r="O46" s="128">
        <f t="shared" si="14"/>
        <v>371.45415700949457</v>
      </c>
      <c r="P46" s="128">
        <f t="shared" si="14"/>
        <v>371.45415700949457</v>
      </c>
      <c r="Q46" s="128">
        <f t="shared" si="14"/>
        <v>371.45415700949457</v>
      </c>
      <c r="R46" s="128">
        <f t="shared" si="14"/>
        <v>371.45415700949457</v>
      </c>
      <c r="S46" s="128">
        <f t="shared" si="14"/>
        <v>371.45415700949457</v>
      </c>
      <c r="T46" s="128">
        <f t="shared" si="14"/>
        <v>371.45415700949457</v>
      </c>
      <c r="U46" s="128">
        <f t="shared" si="14"/>
        <v>371.45415700949457</v>
      </c>
      <c r="V46" s="128">
        <f t="shared" si="14"/>
        <v>371.45415700949457</v>
      </c>
      <c r="W46" s="128">
        <f t="shared" si="14"/>
        <v>371.45415700949457</v>
      </c>
      <c r="X46" s="128">
        <f t="shared" si="14"/>
        <v>371.45415700949457</v>
      </c>
      <c r="Y46" s="128">
        <f t="shared" si="14"/>
        <v>371.45415700949457</v>
      </c>
      <c r="Z46" s="128">
        <f t="shared" si="14"/>
        <v>371.45415700949457</v>
      </c>
      <c r="AA46" s="128">
        <f t="shared" si="14"/>
        <v>371.45415700949457</v>
      </c>
      <c r="AB46" s="128">
        <f t="shared" si="14"/>
        <v>371.45415700949457</v>
      </c>
      <c r="AC46" s="128">
        <f t="shared" si="14"/>
        <v>371.45415700949457</v>
      </c>
      <c r="AD46" s="128">
        <f t="shared" si="14"/>
        <v>371.45415700949457</v>
      </c>
      <c r="AE46" s="128">
        <f t="shared" si="14"/>
        <v>371.45415700949457</v>
      </c>
      <c r="AF46" s="128">
        <f t="shared" si="14"/>
        <v>371.45415700949457</v>
      </c>
      <c r="AG46" s="128">
        <f t="shared" si="14"/>
        <v>371.45415700949457</v>
      </c>
      <c r="AH46" s="128">
        <f t="shared" si="14"/>
        <v>0</v>
      </c>
      <c r="AI46" s="128">
        <f t="shared" si="14"/>
        <v>712</v>
      </c>
      <c r="AJ46" s="128">
        <f t="shared" si="14"/>
        <v>371.45415700949457</v>
      </c>
      <c r="AK46" s="128">
        <f t="shared" si="14"/>
        <v>258.26036955807899</v>
      </c>
      <c r="AL46" s="128">
        <f t="shared" si="14"/>
        <v>258.74929763314879</v>
      </c>
      <c r="AM46" s="128">
        <f t="shared" si="14"/>
        <v>371.45415700949457</v>
      </c>
      <c r="AN46" s="128">
        <f t="shared" si="14"/>
        <v>371.45415700949457</v>
      </c>
      <c r="AO46" s="128">
        <f t="shared" si="14"/>
        <v>371.45415700949457</v>
      </c>
      <c r="AP46" s="128">
        <f t="shared" si="14"/>
        <v>371.45415700949457</v>
      </c>
      <c r="AQ46" s="128">
        <f t="shared" si="14"/>
        <v>371.45415700949457</v>
      </c>
      <c r="AR46" s="128">
        <f t="shared" si="14"/>
        <v>371.45415700949457</v>
      </c>
      <c r="AS46" s="128">
        <f t="shared" si="14"/>
        <v>0</v>
      </c>
      <c r="AT46" s="128">
        <f t="shared" si="14"/>
        <v>633.54791377533434</v>
      </c>
      <c r="AU46" s="128">
        <f t="shared" si="14"/>
        <v>65.755480637875024</v>
      </c>
      <c r="AV46" s="128">
        <f t="shared" si="14"/>
        <v>0</v>
      </c>
      <c r="AW46" s="128">
        <f t="shared" si="14"/>
        <v>635.39096261654186</v>
      </c>
      <c r="AX46" s="128">
        <f t="shared" si="14"/>
        <v>264.38908131650351</v>
      </c>
      <c r="AY46" s="128">
        <f t="shared" si="14"/>
        <v>371.45415700949457</v>
      </c>
    </row>
    <row r="47" spans="1:52" x14ac:dyDescent="0.2">
      <c r="A47" s="128"/>
      <c r="B47" s="182" t="s">
        <v>344</v>
      </c>
      <c r="C47" s="128"/>
      <c r="D47" s="128">
        <v>840</v>
      </c>
      <c r="E47" s="128"/>
      <c r="F47" s="128">
        <v>242.24279961126308</v>
      </c>
      <c r="G47" s="128">
        <v>371.45415700949457</v>
      </c>
      <c r="H47" s="128">
        <v>371.45415700949457</v>
      </c>
      <c r="I47" s="128">
        <v>60.957989223167552</v>
      </c>
      <c r="J47" s="128">
        <v>371.45415700949457</v>
      </c>
      <c r="K47" s="128">
        <v>371.45415700949457</v>
      </c>
      <c r="L47" s="128">
        <v>371.45415700949457</v>
      </c>
      <c r="M47" s="128">
        <v>371.45415700949457</v>
      </c>
      <c r="N47" s="128">
        <v>371.45415700949457</v>
      </c>
      <c r="O47" s="128">
        <v>371.45415700949457</v>
      </c>
      <c r="P47" s="128">
        <v>371.45415700949457</v>
      </c>
      <c r="Q47" s="128">
        <v>371.45415700949457</v>
      </c>
      <c r="R47" s="128">
        <v>371.45415700949457</v>
      </c>
      <c r="S47" s="128">
        <v>371.45415700949457</v>
      </c>
      <c r="T47" s="128">
        <v>371.45415700949457</v>
      </c>
      <c r="U47" s="128">
        <v>371.45415700949457</v>
      </c>
      <c r="V47" s="128">
        <v>371.45415700949457</v>
      </c>
      <c r="W47" s="128">
        <v>371.45415700949457</v>
      </c>
      <c r="X47" s="128">
        <v>371.45415700949457</v>
      </c>
      <c r="Y47" s="128">
        <v>371.45415700949457</v>
      </c>
      <c r="Z47" s="128">
        <v>371.45415700949457</v>
      </c>
      <c r="AA47" s="128">
        <v>371.45415700949457</v>
      </c>
      <c r="AB47" s="128">
        <v>371.45415700949457</v>
      </c>
      <c r="AC47" s="128">
        <v>371.45415700949457</v>
      </c>
      <c r="AD47" s="128">
        <v>371.45415700949457</v>
      </c>
      <c r="AE47" s="128">
        <v>371.45415700949457</v>
      </c>
      <c r="AF47" s="128">
        <v>371.45415700949457</v>
      </c>
      <c r="AG47" s="128">
        <v>371.45415700949457</v>
      </c>
      <c r="AH47" s="128"/>
      <c r="AI47" s="128">
        <v>712</v>
      </c>
      <c r="AJ47" s="128">
        <v>120</v>
      </c>
      <c r="AK47" s="128">
        <v>258.26036955807899</v>
      </c>
      <c r="AL47" s="128">
        <v>258.74929763314879</v>
      </c>
      <c r="AM47" s="128">
        <v>371.45415700949457</v>
      </c>
      <c r="AN47" s="128">
        <v>371.45415700949457</v>
      </c>
      <c r="AO47" s="128">
        <v>371.45415700949457</v>
      </c>
      <c r="AP47" s="128">
        <v>371.45415700949457</v>
      </c>
      <c r="AQ47" s="128">
        <v>371.45415700949457</v>
      </c>
      <c r="AR47" s="128">
        <v>371.45415700949457</v>
      </c>
      <c r="AS47" s="128"/>
      <c r="AT47" s="128">
        <v>633.54791377533434</v>
      </c>
      <c r="AU47" s="128">
        <v>65.755480637875024</v>
      </c>
      <c r="AV47" s="128"/>
      <c r="AW47" s="128">
        <v>635.39096261654186</v>
      </c>
      <c r="AX47" s="128">
        <v>180</v>
      </c>
      <c r="AY47" s="128">
        <v>371.45415700949457</v>
      </c>
    </row>
    <row r="48" spans="1:52" x14ac:dyDescent="0.2">
      <c r="A48" s="128"/>
      <c r="B48" s="182" t="s">
        <v>345</v>
      </c>
      <c r="C48" s="128"/>
      <c r="D48" s="128">
        <v>0</v>
      </c>
      <c r="E48" s="128"/>
      <c r="F48" s="128">
        <v>0</v>
      </c>
      <c r="G48" s="128">
        <v>0</v>
      </c>
      <c r="H48" s="128">
        <v>0</v>
      </c>
      <c r="I48" s="128">
        <v>0</v>
      </c>
      <c r="J48" s="128">
        <v>0</v>
      </c>
      <c r="K48" s="128">
        <v>0</v>
      </c>
      <c r="L48" s="128">
        <v>0</v>
      </c>
      <c r="M48" s="128">
        <v>0</v>
      </c>
      <c r="N48" s="128">
        <v>0</v>
      </c>
      <c r="O48" s="128">
        <v>0</v>
      </c>
      <c r="P48" s="128">
        <v>0</v>
      </c>
      <c r="Q48" s="128">
        <v>0</v>
      </c>
      <c r="R48" s="128">
        <v>0</v>
      </c>
      <c r="S48" s="128">
        <v>0</v>
      </c>
      <c r="T48" s="128">
        <v>0</v>
      </c>
      <c r="U48" s="128">
        <v>0</v>
      </c>
      <c r="V48" s="128">
        <v>0</v>
      </c>
      <c r="W48" s="128">
        <v>0</v>
      </c>
      <c r="X48" s="128">
        <v>0</v>
      </c>
      <c r="Y48" s="128">
        <v>0</v>
      </c>
      <c r="Z48" s="128">
        <v>0</v>
      </c>
      <c r="AA48" s="128">
        <v>0</v>
      </c>
      <c r="AB48" s="128">
        <v>0</v>
      </c>
      <c r="AC48" s="128">
        <v>0</v>
      </c>
      <c r="AD48" s="128">
        <v>0</v>
      </c>
      <c r="AE48" s="128">
        <v>0</v>
      </c>
      <c r="AF48" s="128">
        <v>0</v>
      </c>
      <c r="AG48" s="128">
        <v>0</v>
      </c>
      <c r="AH48" s="128"/>
      <c r="AI48" s="128">
        <v>0</v>
      </c>
      <c r="AJ48" s="128">
        <v>0</v>
      </c>
      <c r="AK48" s="128">
        <v>0</v>
      </c>
      <c r="AL48" s="128">
        <v>0</v>
      </c>
      <c r="AM48" s="128">
        <v>0</v>
      </c>
      <c r="AN48" s="128">
        <v>0</v>
      </c>
      <c r="AO48" s="128">
        <v>0</v>
      </c>
      <c r="AP48" s="128">
        <v>0</v>
      </c>
      <c r="AQ48" s="128">
        <v>0</v>
      </c>
      <c r="AR48" s="128">
        <v>0</v>
      </c>
      <c r="AS48" s="128"/>
      <c r="AT48" s="128">
        <v>0</v>
      </c>
      <c r="AU48" s="128">
        <v>0</v>
      </c>
      <c r="AV48" s="128"/>
      <c r="AW48" s="128">
        <v>0</v>
      </c>
      <c r="AX48" s="128">
        <v>0</v>
      </c>
      <c r="AY48" s="128">
        <v>0</v>
      </c>
    </row>
    <row r="49" spans="1:52" x14ac:dyDescent="0.2">
      <c r="A49" s="128"/>
      <c r="B49" s="182" t="s">
        <v>346</v>
      </c>
      <c r="C49" s="128"/>
      <c r="D49" s="128">
        <v>28</v>
      </c>
      <c r="E49" s="128"/>
      <c r="F49" s="128">
        <v>9</v>
      </c>
      <c r="G49" s="128">
        <v>13</v>
      </c>
      <c r="H49" s="128">
        <v>13</v>
      </c>
      <c r="I49" s="128">
        <v>3</v>
      </c>
      <c r="J49" s="128">
        <v>13</v>
      </c>
      <c r="K49" s="128">
        <v>13</v>
      </c>
      <c r="L49" s="128">
        <v>13</v>
      </c>
      <c r="M49" s="128">
        <v>13</v>
      </c>
      <c r="N49" s="128">
        <v>13</v>
      </c>
      <c r="O49" s="128">
        <v>13</v>
      </c>
      <c r="P49" s="128">
        <v>13</v>
      </c>
      <c r="Q49" s="128">
        <v>13</v>
      </c>
      <c r="R49" s="128">
        <v>13</v>
      </c>
      <c r="S49" s="128">
        <v>13</v>
      </c>
      <c r="T49" s="128">
        <v>13</v>
      </c>
      <c r="U49" s="128">
        <v>13</v>
      </c>
      <c r="V49" s="128">
        <v>13</v>
      </c>
      <c r="W49" s="128">
        <v>13</v>
      </c>
      <c r="X49" s="128">
        <v>13</v>
      </c>
      <c r="Y49" s="128">
        <v>13</v>
      </c>
      <c r="Z49" s="128">
        <v>13</v>
      </c>
      <c r="AA49" s="128">
        <v>13</v>
      </c>
      <c r="AB49" s="128">
        <v>13</v>
      </c>
      <c r="AC49" s="128">
        <v>13</v>
      </c>
      <c r="AD49" s="128">
        <v>13</v>
      </c>
      <c r="AE49" s="128">
        <v>13</v>
      </c>
      <c r="AF49" s="128">
        <v>13</v>
      </c>
      <c r="AG49" s="128">
        <v>13</v>
      </c>
      <c r="AH49" s="128"/>
      <c r="AI49" s="128">
        <v>24</v>
      </c>
      <c r="AJ49" s="128">
        <v>4</v>
      </c>
      <c r="AK49" s="128">
        <v>9</v>
      </c>
      <c r="AL49" s="128">
        <v>9</v>
      </c>
      <c r="AM49" s="128">
        <v>13</v>
      </c>
      <c r="AN49" s="128">
        <v>13</v>
      </c>
      <c r="AO49" s="128">
        <v>13</v>
      </c>
      <c r="AP49" s="128">
        <v>13</v>
      </c>
      <c r="AQ49" s="128">
        <v>13</v>
      </c>
      <c r="AR49" s="128">
        <v>13</v>
      </c>
      <c r="AS49" s="128"/>
      <c r="AT49" s="128">
        <v>22</v>
      </c>
      <c r="AU49" s="128">
        <v>3</v>
      </c>
      <c r="AV49" s="128"/>
      <c r="AW49" s="128">
        <v>22</v>
      </c>
      <c r="AX49" s="128">
        <v>6</v>
      </c>
      <c r="AY49" s="128">
        <v>13</v>
      </c>
    </row>
    <row r="50" spans="1:52" x14ac:dyDescent="0.2">
      <c r="A50" s="128"/>
      <c r="B50" s="182" t="s">
        <v>347</v>
      </c>
      <c r="C50" s="128"/>
      <c r="D50" s="128">
        <f>D44-D47</f>
        <v>73</v>
      </c>
      <c r="E50" s="128">
        <f t="shared" ref="E50:AY50" si="15">E44-E47</f>
        <v>241.71302358654705</v>
      </c>
      <c r="F50" s="128">
        <f t="shared" si="15"/>
        <v>0</v>
      </c>
      <c r="G50" s="128">
        <f t="shared" si="15"/>
        <v>0</v>
      </c>
      <c r="H50" s="128">
        <f t="shared" si="15"/>
        <v>0</v>
      </c>
      <c r="I50" s="128">
        <f t="shared" si="15"/>
        <v>0</v>
      </c>
      <c r="J50" s="128">
        <f t="shared" si="15"/>
        <v>0</v>
      </c>
      <c r="K50" s="128">
        <f t="shared" si="15"/>
        <v>0</v>
      </c>
      <c r="L50" s="128">
        <f t="shared" si="15"/>
        <v>0</v>
      </c>
      <c r="M50" s="128">
        <f t="shared" si="15"/>
        <v>0</v>
      </c>
      <c r="N50" s="128">
        <f t="shared" si="15"/>
        <v>0</v>
      </c>
      <c r="O50" s="128">
        <f t="shared" si="15"/>
        <v>0</v>
      </c>
      <c r="P50" s="128">
        <f t="shared" si="15"/>
        <v>0</v>
      </c>
      <c r="Q50" s="128">
        <f t="shared" si="15"/>
        <v>0</v>
      </c>
      <c r="R50" s="128">
        <f t="shared" si="15"/>
        <v>0</v>
      </c>
      <c r="S50" s="128">
        <f t="shared" si="15"/>
        <v>0</v>
      </c>
      <c r="T50" s="128">
        <f t="shared" si="15"/>
        <v>0</v>
      </c>
      <c r="U50" s="128">
        <f t="shared" si="15"/>
        <v>0</v>
      </c>
      <c r="V50" s="128">
        <f t="shared" si="15"/>
        <v>0</v>
      </c>
      <c r="W50" s="128">
        <f t="shared" si="15"/>
        <v>0</v>
      </c>
      <c r="X50" s="128">
        <f t="shared" si="15"/>
        <v>0</v>
      </c>
      <c r="Y50" s="128">
        <f t="shared" si="15"/>
        <v>0</v>
      </c>
      <c r="Z50" s="128">
        <f t="shared" si="15"/>
        <v>0</v>
      </c>
      <c r="AA50" s="128">
        <f t="shared" si="15"/>
        <v>0</v>
      </c>
      <c r="AB50" s="128">
        <f t="shared" si="15"/>
        <v>0</v>
      </c>
      <c r="AC50" s="128">
        <f t="shared" si="15"/>
        <v>0</v>
      </c>
      <c r="AD50" s="128">
        <f t="shared" si="15"/>
        <v>0</v>
      </c>
      <c r="AE50" s="128">
        <f t="shared" si="15"/>
        <v>0</v>
      </c>
      <c r="AF50" s="128">
        <f t="shared" si="15"/>
        <v>0</v>
      </c>
      <c r="AG50" s="128">
        <f t="shared" si="15"/>
        <v>0</v>
      </c>
      <c r="AH50" s="128">
        <f t="shared" si="15"/>
        <v>0</v>
      </c>
      <c r="AI50" s="128">
        <f t="shared" si="15"/>
        <v>0</v>
      </c>
      <c r="AJ50" s="128">
        <f t="shared" si="15"/>
        <v>251.45415700949457</v>
      </c>
      <c r="AK50" s="128">
        <f t="shared" si="15"/>
        <v>0</v>
      </c>
      <c r="AL50" s="128">
        <f t="shared" si="15"/>
        <v>0</v>
      </c>
      <c r="AM50" s="128">
        <f t="shared" si="15"/>
        <v>0</v>
      </c>
      <c r="AN50" s="128">
        <f t="shared" si="15"/>
        <v>0</v>
      </c>
      <c r="AO50" s="128">
        <f t="shared" si="15"/>
        <v>0</v>
      </c>
      <c r="AP50" s="128">
        <f t="shared" si="15"/>
        <v>0</v>
      </c>
      <c r="AQ50" s="128">
        <f t="shared" si="15"/>
        <v>0</v>
      </c>
      <c r="AR50" s="128">
        <f t="shared" si="15"/>
        <v>0</v>
      </c>
      <c r="AS50" s="128">
        <f t="shared" si="15"/>
        <v>0</v>
      </c>
      <c r="AT50" s="128">
        <f t="shared" si="15"/>
        <v>0</v>
      </c>
      <c r="AU50" s="128">
        <f t="shared" si="15"/>
        <v>0</v>
      </c>
      <c r="AV50" s="128">
        <f t="shared" si="15"/>
        <v>0</v>
      </c>
      <c r="AW50" s="128">
        <f t="shared" si="15"/>
        <v>0</v>
      </c>
      <c r="AX50" s="128">
        <f t="shared" si="15"/>
        <v>84.389081316503507</v>
      </c>
      <c r="AY50" s="128">
        <f t="shared" si="15"/>
        <v>0</v>
      </c>
    </row>
    <row r="51" spans="1:52" x14ac:dyDescent="0.2">
      <c r="A51" s="128"/>
      <c r="B51" s="182" t="s">
        <v>348</v>
      </c>
      <c r="C51" s="128"/>
      <c r="D51" s="128">
        <f>D45-D48</f>
        <v>0</v>
      </c>
      <c r="E51" s="128">
        <f t="shared" ref="E51:AY51" si="16">E45-E48</f>
        <v>0</v>
      </c>
      <c r="F51" s="128">
        <f t="shared" si="16"/>
        <v>0</v>
      </c>
      <c r="G51" s="128">
        <f t="shared" si="16"/>
        <v>0</v>
      </c>
      <c r="H51" s="128">
        <f t="shared" si="16"/>
        <v>0</v>
      </c>
      <c r="I51" s="128">
        <f t="shared" si="16"/>
        <v>0</v>
      </c>
      <c r="J51" s="128">
        <f t="shared" si="16"/>
        <v>0</v>
      </c>
      <c r="K51" s="128">
        <f t="shared" si="16"/>
        <v>0</v>
      </c>
      <c r="L51" s="128">
        <f t="shared" si="16"/>
        <v>0</v>
      </c>
      <c r="M51" s="128">
        <f t="shared" si="16"/>
        <v>0</v>
      </c>
      <c r="N51" s="128">
        <f t="shared" si="16"/>
        <v>0</v>
      </c>
      <c r="O51" s="128">
        <f t="shared" si="16"/>
        <v>0</v>
      </c>
      <c r="P51" s="128">
        <f t="shared" si="16"/>
        <v>0</v>
      </c>
      <c r="Q51" s="128">
        <f t="shared" si="16"/>
        <v>0</v>
      </c>
      <c r="R51" s="128">
        <f t="shared" si="16"/>
        <v>0</v>
      </c>
      <c r="S51" s="128">
        <f t="shared" si="16"/>
        <v>0</v>
      </c>
      <c r="T51" s="128">
        <f t="shared" si="16"/>
        <v>0</v>
      </c>
      <c r="U51" s="128">
        <f t="shared" si="16"/>
        <v>0</v>
      </c>
      <c r="V51" s="128">
        <f t="shared" si="16"/>
        <v>0</v>
      </c>
      <c r="W51" s="128">
        <f t="shared" si="16"/>
        <v>0</v>
      </c>
      <c r="X51" s="128">
        <f t="shared" si="16"/>
        <v>0</v>
      </c>
      <c r="Y51" s="128">
        <f t="shared" si="16"/>
        <v>0</v>
      </c>
      <c r="Z51" s="128">
        <f t="shared" si="16"/>
        <v>0</v>
      </c>
      <c r="AA51" s="128">
        <f t="shared" si="16"/>
        <v>0</v>
      </c>
      <c r="AB51" s="128">
        <f t="shared" si="16"/>
        <v>0</v>
      </c>
      <c r="AC51" s="128">
        <f t="shared" si="16"/>
        <v>0</v>
      </c>
      <c r="AD51" s="128">
        <f t="shared" si="16"/>
        <v>0</v>
      </c>
      <c r="AE51" s="128">
        <f t="shared" si="16"/>
        <v>0</v>
      </c>
      <c r="AF51" s="128">
        <f t="shared" si="16"/>
        <v>0</v>
      </c>
      <c r="AG51" s="128">
        <f t="shared" si="16"/>
        <v>0</v>
      </c>
      <c r="AH51" s="128">
        <f t="shared" si="16"/>
        <v>0</v>
      </c>
      <c r="AI51" s="128">
        <f t="shared" si="16"/>
        <v>0</v>
      </c>
      <c r="AJ51" s="128">
        <f t="shared" si="16"/>
        <v>0</v>
      </c>
      <c r="AK51" s="128">
        <f t="shared" si="16"/>
        <v>0</v>
      </c>
      <c r="AL51" s="128">
        <f t="shared" si="16"/>
        <v>0</v>
      </c>
      <c r="AM51" s="128">
        <f t="shared" si="16"/>
        <v>0</v>
      </c>
      <c r="AN51" s="128">
        <f t="shared" si="16"/>
        <v>0</v>
      </c>
      <c r="AO51" s="128">
        <f t="shared" si="16"/>
        <v>0</v>
      </c>
      <c r="AP51" s="128">
        <f t="shared" si="16"/>
        <v>0</v>
      </c>
      <c r="AQ51" s="128">
        <f t="shared" si="16"/>
        <v>0</v>
      </c>
      <c r="AR51" s="128">
        <f t="shared" si="16"/>
        <v>0</v>
      </c>
      <c r="AS51" s="128">
        <f t="shared" si="16"/>
        <v>0</v>
      </c>
      <c r="AT51" s="128">
        <f t="shared" si="16"/>
        <v>0</v>
      </c>
      <c r="AU51" s="128">
        <f t="shared" si="16"/>
        <v>0</v>
      </c>
      <c r="AV51" s="128">
        <f t="shared" si="16"/>
        <v>0</v>
      </c>
      <c r="AW51" s="128">
        <f t="shared" si="16"/>
        <v>0</v>
      </c>
      <c r="AX51" s="128">
        <f t="shared" si="16"/>
        <v>0</v>
      </c>
      <c r="AY51" s="128">
        <f t="shared" si="16"/>
        <v>0</v>
      </c>
    </row>
    <row r="52" spans="1:52" x14ac:dyDescent="0.2">
      <c r="A52" s="128"/>
      <c r="B52" s="182" t="s">
        <v>349</v>
      </c>
      <c r="C52" s="128"/>
      <c r="D52" s="128">
        <v>2</v>
      </c>
      <c r="E52" s="128">
        <v>2</v>
      </c>
      <c r="F52" s="128">
        <v>2</v>
      </c>
      <c r="G52" s="128">
        <v>2</v>
      </c>
      <c r="H52" s="128">
        <v>2</v>
      </c>
      <c r="I52" s="128">
        <v>3</v>
      </c>
      <c r="J52" s="128">
        <v>2</v>
      </c>
      <c r="K52" s="128">
        <v>2</v>
      </c>
      <c r="L52" s="128">
        <v>3</v>
      </c>
      <c r="M52" s="128">
        <v>2</v>
      </c>
      <c r="N52" s="128">
        <v>3</v>
      </c>
      <c r="O52" s="128">
        <v>3</v>
      </c>
      <c r="P52" s="128">
        <v>4</v>
      </c>
      <c r="Q52" s="128">
        <v>3</v>
      </c>
      <c r="R52" s="128">
        <v>2</v>
      </c>
      <c r="S52" s="128">
        <v>2</v>
      </c>
      <c r="T52" s="128">
        <v>2</v>
      </c>
      <c r="U52" s="128">
        <v>3</v>
      </c>
      <c r="V52" s="128">
        <v>2</v>
      </c>
      <c r="W52" s="128">
        <v>3</v>
      </c>
      <c r="X52" s="128">
        <v>3</v>
      </c>
      <c r="Y52" s="128">
        <v>4</v>
      </c>
      <c r="Z52" s="128">
        <v>2</v>
      </c>
      <c r="AA52" s="128">
        <v>2</v>
      </c>
      <c r="AB52" s="128">
        <v>3</v>
      </c>
      <c r="AC52" s="128">
        <v>2</v>
      </c>
      <c r="AD52" s="128">
        <v>2</v>
      </c>
      <c r="AE52" s="128">
        <v>2</v>
      </c>
      <c r="AF52" s="128">
        <v>4</v>
      </c>
      <c r="AG52" s="128">
        <v>3</v>
      </c>
      <c r="AH52" s="128">
        <v>3</v>
      </c>
      <c r="AI52" s="128">
        <v>3</v>
      </c>
      <c r="AJ52" s="128">
        <v>2</v>
      </c>
      <c r="AK52" s="128">
        <v>3</v>
      </c>
      <c r="AL52" s="128">
        <v>2</v>
      </c>
      <c r="AM52" s="128">
        <v>2</v>
      </c>
      <c r="AN52" s="128">
        <v>2</v>
      </c>
      <c r="AO52" s="128">
        <v>2</v>
      </c>
      <c r="AP52" s="128">
        <v>3</v>
      </c>
      <c r="AQ52" s="128">
        <v>4</v>
      </c>
      <c r="AR52" s="128">
        <v>2</v>
      </c>
      <c r="AS52" s="128">
        <v>3</v>
      </c>
      <c r="AT52" s="128">
        <v>2</v>
      </c>
      <c r="AU52" s="128">
        <v>2</v>
      </c>
      <c r="AV52" s="128">
        <v>3</v>
      </c>
      <c r="AW52" s="128">
        <v>2</v>
      </c>
      <c r="AX52" s="128">
        <v>2</v>
      </c>
      <c r="AY52" s="128">
        <v>2</v>
      </c>
    </row>
    <row r="53" spans="1:52" x14ac:dyDescent="0.2">
      <c r="A53" s="128"/>
      <c r="B53" s="193" t="s">
        <v>350</v>
      </c>
      <c r="C53" s="128"/>
      <c r="D53" s="128">
        <v>2357712</v>
      </c>
      <c r="E53" s="128">
        <v>0</v>
      </c>
      <c r="F53" s="128">
        <v>757836</v>
      </c>
      <c r="G53" s="128">
        <v>1094652</v>
      </c>
      <c r="H53" s="128">
        <v>1094652</v>
      </c>
      <c r="I53" s="128">
        <v>252612</v>
      </c>
      <c r="J53" s="128">
        <v>1094652</v>
      </c>
      <c r="K53" s="128">
        <v>1094652</v>
      </c>
      <c r="L53" s="128">
        <v>1094652</v>
      </c>
      <c r="M53" s="128">
        <v>1094652</v>
      </c>
      <c r="N53" s="128">
        <v>1094652</v>
      </c>
      <c r="O53" s="128">
        <v>1094652</v>
      </c>
      <c r="P53" s="128">
        <v>1094652</v>
      </c>
      <c r="Q53" s="128">
        <v>1094652</v>
      </c>
      <c r="R53" s="128">
        <v>1094652</v>
      </c>
      <c r="S53" s="128">
        <v>1094652</v>
      </c>
      <c r="T53" s="128">
        <v>1094652</v>
      </c>
      <c r="U53" s="128">
        <v>1094652</v>
      </c>
      <c r="V53" s="128">
        <v>1094652</v>
      </c>
      <c r="W53" s="128">
        <v>1094652</v>
      </c>
      <c r="X53" s="128">
        <v>1094652</v>
      </c>
      <c r="Y53" s="128">
        <v>1094652</v>
      </c>
      <c r="Z53" s="128">
        <v>1094652</v>
      </c>
      <c r="AA53" s="128">
        <v>1094652</v>
      </c>
      <c r="AB53" s="128">
        <v>1094652</v>
      </c>
      <c r="AC53" s="128">
        <v>1094652</v>
      </c>
      <c r="AD53" s="128">
        <v>1094652</v>
      </c>
      <c r="AE53" s="128">
        <v>1094652</v>
      </c>
      <c r="AF53" s="128">
        <v>1094652</v>
      </c>
      <c r="AG53" s="128">
        <v>1094652</v>
      </c>
      <c r="AH53" s="128">
        <v>0</v>
      </c>
      <c r="AI53" s="128">
        <v>2020896</v>
      </c>
      <c r="AJ53" s="128">
        <v>336816</v>
      </c>
      <c r="AK53" s="128">
        <v>757836</v>
      </c>
      <c r="AL53" s="128">
        <v>757836</v>
      </c>
      <c r="AM53" s="128">
        <v>1094652</v>
      </c>
      <c r="AN53" s="128">
        <v>1094652</v>
      </c>
      <c r="AO53" s="128">
        <v>1094652</v>
      </c>
      <c r="AP53" s="128">
        <v>1094652</v>
      </c>
      <c r="AQ53" s="128">
        <v>1094652</v>
      </c>
      <c r="AR53" s="128">
        <v>1094652</v>
      </c>
      <c r="AS53" s="128">
        <v>0</v>
      </c>
      <c r="AT53" s="128">
        <v>1852488</v>
      </c>
      <c r="AU53" s="128">
        <v>252612</v>
      </c>
      <c r="AV53" s="128">
        <v>0</v>
      </c>
      <c r="AW53" s="128">
        <v>1852488</v>
      </c>
      <c r="AX53" s="128">
        <v>505224</v>
      </c>
      <c r="AY53" s="128">
        <v>1094652</v>
      </c>
      <c r="AZ53">
        <f>SUM($D$53:$AY$53)</f>
        <v>47827872</v>
      </c>
    </row>
    <row r="54" spans="1:52" x14ac:dyDescent="0.2">
      <c r="A54" s="142"/>
      <c r="B54" s="157" t="s">
        <v>351</v>
      </c>
      <c r="C54" s="142"/>
      <c r="D54" s="142">
        <v>110985.55</v>
      </c>
      <c r="E54" s="142">
        <v>367488.39540980681</v>
      </c>
      <c r="F54" s="142">
        <v>0</v>
      </c>
      <c r="G54" s="142">
        <v>0</v>
      </c>
      <c r="H54" s="142">
        <v>0</v>
      </c>
      <c r="I54" s="142">
        <v>0</v>
      </c>
      <c r="J54" s="142">
        <v>0</v>
      </c>
      <c r="K54" s="142">
        <v>0</v>
      </c>
      <c r="L54" s="142">
        <v>0</v>
      </c>
      <c r="M54" s="142">
        <v>0</v>
      </c>
      <c r="N54" s="142">
        <v>0</v>
      </c>
      <c r="O54" s="142">
        <v>0</v>
      </c>
      <c r="P54" s="142">
        <v>0</v>
      </c>
      <c r="Q54" s="142">
        <v>0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142">
        <v>0</v>
      </c>
      <c r="X54" s="142">
        <v>0</v>
      </c>
      <c r="Y54" s="142">
        <v>0</v>
      </c>
      <c r="Z54" s="142">
        <v>0</v>
      </c>
      <c r="AA54" s="142">
        <v>0</v>
      </c>
      <c r="AB54" s="142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142">
        <v>0</v>
      </c>
      <c r="AI54" s="142">
        <v>0</v>
      </c>
      <c r="AJ54" s="142">
        <v>382298.32760938501</v>
      </c>
      <c r="AK54" s="142">
        <v>0</v>
      </c>
      <c r="AL54" s="142">
        <v>0</v>
      </c>
      <c r="AM54" s="142">
        <v>0</v>
      </c>
      <c r="AN54" s="142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142">
        <v>0</v>
      </c>
      <c r="AU54" s="142">
        <v>0</v>
      </c>
      <c r="AV54" s="142">
        <v>0</v>
      </c>
      <c r="AW54" s="142">
        <v>0</v>
      </c>
      <c r="AX54" s="142">
        <v>128300.93977954611</v>
      </c>
      <c r="AY54" s="142">
        <v>0</v>
      </c>
      <c r="AZ54">
        <f>SUM($D$54:$AY$54)</f>
        <v>989073.21279873792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5" t="s">
        <v>12</v>
      </c>
      <c r="E2" s="128"/>
    </row>
    <row r="3" spans="1:52" x14ac:dyDescent="0.2">
      <c r="A3" t="s">
        <v>286</v>
      </c>
      <c r="B3" s="125">
        <v>4178</v>
      </c>
      <c r="E3" s="128"/>
    </row>
    <row r="4" spans="1:52" x14ac:dyDescent="0.2">
      <c r="A4" s="1"/>
      <c r="C4" s="9" t="s">
        <v>287</v>
      </c>
    </row>
    <row r="5" spans="1:52" x14ac:dyDescent="0.2">
      <c r="B5" s="124"/>
      <c r="C5" s="129">
        <v>0</v>
      </c>
      <c r="D5" s="129">
        <v>1</v>
      </c>
      <c r="E5" s="129">
        <v>2</v>
      </c>
      <c r="F5" s="129">
        <v>3</v>
      </c>
      <c r="G5" s="129">
        <v>4</v>
      </c>
      <c r="H5" s="129">
        <v>5</v>
      </c>
      <c r="I5" s="129">
        <v>6</v>
      </c>
      <c r="J5" s="129">
        <v>7</v>
      </c>
      <c r="K5" s="129">
        <v>8</v>
      </c>
      <c r="L5" s="129">
        <v>9</v>
      </c>
      <c r="M5" s="129">
        <v>10</v>
      </c>
      <c r="N5" s="129">
        <v>11</v>
      </c>
      <c r="O5" s="129">
        <v>12</v>
      </c>
      <c r="P5" s="129">
        <v>13</v>
      </c>
      <c r="Q5" s="129">
        <v>14</v>
      </c>
      <c r="R5" s="129">
        <v>15</v>
      </c>
      <c r="S5" s="129">
        <v>16</v>
      </c>
      <c r="T5" s="129">
        <v>17</v>
      </c>
      <c r="U5" s="129">
        <v>18</v>
      </c>
      <c r="V5" s="129">
        <v>19</v>
      </c>
      <c r="W5" s="129">
        <v>20</v>
      </c>
      <c r="X5" s="129">
        <v>21</v>
      </c>
      <c r="Y5" s="129">
        <v>22</v>
      </c>
      <c r="Z5" s="129">
        <v>23</v>
      </c>
      <c r="AA5" s="129">
        <v>24</v>
      </c>
      <c r="AB5" s="129">
        <v>25</v>
      </c>
      <c r="AC5" s="129">
        <v>26</v>
      </c>
      <c r="AD5" s="129">
        <v>27</v>
      </c>
      <c r="AE5" s="129">
        <v>28</v>
      </c>
      <c r="AF5" s="129">
        <v>29</v>
      </c>
      <c r="AG5" s="129">
        <v>30</v>
      </c>
      <c r="AH5" s="129">
        <v>31</v>
      </c>
      <c r="AI5" s="129">
        <v>32</v>
      </c>
      <c r="AJ5" s="129">
        <v>33</v>
      </c>
      <c r="AK5" s="129">
        <v>34</v>
      </c>
      <c r="AL5" s="129">
        <v>35</v>
      </c>
      <c r="AM5" s="129">
        <v>36</v>
      </c>
      <c r="AN5" s="129">
        <v>37</v>
      </c>
      <c r="AO5" s="129">
        <v>38</v>
      </c>
      <c r="AP5" s="129">
        <v>39</v>
      </c>
      <c r="AQ5" s="129">
        <v>40</v>
      </c>
      <c r="AR5" s="129">
        <v>41</v>
      </c>
      <c r="AS5" s="129">
        <v>42</v>
      </c>
      <c r="AT5" s="129">
        <v>43</v>
      </c>
      <c r="AU5" s="129">
        <v>44</v>
      </c>
      <c r="AV5" s="129">
        <v>45</v>
      </c>
      <c r="AW5" s="129">
        <v>46</v>
      </c>
      <c r="AX5" s="129">
        <v>47</v>
      </c>
      <c r="AY5" s="129">
        <v>48</v>
      </c>
    </row>
    <row r="6" spans="1:52" x14ac:dyDescent="0.2">
      <c r="A6" s="1" t="s">
        <v>304</v>
      </c>
      <c r="B6" s="131"/>
      <c r="C6" s="130" t="s">
        <v>288</v>
      </c>
      <c r="D6" s="129" t="s">
        <v>289</v>
      </c>
      <c r="E6" s="129" t="s">
        <v>289</v>
      </c>
      <c r="F6" s="129" t="s">
        <v>289</v>
      </c>
      <c r="G6" s="129" t="s">
        <v>289</v>
      </c>
      <c r="H6" s="129" t="s">
        <v>289</v>
      </c>
      <c r="I6" s="129" t="s">
        <v>289</v>
      </c>
      <c r="J6" s="129" t="s">
        <v>289</v>
      </c>
      <c r="K6" s="129" t="s">
        <v>289</v>
      </c>
      <c r="L6" s="129" t="s">
        <v>289</v>
      </c>
      <c r="M6" s="129" t="s">
        <v>289</v>
      </c>
      <c r="N6" s="129" t="s">
        <v>289</v>
      </c>
      <c r="O6" s="129" t="s">
        <v>289</v>
      </c>
      <c r="P6" s="129" t="s">
        <v>289</v>
      </c>
      <c r="Q6" s="129" t="s">
        <v>289</v>
      </c>
      <c r="R6" s="129" t="s">
        <v>289</v>
      </c>
      <c r="S6" s="129" t="s">
        <v>289</v>
      </c>
      <c r="T6" s="129" t="s">
        <v>289</v>
      </c>
      <c r="U6" s="129" t="s">
        <v>289</v>
      </c>
      <c r="V6" s="129" t="s">
        <v>289</v>
      </c>
      <c r="W6" s="129" t="s">
        <v>289</v>
      </c>
      <c r="X6" s="129" t="s">
        <v>289</v>
      </c>
      <c r="Y6" s="129" t="s">
        <v>289</v>
      </c>
      <c r="Z6" s="129" t="s">
        <v>289</v>
      </c>
      <c r="AA6" s="129" t="s">
        <v>289</v>
      </c>
      <c r="AB6" s="129" t="s">
        <v>289</v>
      </c>
      <c r="AC6" s="129" t="s">
        <v>289</v>
      </c>
      <c r="AD6" s="129" t="s">
        <v>289</v>
      </c>
      <c r="AE6" s="129" t="s">
        <v>289</v>
      </c>
      <c r="AF6" s="129" t="s">
        <v>289</v>
      </c>
      <c r="AG6" s="129" t="s">
        <v>289</v>
      </c>
      <c r="AH6" s="129" t="s">
        <v>289</v>
      </c>
      <c r="AI6" s="129" t="s">
        <v>289</v>
      </c>
      <c r="AJ6" s="129" t="s">
        <v>289</v>
      </c>
      <c r="AK6" s="129" t="s">
        <v>289</v>
      </c>
      <c r="AL6" s="129" t="s">
        <v>289</v>
      </c>
      <c r="AM6" s="129" t="s">
        <v>289</v>
      </c>
      <c r="AN6" s="129" t="s">
        <v>289</v>
      </c>
      <c r="AO6" s="129" t="s">
        <v>289</v>
      </c>
      <c r="AP6" s="129" t="s">
        <v>289</v>
      </c>
      <c r="AQ6" s="129" t="s">
        <v>289</v>
      </c>
      <c r="AR6" s="129" t="s">
        <v>289</v>
      </c>
      <c r="AS6" s="129" t="s">
        <v>289</v>
      </c>
      <c r="AT6" s="129" t="s">
        <v>289</v>
      </c>
      <c r="AU6" s="129" t="s">
        <v>289</v>
      </c>
      <c r="AV6" s="129" t="s">
        <v>289</v>
      </c>
      <c r="AW6" s="129" t="s">
        <v>289</v>
      </c>
      <c r="AX6" s="129" t="s">
        <v>289</v>
      </c>
      <c r="AY6" s="9" t="s">
        <v>290</v>
      </c>
      <c r="AZ6" s="159" t="s">
        <v>150</v>
      </c>
    </row>
    <row r="7" spans="1:52" x14ac:dyDescent="0.2">
      <c r="A7" s="132" t="s">
        <v>125</v>
      </c>
      <c r="B7" s="160">
        <v>1</v>
      </c>
      <c r="C7" s="161" t="s">
        <v>293</v>
      </c>
      <c r="D7" s="161">
        <v>492.59555470197967</v>
      </c>
      <c r="E7" s="161">
        <v>492.59555470197967</v>
      </c>
      <c r="F7" s="161">
        <v>492.59555470197967</v>
      </c>
      <c r="G7" s="161">
        <v>492.59555470197967</v>
      </c>
      <c r="H7" s="161">
        <v>492.59555470197967</v>
      </c>
      <c r="I7" s="161">
        <v>492.59555470197967</v>
      </c>
      <c r="J7" s="161">
        <v>492.59555470197967</v>
      </c>
      <c r="K7" s="161">
        <v>492.59555470197967</v>
      </c>
      <c r="L7" s="161">
        <v>492.59555470197967</v>
      </c>
      <c r="M7" s="161">
        <v>492.59555470197967</v>
      </c>
      <c r="N7" s="161">
        <v>492.59555470197967</v>
      </c>
      <c r="O7" s="161">
        <v>492.59555470197967</v>
      </c>
      <c r="P7" s="161">
        <v>492.59555470197967</v>
      </c>
      <c r="Q7" s="161">
        <v>492.59555470197967</v>
      </c>
      <c r="R7" s="161">
        <v>492.59555470197967</v>
      </c>
      <c r="S7" s="161">
        <v>492.59555470197967</v>
      </c>
      <c r="T7" s="161">
        <v>492.59555470197967</v>
      </c>
      <c r="U7" s="161">
        <v>492.59555470197967</v>
      </c>
      <c r="V7" s="161">
        <v>492.59555470197967</v>
      </c>
      <c r="W7" s="161">
        <v>492.59555470197967</v>
      </c>
      <c r="X7" s="161">
        <v>492.59555470197967</v>
      </c>
      <c r="Y7" s="161">
        <v>492.59555470197967</v>
      </c>
      <c r="Z7" s="161">
        <v>492.59555470197967</v>
      </c>
      <c r="AA7" s="161">
        <v>492.59555470197967</v>
      </c>
      <c r="AB7" s="161">
        <v>492.59555470197967</v>
      </c>
      <c r="AC7" s="161">
        <v>492.59555470197967</v>
      </c>
      <c r="AD7" s="161">
        <v>492.59555470197967</v>
      </c>
      <c r="AE7" s="161">
        <v>492.59555470197967</v>
      </c>
      <c r="AF7" s="161">
        <v>492.59555470197967</v>
      </c>
      <c r="AG7" s="161">
        <v>492.59555470197967</v>
      </c>
      <c r="AH7" s="161">
        <v>492.59555470197967</v>
      </c>
      <c r="AI7" s="161">
        <v>492.59555470197967</v>
      </c>
      <c r="AJ7" s="161">
        <v>492.59555470197967</v>
      </c>
      <c r="AK7" s="161">
        <v>492.59555470197967</v>
      </c>
      <c r="AL7" s="161">
        <v>492.59555470197967</v>
      </c>
      <c r="AM7" s="161">
        <v>492.59555470197967</v>
      </c>
      <c r="AN7" s="161">
        <v>492.59555470197967</v>
      </c>
      <c r="AO7" s="161">
        <v>492.59555470197967</v>
      </c>
      <c r="AP7" s="161">
        <v>492.59555470197967</v>
      </c>
      <c r="AQ7" s="161">
        <v>492.59555470197967</v>
      </c>
      <c r="AR7" s="161">
        <v>492.59555470197967</v>
      </c>
      <c r="AS7" s="161">
        <v>492.59555470197967</v>
      </c>
      <c r="AT7" s="161">
        <v>492.59555470197967</v>
      </c>
      <c r="AU7" s="161">
        <v>492.59555470197967</v>
      </c>
      <c r="AV7" s="161">
        <v>492.59555470197967</v>
      </c>
      <c r="AW7" s="161">
        <v>492.59555470197967</v>
      </c>
      <c r="AX7" s="161">
        <v>492.59555470197967</v>
      </c>
      <c r="AY7" s="161">
        <v>492.59555470197967</v>
      </c>
      <c r="AZ7" s="124"/>
    </row>
    <row r="8" spans="1:52" x14ac:dyDescent="0.2">
      <c r="A8" s="162"/>
      <c r="B8" s="163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4"/>
    </row>
    <row r="9" spans="1:52" x14ac:dyDescent="0.2">
      <c r="A9" s="1" t="s">
        <v>294</v>
      </c>
      <c r="B9" s="165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</row>
    <row r="10" spans="1:52" x14ac:dyDescent="0.2">
      <c r="A10" s="166" t="s">
        <v>125</v>
      </c>
      <c r="B10" s="167">
        <v>1</v>
      </c>
      <c r="C10" s="161" t="s">
        <v>293</v>
      </c>
      <c r="D10" s="161">
        <f t="shared" ref="D10:AY10" si="0">MAX(SUM(D$14:D$16)+D$7-$B$3,0)</f>
        <v>0</v>
      </c>
      <c r="E10" s="161">
        <f t="shared" si="0"/>
        <v>0</v>
      </c>
      <c r="F10" s="161">
        <f t="shared" si="0"/>
        <v>0</v>
      </c>
      <c r="G10" s="161">
        <f t="shared" si="0"/>
        <v>0</v>
      </c>
      <c r="H10" s="161">
        <f t="shared" si="0"/>
        <v>0</v>
      </c>
      <c r="I10" s="161">
        <f t="shared" si="0"/>
        <v>0</v>
      </c>
      <c r="J10" s="161">
        <f t="shared" si="0"/>
        <v>0</v>
      </c>
      <c r="K10" s="161">
        <f t="shared" si="0"/>
        <v>0</v>
      </c>
      <c r="L10" s="161">
        <f t="shared" si="0"/>
        <v>0</v>
      </c>
      <c r="M10" s="161">
        <f t="shared" si="0"/>
        <v>0</v>
      </c>
      <c r="N10" s="161">
        <f t="shared" si="0"/>
        <v>0</v>
      </c>
      <c r="O10" s="161">
        <f t="shared" si="0"/>
        <v>0</v>
      </c>
      <c r="P10" s="161">
        <f t="shared" si="0"/>
        <v>0</v>
      </c>
      <c r="Q10" s="161">
        <f t="shared" si="0"/>
        <v>0</v>
      </c>
      <c r="R10" s="161">
        <f t="shared" si="0"/>
        <v>0</v>
      </c>
      <c r="S10" s="161">
        <f t="shared" si="0"/>
        <v>0</v>
      </c>
      <c r="T10" s="161">
        <f t="shared" si="0"/>
        <v>0</v>
      </c>
      <c r="U10" s="161">
        <f t="shared" si="0"/>
        <v>0</v>
      </c>
      <c r="V10" s="161">
        <f t="shared" si="0"/>
        <v>0</v>
      </c>
      <c r="W10" s="161">
        <f t="shared" si="0"/>
        <v>0</v>
      </c>
      <c r="X10" s="161">
        <f t="shared" si="0"/>
        <v>0</v>
      </c>
      <c r="Y10" s="161">
        <f t="shared" si="0"/>
        <v>0</v>
      </c>
      <c r="Z10" s="161">
        <f t="shared" si="0"/>
        <v>0</v>
      </c>
      <c r="AA10" s="161">
        <f t="shared" si="0"/>
        <v>0</v>
      </c>
      <c r="AB10" s="161">
        <f t="shared" si="0"/>
        <v>0</v>
      </c>
      <c r="AC10" s="161">
        <f t="shared" si="0"/>
        <v>0</v>
      </c>
      <c r="AD10" s="161">
        <f t="shared" si="0"/>
        <v>0</v>
      </c>
      <c r="AE10" s="161">
        <f t="shared" si="0"/>
        <v>0</v>
      </c>
      <c r="AF10" s="161">
        <f t="shared" si="0"/>
        <v>0</v>
      </c>
      <c r="AG10" s="161">
        <f t="shared" si="0"/>
        <v>0</v>
      </c>
      <c r="AH10" s="161">
        <f t="shared" si="0"/>
        <v>0</v>
      </c>
      <c r="AI10" s="161">
        <f t="shared" si="0"/>
        <v>0</v>
      </c>
      <c r="AJ10" s="161">
        <f t="shared" si="0"/>
        <v>0</v>
      </c>
      <c r="AK10" s="161">
        <f t="shared" si="0"/>
        <v>0</v>
      </c>
      <c r="AL10" s="161">
        <f t="shared" si="0"/>
        <v>0</v>
      </c>
      <c r="AM10" s="161">
        <f t="shared" si="0"/>
        <v>0</v>
      </c>
      <c r="AN10" s="161">
        <f t="shared" si="0"/>
        <v>0</v>
      </c>
      <c r="AO10" s="161">
        <f t="shared" si="0"/>
        <v>0</v>
      </c>
      <c r="AP10" s="161">
        <f t="shared" si="0"/>
        <v>0</v>
      </c>
      <c r="AQ10" s="161">
        <f t="shared" si="0"/>
        <v>0</v>
      </c>
      <c r="AR10" s="161">
        <f t="shared" si="0"/>
        <v>0</v>
      </c>
      <c r="AS10" s="161">
        <f t="shared" si="0"/>
        <v>0</v>
      </c>
      <c r="AT10" s="161">
        <f t="shared" si="0"/>
        <v>0</v>
      </c>
      <c r="AU10" s="161">
        <f t="shared" si="0"/>
        <v>0</v>
      </c>
      <c r="AV10" s="161">
        <f t="shared" si="0"/>
        <v>0</v>
      </c>
      <c r="AW10" s="161">
        <f t="shared" si="0"/>
        <v>0</v>
      </c>
      <c r="AX10" s="161">
        <f t="shared" si="0"/>
        <v>0</v>
      </c>
      <c r="AY10" s="161">
        <f t="shared" si="0"/>
        <v>0</v>
      </c>
      <c r="AZ10" s="168">
        <f>SUM($D10:$AY10)</f>
        <v>0</v>
      </c>
    </row>
    <row r="11" spans="1:52" x14ac:dyDescent="0.2">
      <c r="C11" s="128"/>
    </row>
    <row r="12" spans="1:52" x14ac:dyDescent="0.2">
      <c r="A12" s="169" t="s">
        <v>295</v>
      </c>
      <c r="B12" s="163"/>
      <c r="C12" s="128"/>
    </row>
    <row r="13" spans="1:52" x14ac:dyDescent="0.2">
      <c r="A13" s="139" t="s">
        <v>125</v>
      </c>
      <c r="B13" s="140">
        <v>1</v>
      </c>
      <c r="C13" s="141">
        <v>464.71229130770831</v>
      </c>
      <c r="D13" s="155">
        <f t="shared" ref="D13:AY13" si="1">D$7-D$10</f>
        <v>492.59555470197967</v>
      </c>
      <c r="E13" s="155">
        <f t="shared" si="1"/>
        <v>492.59555470197967</v>
      </c>
      <c r="F13" s="155">
        <f t="shared" si="1"/>
        <v>492.59555470197967</v>
      </c>
      <c r="G13" s="155">
        <f t="shared" si="1"/>
        <v>492.59555470197967</v>
      </c>
      <c r="H13" s="155">
        <f t="shared" si="1"/>
        <v>492.59555470197967</v>
      </c>
      <c r="I13" s="155">
        <f t="shared" si="1"/>
        <v>492.59555470197967</v>
      </c>
      <c r="J13" s="155">
        <f t="shared" si="1"/>
        <v>492.59555470197967</v>
      </c>
      <c r="K13" s="155">
        <f t="shared" si="1"/>
        <v>492.59555470197967</v>
      </c>
      <c r="L13" s="155">
        <f t="shared" si="1"/>
        <v>492.59555470197967</v>
      </c>
      <c r="M13" s="155">
        <f t="shared" si="1"/>
        <v>492.59555470197967</v>
      </c>
      <c r="N13" s="155">
        <f t="shared" si="1"/>
        <v>492.59555470197967</v>
      </c>
      <c r="O13" s="155">
        <f t="shared" si="1"/>
        <v>492.59555470197967</v>
      </c>
      <c r="P13" s="155">
        <f t="shared" si="1"/>
        <v>492.59555470197967</v>
      </c>
      <c r="Q13" s="155">
        <f t="shared" si="1"/>
        <v>492.59555470197967</v>
      </c>
      <c r="R13" s="155">
        <f t="shared" si="1"/>
        <v>492.59555470197967</v>
      </c>
      <c r="S13" s="155">
        <f t="shared" si="1"/>
        <v>492.59555470197967</v>
      </c>
      <c r="T13" s="155">
        <f t="shared" si="1"/>
        <v>492.59555470197967</v>
      </c>
      <c r="U13" s="155">
        <f t="shared" si="1"/>
        <v>492.59555470197967</v>
      </c>
      <c r="V13" s="155">
        <f t="shared" si="1"/>
        <v>492.59555470197967</v>
      </c>
      <c r="W13" s="155">
        <f t="shared" si="1"/>
        <v>492.59555470197967</v>
      </c>
      <c r="X13" s="155">
        <f t="shared" si="1"/>
        <v>492.59555470197967</v>
      </c>
      <c r="Y13" s="155">
        <f t="shared" si="1"/>
        <v>492.59555470197967</v>
      </c>
      <c r="Z13" s="155">
        <f t="shared" si="1"/>
        <v>492.59555470197967</v>
      </c>
      <c r="AA13" s="155">
        <f t="shared" si="1"/>
        <v>492.59555470197967</v>
      </c>
      <c r="AB13" s="155">
        <f t="shared" si="1"/>
        <v>492.59555470197967</v>
      </c>
      <c r="AC13" s="155">
        <f t="shared" si="1"/>
        <v>492.59555470197967</v>
      </c>
      <c r="AD13" s="155">
        <f t="shared" si="1"/>
        <v>492.59555470197967</v>
      </c>
      <c r="AE13" s="155">
        <f t="shared" si="1"/>
        <v>492.59555470197967</v>
      </c>
      <c r="AF13" s="155">
        <f t="shared" si="1"/>
        <v>492.59555470197967</v>
      </c>
      <c r="AG13" s="155">
        <f t="shared" si="1"/>
        <v>492.59555470197967</v>
      </c>
      <c r="AH13" s="155">
        <f t="shared" si="1"/>
        <v>492.59555470197967</v>
      </c>
      <c r="AI13" s="155">
        <f t="shared" si="1"/>
        <v>492.59555470197967</v>
      </c>
      <c r="AJ13" s="155">
        <f t="shared" si="1"/>
        <v>492.59555470197967</v>
      </c>
      <c r="AK13" s="155">
        <f t="shared" si="1"/>
        <v>492.59555470197967</v>
      </c>
      <c r="AL13" s="155">
        <f t="shared" si="1"/>
        <v>492.59555470197967</v>
      </c>
      <c r="AM13" s="155">
        <f t="shared" si="1"/>
        <v>492.59555470197967</v>
      </c>
      <c r="AN13" s="155">
        <f t="shared" si="1"/>
        <v>492.59555470197967</v>
      </c>
      <c r="AO13" s="155">
        <f t="shared" si="1"/>
        <v>492.59555470197967</v>
      </c>
      <c r="AP13" s="155">
        <f t="shared" si="1"/>
        <v>492.59555470197967</v>
      </c>
      <c r="AQ13" s="155">
        <f t="shared" si="1"/>
        <v>492.59555470197967</v>
      </c>
      <c r="AR13" s="155">
        <f t="shared" si="1"/>
        <v>492.59555470197967</v>
      </c>
      <c r="AS13" s="155">
        <f t="shared" si="1"/>
        <v>492.59555470197967</v>
      </c>
      <c r="AT13" s="155">
        <f t="shared" si="1"/>
        <v>492.59555470197967</v>
      </c>
      <c r="AU13" s="155">
        <f t="shared" si="1"/>
        <v>492.59555470197967</v>
      </c>
      <c r="AV13" s="155">
        <f t="shared" si="1"/>
        <v>492.59555470197967</v>
      </c>
      <c r="AW13" s="155">
        <f t="shared" si="1"/>
        <v>492.59555470197967</v>
      </c>
      <c r="AX13" s="155">
        <f t="shared" si="1"/>
        <v>492.59555470197967</v>
      </c>
      <c r="AY13" s="155">
        <f t="shared" si="1"/>
        <v>492.59555470197967</v>
      </c>
      <c r="AZ13" s="127"/>
    </row>
    <row r="14" spans="1:52" x14ac:dyDescent="0.2">
      <c r="A14" s="128"/>
      <c r="B14" s="137">
        <v>2</v>
      </c>
      <c r="C14" s="128">
        <v>0</v>
      </c>
      <c r="D14" s="124">
        <f>IF(C$20="Yes",C13,0)</f>
        <v>0</v>
      </c>
      <c r="E14" s="124">
        <f t="shared" ref="E14:AY17" si="2">IF(D$20="Yes",D13,0)</f>
        <v>492.59555470197967</v>
      </c>
      <c r="F14" s="124">
        <f t="shared" si="2"/>
        <v>492.59555470197967</v>
      </c>
      <c r="G14" s="124">
        <f t="shared" si="2"/>
        <v>0</v>
      </c>
      <c r="H14" s="124">
        <f t="shared" si="2"/>
        <v>0</v>
      </c>
      <c r="I14" s="124">
        <f t="shared" si="2"/>
        <v>0</v>
      </c>
      <c r="J14" s="124">
        <f t="shared" si="2"/>
        <v>0</v>
      </c>
      <c r="K14" s="124">
        <f t="shared" si="2"/>
        <v>0</v>
      </c>
      <c r="L14" s="124">
        <f t="shared" si="2"/>
        <v>0</v>
      </c>
      <c r="M14" s="124">
        <f t="shared" si="2"/>
        <v>0</v>
      </c>
      <c r="N14" s="124">
        <f t="shared" si="2"/>
        <v>0</v>
      </c>
      <c r="O14" s="124">
        <f t="shared" si="2"/>
        <v>0</v>
      </c>
      <c r="P14" s="124">
        <f t="shared" si="2"/>
        <v>0</v>
      </c>
      <c r="Q14" s="124">
        <f t="shared" si="2"/>
        <v>0</v>
      </c>
      <c r="R14" s="124">
        <f t="shared" si="2"/>
        <v>0</v>
      </c>
      <c r="S14" s="124">
        <f t="shared" si="2"/>
        <v>0</v>
      </c>
      <c r="T14" s="124">
        <f t="shared" si="2"/>
        <v>492.59555470197967</v>
      </c>
      <c r="U14" s="124">
        <f t="shared" si="2"/>
        <v>0</v>
      </c>
      <c r="V14" s="124">
        <f t="shared" si="2"/>
        <v>0</v>
      </c>
      <c r="W14" s="124">
        <f t="shared" si="2"/>
        <v>0</v>
      </c>
      <c r="X14" s="124">
        <f t="shared" si="2"/>
        <v>0</v>
      </c>
      <c r="Y14" s="124">
        <f t="shared" si="2"/>
        <v>0</v>
      </c>
      <c r="Z14" s="124">
        <f t="shared" si="2"/>
        <v>0</v>
      </c>
      <c r="AA14" s="124">
        <f t="shared" si="2"/>
        <v>492.59555470197967</v>
      </c>
      <c r="AB14" s="124">
        <f t="shared" si="2"/>
        <v>0</v>
      </c>
      <c r="AC14" s="124">
        <f t="shared" si="2"/>
        <v>0</v>
      </c>
      <c r="AD14" s="124">
        <f t="shared" si="2"/>
        <v>0</v>
      </c>
      <c r="AE14" s="124">
        <f t="shared" si="2"/>
        <v>0</v>
      </c>
      <c r="AF14" s="124">
        <f t="shared" si="2"/>
        <v>0</v>
      </c>
      <c r="AG14" s="124">
        <f t="shared" si="2"/>
        <v>0</v>
      </c>
      <c r="AH14" s="124">
        <f t="shared" si="2"/>
        <v>0</v>
      </c>
      <c r="AI14" s="124">
        <f t="shared" si="2"/>
        <v>0</v>
      </c>
      <c r="AJ14" s="124">
        <f t="shared" si="2"/>
        <v>0</v>
      </c>
      <c r="AK14" s="124">
        <f t="shared" si="2"/>
        <v>0</v>
      </c>
      <c r="AL14" s="124">
        <f t="shared" si="2"/>
        <v>0</v>
      </c>
      <c r="AM14" s="124">
        <f t="shared" si="2"/>
        <v>0</v>
      </c>
      <c r="AN14" s="124">
        <f t="shared" si="2"/>
        <v>0</v>
      </c>
      <c r="AO14" s="124">
        <f t="shared" si="2"/>
        <v>0</v>
      </c>
      <c r="AP14" s="124">
        <f t="shared" si="2"/>
        <v>0</v>
      </c>
      <c r="AQ14" s="124">
        <f t="shared" si="2"/>
        <v>0</v>
      </c>
      <c r="AR14" s="124">
        <f t="shared" si="2"/>
        <v>0</v>
      </c>
      <c r="AS14" s="124">
        <f t="shared" si="2"/>
        <v>0</v>
      </c>
      <c r="AT14" s="124">
        <f t="shared" si="2"/>
        <v>0</v>
      </c>
      <c r="AU14" s="124">
        <f t="shared" si="2"/>
        <v>0</v>
      </c>
      <c r="AV14" s="124">
        <f t="shared" si="2"/>
        <v>0</v>
      </c>
      <c r="AW14" s="124">
        <f t="shared" si="2"/>
        <v>0</v>
      </c>
      <c r="AX14" s="124">
        <f t="shared" si="2"/>
        <v>0</v>
      </c>
      <c r="AY14" s="124">
        <f t="shared" si="2"/>
        <v>0</v>
      </c>
      <c r="AZ14" s="127"/>
    </row>
    <row r="15" spans="1:52" x14ac:dyDescent="0.2">
      <c r="A15" s="128"/>
      <c r="B15" s="144">
        <v>3</v>
      </c>
      <c r="C15" s="128">
        <v>0</v>
      </c>
      <c r="D15" s="124">
        <f>IF(C$20="Yes",C14,0)</f>
        <v>0</v>
      </c>
      <c r="E15" s="124">
        <f t="shared" si="2"/>
        <v>0</v>
      </c>
      <c r="F15" s="124">
        <f t="shared" si="2"/>
        <v>492.59555470197967</v>
      </c>
      <c r="G15" s="124">
        <f t="shared" si="2"/>
        <v>0</v>
      </c>
      <c r="H15" s="124">
        <f t="shared" si="2"/>
        <v>0</v>
      </c>
      <c r="I15" s="124">
        <f t="shared" si="2"/>
        <v>0</v>
      </c>
      <c r="J15" s="124">
        <f t="shared" si="2"/>
        <v>0</v>
      </c>
      <c r="K15" s="124">
        <f t="shared" si="2"/>
        <v>0</v>
      </c>
      <c r="L15" s="124">
        <f t="shared" si="2"/>
        <v>0</v>
      </c>
      <c r="M15" s="124">
        <f t="shared" si="2"/>
        <v>0</v>
      </c>
      <c r="N15" s="124">
        <f t="shared" si="2"/>
        <v>0</v>
      </c>
      <c r="O15" s="124">
        <f t="shared" si="2"/>
        <v>0</v>
      </c>
      <c r="P15" s="124">
        <f t="shared" si="2"/>
        <v>0</v>
      </c>
      <c r="Q15" s="124">
        <f t="shared" si="2"/>
        <v>0</v>
      </c>
      <c r="R15" s="124">
        <f t="shared" si="2"/>
        <v>0</v>
      </c>
      <c r="S15" s="124">
        <f t="shared" si="2"/>
        <v>0</v>
      </c>
      <c r="T15" s="124">
        <f t="shared" si="2"/>
        <v>0</v>
      </c>
      <c r="U15" s="124">
        <f t="shared" si="2"/>
        <v>0</v>
      </c>
      <c r="V15" s="124">
        <f t="shared" si="2"/>
        <v>0</v>
      </c>
      <c r="W15" s="124">
        <f t="shared" si="2"/>
        <v>0</v>
      </c>
      <c r="X15" s="124">
        <f t="shared" si="2"/>
        <v>0</v>
      </c>
      <c r="Y15" s="124">
        <f t="shared" si="2"/>
        <v>0</v>
      </c>
      <c r="Z15" s="124">
        <f t="shared" si="2"/>
        <v>0</v>
      </c>
      <c r="AA15" s="124">
        <f t="shared" si="2"/>
        <v>0</v>
      </c>
      <c r="AB15" s="124">
        <f t="shared" si="2"/>
        <v>0</v>
      </c>
      <c r="AC15" s="124">
        <f t="shared" si="2"/>
        <v>0</v>
      </c>
      <c r="AD15" s="124">
        <f t="shared" si="2"/>
        <v>0</v>
      </c>
      <c r="AE15" s="124">
        <f t="shared" si="2"/>
        <v>0</v>
      </c>
      <c r="AF15" s="124">
        <f t="shared" si="2"/>
        <v>0</v>
      </c>
      <c r="AG15" s="124">
        <f t="shared" si="2"/>
        <v>0</v>
      </c>
      <c r="AH15" s="124">
        <f t="shared" si="2"/>
        <v>0</v>
      </c>
      <c r="AI15" s="124">
        <f t="shared" si="2"/>
        <v>0</v>
      </c>
      <c r="AJ15" s="124">
        <f t="shared" si="2"/>
        <v>0</v>
      </c>
      <c r="AK15" s="124">
        <f t="shared" si="2"/>
        <v>0</v>
      </c>
      <c r="AL15" s="124">
        <f t="shared" si="2"/>
        <v>0</v>
      </c>
      <c r="AM15" s="124">
        <f t="shared" si="2"/>
        <v>0</v>
      </c>
      <c r="AN15" s="124">
        <f t="shared" si="2"/>
        <v>0</v>
      </c>
      <c r="AO15" s="124">
        <f t="shared" si="2"/>
        <v>0</v>
      </c>
      <c r="AP15" s="124">
        <f t="shared" si="2"/>
        <v>0</v>
      </c>
      <c r="AQ15" s="124">
        <f t="shared" si="2"/>
        <v>0</v>
      </c>
      <c r="AR15" s="124">
        <f t="shared" si="2"/>
        <v>0</v>
      </c>
      <c r="AS15" s="124">
        <f t="shared" si="2"/>
        <v>0</v>
      </c>
      <c r="AT15" s="124">
        <f t="shared" si="2"/>
        <v>0</v>
      </c>
      <c r="AU15" s="124">
        <f t="shared" si="2"/>
        <v>0</v>
      </c>
      <c r="AV15" s="124">
        <f t="shared" si="2"/>
        <v>0</v>
      </c>
      <c r="AW15" s="124">
        <f t="shared" si="2"/>
        <v>0</v>
      </c>
      <c r="AX15" s="124">
        <f t="shared" si="2"/>
        <v>0</v>
      </c>
      <c r="AY15" s="124">
        <f t="shared" si="2"/>
        <v>0</v>
      </c>
      <c r="AZ15" s="127"/>
    </row>
    <row r="16" spans="1:52" x14ac:dyDescent="0.2">
      <c r="A16" s="128"/>
      <c r="B16" s="147">
        <v>4</v>
      </c>
      <c r="C16" s="128">
        <v>0</v>
      </c>
      <c r="D16" s="124">
        <f>IF(C$20="Yes",C15,0)</f>
        <v>0</v>
      </c>
      <c r="E16" s="124">
        <f t="shared" si="2"/>
        <v>0</v>
      </c>
      <c r="F16" s="124">
        <f t="shared" si="2"/>
        <v>0</v>
      </c>
      <c r="G16" s="124">
        <f t="shared" si="2"/>
        <v>0</v>
      </c>
      <c r="H16" s="124">
        <f t="shared" si="2"/>
        <v>0</v>
      </c>
      <c r="I16" s="124">
        <f t="shared" si="2"/>
        <v>0</v>
      </c>
      <c r="J16" s="124">
        <f t="shared" si="2"/>
        <v>0</v>
      </c>
      <c r="K16" s="124">
        <f t="shared" si="2"/>
        <v>0</v>
      </c>
      <c r="L16" s="124">
        <f t="shared" si="2"/>
        <v>0</v>
      </c>
      <c r="M16" s="124">
        <f t="shared" si="2"/>
        <v>0</v>
      </c>
      <c r="N16" s="124">
        <f t="shared" si="2"/>
        <v>0</v>
      </c>
      <c r="O16" s="124">
        <f t="shared" si="2"/>
        <v>0</v>
      </c>
      <c r="P16" s="124">
        <f t="shared" si="2"/>
        <v>0</v>
      </c>
      <c r="Q16" s="124">
        <f t="shared" si="2"/>
        <v>0</v>
      </c>
      <c r="R16" s="124">
        <f t="shared" si="2"/>
        <v>0</v>
      </c>
      <c r="S16" s="124">
        <f t="shared" si="2"/>
        <v>0</v>
      </c>
      <c r="T16" s="124">
        <f t="shared" si="2"/>
        <v>0</v>
      </c>
      <c r="U16" s="124">
        <f t="shared" si="2"/>
        <v>0</v>
      </c>
      <c r="V16" s="124">
        <f t="shared" si="2"/>
        <v>0</v>
      </c>
      <c r="W16" s="124">
        <f t="shared" si="2"/>
        <v>0</v>
      </c>
      <c r="X16" s="124">
        <f t="shared" si="2"/>
        <v>0</v>
      </c>
      <c r="Y16" s="124">
        <f t="shared" si="2"/>
        <v>0</v>
      </c>
      <c r="Z16" s="124">
        <f t="shared" si="2"/>
        <v>0</v>
      </c>
      <c r="AA16" s="124">
        <f t="shared" si="2"/>
        <v>0</v>
      </c>
      <c r="AB16" s="124">
        <f t="shared" si="2"/>
        <v>0</v>
      </c>
      <c r="AC16" s="124">
        <f t="shared" si="2"/>
        <v>0</v>
      </c>
      <c r="AD16" s="124">
        <f t="shared" si="2"/>
        <v>0</v>
      </c>
      <c r="AE16" s="124">
        <f t="shared" si="2"/>
        <v>0</v>
      </c>
      <c r="AF16" s="124">
        <f t="shared" si="2"/>
        <v>0</v>
      </c>
      <c r="AG16" s="124">
        <f t="shared" si="2"/>
        <v>0</v>
      </c>
      <c r="AH16" s="124">
        <f t="shared" si="2"/>
        <v>0</v>
      </c>
      <c r="AI16" s="124">
        <f t="shared" si="2"/>
        <v>0</v>
      </c>
      <c r="AJ16" s="124">
        <f t="shared" si="2"/>
        <v>0</v>
      </c>
      <c r="AK16" s="124">
        <f t="shared" si="2"/>
        <v>0</v>
      </c>
      <c r="AL16" s="124">
        <f t="shared" si="2"/>
        <v>0</v>
      </c>
      <c r="AM16" s="124">
        <f t="shared" si="2"/>
        <v>0</v>
      </c>
      <c r="AN16" s="124">
        <f t="shared" si="2"/>
        <v>0</v>
      </c>
      <c r="AO16" s="124">
        <f t="shared" si="2"/>
        <v>0</v>
      </c>
      <c r="AP16" s="124">
        <f t="shared" si="2"/>
        <v>0</v>
      </c>
      <c r="AQ16" s="124">
        <f t="shared" si="2"/>
        <v>0</v>
      </c>
      <c r="AR16" s="124">
        <f t="shared" si="2"/>
        <v>0</v>
      </c>
      <c r="AS16" s="124">
        <f t="shared" si="2"/>
        <v>0</v>
      </c>
      <c r="AT16" s="124">
        <f t="shared" si="2"/>
        <v>0</v>
      </c>
      <c r="AU16" s="124">
        <f t="shared" si="2"/>
        <v>0</v>
      </c>
      <c r="AV16" s="124">
        <f t="shared" si="2"/>
        <v>0</v>
      </c>
      <c r="AW16" s="124">
        <f t="shared" si="2"/>
        <v>0</v>
      </c>
      <c r="AX16" s="124">
        <f t="shared" si="2"/>
        <v>0</v>
      </c>
      <c r="AY16" s="124">
        <f t="shared" si="2"/>
        <v>0</v>
      </c>
      <c r="AZ16" s="145"/>
    </row>
    <row r="17" spans="1:52" x14ac:dyDescent="0.2">
      <c r="A17" s="142"/>
      <c r="B17" s="149" t="s">
        <v>296</v>
      </c>
      <c r="C17" s="142">
        <v>0</v>
      </c>
      <c r="D17" s="131">
        <f>IF(C$20="Yes",C16,0)</f>
        <v>0</v>
      </c>
      <c r="E17" s="131">
        <f t="shared" si="2"/>
        <v>0</v>
      </c>
      <c r="F17" s="131">
        <f t="shared" si="2"/>
        <v>0</v>
      </c>
      <c r="G17" s="131">
        <f t="shared" si="2"/>
        <v>0</v>
      </c>
      <c r="H17" s="131">
        <f t="shared" si="2"/>
        <v>0</v>
      </c>
      <c r="I17" s="131">
        <f t="shared" si="2"/>
        <v>0</v>
      </c>
      <c r="J17" s="131">
        <f t="shared" si="2"/>
        <v>0</v>
      </c>
      <c r="K17" s="131">
        <f t="shared" si="2"/>
        <v>0</v>
      </c>
      <c r="L17" s="131">
        <f t="shared" si="2"/>
        <v>0</v>
      </c>
      <c r="M17" s="131">
        <f t="shared" si="2"/>
        <v>0</v>
      </c>
      <c r="N17" s="131">
        <f t="shared" si="2"/>
        <v>0</v>
      </c>
      <c r="O17" s="131">
        <f t="shared" si="2"/>
        <v>0</v>
      </c>
      <c r="P17" s="131">
        <f t="shared" si="2"/>
        <v>0</v>
      </c>
      <c r="Q17" s="131">
        <f t="shared" si="2"/>
        <v>0</v>
      </c>
      <c r="R17" s="131">
        <f t="shared" si="2"/>
        <v>0</v>
      </c>
      <c r="S17" s="131">
        <f t="shared" si="2"/>
        <v>0</v>
      </c>
      <c r="T17" s="131">
        <f t="shared" si="2"/>
        <v>0</v>
      </c>
      <c r="U17" s="131">
        <f t="shared" si="2"/>
        <v>0</v>
      </c>
      <c r="V17" s="131">
        <f t="shared" si="2"/>
        <v>0</v>
      </c>
      <c r="W17" s="131">
        <f t="shared" si="2"/>
        <v>0</v>
      </c>
      <c r="X17" s="131">
        <f t="shared" si="2"/>
        <v>0</v>
      </c>
      <c r="Y17" s="131">
        <f t="shared" si="2"/>
        <v>0</v>
      </c>
      <c r="Z17" s="131">
        <f t="shared" si="2"/>
        <v>0</v>
      </c>
      <c r="AA17" s="131">
        <f t="shared" si="2"/>
        <v>0</v>
      </c>
      <c r="AB17" s="131">
        <f t="shared" si="2"/>
        <v>0</v>
      </c>
      <c r="AC17" s="131">
        <f t="shared" si="2"/>
        <v>0</v>
      </c>
      <c r="AD17" s="131">
        <f t="shared" si="2"/>
        <v>0</v>
      </c>
      <c r="AE17" s="131">
        <f t="shared" si="2"/>
        <v>0</v>
      </c>
      <c r="AF17" s="131">
        <f t="shared" si="2"/>
        <v>0</v>
      </c>
      <c r="AG17" s="131">
        <f t="shared" si="2"/>
        <v>0</v>
      </c>
      <c r="AH17" s="131">
        <f t="shared" si="2"/>
        <v>0</v>
      </c>
      <c r="AI17" s="131">
        <f t="shared" si="2"/>
        <v>0</v>
      </c>
      <c r="AJ17" s="131">
        <f t="shared" si="2"/>
        <v>0</v>
      </c>
      <c r="AK17" s="131">
        <f t="shared" si="2"/>
        <v>0</v>
      </c>
      <c r="AL17" s="131">
        <f t="shared" si="2"/>
        <v>0</v>
      </c>
      <c r="AM17" s="131">
        <f t="shared" si="2"/>
        <v>0</v>
      </c>
      <c r="AN17" s="131">
        <f t="shared" si="2"/>
        <v>0</v>
      </c>
      <c r="AO17" s="131">
        <f t="shared" si="2"/>
        <v>0</v>
      </c>
      <c r="AP17" s="131">
        <f t="shared" si="2"/>
        <v>0</v>
      </c>
      <c r="AQ17" s="131">
        <f t="shared" si="2"/>
        <v>0</v>
      </c>
      <c r="AR17" s="131">
        <f t="shared" si="2"/>
        <v>0</v>
      </c>
      <c r="AS17" s="131">
        <f t="shared" si="2"/>
        <v>0</v>
      </c>
      <c r="AT17" s="131">
        <f t="shared" si="2"/>
        <v>0</v>
      </c>
      <c r="AU17" s="131">
        <f t="shared" si="2"/>
        <v>0</v>
      </c>
      <c r="AV17" s="131">
        <f t="shared" si="2"/>
        <v>0</v>
      </c>
      <c r="AW17" s="131">
        <f t="shared" si="2"/>
        <v>0</v>
      </c>
      <c r="AX17" s="131">
        <f t="shared" si="2"/>
        <v>0</v>
      </c>
      <c r="AY17" s="131">
        <f t="shared" si="2"/>
        <v>0</v>
      </c>
      <c r="AZ17" s="168">
        <f>SUM($D$17:$AY$17)</f>
        <v>0</v>
      </c>
    </row>
    <row r="18" spans="1:52" x14ac:dyDescent="0.2">
      <c r="A18" s="124"/>
      <c r="B18" s="170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24"/>
    </row>
    <row r="19" spans="1:52" x14ac:dyDescent="0.2">
      <c r="A19" s="1" t="s">
        <v>116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</row>
    <row r="20" spans="1:52" s="128" customFormat="1" x14ac:dyDescent="0.2">
      <c r="A20" s="132" t="s">
        <v>305</v>
      </c>
      <c r="B20" s="171" t="s">
        <v>306</v>
      </c>
      <c r="C20" s="134"/>
      <c r="D20" s="134" t="s">
        <v>339</v>
      </c>
      <c r="E20" s="134" t="s">
        <v>339</v>
      </c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 t="s">
        <v>339</v>
      </c>
      <c r="T20" s="134"/>
      <c r="U20" s="134"/>
      <c r="V20" s="134"/>
      <c r="W20" s="134"/>
      <c r="X20" s="134"/>
      <c r="Y20" s="134"/>
      <c r="Z20" s="134" t="s">
        <v>339</v>
      </c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25"/>
    </row>
    <row r="21" spans="1:52" s="128" customFormat="1" x14ac:dyDescent="0.2">
      <c r="A21" s="172" t="s">
        <v>133</v>
      </c>
      <c r="B21" s="173">
        <f>shipping_manufacturing!$G$19/100</f>
        <v>0.8</v>
      </c>
      <c r="C21" s="173" t="s">
        <v>293</v>
      </c>
      <c r="D21" s="124">
        <f>IF(C$20="Yes",0,SUM(C$13:C$16)*$B$21)</f>
        <v>371.7698330461667</v>
      </c>
      <c r="E21" s="124">
        <f t="shared" ref="E21:AY21" si="3">IF(D$20="Yes",0,SUM(D$13:D$16)*$B$21)</f>
        <v>0</v>
      </c>
      <c r="F21" s="124">
        <f t="shared" si="3"/>
        <v>0</v>
      </c>
      <c r="G21" s="124">
        <f t="shared" si="3"/>
        <v>1182.2293312847512</v>
      </c>
      <c r="H21" s="124">
        <f t="shared" si="3"/>
        <v>394.07644376158373</v>
      </c>
      <c r="I21" s="124">
        <f t="shared" si="3"/>
        <v>394.07644376158373</v>
      </c>
      <c r="J21" s="124">
        <f t="shared" si="3"/>
        <v>394.07644376158373</v>
      </c>
      <c r="K21" s="124">
        <f t="shared" si="3"/>
        <v>394.07644376158373</v>
      </c>
      <c r="L21" s="124">
        <f t="shared" si="3"/>
        <v>394.07644376158373</v>
      </c>
      <c r="M21" s="124">
        <f t="shared" si="3"/>
        <v>394.07644376158373</v>
      </c>
      <c r="N21" s="124">
        <f t="shared" si="3"/>
        <v>394.07644376158373</v>
      </c>
      <c r="O21" s="124">
        <f t="shared" si="3"/>
        <v>394.07644376158373</v>
      </c>
      <c r="P21" s="124">
        <f t="shared" si="3"/>
        <v>394.07644376158373</v>
      </c>
      <c r="Q21" s="124">
        <f t="shared" si="3"/>
        <v>394.07644376158373</v>
      </c>
      <c r="R21" s="124">
        <f t="shared" si="3"/>
        <v>394.07644376158373</v>
      </c>
      <c r="S21" s="124">
        <f t="shared" si="3"/>
        <v>394.07644376158373</v>
      </c>
      <c r="T21" s="124">
        <f t="shared" si="3"/>
        <v>0</v>
      </c>
      <c r="U21" s="124">
        <f t="shared" si="3"/>
        <v>788.15288752316746</v>
      </c>
      <c r="V21" s="124">
        <f t="shared" si="3"/>
        <v>394.07644376158373</v>
      </c>
      <c r="W21" s="124">
        <f t="shared" si="3"/>
        <v>394.07644376158373</v>
      </c>
      <c r="X21" s="124">
        <f t="shared" si="3"/>
        <v>394.07644376158373</v>
      </c>
      <c r="Y21" s="124">
        <f t="shared" si="3"/>
        <v>394.07644376158373</v>
      </c>
      <c r="Z21" s="124">
        <f t="shared" si="3"/>
        <v>394.07644376158373</v>
      </c>
      <c r="AA21" s="124">
        <f t="shared" si="3"/>
        <v>0</v>
      </c>
      <c r="AB21" s="124">
        <f t="shared" si="3"/>
        <v>788.15288752316746</v>
      </c>
      <c r="AC21" s="124">
        <f t="shared" si="3"/>
        <v>394.07644376158373</v>
      </c>
      <c r="AD21" s="124">
        <f t="shared" si="3"/>
        <v>394.07644376158373</v>
      </c>
      <c r="AE21" s="124">
        <f t="shared" si="3"/>
        <v>394.07644376158373</v>
      </c>
      <c r="AF21" s="124">
        <f t="shared" si="3"/>
        <v>394.07644376158373</v>
      </c>
      <c r="AG21" s="124">
        <f t="shared" si="3"/>
        <v>394.07644376158373</v>
      </c>
      <c r="AH21" s="124">
        <f t="shared" si="3"/>
        <v>394.07644376158373</v>
      </c>
      <c r="AI21" s="124">
        <f t="shared" si="3"/>
        <v>394.07644376158373</v>
      </c>
      <c r="AJ21" s="124">
        <f t="shared" si="3"/>
        <v>394.07644376158373</v>
      </c>
      <c r="AK21" s="124">
        <f t="shared" si="3"/>
        <v>394.07644376158373</v>
      </c>
      <c r="AL21" s="124">
        <f t="shared" si="3"/>
        <v>394.07644376158373</v>
      </c>
      <c r="AM21" s="124">
        <f t="shared" si="3"/>
        <v>394.07644376158373</v>
      </c>
      <c r="AN21" s="124">
        <f t="shared" si="3"/>
        <v>394.07644376158373</v>
      </c>
      <c r="AO21" s="124">
        <f t="shared" si="3"/>
        <v>394.07644376158373</v>
      </c>
      <c r="AP21" s="124">
        <f t="shared" si="3"/>
        <v>394.07644376158373</v>
      </c>
      <c r="AQ21" s="124">
        <f t="shared" si="3"/>
        <v>394.07644376158373</v>
      </c>
      <c r="AR21" s="124">
        <f t="shared" si="3"/>
        <v>394.07644376158373</v>
      </c>
      <c r="AS21" s="124">
        <f t="shared" si="3"/>
        <v>394.07644376158373</v>
      </c>
      <c r="AT21" s="124">
        <f t="shared" si="3"/>
        <v>394.07644376158373</v>
      </c>
      <c r="AU21" s="124">
        <f t="shared" si="3"/>
        <v>394.07644376158373</v>
      </c>
      <c r="AV21" s="124">
        <f t="shared" si="3"/>
        <v>394.07644376158373</v>
      </c>
      <c r="AW21" s="124">
        <f t="shared" si="3"/>
        <v>394.07644376158373</v>
      </c>
      <c r="AX21" s="124">
        <f t="shared" si="3"/>
        <v>394.07644376158373</v>
      </c>
      <c r="AY21" s="124">
        <f t="shared" si="3"/>
        <v>394.07644376158373</v>
      </c>
      <c r="AZ21" s="174">
        <f>SUM($D21:$AY21)</f>
        <v>18893.362689840593</v>
      </c>
    </row>
    <row r="22" spans="1:52" s="128" customFormat="1" x14ac:dyDescent="0.2">
      <c r="A22" s="175" t="s">
        <v>123</v>
      </c>
      <c r="B22" s="176">
        <f>1-$B$21</f>
        <v>0.19999999999999996</v>
      </c>
      <c r="C22" s="176" t="s">
        <v>293</v>
      </c>
      <c r="D22" s="131">
        <f>IF(C$20="Yes",0,SUM(C$13:C$16)*$B$22)</f>
        <v>92.942458261541645</v>
      </c>
      <c r="E22" s="131">
        <f t="shared" ref="E22:AY22" si="4">IF(D$20="Yes",0,SUM(D$13:D$16)*$B$22)</f>
        <v>0</v>
      </c>
      <c r="F22" s="131">
        <f t="shared" si="4"/>
        <v>0</v>
      </c>
      <c r="G22" s="131">
        <f t="shared" si="4"/>
        <v>295.55733282118774</v>
      </c>
      <c r="H22" s="131">
        <f t="shared" si="4"/>
        <v>98.519110940395905</v>
      </c>
      <c r="I22" s="131">
        <f t="shared" si="4"/>
        <v>98.519110940395905</v>
      </c>
      <c r="J22" s="131">
        <f t="shared" si="4"/>
        <v>98.519110940395905</v>
      </c>
      <c r="K22" s="131">
        <f t="shared" si="4"/>
        <v>98.519110940395905</v>
      </c>
      <c r="L22" s="131">
        <f t="shared" si="4"/>
        <v>98.519110940395905</v>
      </c>
      <c r="M22" s="131">
        <f t="shared" si="4"/>
        <v>98.519110940395905</v>
      </c>
      <c r="N22" s="131">
        <f t="shared" si="4"/>
        <v>98.519110940395905</v>
      </c>
      <c r="O22" s="131">
        <f t="shared" si="4"/>
        <v>98.519110940395905</v>
      </c>
      <c r="P22" s="131">
        <f t="shared" si="4"/>
        <v>98.519110940395905</v>
      </c>
      <c r="Q22" s="131">
        <f t="shared" si="4"/>
        <v>98.519110940395905</v>
      </c>
      <c r="R22" s="131">
        <f t="shared" si="4"/>
        <v>98.519110940395905</v>
      </c>
      <c r="S22" s="131">
        <f t="shared" si="4"/>
        <v>98.519110940395905</v>
      </c>
      <c r="T22" s="131">
        <f t="shared" si="4"/>
        <v>0</v>
      </c>
      <c r="U22" s="131">
        <f t="shared" si="4"/>
        <v>197.03822188079181</v>
      </c>
      <c r="V22" s="131">
        <f t="shared" si="4"/>
        <v>98.519110940395905</v>
      </c>
      <c r="W22" s="131">
        <f t="shared" si="4"/>
        <v>98.519110940395905</v>
      </c>
      <c r="X22" s="131">
        <f t="shared" si="4"/>
        <v>98.519110940395905</v>
      </c>
      <c r="Y22" s="131">
        <f t="shared" si="4"/>
        <v>98.519110940395905</v>
      </c>
      <c r="Z22" s="131">
        <f t="shared" si="4"/>
        <v>98.519110940395905</v>
      </c>
      <c r="AA22" s="131">
        <f t="shared" si="4"/>
        <v>0</v>
      </c>
      <c r="AB22" s="131">
        <f t="shared" si="4"/>
        <v>197.03822188079181</v>
      </c>
      <c r="AC22" s="131">
        <f t="shared" si="4"/>
        <v>98.519110940395905</v>
      </c>
      <c r="AD22" s="131">
        <f t="shared" si="4"/>
        <v>98.519110940395905</v>
      </c>
      <c r="AE22" s="131">
        <f t="shared" si="4"/>
        <v>98.519110940395905</v>
      </c>
      <c r="AF22" s="131">
        <f t="shared" si="4"/>
        <v>98.519110940395905</v>
      </c>
      <c r="AG22" s="131">
        <f t="shared" si="4"/>
        <v>98.519110940395905</v>
      </c>
      <c r="AH22" s="131">
        <f t="shared" si="4"/>
        <v>98.519110940395905</v>
      </c>
      <c r="AI22" s="131">
        <f t="shared" si="4"/>
        <v>98.519110940395905</v>
      </c>
      <c r="AJ22" s="131">
        <f t="shared" si="4"/>
        <v>98.519110940395905</v>
      </c>
      <c r="AK22" s="131">
        <f t="shared" si="4"/>
        <v>98.519110940395905</v>
      </c>
      <c r="AL22" s="131">
        <f t="shared" si="4"/>
        <v>98.519110940395905</v>
      </c>
      <c r="AM22" s="131">
        <f t="shared" si="4"/>
        <v>98.519110940395905</v>
      </c>
      <c r="AN22" s="131">
        <f t="shared" si="4"/>
        <v>98.519110940395905</v>
      </c>
      <c r="AO22" s="131">
        <f t="shared" si="4"/>
        <v>98.519110940395905</v>
      </c>
      <c r="AP22" s="131">
        <f t="shared" si="4"/>
        <v>98.519110940395905</v>
      </c>
      <c r="AQ22" s="131">
        <f t="shared" si="4"/>
        <v>98.519110940395905</v>
      </c>
      <c r="AR22" s="131">
        <f t="shared" si="4"/>
        <v>98.519110940395905</v>
      </c>
      <c r="AS22" s="131">
        <f t="shared" si="4"/>
        <v>98.519110940395905</v>
      </c>
      <c r="AT22" s="131">
        <f t="shared" si="4"/>
        <v>98.519110940395905</v>
      </c>
      <c r="AU22" s="131">
        <f t="shared" si="4"/>
        <v>98.519110940395905</v>
      </c>
      <c r="AV22" s="131">
        <f t="shared" si="4"/>
        <v>98.519110940395905</v>
      </c>
      <c r="AW22" s="131">
        <f t="shared" si="4"/>
        <v>98.519110940395905</v>
      </c>
      <c r="AX22" s="131">
        <f t="shared" si="4"/>
        <v>98.519110940395905</v>
      </c>
      <c r="AY22" s="131">
        <f t="shared" si="4"/>
        <v>98.519110940395905</v>
      </c>
      <c r="AZ22" s="158">
        <f t="shared" ref="AZ22:AZ30" si="5">SUM($D22:$AY22)</f>
        <v>4723.3406724601482</v>
      </c>
    </row>
    <row r="23" spans="1:52" x14ac:dyDescent="0.2">
      <c r="A23" s="177" t="s">
        <v>307</v>
      </c>
      <c r="B23" s="141">
        <v>2000</v>
      </c>
      <c r="C23" t="s">
        <v>293</v>
      </c>
      <c r="D23">
        <f>D$21*$B$23</f>
        <v>743539.66609233338</v>
      </c>
      <c r="E23">
        <f t="shared" ref="E23:AY23" si="6">E$21*$B$23</f>
        <v>0</v>
      </c>
      <c r="F23">
        <f t="shared" si="6"/>
        <v>0</v>
      </c>
      <c r="G23">
        <f t="shared" si="6"/>
        <v>2364458.6625695024</v>
      </c>
      <c r="H23">
        <f t="shared" si="6"/>
        <v>788152.88752316742</v>
      </c>
      <c r="I23">
        <f t="shared" si="6"/>
        <v>788152.88752316742</v>
      </c>
      <c r="J23">
        <f t="shared" si="6"/>
        <v>788152.88752316742</v>
      </c>
      <c r="K23">
        <f t="shared" si="6"/>
        <v>788152.88752316742</v>
      </c>
      <c r="L23">
        <f t="shared" si="6"/>
        <v>788152.88752316742</v>
      </c>
      <c r="M23">
        <f t="shared" si="6"/>
        <v>788152.88752316742</v>
      </c>
      <c r="N23">
        <f t="shared" si="6"/>
        <v>788152.88752316742</v>
      </c>
      <c r="O23">
        <f t="shared" si="6"/>
        <v>788152.88752316742</v>
      </c>
      <c r="P23">
        <f t="shared" si="6"/>
        <v>788152.88752316742</v>
      </c>
      <c r="Q23">
        <f t="shared" si="6"/>
        <v>788152.88752316742</v>
      </c>
      <c r="R23">
        <f t="shared" si="6"/>
        <v>788152.88752316742</v>
      </c>
      <c r="S23">
        <f t="shared" si="6"/>
        <v>788152.88752316742</v>
      </c>
      <c r="T23">
        <f t="shared" si="6"/>
        <v>0</v>
      </c>
      <c r="U23">
        <f t="shared" si="6"/>
        <v>1576305.7750463348</v>
      </c>
      <c r="V23">
        <f t="shared" si="6"/>
        <v>788152.88752316742</v>
      </c>
      <c r="W23">
        <f t="shared" si="6"/>
        <v>788152.88752316742</v>
      </c>
      <c r="X23">
        <f t="shared" si="6"/>
        <v>788152.88752316742</v>
      </c>
      <c r="Y23">
        <f t="shared" si="6"/>
        <v>788152.88752316742</v>
      </c>
      <c r="Z23">
        <f t="shared" si="6"/>
        <v>788152.88752316742</v>
      </c>
      <c r="AA23">
        <f t="shared" si="6"/>
        <v>0</v>
      </c>
      <c r="AB23">
        <f t="shared" si="6"/>
        <v>1576305.7750463348</v>
      </c>
      <c r="AC23">
        <f t="shared" si="6"/>
        <v>788152.88752316742</v>
      </c>
      <c r="AD23">
        <f t="shared" si="6"/>
        <v>788152.88752316742</v>
      </c>
      <c r="AE23">
        <f t="shared" si="6"/>
        <v>788152.88752316742</v>
      </c>
      <c r="AF23">
        <f t="shared" si="6"/>
        <v>788152.88752316742</v>
      </c>
      <c r="AG23">
        <f t="shared" si="6"/>
        <v>788152.88752316742</v>
      </c>
      <c r="AH23">
        <f t="shared" si="6"/>
        <v>788152.88752316742</v>
      </c>
      <c r="AI23">
        <f t="shared" si="6"/>
        <v>788152.88752316742</v>
      </c>
      <c r="AJ23">
        <f t="shared" si="6"/>
        <v>788152.88752316742</v>
      </c>
      <c r="AK23">
        <f t="shared" si="6"/>
        <v>788152.88752316742</v>
      </c>
      <c r="AL23">
        <f t="shared" si="6"/>
        <v>788152.88752316742</v>
      </c>
      <c r="AM23">
        <f t="shared" si="6"/>
        <v>788152.88752316742</v>
      </c>
      <c r="AN23">
        <f t="shared" si="6"/>
        <v>788152.88752316742</v>
      </c>
      <c r="AO23">
        <f t="shared" si="6"/>
        <v>788152.88752316742</v>
      </c>
      <c r="AP23">
        <f t="shared" si="6"/>
        <v>788152.88752316742</v>
      </c>
      <c r="AQ23">
        <f t="shared" si="6"/>
        <v>788152.88752316742</v>
      </c>
      <c r="AR23">
        <f t="shared" si="6"/>
        <v>788152.88752316742</v>
      </c>
      <c r="AS23">
        <f t="shared" si="6"/>
        <v>788152.88752316742</v>
      </c>
      <c r="AT23">
        <f t="shared" si="6"/>
        <v>788152.88752316742</v>
      </c>
      <c r="AU23">
        <f t="shared" si="6"/>
        <v>788152.88752316742</v>
      </c>
      <c r="AV23">
        <f t="shared" si="6"/>
        <v>788152.88752316742</v>
      </c>
      <c r="AW23">
        <f t="shared" si="6"/>
        <v>788152.88752316742</v>
      </c>
      <c r="AX23">
        <f t="shared" si="6"/>
        <v>788152.88752316742</v>
      </c>
      <c r="AY23">
        <f t="shared" si="6"/>
        <v>788152.88752316742</v>
      </c>
      <c r="AZ23" s="156">
        <f t="shared" si="5"/>
        <v>37786725.379681185</v>
      </c>
    </row>
    <row r="24" spans="1:52" s="128" customFormat="1" x14ac:dyDescent="0.2">
      <c r="A24" s="178" t="s">
        <v>308</v>
      </c>
      <c r="B24" s="179">
        <v>1000</v>
      </c>
      <c r="C24" s="173" t="s">
        <v>293</v>
      </c>
      <c r="D24" s="124">
        <f>D$22*$B$24</f>
        <v>92942.458261541644</v>
      </c>
      <c r="E24" s="124">
        <f t="shared" ref="E24:AY24" si="7">E$22*$B$24</f>
        <v>0</v>
      </c>
      <c r="F24" s="124">
        <f t="shared" si="7"/>
        <v>0</v>
      </c>
      <c r="G24" s="124">
        <f t="shared" si="7"/>
        <v>295557.33282118774</v>
      </c>
      <c r="H24" s="124">
        <f t="shared" si="7"/>
        <v>98519.110940395898</v>
      </c>
      <c r="I24" s="124">
        <f t="shared" si="7"/>
        <v>98519.110940395898</v>
      </c>
      <c r="J24" s="124">
        <f t="shared" si="7"/>
        <v>98519.110940395898</v>
      </c>
      <c r="K24" s="124">
        <f t="shared" si="7"/>
        <v>98519.110940395898</v>
      </c>
      <c r="L24" s="124">
        <f t="shared" si="7"/>
        <v>98519.110940395898</v>
      </c>
      <c r="M24" s="124">
        <f t="shared" si="7"/>
        <v>98519.110940395898</v>
      </c>
      <c r="N24" s="124">
        <f t="shared" si="7"/>
        <v>98519.110940395898</v>
      </c>
      <c r="O24" s="124">
        <f t="shared" si="7"/>
        <v>98519.110940395898</v>
      </c>
      <c r="P24" s="124">
        <f t="shared" si="7"/>
        <v>98519.110940395898</v>
      </c>
      <c r="Q24" s="124">
        <f t="shared" si="7"/>
        <v>98519.110940395898</v>
      </c>
      <c r="R24" s="124">
        <f t="shared" si="7"/>
        <v>98519.110940395898</v>
      </c>
      <c r="S24" s="124">
        <f t="shared" si="7"/>
        <v>98519.110940395898</v>
      </c>
      <c r="T24" s="124">
        <f t="shared" si="7"/>
        <v>0</v>
      </c>
      <c r="U24" s="124">
        <f t="shared" si="7"/>
        <v>197038.2218807918</v>
      </c>
      <c r="V24" s="124">
        <f t="shared" si="7"/>
        <v>98519.110940395898</v>
      </c>
      <c r="W24" s="124">
        <f t="shared" si="7"/>
        <v>98519.110940395898</v>
      </c>
      <c r="X24" s="124">
        <f t="shared" si="7"/>
        <v>98519.110940395898</v>
      </c>
      <c r="Y24" s="124">
        <f t="shared" si="7"/>
        <v>98519.110940395898</v>
      </c>
      <c r="Z24" s="124">
        <f t="shared" si="7"/>
        <v>98519.110940395898</v>
      </c>
      <c r="AA24" s="124">
        <f t="shared" si="7"/>
        <v>0</v>
      </c>
      <c r="AB24" s="124">
        <f t="shared" si="7"/>
        <v>197038.2218807918</v>
      </c>
      <c r="AC24" s="124">
        <f t="shared" si="7"/>
        <v>98519.110940395898</v>
      </c>
      <c r="AD24" s="124">
        <f t="shared" si="7"/>
        <v>98519.110940395898</v>
      </c>
      <c r="AE24" s="124">
        <f t="shared" si="7"/>
        <v>98519.110940395898</v>
      </c>
      <c r="AF24" s="124">
        <f t="shared" si="7"/>
        <v>98519.110940395898</v>
      </c>
      <c r="AG24" s="124">
        <f t="shared" si="7"/>
        <v>98519.110940395898</v>
      </c>
      <c r="AH24" s="124">
        <f t="shared" si="7"/>
        <v>98519.110940395898</v>
      </c>
      <c r="AI24" s="124">
        <f t="shared" si="7"/>
        <v>98519.110940395898</v>
      </c>
      <c r="AJ24" s="124">
        <f t="shared" si="7"/>
        <v>98519.110940395898</v>
      </c>
      <c r="AK24" s="124">
        <f t="shared" si="7"/>
        <v>98519.110940395898</v>
      </c>
      <c r="AL24" s="124">
        <f t="shared" si="7"/>
        <v>98519.110940395898</v>
      </c>
      <c r="AM24" s="124">
        <f t="shared" si="7"/>
        <v>98519.110940395898</v>
      </c>
      <c r="AN24" s="124">
        <f t="shared" si="7"/>
        <v>98519.110940395898</v>
      </c>
      <c r="AO24" s="124">
        <f t="shared" si="7"/>
        <v>98519.110940395898</v>
      </c>
      <c r="AP24" s="124">
        <f t="shared" si="7"/>
        <v>98519.110940395898</v>
      </c>
      <c r="AQ24" s="124">
        <f t="shared" si="7"/>
        <v>98519.110940395898</v>
      </c>
      <c r="AR24" s="124">
        <f t="shared" si="7"/>
        <v>98519.110940395898</v>
      </c>
      <c r="AS24" s="124">
        <f t="shared" si="7"/>
        <v>98519.110940395898</v>
      </c>
      <c r="AT24" s="124">
        <f t="shared" si="7"/>
        <v>98519.110940395898</v>
      </c>
      <c r="AU24" s="124">
        <f t="shared" si="7"/>
        <v>98519.110940395898</v>
      </c>
      <c r="AV24" s="124">
        <f t="shared" si="7"/>
        <v>98519.110940395898</v>
      </c>
      <c r="AW24" s="124">
        <f t="shared" si="7"/>
        <v>98519.110940395898</v>
      </c>
      <c r="AX24" s="124">
        <f t="shared" si="7"/>
        <v>98519.110940395898</v>
      </c>
      <c r="AY24" s="124">
        <f t="shared" si="7"/>
        <v>98519.110940395898</v>
      </c>
      <c r="AZ24" s="158">
        <f t="shared" si="5"/>
        <v>4723340.6724601472</v>
      </c>
    </row>
    <row r="25" spans="1:52" x14ac:dyDescent="0.2"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24"/>
    </row>
    <row r="26" spans="1:52" x14ac:dyDescent="0.2">
      <c r="A26" s="180" t="s">
        <v>18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</row>
    <row r="27" spans="1:52" x14ac:dyDescent="0.2">
      <c r="B27" s="152" t="s">
        <v>309</v>
      </c>
      <c r="C27" s="141">
        <v>69</v>
      </c>
      <c r="D27" s="141">
        <f>C$27-C$28+C$29</f>
        <v>69</v>
      </c>
      <c r="E27" s="141">
        <f t="shared" ref="E27:AY27" si="8">D27-D28+D29</f>
        <v>69</v>
      </c>
      <c r="F27" s="141">
        <f t="shared" si="8"/>
        <v>85</v>
      </c>
      <c r="G27" s="141">
        <f t="shared" si="8"/>
        <v>85</v>
      </c>
      <c r="H27" s="141">
        <f t="shared" si="8"/>
        <v>34</v>
      </c>
      <c r="I27" s="141">
        <f t="shared" si="8"/>
        <v>67</v>
      </c>
      <c r="J27" s="141">
        <f t="shared" si="8"/>
        <v>67</v>
      </c>
      <c r="K27" s="141">
        <f t="shared" si="8"/>
        <v>67</v>
      </c>
      <c r="L27" s="141">
        <f t="shared" si="8"/>
        <v>67</v>
      </c>
      <c r="M27" s="141">
        <f t="shared" si="8"/>
        <v>67</v>
      </c>
      <c r="N27" s="141">
        <f t="shared" si="8"/>
        <v>67</v>
      </c>
      <c r="O27" s="141">
        <f t="shared" si="8"/>
        <v>67</v>
      </c>
      <c r="P27" s="141">
        <f t="shared" si="8"/>
        <v>67</v>
      </c>
      <c r="Q27" s="141">
        <f t="shared" si="8"/>
        <v>67</v>
      </c>
      <c r="R27" s="141">
        <f t="shared" si="8"/>
        <v>67</v>
      </c>
      <c r="S27" s="141">
        <f t="shared" si="8"/>
        <v>67</v>
      </c>
      <c r="T27" s="141">
        <f t="shared" si="8"/>
        <v>67</v>
      </c>
      <c r="U27" s="141">
        <f t="shared" si="8"/>
        <v>85</v>
      </c>
      <c r="V27" s="141">
        <f t="shared" si="8"/>
        <v>51</v>
      </c>
      <c r="W27" s="141">
        <f t="shared" si="8"/>
        <v>67</v>
      </c>
      <c r="X27" s="141">
        <f t="shared" si="8"/>
        <v>67</v>
      </c>
      <c r="Y27" s="141">
        <f t="shared" si="8"/>
        <v>67</v>
      </c>
      <c r="Z27" s="141">
        <f t="shared" si="8"/>
        <v>67</v>
      </c>
      <c r="AA27" s="141">
        <f t="shared" si="8"/>
        <v>67</v>
      </c>
      <c r="AB27" s="141">
        <f t="shared" si="8"/>
        <v>85</v>
      </c>
      <c r="AC27" s="141">
        <f t="shared" si="8"/>
        <v>51</v>
      </c>
      <c r="AD27" s="141">
        <f t="shared" si="8"/>
        <v>67</v>
      </c>
      <c r="AE27" s="141">
        <f t="shared" si="8"/>
        <v>67</v>
      </c>
      <c r="AF27" s="141">
        <f t="shared" si="8"/>
        <v>67</v>
      </c>
      <c r="AG27" s="141">
        <f t="shared" si="8"/>
        <v>67</v>
      </c>
      <c r="AH27" s="141">
        <f t="shared" si="8"/>
        <v>67</v>
      </c>
      <c r="AI27" s="141">
        <f t="shared" si="8"/>
        <v>67</v>
      </c>
      <c r="AJ27" s="141">
        <f t="shared" si="8"/>
        <v>67</v>
      </c>
      <c r="AK27" s="141">
        <f t="shared" si="8"/>
        <v>67</v>
      </c>
      <c r="AL27" s="141">
        <f t="shared" si="8"/>
        <v>67</v>
      </c>
      <c r="AM27" s="141">
        <f t="shared" si="8"/>
        <v>67</v>
      </c>
      <c r="AN27" s="141">
        <f t="shared" si="8"/>
        <v>67</v>
      </c>
      <c r="AO27" s="141">
        <f t="shared" si="8"/>
        <v>67</v>
      </c>
      <c r="AP27" s="141">
        <f t="shared" si="8"/>
        <v>67</v>
      </c>
      <c r="AQ27" s="141">
        <f t="shared" si="8"/>
        <v>67</v>
      </c>
      <c r="AR27" s="141">
        <f t="shared" si="8"/>
        <v>67</v>
      </c>
      <c r="AS27" s="141">
        <f t="shared" si="8"/>
        <v>67</v>
      </c>
      <c r="AT27" s="141">
        <f t="shared" si="8"/>
        <v>67</v>
      </c>
      <c r="AU27" s="141">
        <f t="shared" si="8"/>
        <v>67</v>
      </c>
      <c r="AV27" s="141">
        <f t="shared" si="8"/>
        <v>67</v>
      </c>
      <c r="AW27" s="141">
        <f t="shared" si="8"/>
        <v>67</v>
      </c>
      <c r="AX27" s="141">
        <f t="shared" si="8"/>
        <v>67</v>
      </c>
      <c r="AY27" s="181">
        <f t="shared" si="8"/>
        <v>67</v>
      </c>
      <c r="AZ27" s="124"/>
    </row>
    <row r="28" spans="1:52" x14ac:dyDescent="0.2">
      <c r="B28" s="182" t="s">
        <v>310</v>
      </c>
      <c r="C28" s="128">
        <v>16</v>
      </c>
      <c r="D28" s="128">
        <v>16</v>
      </c>
      <c r="E28" s="128">
        <v>0</v>
      </c>
      <c r="F28" s="128">
        <v>0</v>
      </c>
      <c r="G28" s="128">
        <v>51</v>
      </c>
      <c r="H28" s="128">
        <v>18</v>
      </c>
      <c r="I28" s="128">
        <v>18</v>
      </c>
      <c r="J28" s="128">
        <v>18</v>
      </c>
      <c r="K28" s="128">
        <v>18</v>
      </c>
      <c r="L28" s="128">
        <v>18</v>
      </c>
      <c r="M28" s="128">
        <v>18</v>
      </c>
      <c r="N28" s="128">
        <v>18</v>
      </c>
      <c r="O28" s="128">
        <v>18</v>
      </c>
      <c r="P28" s="128">
        <v>18</v>
      </c>
      <c r="Q28" s="128">
        <v>18</v>
      </c>
      <c r="R28" s="128">
        <v>18</v>
      </c>
      <c r="S28" s="128">
        <v>18</v>
      </c>
      <c r="T28" s="128">
        <v>0</v>
      </c>
      <c r="U28" s="128">
        <v>34</v>
      </c>
      <c r="V28" s="128">
        <v>18</v>
      </c>
      <c r="W28" s="128">
        <v>18</v>
      </c>
      <c r="X28" s="128">
        <v>18</v>
      </c>
      <c r="Y28" s="128">
        <v>18</v>
      </c>
      <c r="Z28" s="128">
        <v>18</v>
      </c>
      <c r="AA28" s="128">
        <v>0</v>
      </c>
      <c r="AB28" s="128">
        <v>34</v>
      </c>
      <c r="AC28" s="128">
        <v>18</v>
      </c>
      <c r="AD28" s="128">
        <v>18</v>
      </c>
      <c r="AE28" s="128">
        <v>18</v>
      </c>
      <c r="AF28" s="128">
        <v>18</v>
      </c>
      <c r="AG28" s="128">
        <v>18</v>
      </c>
      <c r="AH28" s="128">
        <v>18</v>
      </c>
      <c r="AI28" s="128">
        <v>18</v>
      </c>
      <c r="AJ28" s="128">
        <v>18</v>
      </c>
      <c r="AK28" s="128">
        <v>18</v>
      </c>
      <c r="AL28" s="128">
        <v>18</v>
      </c>
      <c r="AM28" s="128">
        <v>18</v>
      </c>
      <c r="AN28" s="128">
        <v>18</v>
      </c>
      <c r="AO28" s="128">
        <v>18</v>
      </c>
      <c r="AP28" s="128">
        <v>18</v>
      </c>
      <c r="AQ28" s="128">
        <v>18</v>
      </c>
      <c r="AR28" s="128">
        <v>18</v>
      </c>
      <c r="AS28" s="128">
        <v>18</v>
      </c>
      <c r="AT28" s="128">
        <v>18</v>
      </c>
      <c r="AU28" s="128">
        <v>18</v>
      </c>
      <c r="AV28" s="128">
        <v>18</v>
      </c>
      <c r="AW28" s="128">
        <v>18</v>
      </c>
      <c r="AX28" s="128">
        <v>18</v>
      </c>
      <c r="AY28" s="183">
        <v>18</v>
      </c>
      <c r="AZ28" s="124"/>
    </row>
    <row r="29" spans="1:52" x14ac:dyDescent="0.2">
      <c r="B29" s="153" t="s">
        <v>311</v>
      </c>
      <c r="C29" s="142">
        <v>16</v>
      </c>
      <c r="D29" s="142">
        <f>C$28</f>
        <v>16</v>
      </c>
      <c r="E29" s="142">
        <f t="shared" ref="E29:AY29" si="9">D$28</f>
        <v>16</v>
      </c>
      <c r="F29" s="142">
        <f t="shared" si="9"/>
        <v>0</v>
      </c>
      <c r="G29" s="142">
        <f t="shared" si="9"/>
        <v>0</v>
      </c>
      <c r="H29" s="142">
        <f t="shared" si="9"/>
        <v>51</v>
      </c>
      <c r="I29" s="142">
        <f t="shared" si="9"/>
        <v>18</v>
      </c>
      <c r="J29" s="142">
        <f t="shared" si="9"/>
        <v>18</v>
      </c>
      <c r="K29" s="142">
        <f t="shared" si="9"/>
        <v>18</v>
      </c>
      <c r="L29" s="142">
        <f t="shared" si="9"/>
        <v>18</v>
      </c>
      <c r="M29" s="142">
        <f t="shared" si="9"/>
        <v>18</v>
      </c>
      <c r="N29" s="142">
        <f t="shared" si="9"/>
        <v>18</v>
      </c>
      <c r="O29" s="142">
        <f t="shared" si="9"/>
        <v>18</v>
      </c>
      <c r="P29" s="142">
        <f t="shared" si="9"/>
        <v>18</v>
      </c>
      <c r="Q29" s="142">
        <f t="shared" si="9"/>
        <v>18</v>
      </c>
      <c r="R29" s="142">
        <f t="shared" si="9"/>
        <v>18</v>
      </c>
      <c r="S29" s="142">
        <f t="shared" si="9"/>
        <v>18</v>
      </c>
      <c r="T29" s="142">
        <f t="shared" si="9"/>
        <v>18</v>
      </c>
      <c r="U29" s="142">
        <f t="shared" si="9"/>
        <v>0</v>
      </c>
      <c r="V29" s="142">
        <f t="shared" si="9"/>
        <v>34</v>
      </c>
      <c r="W29" s="142">
        <f t="shared" si="9"/>
        <v>18</v>
      </c>
      <c r="X29" s="142">
        <f t="shared" si="9"/>
        <v>18</v>
      </c>
      <c r="Y29" s="142">
        <f t="shared" si="9"/>
        <v>18</v>
      </c>
      <c r="Z29" s="142">
        <f t="shared" si="9"/>
        <v>18</v>
      </c>
      <c r="AA29" s="142">
        <f t="shared" si="9"/>
        <v>18</v>
      </c>
      <c r="AB29" s="142">
        <f t="shared" si="9"/>
        <v>0</v>
      </c>
      <c r="AC29" s="142">
        <f t="shared" si="9"/>
        <v>34</v>
      </c>
      <c r="AD29" s="142">
        <f t="shared" si="9"/>
        <v>18</v>
      </c>
      <c r="AE29" s="142">
        <f t="shared" si="9"/>
        <v>18</v>
      </c>
      <c r="AF29" s="142">
        <f t="shared" si="9"/>
        <v>18</v>
      </c>
      <c r="AG29" s="142">
        <f t="shared" si="9"/>
        <v>18</v>
      </c>
      <c r="AH29" s="142">
        <f t="shared" si="9"/>
        <v>18</v>
      </c>
      <c r="AI29" s="142">
        <f t="shared" si="9"/>
        <v>18</v>
      </c>
      <c r="AJ29" s="142">
        <f t="shared" si="9"/>
        <v>18</v>
      </c>
      <c r="AK29" s="142">
        <f t="shared" si="9"/>
        <v>18</v>
      </c>
      <c r="AL29" s="142">
        <f t="shared" si="9"/>
        <v>18</v>
      </c>
      <c r="AM29" s="142">
        <f t="shared" si="9"/>
        <v>18</v>
      </c>
      <c r="AN29" s="142">
        <f t="shared" si="9"/>
        <v>18</v>
      </c>
      <c r="AO29" s="142">
        <f t="shared" si="9"/>
        <v>18</v>
      </c>
      <c r="AP29" s="142">
        <f t="shared" si="9"/>
        <v>18</v>
      </c>
      <c r="AQ29" s="142">
        <f t="shared" si="9"/>
        <v>18</v>
      </c>
      <c r="AR29" s="142">
        <f t="shared" si="9"/>
        <v>18</v>
      </c>
      <c r="AS29" s="142">
        <f t="shared" si="9"/>
        <v>18</v>
      </c>
      <c r="AT29" s="142">
        <f t="shared" si="9"/>
        <v>18</v>
      </c>
      <c r="AU29" s="142">
        <f t="shared" si="9"/>
        <v>18</v>
      </c>
      <c r="AV29" s="142">
        <f t="shared" si="9"/>
        <v>18</v>
      </c>
      <c r="AW29" s="142">
        <f t="shared" si="9"/>
        <v>18</v>
      </c>
      <c r="AX29" s="142">
        <f t="shared" si="9"/>
        <v>18</v>
      </c>
      <c r="AY29" s="184">
        <f t="shared" si="9"/>
        <v>18</v>
      </c>
      <c r="AZ29" s="185"/>
    </row>
    <row r="30" spans="1:52" x14ac:dyDescent="0.2">
      <c r="A30" s="186" t="s">
        <v>312</v>
      </c>
      <c r="B30" s="161">
        <v>10</v>
      </c>
      <c r="C30" s="134" t="s">
        <v>293</v>
      </c>
      <c r="D30" s="134">
        <f>D$27*$B$30</f>
        <v>690</v>
      </c>
      <c r="E30" s="134">
        <f t="shared" ref="E30:AY30" si="10">E$27*$B$30</f>
        <v>690</v>
      </c>
      <c r="F30" s="134">
        <f t="shared" si="10"/>
        <v>850</v>
      </c>
      <c r="G30" s="134">
        <f t="shared" si="10"/>
        <v>850</v>
      </c>
      <c r="H30" s="134">
        <f t="shared" si="10"/>
        <v>340</v>
      </c>
      <c r="I30" s="134">
        <f t="shared" si="10"/>
        <v>670</v>
      </c>
      <c r="J30" s="134">
        <f t="shared" si="10"/>
        <v>670</v>
      </c>
      <c r="K30" s="134">
        <f t="shared" si="10"/>
        <v>670</v>
      </c>
      <c r="L30" s="134">
        <f t="shared" si="10"/>
        <v>670</v>
      </c>
      <c r="M30" s="134">
        <f t="shared" si="10"/>
        <v>670</v>
      </c>
      <c r="N30" s="134">
        <f t="shared" si="10"/>
        <v>670</v>
      </c>
      <c r="O30" s="134">
        <f t="shared" si="10"/>
        <v>670</v>
      </c>
      <c r="P30" s="134">
        <f t="shared" si="10"/>
        <v>670</v>
      </c>
      <c r="Q30" s="134">
        <f t="shared" si="10"/>
        <v>670</v>
      </c>
      <c r="R30" s="134">
        <f>R$27*$B$30</f>
        <v>670</v>
      </c>
      <c r="S30" s="134">
        <f t="shared" si="10"/>
        <v>670</v>
      </c>
      <c r="T30" s="134">
        <f t="shared" si="10"/>
        <v>670</v>
      </c>
      <c r="U30" s="134">
        <f t="shared" si="10"/>
        <v>850</v>
      </c>
      <c r="V30" s="134">
        <f t="shared" si="10"/>
        <v>510</v>
      </c>
      <c r="W30" s="134">
        <f t="shared" si="10"/>
        <v>670</v>
      </c>
      <c r="X30" s="134">
        <f t="shared" si="10"/>
        <v>670</v>
      </c>
      <c r="Y30" s="134">
        <f t="shared" si="10"/>
        <v>670</v>
      </c>
      <c r="Z30" s="134">
        <f t="shared" si="10"/>
        <v>670</v>
      </c>
      <c r="AA30" s="134">
        <f t="shared" si="10"/>
        <v>670</v>
      </c>
      <c r="AB30" s="134">
        <f t="shared" si="10"/>
        <v>850</v>
      </c>
      <c r="AC30" s="134">
        <f t="shared" si="10"/>
        <v>510</v>
      </c>
      <c r="AD30" s="134">
        <f t="shared" si="10"/>
        <v>670</v>
      </c>
      <c r="AE30" s="134">
        <f>AE$27*$B$30</f>
        <v>670</v>
      </c>
      <c r="AF30" s="134">
        <f t="shared" si="10"/>
        <v>670</v>
      </c>
      <c r="AG30" s="134">
        <f t="shared" si="10"/>
        <v>670</v>
      </c>
      <c r="AH30" s="134">
        <f t="shared" si="10"/>
        <v>670</v>
      </c>
      <c r="AI30" s="134">
        <f t="shared" si="10"/>
        <v>670</v>
      </c>
      <c r="AJ30" s="134">
        <f t="shared" si="10"/>
        <v>670</v>
      </c>
      <c r="AK30" s="134">
        <f t="shared" si="10"/>
        <v>670</v>
      </c>
      <c r="AL30" s="134">
        <f t="shared" si="10"/>
        <v>670</v>
      </c>
      <c r="AM30" s="134">
        <f t="shared" si="10"/>
        <v>670</v>
      </c>
      <c r="AN30" s="134">
        <f t="shared" si="10"/>
        <v>670</v>
      </c>
      <c r="AO30" s="134">
        <f t="shared" si="10"/>
        <v>670</v>
      </c>
      <c r="AP30" s="134">
        <f t="shared" si="10"/>
        <v>670</v>
      </c>
      <c r="AQ30" s="134">
        <f t="shared" si="10"/>
        <v>670</v>
      </c>
      <c r="AR30" s="134">
        <f t="shared" si="10"/>
        <v>670</v>
      </c>
      <c r="AS30" s="134">
        <f t="shared" si="10"/>
        <v>670</v>
      </c>
      <c r="AT30" s="134">
        <f t="shared" si="10"/>
        <v>670</v>
      </c>
      <c r="AU30" s="134">
        <f t="shared" si="10"/>
        <v>670</v>
      </c>
      <c r="AV30" s="134">
        <f t="shared" si="10"/>
        <v>670</v>
      </c>
      <c r="AW30" s="134">
        <f t="shared" si="10"/>
        <v>670</v>
      </c>
      <c r="AX30" s="134">
        <f t="shared" si="10"/>
        <v>670</v>
      </c>
      <c r="AY30" s="134">
        <f t="shared" si="10"/>
        <v>670</v>
      </c>
      <c r="AZ30" s="158">
        <f t="shared" si="5"/>
        <v>32270</v>
      </c>
    </row>
    <row r="32" spans="1:52" x14ac:dyDescent="0.2">
      <c r="A32" s="1" t="s">
        <v>300</v>
      </c>
    </row>
    <row r="33" spans="1:52" x14ac:dyDescent="0.2">
      <c r="A33" s="152" t="s">
        <v>22</v>
      </c>
      <c r="B33" s="152" t="s">
        <v>341</v>
      </c>
      <c r="C33" s="141"/>
      <c r="D33" s="141">
        <f>D$21*shipping_manufacturing!$H$27/100</f>
        <v>115.46528190577816</v>
      </c>
      <c r="E33" s="141">
        <f>E$21*shipping_manufacturing!$H$27/100</f>
        <v>0</v>
      </c>
      <c r="F33" s="141">
        <f>F$21*shipping_manufacturing!$H$27/100</f>
        <v>0</v>
      </c>
      <c r="G33" s="141">
        <f>G$21*shipping_manufacturing!$H$27/100</f>
        <v>367.17998847723049</v>
      </c>
      <c r="H33" s="141">
        <f>H$21*shipping_manufacturing!$H$27/100</f>
        <v>122.39332949241017</v>
      </c>
      <c r="I33" s="141">
        <f>I$21*shipping_manufacturing!$H$27/100</f>
        <v>122.39332949241017</v>
      </c>
      <c r="J33" s="141">
        <f>J$21*shipping_manufacturing!$H$27/100</f>
        <v>122.39332949241017</v>
      </c>
      <c r="K33" s="141">
        <f>K$21*shipping_manufacturing!$H$27/100</f>
        <v>122.39332949241017</v>
      </c>
      <c r="L33" s="141">
        <f>L$21*shipping_manufacturing!$H$27/100</f>
        <v>122.39332949241017</v>
      </c>
      <c r="M33" s="141">
        <f>M$21*shipping_manufacturing!$H$27/100</f>
        <v>122.39332949241017</v>
      </c>
      <c r="N33" s="141">
        <f>N$21*shipping_manufacturing!$H$27/100</f>
        <v>122.39332949241017</v>
      </c>
      <c r="O33" s="141">
        <f>O$21*shipping_manufacturing!$H$27/100</f>
        <v>122.39332949241017</v>
      </c>
      <c r="P33" s="141">
        <f>P$21*shipping_manufacturing!$H$27/100</f>
        <v>122.39332949241017</v>
      </c>
      <c r="Q33" s="141">
        <f>Q$21*shipping_manufacturing!$H$27/100</f>
        <v>122.39332949241017</v>
      </c>
      <c r="R33" s="141">
        <f>R$21*shipping_manufacturing!$H$27/100</f>
        <v>122.39332949241017</v>
      </c>
      <c r="S33" s="141">
        <f>S$21*shipping_manufacturing!$H$27/100</f>
        <v>122.39332949241017</v>
      </c>
      <c r="T33" s="141">
        <f>T$21*shipping_manufacturing!$H$27/100</f>
        <v>0</v>
      </c>
      <c r="U33" s="141">
        <f>U$21*shipping_manufacturing!$H$27/100</f>
        <v>244.78665898482035</v>
      </c>
      <c r="V33" s="141">
        <f>V$21*shipping_manufacturing!$H$27/100</f>
        <v>122.39332949241017</v>
      </c>
      <c r="W33" s="141">
        <f>W$21*shipping_manufacturing!$H$27/100</f>
        <v>122.39332949241017</v>
      </c>
      <c r="X33" s="141">
        <f>X$21*shipping_manufacturing!$H$27/100</f>
        <v>122.39332949241017</v>
      </c>
      <c r="Y33" s="141">
        <f>Y$21*shipping_manufacturing!$H$27/100</f>
        <v>122.39332949241017</v>
      </c>
      <c r="Z33" s="141">
        <f>Z$21*shipping_manufacturing!$H$27/100</f>
        <v>122.39332949241017</v>
      </c>
      <c r="AA33" s="141">
        <f>AA$21*shipping_manufacturing!$H$27/100</f>
        <v>0</v>
      </c>
      <c r="AB33" s="141">
        <f>AB$21*shipping_manufacturing!$H$27/100</f>
        <v>244.78665898482035</v>
      </c>
      <c r="AC33" s="141">
        <f>AC$21*shipping_manufacturing!$H$27/100</f>
        <v>122.39332949241017</v>
      </c>
      <c r="AD33" s="141">
        <f>AD$21*shipping_manufacturing!$H$27/100</f>
        <v>122.39332949241017</v>
      </c>
      <c r="AE33" s="141">
        <f>AE$21*shipping_manufacturing!$H$27/100</f>
        <v>122.39332949241017</v>
      </c>
      <c r="AF33" s="141">
        <f>AF$21*shipping_manufacturing!$H$27/100</f>
        <v>122.39332949241017</v>
      </c>
      <c r="AG33" s="141">
        <f>AG$21*shipping_manufacturing!$H$27/100</f>
        <v>122.39332949241017</v>
      </c>
      <c r="AH33" s="141">
        <f>AH$21*shipping_manufacturing!$H$27/100</f>
        <v>122.39332949241017</v>
      </c>
      <c r="AI33" s="141">
        <f>AI$21*shipping_manufacturing!$H$27/100</f>
        <v>122.39332949241017</v>
      </c>
      <c r="AJ33" s="141">
        <f>AJ$21*shipping_manufacturing!$H$27/100</f>
        <v>122.39332949241017</v>
      </c>
      <c r="AK33" s="141">
        <f>AK$21*shipping_manufacturing!$H$27/100</f>
        <v>122.39332949241017</v>
      </c>
      <c r="AL33" s="141">
        <f>AL$21*shipping_manufacturing!$H$27/100</f>
        <v>122.39332949241017</v>
      </c>
      <c r="AM33" s="141">
        <f>AM$21*shipping_manufacturing!$H$27/100</f>
        <v>122.39332949241017</v>
      </c>
      <c r="AN33" s="141">
        <f>AN$21*shipping_manufacturing!$H$27/100</f>
        <v>122.39332949241017</v>
      </c>
      <c r="AO33" s="141">
        <f>AO$21*shipping_manufacturing!$H$27/100</f>
        <v>122.39332949241017</v>
      </c>
      <c r="AP33" s="141">
        <f>AP$21*shipping_manufacturing!$H$27/100</f>
        <v>122.39332949241017</v>
      </c>
      <c r="AQ33" s="141">
        <f>AQ$21*shipping_manufacturing!$H$27/100</f>
        <v>122.39332949241017</v>
      </c>
      <c r="AR33" s="141">
        <f>AR$21*shipping_manufacturing!$H$27/100</f>
        <v>122.39332949241017</v>
      </c>
      <c r="AS33" s="141">
        <f>AS$21*shipping_manufacturing!$H$27/100</f>
        <v>122.39332949241017</v>
      </c>
      <c r="AT33" s="141">
        <f>AT$21*shipping_manufacturing!$H$27/100</f>
        <v>122.39332949241017</v>
      </c>
      <c r="AU33" s="141">
        <f>AU$21*shipping_manufacturing!$H$27/100</f>
        <v>122.39332949241017</v>
      </c>
      <c r="AV33" s="141">
        <f>AV$21*shipping_manufacturing!$H$27/100</f>
        <v>122.39332949241017</v>
      </c>
      <c r="AW33" s="141">
        <f>AW$21*shipping_manufacturing!$H$27/100</f>
        <v>122.39332949241017</v>
      </c>
      <c r="AX33" s="141">
        <f>AX$21*shipping_manufacturing!$H$27/100</f>
        <v>122.39332949241017</v>
      </c>
      <c r="AY33" s="141">
        <f>AY$21*shipping_manufacturing!$H$27/100</f>
        <v>122.39332949241017</v>
      </c>
    </row>
    <row r="34" spans="1:52" x14ac:dyDescent="0.2">
      <c r="A34" s="130" t="s">
        <v>340</v>
      </c>
      <c r="B34" s="182" t="s">
        <v>342</v>
      </c>
      <c r="C34" s="128"/>
      <c r="D34" s="128">
        <f>D$22*shipping_manufacturing!$I$27/100</f>
        <v>0</v>
      </c>
      <c r="E34" s="128">
        <f>E$22*shipping_manufacturing!$I$27/100</f>
        <v>0</v>
      </c>
      <c r="F34" s="128">
        <f>F$22*shipping_manufacturing!$I$27/100</f>
        <v>0</v>
      </c>
      <c r="G34" s="128">
        <f>G$22*shipping_manufacturing!$I$27/100</f>
        <v>0</v>
      </c>
      <c r="H34" s="128">
        <f>H$22*shipping_manufacturing!$I$27/100</f>
        <v>0</v>
      </c>
      <c r="I34" s="128">
        <f>I$22*shipping_manufacturing!$I$27/100</f>
        <v>0</v>
      </c>
      <c r="J34" s="128">
        <f>J$22*shipping_manufacturing!$I$27/100</f>
        <v>0</v>
      </c>
      <c r="K34" s="128">
        <f>K$22*shipping_manufacturing!$I$27/100</f>
        <v>0</v>
      </c>
      <c r="L34" s="128">
        <f>L$22*shipping_manufacturing!$I$27/100</f>
        <v>0</v>
      </c>
      <c r="M34" s="128">
        <f>M$22*shipping_manufacturing!$I$27/100</f>
        <v>0</v>
      </c>
      <c r="N34" s="128">
        <f>N$22*shipping_manufacturing!$I$27/100</f>
        <v>0</v>
      </c>
      <c r="O34" s="128">
        <f>O$22*shipping_manufacturing!$I$27/100</f>
        <v>0</v>
      </c>
      <c r="P34" s="128">
        <f>P$22*shipping_manufacturing!$I$27/100</f>
        <v>0</v>
      </c>
      <c r="Q34" s="128">
        <f>Q$22*shipping_manufacturing!$I$27/100</f>
        <v>0</v>
      </c>
      <c r="R34" s="128">
        <f>R$22*shipping_manufacturing!$I$27/100</f>
        <v>0</v>
      </c>
      <c r="S34" s="128">
        <f>S$22*shipping_manufacturing!$I$27/100</f>
        <v>0</v>
      </c>
      <c r="T34" s="128">
        <f>T$22*shipping_manufacturing!$I$27/100</f>
        <v>0</v>
      </c>
      <c r="U34" s="128">
        <f>U$22*shipping_manufacturing!$I$27/100</f>
        <v>0</v>
      </c>
      <c r="V34" s="128">
        <f>V$22*shipping_manufacturing!$I$27/100</f>
        <v>0</v>
      </c>
      <c r="W34" s="128">
        <f>W$22*shipping_manufacturing!$I$27/100</f>
        <v>0</v>
      </c>
      <c r="X34" s="128">
        <f>X$22*shipping_manufacturing!$I$27/100</f>
        <v>0</v>
      </c>
      <c r="Y34" s="128">
        <f>Y$22*shipping_manufacturing!$I$27/100</f>
        <v>0</v>
      </c>
      <c r="Z34" s="128">
        <f>Z$22*shipping_manufacturing!$I$27/100</f>
        <v>0</v>
      </c>
      <c r="AA34" s="128">
        <f>AA$22*shipping_manufacturing!$I$27/100</f>
        <v>0</v>
      </c>
      <c r="AB34" s="128">
        <f>AB$22*shipping_manufacturing!$I$27/100</f>
        <v>0</v>
      </c>
      <c r="AC34" s="128">
        <f>AC$22*shipping_manufacturing!$I$27/100</f>
        <v>0</v>
      </c>
      <c r="AD34" s="128">
        <f>AD$22*shipping_manufacturing!$I$27/100</f>
        <v>0</v>
      </c>
      <c r="AE34" s="128">
        <f>AE$22*shipping_manufacturing!$I$27/100</f>
        <v>0</v>
      </c>
      <c r="AF34" s="128">
        <f>AF$22*shipping_manufacturing!$I$27/100</f>
        <v>0</v>
      </c>
      <c r="AG34" s="128">
        <f>AG$22*shipping_manufacturing!$I$27/100</f>
        <v>0</v>
      </c>
      <c r="AH34" s="128">
        <f>AH$22*shipping_manufacturing!$I$27/100</f>
        <v>0</v>
      </c>
      <c r="AI34" s="128">
        <f>AI$22*shipping_manufacturing!$I$27/100</f>
        <v>0</v>
      </c>
      <c r="AJ34" s="128">
        <f>AJ$22*shipping_manufacturing!$I$27/100</f>
        <v>0</v>
      </c>
      <c r="AK34" s="128">
        <f>AK$22*shipping_manufacturing!$I$27/100</f>
        <v>0</v>
      </c>
      <c r="AL34" s="128">
        <f>AL$22*shipping_manufacturing!$I$27/100</f>
        <v>0</v>
      </c>
      <c r="AM34" s="128">
        <f>AM$22*shipping_manufacturing!$I$27/100</f>
        <v>0</v>
      </c>
      <c r="AN34" s="128">
        <f>AN$22*shipping_manufacturing!$I$27/100</f>
        <v>0</v>
      </c>
      <c r="AO34" s="128">
        <f>AO$22*shipping_manufacturing!$I$27/100</f>
        <v>0</v>
      </c>
      <c r="AP34" s="128">
        <f>AP$22*shipping_manufacturing!$I$27/100</f>
        <v>0</v>
      </c>
      <c r="AQ34" s="128">
        <f>AQ$22*shipping_manufacturing!$I$27/100</f>
        <v>0</v>
      </c>
      <c r="AR34" s="128">
        <f>AR$22*shipping_manufacturing!$I$27/100</f>
        <v>0</v>
      </c>
      <c r="AS34" s="128">
        <f>AS$22*shipping_manufacturing!$I$27/100</f>
        <v>0</v>
      </c>
      <c r="AT34" s="128">
        <f>AT$22*shipping_manufacturing!$I$27/100</f>
        <v>0</v>
      </c>
      <c r="AU34" s="128">
        <f>AU$22*shipping_manufacturing!$I$27/100</f>
        <v>0</v>
      </c>
      <c r="AV34" s="128">
        <f>AV$22*shipping_manufacturing!$I$27/100</f>
        <v>0</v>
      </c>
      <c r="AW34" s="128">
        <f>AW$22*shipping_manufacturing!$I$27/100</f>
        <v>0</v>
      </c>
      <c r="AX34" s="128">
        <f>AX$22*shipping_manufacturing!$I$27/100</f>
        <v>0</v>
      </c>
      <c r="AY34" s="128">
        <f>AY$22*shipping_manufacturing!$I$27/100</f>
        <v>0</v>
      </c>
    </row>
    <row r="35" spans="1:52" x14ac:dyDescent="0.2">
      <c r="A35" s="128">
        <v>1245</v>
      </c>
      <c r="B35" s="182" t="s">
        <v>343</v>
      </c>
      <c r="C35" s="128"/>
      <c r="D35" s="128">
        <f>SUM(D33:D34)</f>
        <v>115.46528190577816</v>
      </c>
      <c r="E35" s="128">
        <f t="shared" ref="E35:AY35" si="11">SUM(E33:E34)</f>
        <v>0</v>
      </c>
      <c r="F35" s="128">
        <f t="shared" si="11"/>
        <v>0</v>
      </c>
      <c r="G35" s="128">
        <f t="shared" si="11"/>
        <v>367.17998847723049</v>
      </c>
      <c r="H35" s="128">
        <f t="shared" si="11"/>
        <v>122.39332949241017</v>
      </c>
      <c r="I35" s="128">
        <f t="shared" si="11"/>
        <v>122.39332949241017</v>
      </c>
      <c r="J35" s="128">
        <f t="shared" si="11"/>
        <v>122.39332949241017</v>
      </c>
      <c r="K35" s="128">
        <f t="shared" si="11"/>
        <v>122.39332949241017</v>
      </c>
      <c r="L35" s="128">
        <f t="shared" si="11"/>
        <v>122.39332949241017</v>
      </c>
      <c r="M35" s="128">
        <f t="shared" si="11"/>
        <v>122.39332949241017</v>
      </c>
      <c r="N35" s="128">
        <f t="shared" si="11"/>
        <v>122.39332949241017</v>
      </c>
      <c r="O35" s="128">
        <f t="shared" si="11"/>
        <v>122.39332949241017</v>
      </c>
      <c r="P35" s="128">
        <f t="shared" si="11"/>
        <v>122.39332949241017</v>
      </c>
      <c r="Q35" s="128">
        <f t="shared" si="11"/>
        <v>122.39332949241017</v>
      </c>
      <c r="R35" s="128">
        <f t="shared" si="11"/>
        <v>122.39332949241017</v>
      </c>
      <c r="S35" s="128">
        <f t="shared" si="11"/>
        <v>122.39332949241017</v>
      </c>
      <c r="T35" s="128">
        <f t="shared" si="11"/>
        <v>0</v>
      </c>
      <c r="U35" s="128">
        <f t="shared" si="11"/>
        <v>244.78665898482035</v>
      </c>
      <c r="V35" s="128">
        <f t="shared" si="11"/>
        <v>122.39332949241017</v>
      </c>
      <c r="W35" s="128">
        <f t="shared" si="11"/>
        <v>122.39332949241017</v>
      </c>
      <c r="X35" s="128">
        <f t="shared" si="11"/>
        <v>122.39332949241017</v>
      </c>
      <c r="Y35" s="128">
        <f t="shared" si="11"/>
        <v>122.39332949241017</v>
      </c>
      <c r="Z35" s="128">
        <f t="shared" si="11"/>
        <v>122.39332949241017</v>
      </c>
      <c r="AA35" s="128">
        <f t="shared" si="11"/>
        <v>0</v>
      </c>
      <c r="AB35" s="128">
        <f t="shared" si="11"/>
        <v>244.78665898482035</v>
      </c>
      <c r="AC35" s="128">
        <f t="shared" si="11"/>
        <v>122.39332949241017</v>
      </c>
      <c r="AD35" s="128">
        <f t="shared" si="11"/>
        <v>122.39332949241017</v>
      </c>
      <c r="AE35" s="128">
        <f t="shared" si="11"/>
        <v>122.39332949241017</v>
      </c>
      <c r="AF35" s="128">
        <f t="shared" si="11"/>
        <v>122.39332949241017</v>
      </c>
      <c r="AG35" s="128">
        <f t="shared" si="11"/>
        <v>122.39332949241017</v>
      </c>
      <c r="AH35" s="128">
        <f t="shared" si="11"/>
        <v>122.39332949241017</v>
      </c>
      <c r="AI35" s="128">
        <f t="shared" si="11"/>
        <v>122.39332949241017</v>
      </c>
      <c r="AJ35" s="128">
        <f t="shared" si="11"/>
        <v>122.39332949241017</v>
      </c>
      <c r="AK35" s="128">
        <f t="shared" si="11"/>
        <v>122.39332949241017</v>
      </c>
      <c r="AL35" s="128">
        <f t="shared" si="11"/>
        <v>122.39332949241017</v>
      </c>
      <c r="AM35" s="128">
        <f t="shared" si="11"/>
        <v>122.39332949241017</v>
      </c>
      <c r="AN35" s="128">
        <f t="shared" si="11"/>
        <v>122.39332949241017</v>
      </c>
      <c r="AO35" s="128">
        <f t="shared" si="11"/>
        <v>122.39332949241017</v>
      </c>
      <c r="AP35" s="128">
        <f t="shared" si="11"/>
        <v>122.39332949241017</v>
      </c>
      <c r="AQ35" s="128">
        <f t="shared" si="11"/>
        <v>122.39332949241017</v>
      </c>
      <c r="AR35" s="128">
        <f t="shared" si="11"/>
        <v>122.39332949241017</v>
      </c>
      <c r="AS35" s="128">
        <f t="shared" si="11"/>
        <v>122.39332949241017</v>
      </c>
      <c r="AT35" s="128">
        <f t="shared" si="11"/>
        <v>122.39332949241017</v>
      </c>
      <c r="AU35" s="128">
        <f t="shared" si="11"/>
        <v>122.39332949241017</v>
      </c>
      <c r="AV35" s="128">
        <f t="shared" si="11"/>
        <v>122.39332949241017</v>
      </c>
      <c r="AW35" s="128">
        <f t="shared" si="11"/>
        <v>122.39332949241017</v>
      </c>
      <c r="AX35" s="128">
        <f t="shared" si="11"/>
        <v>122.39332949241017</v>
      </c>
      <c r="AY35" s="128">
        <f t="shared" si="11"/>
        <v>122.39332949241017</v>
      </c>
    </row>
    <row r="36" spans="1:52" x14ac:dyDescent="0.2">
      <c r="A36" s="128"/>
      <c r="B36" s="182" t="s">
        <v>344</v>
      </c>
      <c r="C36" s="128"/>
      <c r="D36" s="128">
        <v>115.46528190577816</v>
      </c>
      <c r="E36" s="128"/>
      <c r="F36" s="128"/>
      <c r="G36" s="128">
        <v>367.17998847723049</v>
      </c>
      <c r="H36" s="128">
        <v>122.39332949241017</v>
      </c>
      <c r="I36" s="128">
        <v>122.39332949241017</v>
      </c>
      <c r="J36" s="128">
        <v>122.39332949241017</v>
      </c>
      <c r="K36" s="128">
        <v>122.39332949241017</v>
      </c>
      <c r="L36" s="128">
        <v>122.39332949241017</v>
      </c>
      <c r="M36" s="128">
        <v>122.39332949241017</v>
      </c>
      <c r="N36" s="128">
        <v>122.39332949241017</v>
      </c>
      <c r="O36" s="128">
        <v>122.39332949241017</v>
      </c>
      <c r="P36" s="128">
        <v>122.39332949241017</v>
      </c>
      <c r="Q36" s="128">
        <v>122.39332949241017</v>
      </c>
      <c r="R36" s="128">
        <v>122.39332949241017</v>
      </c>
      <c r="S36" s="128">
        <v>122.39332949241017</v>
      </c>
      <c r="T36" s="128"/>
      <c r="U36" s="128">
        <v>244.78665898482035</v>
      </c>
      <c r="V36" s="128">
        <v>122.39332949241017</v>
      </c>
      <c r="W36" s="128">
        <v>122.39332949241017</v>
      </c>
      <c r="X36" s="128">
        <v>122.39332949241017</v>
      </c>
      <c r="Y36" s="128">
        <v>122.39332949241017</v>
      </c>
      <c r="Z36" s="128">
        <v>122.39332949241017</v>
      </c>
      <c r="AA36" s="128"/>
      <c r="AB36" s="128">
        <v>244.78665898482035</v>
      </c>
      <c r="AC36" s="128">
        <v>122.39332949241017</v>
      </c>
      <c r="AD36" s="128">
        <v>122.39332949241017</v>
      </c>
      <c r="AE36" s="128">
        <v>122.39332949241017</v>
      </c>
      <c r="AF36" s="128">
        <v>122.39332949241017</v>
      </c>
      <c r="AG36" s="128">
        <v>122.39332949241017</v>
      </c>
      <c r="AH36" s="128">
        <v>122.39332949241017</v>
      </c>
      <c r="AI36" s="128">
        <v>122.39332949241017</v>
      </c>
      <c r="AJ36" s="128">
        <v>122.39332949241017</v>
      </c>
      <c r="AK36" s="128">
        <v>122.39332949241017</v>
      </c>
      <c r="AL36" s="128">
        <v>122.39332949241017</v>
      </c>
      <c r="AM36" s="128">
        <v>122.39332949241017</v>
      </c>
      <c r="AN36" s="128">
        <v>122.39332949241017</v>
      </c>
      <c r="AO36" s="128">
        <v>122.39332949241017</v>
      </c>
      <c r="AP36" s="128">
        <v>122.39332949241017</v>
      </c>
      <c r="AQ36" s="128">
        <v>122.39332949241017</v>
      </c>
      <c r="AR36" s="128">
        <v>122.39332949241017</v>
      </c>
      <c r="AS36" s="128">
        <v>122.39332949241017</v>
      </c>
      <c r="AT36" s="128">
        <v>122.39332949241017</v>
      </c>
      <c r="AU36" s="128">
        <v>122.39332949241017</v>
      </c>
      <c r="AV36" s="128">
        <v>122.39332949241017</v>
      </c>
      <c r="AW36" s="128">
        <v>122.39332949241017</v>
      </c>
      <c r="AX36" s="128">
        <v>122.39332949241017</v>
      </c>
      <c r="AY36" s="128">
        <v>122.39332949241017</v>
      </c>
    </row>
    <row r="37" spans="1:52" x14ac:dyDescent="0.2">
      <c r="A37" s="128"/>
      <c r="B37" s="182" t="s">
        <v>345</v>
      </c>
      <c r="C37" s="128"/>
      <c r="D37" s="128">
        <v>0</v>
      </c>
      <c r="E37" s="128"/>
      <c r="F37" s="128"/>
      <c r="G37" s="128">
        <v>0</v>
      </c>
      <c r="H37" s="128">
        <v>0</v>
      </c>
      <c r="I37" s="128">
        <v>0</v>
      </c>
      <c r="J37" s="128">
        <v>0</v>
      </c>
      <c r="K37" s="128">
        <v>0</v>
      </c>
      <c r="L37" s="128">
        <v>0</v>
      </c>
      <c r="M37" s="128">
        <v>0</v>
      </c>
      <c r="N37" s="128">
        <v>0</v>
      </c>
      <c r="O37" s="128">
        <v>0</v>
      </c>
      <c r="P37" s="128">
        <v>0</v>
      </c>
      <c r="Q37" s="128">
        <v>0</v>
      </c>
      <c r="R37" s="128">
        <v>0</v>
      </c>
      <c r="S37" s="128">
        <v>0</v>
      </c>
      <c r="T37" s="128"/>
      <c r="U37" s="128">
        <v>0</v>
      </c>
      <c r="V37" s="128">
        <v>0</v>
      </c>
      <c r="W37" s="128">
        <v>0</v>
      </c>
      <c r="X37" s="128">
        <v>0</v>
      </c>
      <c r="Y37" s="128">
        <v>0</v>
      </c>
      <c r="Z37" s="128">
        <v>0</v>
      </c>
      <c r="AA37" s="128"/>
      <c r="AB37" s="128">
        <v>0</v>
      </c>
      <c r="AC37" s="128">
        <v>0</v>
      </c>
      <c r="AD37" s="128">
        <v>0</v>
      </c>
      <c r="AE37" s="128">
        <v>0</v>
      </c>
      <c r="AF37" s="128">
        <v>0</v>
      </c>
      <c r="AG37" s="128">
        <v>0</v>
      </c>
      <c r="AH37" s="128">
        <v>0</v>
      </c>
      <c r="AI37" s="128">
        <v>0</v>
      </c>
      <c r="AJ37" s="128">
        <v>0</v>
      </c>
      <c r="AK37" s="128">
        <v>0</v>
      </c>
      <c r="AL37" s="128">
        <v>0</v>
      </c>
      <c r="AM37" s="128">
        <v>0</v>
      </c>
      <c r="AN37" s="128">
        <v>0</v>
      </c>
      <c r="AO37" s="128">
        <v>0</v>
      </c>
      <c r="AP37" s="128">
        <v>0</v>
      </c>
      <c r="AQ37" s="128">
        <v>0</v>
      </c>
      <c r="AR37" s="128">
        <v>0</v>
      </c>
      <c r="AS37" s="128">
        <v>0</v>
      </c>
      <c r="AT37" s="128">
        <v>0</v>
      </c>
      <c r="AU37" s="128">
        <v>0</v>
      </c>
      <c r="AV37" s="128">
        <v>0</v>
      </c>
      <c r="AW37" s="128">
        <v>0</v>
      </c>
      <c r="AX37" s="128">
        <v>0</v>
      </c>
      <c r="AY37" s="128">
        <v>0</v>
      </c>
    </row>
    <row r="38" spans="1:52" x14ac:dyDescent="0.2">
      <c r="A38" s="128"/>
      <c r="B38" s="182" t="s">
        <v>346</v>
      </c>
      <c r="C38" s="128"/>
      <c r="D38" s="128">
        <v>4</v>
      </c>
      <c r="E38" s="128"/>
      <c r="F38" s="128"/>
      <c r="G38" s="128">
        <v>13</v>
      </c>
      <c r="H38" s="128">
        <v>5</v>
      </c>
      <c r="I38" s="128">
        <v>5</v>
      </c>
      <c r="J38" s="128">
        <v>5</v>
      </c>
      <c r="K38" s="128">
        <v>5</v>
      </c>
      <c r="L38" s="128">
        <v>5</v>
      </c>
      <c r="M38" s="128">
        <v>5</v>
      </c>
      <c r="N38" s="128">
        <v>5</v>
      </c>
      <c r="O38" s="128">
        <v>5</v>
      </c>
      <c r="P38" s="128">
        <v>5</v>
      </c>
      <c r="Q38" s="128">
        <v>5</v>
      </c>
      <c r="R38" s="128">
        <v>5</v>
      </c>
      <c r="S38" s="128">
        <v>5</v>
      </c>
      <c r="T38" s="128"/>
      <c r="U38" s="128">
        <v>9</v>
      </c>
      <c r="V38" s="128">
        <v>5</v>
      </c>
      <c r="W38" s="128">
        <v>5</v>
      </c>
      <c r="X38" s="128">
        <v>5</v>
      </c>
      <c r="Y38" s="128">
        <v>5</v>
      </c>
      <c r="Z38" s="128">
        <v>5</v>
      </c>
      <c r="AA38" s="128"/>
      <c r="AB38" s="128">
        <v>9</v>
      </c>
      <c r="AC38" s="128">
        <v>5</v>
      </c>
      <c r="AD38" s="128">
        <v>5</v>
      </c>
      <c r="AE38" s="128">
        <v>5</v>
      </c>
      <c r="AF38" s="128">
        <v>5</v>
      </c>
      <c r="AG38" s="128">
        <v>5</v>
      </c>
      <c r="AH38" s="128">
        <v>5</v>
      </c>
      <c r="AI38" s="128">
        <v>5</v>
      </c>
      <c r="AJ38" s="128">
        <v>5</v>
      </c>
      <c r="AK38" s="128">
        <v>5</v>
      </c>
      <c r="AL38" s="128">
        <v>5</v>
      </c>
      <c r="AM38" s="128">
        <v>5</v>
      </c>
      <c r="AN38" s="128">
        <v>5</v>
      </c>
      <c r="AO38" s="128">
        <v>5</v>
      </c>
      <c r="AP38" s="128">
        <v>5</v>
      </c>
      <c r="AQ38" s="128">
        <v>5</v>
      </c>
      <c r="AR38" s="128">
        <v>5</v>
      </c>
      <c r="AS38" s="128">
        <v>5</v>
      </c>
      <c r="AT38" s="128">
        <v>5</v>
      </c>
      <c r="AU38" s="128">
        <v>5</v>
      </c>
      <c r="AV38" s="128">
        <v>5</v>
      </c>
      <c r="AW38" s="128">
        <v>5</v>
      </c>
      <c r="AX38" s="128">
        <v>5</v>
      </c>
      <c r="AY38" s="128">
        <v>5</v>
      </c>
    </row>
    <row r="39" spans="1:52" x14ac:dyDescent="0.2">
      <c r="A39" s="128"/>
      <c r="B39" s="182" t="s">
        <v>347</v>
      </c>
      <c r="C39" s="128"/>
      <c r="D39" s="128">
        <f>D33-D36</f>
        <v>0</v>
      </c>
      <c r="E39" s="128">
        <f t="shared" ref="E39:AY39" si="12">E33-E36</f>
        <v>0</v>
      </c>
      <c r="F39" s="128">
        <f t="shared" si="12"/>
        <v>0</v>
      </c>
      <c r="G39" s="128">
        <f t="shared" si="12"/>
        <v>0</v>
      </c>
      <c r="H39" s="128">
        <f t="shared" si="12"/>
        <v>0</v>
      </c>
      <c r="I39" s="128">
        <f t="shared" si="12"/>
        <v>0</v>
      </c>
      <c r="J39" s="128">
        <f t="shared" si="12"/>
        <v>0</v>
      </c>
      <c r="K39" s="128">
        <f t="shared" si="12"/>
        <v>0</v>
      </c>
      <c r="L39" s="128">
        <f t="shared" si="12"/>
        <v>0</v>
      </c>
      <c r="M39" s="128">
        <f t="shared" si="12"/>
        <v>0</v>
      </c>
      <c r="N39" s="128">
        <f t="shared" si="12"/>
        <v>0</v>
      </c>
      <c r="O39" s="128">
        <f t="shared" si="12"/>
        <v>0</v>
      </c>
      <c r="P39" s="128">
        <f t="shared" si="12"/>
        <v>0</v>
      </c>
      <c r="Q39" s="128">
        <f t="shared" si="12"/>
        <v>0</v>
      </c>
      <c r="R39" s="128">
        <f t="shared" si="12"/>
        <v>0</v>
      </c>
      <c r="S39" s="128">
        <f t="shared" si="12"/>
        <v>0</v>
      </c>
      <c r="T39" s="128">
        <f t="shared" si="12"/>
        <v>0</v>
      </c>
      <c r="U39" s="128">
        <f t="shared" si="12"/>
        <v>0</v>
      </c>
      <c r="V39" s="128">
        <f t="shared" si="12"/>
        <v>0</v>
      </c>
      <c r="W39" s="128">
        <f t="shared" si="12"/>
        <v>0</v>
      </c>
      <c r="X39" s="128">
        <f t="shared" si="12"/>
        <v>0</v>
      </c>
      <c r="Y39" s="128">
        <f t="shared" si="12"/>
        <v>0</v>
      </c>
      <c r="Z39" s="128">
        <f t="shared" si="12"/>
        <v>0</v>
      </c>
      <c r="AA39" s="128">
        <f t="shared" si="12"/>
        <v>0</v>
      </c>
      <c r="AB39" s="128">
        <f t="shared" si="12"/>
        <v>0</v>
      </c>
      <c r="AC39" s="128">
        <f t="shared" si="12"/>
        <v>0</v>
      </c>
      <c r="AD39" s="128">
        <f t="shared" si="12"/>
        <v>0</v>
      </c>
      <c r="AE39" s="128">
        <f t="shared" si="12"/>
        <v>0</v>
      </c>
      <c r="AF39" s="128">
        <f t="shared" si="12"/>
        <v>0</v>
      </c>
      <c r="AG39" s="128">
        <f t="shared" si="12"/>
        <v>0</v>
      </c>
      <c r="AH39" s="128">
        <f t="shared" si="12"/>
        <v>0</v>
      </c>
      <c r="AI39" s="128">
        <f t="shared" si="12"/>
        <v>0</v>
      </c>
      <c r="AJ39" s="128">
        <f t="shared" si="12"/>
        <v>0</v>
      </c>
      <c r="AK39" s="128">
        <f t="shared" si="12"/>
        <v>0</v>
      </c>
      <c r="AL39" s="128">
        <f t="shared" si="12"/>
        <v>0</v>
      </c>
      <c r="AM39" s="128">
        <f t="shared" si="12"/>
        <v>0</v>
      </c>
      <c r="AN39" s="128">
        <f t="shared" si="12"/>
        <v>0</v>
      </c>
      <c r="AO39" s="128">
        <f t="shared" si="12"/>
        <v>0</v>
      </c>
      <c r="AP39" s="128">
        <f t="shared" si="12"/>
        <v>0</v>
      </c>
      <c r="AQ39" s="128">
        <f t="shared" si="12"/>
        <v>0</v>
      </c>
      <c r="AR39" s="128">
        <f t="shared" si="12"/>
        <v>0</v>
      </c>
      <c r="AS39" s="128">
        <f t="shared" si="12"/>
        <v>0</v>
      </c>
      <c r="AT39" s="128">
        <f t="shared" si="12"/>
        <v>0</v>
      </c>
      <c r="AU39" s="128">
        <f t="shared" si="12"/>
        <v>0</v>
      </c>
      <c r="AV39" s="128">
        <f t="shared" si="12"/>
        <v>0</v>
      </c>
      <c r="AW39" s="128">
        <f t="shared" si="12"/>
        <v>0</v>
      </c>
      <c r="AX39" s="128">
        <f t="shared" si="12"/>
        <v>0</v>
      </c>
      <c r="AY39" s="128">
        <f t="shared" si="12"/>
        <v>0</v>
      </c>
    </row>
    <row r="40" spans="1:52" x14ac:dyDescent="0.2">
      <c r="A40" s="128"/>
      <c r="B40" s="182" t="s">
        <v>348</v>
      </c>
      <c r="C40" s="128"/>
      <c r="D40" s="128">
        <f>D34-D37</f>
        <v>0</v>
      </c>
      <c r="E40" s="128">
        <f t="shared" ref="E40:AY40" si="13">E34-E37</f>
        <v>0</v>
      </c>
      <c r="F40" s="128">
        <f t="shared" si="13"/>
        <v>0</v>
      </c>
      <c r="G40" s="128">
        <f t="shared" si="13"/>
        <v>0</v>
      </c>
      <c r="H40" s="128">
        <f t="shared" si="13"/>
        <v>0</v>
      </c>
      <c r="I40" s="128">
        <f t="shared" si="13"/>
        <v>0</v>
      </c>
      <c r="J40" s="128">
        <f t="shared" si="13"/>
        <v>0</v>
      </c>
      <c r="K40" s="128">
        <f t="shared" si="13"/>
        <v>0</v>
      </c>
      <c r="L40" s="128">
        <f t="shared" si="13"/>
        <v>0</v>
      </c>
      <c r="M40" s="128">
        <f t="shared" si="13"/>
        <v>0</v>
      </c>
      <c r="N40" s="128">
        <f t="shared" si="13"/>
        <v>0</v>
      </c>
      <c r="O40" s="128">
        <f t="shared" si="13"/>
        <v>0</v>
      </c>
      <c r="P40" s="128">
        <f t="shared" si="13"/>
        <v>0</v>
      </c>
      <c r="Q40" s="128">
        <f t="shared" si="13"/>
        <v>0</v>
      </c>
      <c r="R40" s="128">
        <f t="shared" si="13"/>
        <v>0</v>
      </c>
      <c r="S40" s="128">
        <f t="shared" si="13"/>
        <v>0</v>
      </c>
      <c r="T40" s="128">
        <f t="shared" si="13"/>
        <v>0</v>
      </c>
      <c r="U40" s="128">
        <f t="shared" si="13"/>
        <v>0</v>
      </c>
      <c r="V40" s="128">
        <f t="shared" si="13"/>
        <v>0</v>
      </c>
      <c r="W40" s="128">
        <f t="shared" si="13"/>
        <v>0</v>
      </c>
      <c r="X40" s="128">
        <f t="shared" si="13"/>
        <v>0</v>
      </c>
      <c r="Y40" s="128">
        <f t="shared" si="13"/>
        <v>0</v>
      </c>
      <c r="Z40" s="128">
        <f t="shared" si="13"/>
        <v>0</v>
      </c>
      <c r="AA40" s="128">
        <f t="shared" si="13"/>
        <v>0</v>
      </c>
      <c r="AB40" s="128">
        <f t="shared" si="13"/>
        <v>0</v>
      </c>
      <c r="AC40" s="128">
        <f t="shared" si="13"/>
        <v>0</v>
      </c>
      <c r="AD40" s="128">
        <f t="shared" si="13"/>
        <v>0</v>
      </c>
      <c r="AE40" s="128">
        <f t="shared" si="13"/>
        <v>0</v>
      </c>
      <c r="AF40" s="128">
        <f t="shared" si="13"/>
        <v>0</v>
      </c>
      <c r="AG40" s="128">
        <f t="shared" si="13"/>
        <v>0</v>
      </c>
      <c r="AH40" s="128">
        <f t="shared" si="13"/>
        <v>0</v>
      </c>
      <c r="AI40" s="128">
        <f t="shared" si="13"/>
        <v>0</v>
      </c>
      <c r="AJ40" s="128">
        <f t="shared" si="13"/>
        <v>0</v>
      </c>
      <c r="AK40" s="128">
        <f t="shared" si="13"/>
        <v>0</v>
      </c>
      <c r="AL40" s="128">
        <f t="shared" si="13"/>
        <v>0</v>
      </c>
      <c r="AM40" s="128">
        <f t="shared" si="13"/>
        <v>0</v>
      </c>
      <c r="AN40" s="128">
        <f t="shared" si="13"/>
        <v>0</v>
      </c>
      <c r="AO40" s="128">
        <f t="shared" si="13"/>
        <v>0</v>
      </c>
      <c r="AP40" s="128">
        <f t="shared" si="13"/>
        <v>0</v>
      </c>
      <c r="AQ40" s="128">
        <f t="shared" si="13"/>
        <v>0</v>
      </c>
      <c r="AR40" s="128">
        <f t="shared" si="13"/>
        <v>0</v>
      </c>
      <c r="AS40" s="128">
        <f t="shared" si="13"/>
        <v>0</v>
      </c>
      <c r="AT40" s="128">
        <f t="shared" si="13"/>
        <v>0</v>
      </c>
      <c r="AU40" s="128">
        <f t="shared" si="13"/>
        <v>0</v>
      </c>
      <c r="AV40" s="128">
        <f t="shared" si="13"/>
        <v>0</v>
      </c>
      <c r="AW40" s="128">
        <f t="shared" si="13"/>
        <v>0</v>
      </c>
      <c r="AX40" s="128">
        <f t="shared" si="13"/>
        <v>0</v>
      </c>
      <c r="AY40" s="128">
        <f t="shared" si="13"/>
        <v>0</v>
      </c>
    </row>
    <row r="41" spans="1:52" x14ac:dyDescent="0.2">
      <c r="A41" s="128"/>
      <c r="B41" s="182" t="s">
        <v>349</v>
      </c>
      <c r="C41" s="128"/>
      <c r="D41" s="128">
        <v>1</v>
      </c>
      <c r="E41" s="128">
        <v>2</v>
      </c>
      <c r="F41" s="128">
        <v>1</v>
      </c>
      <c r="G41" s="128">
        <v>1</v>
      </c>
      <c r="H41" s="128">
        <v>1</v>
      </c>
      <c r="I41" s="128">
        <v>1</v>
      </c>
      <c r="J41" s="128">
        <v>1</v>
      </c>
      <c r="K41" s="128">
        <v>2</v>
      </c>
      <c r="L41" s="128">
        <v>1</v>
      </c>
      <c r="M41" s="128">
        <v>1</v>
      </c>
      <c r="N41" s="128">
        <v>1</v>
      </c>
      <c r="O41" s="128">
        <v>1</v>
      </c>
      <c r="P41" s="128">
        <v>1</v>
      </c>
      <c r="Q41" s="128">
        <v>1</v>
      </c>
      <c r="R41" s="128">
        <v>2</v>
      </c>
      <c r="S41" s="128">
        <v>2</v>
      </c>
      <c r="T41" s="128">
        <v>1</v>
      </c>
      <c r="U41" s="128">
        <v>1</v>
      </c>
      <c r="V41" s="128">
        <v>2</v>
      </c>
      <c r="W41" s="128">
        <v>1</v>
      </c>
      <c r="X41" s="128">
        <v>1</v>
      </c>
      <c r="Y41" s="128">
        <v>1</v>
      </c>
      <c r="Z41" s="128">
        <v>1</v>
      </c>
      <c r="AA41" s="128">
        <v>2</v>
      </c>
      <c r="AB41" s="128">
        <v>1</v>
      </c>
      <c r="AC41" s="128">
        <v>1</v>
      </c>
      <c r="AD41" s="128">
        <v>1</v>
      </c>
      <c r="AE41" s="128">
        <v>1</v>
      </c>
      <c r="AF41" s="128">
        <v>2</v>
      </c>
      <c r="AG41" s="128">
        <v>1</v>
      </c>
      <c r="AH41" s="128">
        <v>1</v>
      </c>
      <c r="AI41" s="128">
        <v>1</v>
      </c>
      <c r="AJ41" s="128">
        <v>3</v>
      </c>
      <c r="AK41" s="128">
        <v>1</v>
      </c>
      <c r="AL41" s="128">
        <v>1</v>
      </c>
      <c r="AM41" s="128">
        <v>1</v>
      </c>
      <c r="AN41" s="128">
        <v>1</v>
      </c>
      <c r="AO41" s="128">
        <v>1</v>
      </c>
      <c r="AP41" s="128">
        <v>1</v>
      </c>
      <c r="AQ41" s="128">
        <v>1</v>
      </c>
      <c r="AR41" s="128">
        <v>1</v>
      </c>
      <c r="AS41" s="128">
        <v>1</v>
      </c>
      <c r="AT41" s="128">
        <v>1</v>
      </c>
      <c r="AU41" s="128">
        <v>2</v>
      </c>
      <c r="AV41" s="128">
        <v>3</v>
      </c>
      <c r="AW41" s="128">
        <v>1</v>
      </c>
      <c r="AX41" s="128">
        <v>2</v>
      </c>
      <c r="AY41" s="128">
        <v>2</v>
      </c>
    </row>
    <row r="42" spans="1:52" x14ac:dyDescent="0.2">
      <c r="A42" s="128"/>
      <c r="B42" s="193" t="s">
        <v>350</v>
      </c>
      <c r="C42" s="128"/>
      <c r="D42" s="128">
        <v>179280</v>
      </c>
      <c r="E42" s="128">
        <v>0</v>
      </c>
      <c r="F42" s="128">
        <v>0</v>
      </c>
      <c r="G42" s="128">
        <v>582660</v>
      </c>
      <c r="H42" s="128">
        <v>224100</v>
      </c>
      <c r="I42" s="128">
        <v>224100</v>
      </c>
      <c r="J42" s="128">
        <v>224100</v>
      </c>
      <c r="K42" s="128">
        <v>224100</v>
      </c>
      <c r="L42" s="128">
        <v>224100</v>
      </c>
      <c r="M42" s="128">
        <v>224100</v>
      </c>
      <c r="N42" s="128">
        <v>224100</v>
      </c>
      <c r="O42" s="128">
        <v>224100</v>
      </c>
      <c r="P42" s="128">
        <v>224100</v>
      </c>
      <c r="Q42" s="128">
        <v>224100</v>
      </c>
      <c r="R42" s="128">
        <v>224100</v>
      </c>
      <c r="S42" s="128">
        <v>224100</v>
      </c>
      <c r="T42" s="128">
        <v>0</v>
      </c>
      <c r="U42" s="128">
        <v>403380</v>
      </c>
      <c r="V42" s="128">
        <v>224100</v>
      </c>
      <c r="W42" s="128">
        <v>224100</v>
      </c>
      <c r="X42" s="128">
        <v>224100</v>
      </c>
      <c r="Y42" s="128">
        <v>224100</v>
      </c>
      <c r="Z42" s="128">
        <v>224100</v>
      </c>
      <c r="AA42" s="128">
        <v>0</v>
      </c>
      <c r="AB42" s="128">
        <v>403380</v>
      </c>
      <c r="AC42" s="128">
        <v>224100</v>
      </c>
      <c r="AD42" s="128">
        <v>224100</v>
      </c>
      <c r="AE42" s="128">
        <v>224100</v>
      </c>
      <c r="AF42" s="128">
        <v>224100</v>
      </c>
      <c r="AG42" s="128">
        <v>224100</v>
      </c>
      <c r="AH42" s="128">
        <v>224100</v>
      </c>
      <c r="AI42" s="128">
        <v>224100</v>
      </c>
      <c r="AJ42" s="128">
        <v>224100</v>
      </c>
      <c r="AK42" s="128">
        <v>224100</v>
      </c>
      <c r="AL42" s="128">
        <v>224100</v>
      </c>
      <c r="AM42" s="128">
        <v>224100</v>
      </c>
      <c r="AN42" s="128">
        <v>224100</v>
      </c>
      <c r="AO42" s="128">
        <v>224100</v>
      </c>
      <c r="AP42" s="128">
        <v>224100</v>
      </c>
      <c r="AQ42" s="128">
        <v>224100</v>
      </c>
      <c r="AR42" s="128">
        <v>224100</v>
      </c>
      <c r="AS42" s="128">
        <v>224100</v>
      </c>
      <c r="AT42" s="128">
        <v>224100</v>
      </c>
      <c r="AU42" s="128">
        <v>224100</v>
      </c>
      <c r="AV42" s="128">
        <v>224100</v>
      </c>
      <c r="AW42" s="128">
        <v>224100</v>
      </c>
      <c r="AX42" s="128">
        <v>224100</v>
      </c>
      <c r="AY42" s="128">
        <v>224100</v>
      </c>
      <c r="AZ42">
        <f>SUM($D$42:$AY$42)</f>
        <v>10532700</v>
      </c>
    </row>
    <row r="43" spans="1:52" x14ac:dyDescent="0.2">
      <c r="A43" s="128"/>
      <c r="B43" s="193" t="s">
        <v>351</v>
      </c>
      <c r="C43" s="128"/>
      <c r="D43" s="128">
        <v>0</v>
      </c>
      <c r="E43" s="128">
        <v>0</v>
      </c>
      <c r="F43" s="128">
        <v>0</v>
      </c>
      <c r="G43" s="128">
        <v>0</v>
      </c>
      <c r="H43" s="128">
        <v>0</v>
      </c>
      <c r="I43" s="128">
        <v>0</v>
      </c>
      <c r="J43" s="128">
        <v>0</v>
      </c>
      <c r="K43" s="128">
        <v>0</v>
      </c>
      <c r="L43" s="128">
        <v>0</v>
      </c>
      <c r="M43" s="128">
        <v>0</v>
      </c>
      <c r="N43" s="128">
        <v>0</v>
      </c>
      <c r="O43" s="128">
        <v>0</v>
      </c>
      <c r="P43" s="128">
        <v>0</v>
      </c>
      <c r="Q43" s="128">
        <v>0</v>
      </c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128">
        <v>0</v>
      </c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  <c r="AD43" s="128">
        <v>0</v>
      </c>
      <c r="AE43" s="128">
        <v>0</v>
      </c>
      <c r="AF43" s="128">
        <v>0</v>
      </c>
      <c r="AG43" s="128">
        <v>0</v>
      </c>
      <c r="AH43" s="128">
        <v>0</v>
      </c>
      <c r="AI43" s="128">
        <v>0</v>
      </c>
      <c r="AJ43" s="128">
        <v>0</v>
      </c>
      <c r="AK43" s="128">
        <v>0</v>
      </c>
      <c r="AL43" s="128">
        <v>0</v>
      </c>
      <c r="AM43" s="128">
        <v>0</v>
      </c>
      <c r="AN43" s="128">
        <v>0</v>
      </c>
      <c r="AO43" s="128">
        <v>0</v>
      </c>
      <c r="AP43" s="128">
        <v>0</v>
      </c>
      <c r="AQ43" s="128">
        <v>0</v>
      </c>
      <c r="AR43" s="128">
        <v>0</v>
      </c>
      <c r="AS43" s="128">
        <v>0</v>
      </c>
      <c r="AT43" s="128">
        <v>0</v>
      </c>
      <c r="AU43" s="128">
        <v>0</v>
      </c>
      <c r="AV43" s="128">
        <v>0</v>
      </c>
      <c r="AW43" s="128">
        <v>0</v>
      </c>
      <c r="AX43" s="128">
        <v>0</v>
      </c>
      <c r="AY43" s="128">
        <v>0</v>
      </c>
      <c r="AZ43">
        <f>SUM($D$43:$AY$43)</f>
        <v>0</v>
      </c>
    </row>
    <row r="44" spans="1:52" x14ac:dyDescent="0.2">
      <c r="A44" s="152" t="s">
        <v>59</v>
      </c>
      <c r="B44" s="152" t="s">
        <v>341</v>
      </c>
      <c r="C44" s="141"/>
      <c r="D44" s="141">
        <f>D$21*shipping_manufacturing!$H$28/100</f>
        <v>256.30455114038853</v>
      </c>
      <c r="E44" s="141">
        <f>E$21*shipping_manufacturing!$H$28/100</f>
        <v>0</v>
      </c>
      <c r="F44" s="141">
        <f>F$21*shipping_manufacturing!$H$28/100</f>
        <v>0</v>
      </c>
      <c r="G44" s="141">
        <f>G$21*shipping_manufacturing!$H$28/100</f>
        <v>815.0493428075207</v>
      </c>
      <c r="H44" s="141">
        <f>H$21*shipping_manufacturing!$H$28/100</f>
        <v>271.68311426917359</v>
      </c>
      <c r="I44" s="141">
        <f>I$21*shipping_manufacturing!$H$28/100</f>
        <v>271.68311426917359</v>
      </c>
      <c r="J44" s="141">
        <f>J$21*shipping_manufacturing!$H$28/100</f>
        <v>271.68311426917359</v>
      </c>
      <c r="K44" s="141">
        <f>K$21*shipping_manufacturing!$H$28/100</f>
        <v>271.68311426917359</v>
      </c>
      <c r="L44" s="141">
        <f>L$21*shipping_manufacturing!$H$28/100</f>
        <v>271.68311426917359</v>
      </c>
      <c r="M44" s="141">
        <f>M$21*shipping_manufacturing!$H$28/100</f>
        <v>271.68311426917359</v>
      </c>
      <c r="N44" s="141">
        <f>N$21*shipping_manufacturing!$H$28/100</f>
        <v>271.68311426917359</v>
      </c>
      <c r="O44" s="141">
        <f>O$21*shipping_manufacturing!$H$28/100</f>
        <v>271.68311426917359</v>
      </c>
      <c r="P44" s="141">
        <f>P$21*shipping_manufacturing!$H$28/100</f>
        <v>271.68311426917359</v>
      </c>
      <c r="Q44" s="141">
        <f>Q$21*shipping_manufacturing!$H$28/100</f>
        <v>271.68311426917359</v>
      </c>
      <c r="R44" s="141">
        <f>R$21*shipping_manufacturing!$H$28/100</f>
        <v>271.68311426917359</v>
      </c>
      <c r="S44" s="141">
        <f>S$21*shipping_manufacturing!$H$28/100</f>
        <v>271.68311426917359</v>
      </c>
      <c r="T44" s="141">
        <f>T$21*shipping_manufacturing!$H$28/100</f>
        <v>0</v>
      </c>
      <c r="U44" s="141">
        <f>U$21*shipping_manufacturing!$H$28/100</f>
        <v>543.36622853834717</v>
      </c>
      <c r="V44" s="141">
        <f>V$21*shipping_manufacturing!$H$28/100</f>
        <v>271.68311426917359</v>
      </c>
      <c r="W44" s="141">
        <f>W$21*shipping_manufacturing!$H$28/100</f>
        <v>271.68311426917359</v>
      </c>
      <c r="X44" s="141">
        <f>X$21*shipping_manufacturing!$H$28/100</f>
        <v>271.68311426917359</v>
      </c>
      <c r="Y44" s="141">
        <f>Y$21*shipping_manufacturing!$H$28/100</f>
        <v>271.68311426917359</v>
      </c>
      <c r="Z44" s="141">
        <f>Z$21*shipping_manufacturing!$H$28/100</f>
        <v>271.68311426917359</v>
      </c>
      <c r="AA44" s="141">
        <f>AA$21*shipping_manufacturing!$H$28/100</f>
        <v>0</v>
      </c>
      <c r="AB44" s="141">
        <f>AB$21*shipping_manufacturing!$H$28/100</f>
        <v>543.36622853834717</v>
      </c>
      <c r="AC44" s="141">
        <f>AC$21*shipping_manufacturing!$H$28/100</f>
        <v>271.68311426917359</v>
      </c>
      <c r="AD44" s="141">
        <f>AD$21*shipping_manufacturing!$H$28/100</f>
        <v>271.68311426917359</v>
      </c>
      <c r="AE44" s="141">
        <f>AE$21*shipping_manufacturing!$H$28/100</f>
        <v>271.68311426917359</v>
      </c>
      <c r="AF44" s="141">
        <f>AF$21*shipping_manufacturing!$H$28/100</f>
        <v>271.68311426917359</v>
      </c>
      <c r="AG44" s="141">
        <f>AG$21*shipping_manufacturing!$H$28/100</f>
        <v>271.68311426917359</v>
      </c>
      <c r="AH44" s="141">
        <f>AH$21*shipping_manufacturing!$H$28/100</f>
        <v>271.68311426917359</v>
      </c>
      <c r="AI44" s="141">
        <f>AI$21*shipping_manufacturing!$H$28/100</f>
        <v>271.68311426917359</v>
      </c>
      <c r="AJ44" s="141">
        <f>AJ$21*shipping_manufacturing!$H$28/100</f>
        <v>271.68311426917359</v>
      </c>
      <c r="AK44" s="141">
        <f>AK$21*shipping_manufacturing!$H$28/100</f>
        <v>271.68311426917359</v>
      </c>
      <c r="AL44" s="141">
        <f>AL$21*shipping_manufacturing!$H$28/100</f>
        <v>271.68311426917359</v>
      </c>
      <c r="AM44" s="141">
        <f>AM$21*shipping_manufacturing!$H$28/100</f>
        <v>271.68311426917359</v>
      </c>
      <c r="AN44" s="141">
        <f>AN$21*shipping_manufacturing!$H$28/100</f>
        <v>271.68311426917359</v>
      </c>
      <c r="AO44" s="141">
        <f>AO$21*shipping_manufacturing!$H$28/100</f>
        <v>271.68311426917359</v>
      </c>
      <c r="AP44" s="141">
        <f>AP$21*shipping_manufacturing!$H$28/100</f>
        <v>271.68311426917359</v>
      </c>
      <c r="AQ44" s="141">
        <f>AQ$21*shipping_manufacturing!$H$28/100</f>
        <v>271.68311426917359</v>
      </c>
      <c r="AR44" s="141">
        <f>AR$21*shipping_manufacturing!$H$28/100</f>
        <v>271.68311426917359</v>
      </c>
      <c r="AS44" s="141">
        <f>AS$21*shipping_manufacturing!$H$28/100</f>
        <v>271.68311426917359</v>
      </c>
      <c r="AT44" s="141">
        <f>AT$21*shipping_manufacturing!$H$28/100</f>
        <v>271.68311426917359</v>
      </c>
      <c r="AU44" s="141">
        <f>AU$21*shipping_manufacturing!$H$28/100</f>
        <v>271.68311426917359</v>
      </c>
      <c r="AV44" s="141">
        <f>AV$21*shipping_manufacturing!$H$28/100</f>
        <v>271.68311426917359</v>
      </c>
      <c r="AW44" s="141">
        <f>AW$21*shipping_manufacturing!$H$28/100</f>
        <v>271.68311426917359</v>
      </c>
      <c r="AX44" s="141">
        <f>AX$21*shipping_manufacturing!$H$28/100</f>
        <v>271.68311426917359</v>
      </c>
      <c r="AY44" s="141">
        <f>AY$21*shipping_manufacturing!$H$28/100</f>
        <v>271.68311426917359</v>
      </c>
    </row>
    <row r="45" spans="1:52" x14ac:dyDescent="0.2">
      <c r="A45" s="130" t="s">
        <v>340</v>
      </c>
      <c r="B45" s="182" t="s">
        <v>342</v>
      </c>
      <c r="C45" s="128"/>
      <c r="D45" s="128">
        <f>D$22*shipping_manufacturing!$I$28/100</f>
        <v>92.942458261541645</v>
      </c>
      <c r="E45" s="128">
        <f>E$22*shipping_manufacturing!$I$28/100</f>
        <v>0</v>
      </c>
      <c r="F45" s="128">
        <f>F$22*shipping_manufacturing!$I$28/100</f>
        <v>0</v>
      </c>
      <c r="G45" s="128">
        <f>G$22*shipping_manufacturing!$I$28/100</f>
        <v>295.55733282118774</v>
      </c>
      <c r="H45" s="128">
        <f>H$22*shipping_manufacturing!$I$28/100</f>
        <v>98.519110940395919</v>
      </c>
      <c r="I45" s="128">
        <f>I$22*shipping_manufacturing!$I$28/100</f>
        <v>98.519110940395919</v>
      </c>
      <c r="J45" s="128">
        <f>J$22*shipping_manufacturing!$I$28/100</f>
        <v>98.519110940395919</v>
      </c>
      <c r="K45" s="128">
        <f>K$22*shipping_manufacturing!$I$28/100</f>
        <v>98.519110940395919</v>
      </c>
      <c r="L45" s="128">
        <f>L$22*shipping_manufacturing!$I$28/100</f>
        <v>98.519110940395919</v>
      </c>
      <c r="M45" s="128">
        <f>M$22*shipping_manufacturing!$I$28/100</f>
        <v>98.519110940395919</v>
      </c>
      <c r="N45" s="128">
        <f>N$22*shipping_manufacturing!$I$28/100</f>
        <v>98.519110940395919</v>
      </c>
      <c r="O45" s="128">
        <f>O$22*shipping_manufacturing!$I$28/100</f>
        <v>98.519110940395919</v>
      </c>
      <c r="P45" s="128">
        <f>P$22*shipping_manufacturing!$I$28/100</f>
        <v>98.519110940395919</v>
      </c>
      <c r="Q45" s="128">
        <f>Q$22*shipping_manufacturing!$I$28/100</f>
        <v>98.519110940395919</v>
      </c>
      <c r="R45" s="128">
        <f>R$22*shipping_manufacturing!$I$28/100</f>
        <v>98.519110940395919</v>
      </c>
      <c r="S45" s="128">
        <f>S$22*shipping_manufacturing!$I$28/100</f>
        <v>98.519110940395919</v>
      </c>
      <c r="T45" s="128">
        <f>T$22*shipping_manufacturing!$I$28/100</f>
        <v>0</v>
      </c>
      <c r="U45" s="128">
        <f>U$22*shipping_manufacturing!$I$28/100</f>
        <v>197.03822188079184</v>
      </c>
      <c r="V45" s="128">
        <f>V$22*shipping_manufacturing!$I$28/100</f>
        <v>98.519110940395919</v>
      </c>
      <c r="W45" s="128">
        <f>W$22*shipping_manufacturing!$I$28/100</f>
        <v>98.519110940395919</v>
      </c>
      <c r="X45" s="128">
        <f>X$22*shipping_manufacturing!$I$28/100</f>
        <v>98.519110940395919</v>
      </c>
      <c r="Y45" s="128">
        <f>Y$22*shipping_manufacturing!$I$28/100</f>
        <v>98.519110940395919</v>
      </c>
      <c r="Z45" s="128">
        <f>Z$22*shipping_manufacturing!$I$28/100</f>
        <v>98.519110940395919</v>
      </c>
      <c r="AA45" s="128">
        <f>AA$22*shipping_manufacturing!$I$28/100</f>
        <v>0</v>
      </c>
      <c r="AB45" s="128">
        <f>AB$22*shipping_manufacturing!$I$28/100</f>
        <v>197.03822188079184</v>
      </c>
      <c r="AC45" s="128">
        <f>AC$22*shipping_manufacturing!$I$28/100</f>
        <v>98.519110940395919</v>
      </c>
      <c r="AD45" s="128">
        <f>AD$22*shipping_manufacturing!$I$28/100</f>
        <v>98.519110940395919</v>
      </c>
      <c r="AE45" s="128">
        <f>AE$22*shipping_manufacturing!$I$28/100</f>
        <v>98.519110940395919</v>
      </c>
      <c r="AF45" s="128">
        <f>AF$22*shipping_manufacturing!$I$28/100</f>
        <v>98.519110940395919</v>
      </c>
      <c r="AG45" s="128">
        <f>AG$22*shipping_manufacturing!$I$28/100</f>
        <v>98.519110940395919</v>
      </c>
      <c r="AH45" s="128">
        <f>AH$22*shipping_manufacturing!$I$28/100</f>
        <v>98.519110940395919</v>
      </c>
      <c r="AI45" s="128">
        <f>AI$22*shipping_manufacturing!$I$28/100</f>
        <v>98.519110940395919</v>
      </c>
      <c r="AJ45" s="128">
        <f>AJ$22*shipping_manufacturing!$I$28/100</f>
        <v>98.519110940395919</v>
      </c>
      <c r="AK45" s="128">
        <f>AK$22*shipping_manufacturing!$I$28/100</f>
        <v>98.519110940395919</v>
      </c>
      <c r="AL45" s="128">
        <f>AL$22*shipping_manufacturing!$I$28/100</f>
        <v>98.519110940395919</v>
      </c>
      <c r="AM45" s="128">
        <f>AM$22*shipping_manufacturing!$I$28/100</f>
        <v>98.519110940395919</v>
      </c>
      <c r="AN45" s="128">
        <f>AN$22*shipping_manufacturing!$I$28/100</f>
        <v>98.519110940395919</v>
      </c>
      <c r="AO45" s="128">
        <f>AO$22*shipping_manufacturing!$I$28/100</f>
        <v>98.519110940395919</v>
      </c>
      <c r="AP45" s="128">
        <f>AP$22*shipping_manufacturing!$I$28/100</f>
        <v>98.519110940395919</v>
      </c>
      <c r="AQ45" s="128">
        <f>AQ$22*shipping_manufacturing!$I$28/100</f>
        <v>98.519110940395919</v>
      </c>
      <c r="AR45" s="128">
        <f>AR$22*shipping_manufacturing!$I$28/100</f>
        <v>98.519110940395919</v>
      </c>
      <c r="AS45" s="128">
        <f>AS$22*shipping_manufacturing!$I$28/100</f>
        <v>98.519110940395919</v>
      </c>
      <c r="AT45" s="128">
        <f>AT$22*shipping_manufacturing!$I$28/100</f>
        <v>98.519110940395919</v>
      </c>
      <c r="AU45" s="128">
        <f>AU$22*shipping_manufacturing!$I$28/100</f>
        <v>98.519110940395919</v>
      </c>
      <c r="AV45" s="128">
        <f>AV$22*shipping_manufacturing!$I$28/100</f>
        <v>98.519110940395919</v>
      </c>
      <c r="AW45" s="128">
        <f>AW$22*shipping_manufacturing!$I$28/100</f>
        <v>98.519110940395919</v>
      </c>
      <c r="AX45" s="128">
        <f>AX$22*shipping_manufacturing!$I$28/100</f>
        <v>98.519110940395919</v>
      </c>
      <c r="AY45" s="128">
        <f>AY$22*shipping_manufacturing!$I$28/100</f>
        <v>98.519110940395919</v>
      </c>
    </row>
    <row r="46" spans="1:52" x14ac:dyDescent="0.2">
      <c r="A46" s="128">
        <v>495</v>
      </c>
      <c r="B46" s="182" t="s">
        <v>343</v>
      </c>
      <c r="C46" s="128"/>
      <c r="D46" s="128">
        <f>SUM(D44:D45)</f>
        <v>349.2470094019302</v>
      </c>
      <c r="E46" s="128">
        <f t="shared" ref="E46:AY46" si="14">SUM(E44:E45)</f>
        <v>0</v>
      </c>
      <c r="F46" s="128">
        <f t="shared" si="14"/>
        <v>0</v>
      </c>
      <c r="G46" s="128">
        <f t="shared" si="14"/>
        <v>1110.6066756287084</v>
      </c>
      <c r="H46" s="128">
        <f t="shared" si="14"/>
        <v>370.20222520956952</v>
      </c>
      <c r="I46" s="128">
        <f t="shared" si="14"/>
        <v>370.20222520956952</v>
      </c>
      <c r="J46" s="128">
        <f t="shared" si="14"/>
        <v>370.20222520956952</v>
      </c>
      <c r="K46" s="128">
        <f t="shared" si="14"/>
        <v>370.20222520956952</v>
      </c>
      <c r="L46" s="128">
        <f t="shared" si="14"/>
        <v>370.20222520956952</v>
      </c>
      <c r="M46" s="128">
        <f t="shared" si="14"/>
        <v>370.20222520956952</v>
      </c>
      <c r="N46" s="128">
        <f t="shared" si="14"/>
        <v>370.20222520956952</v>
      </c>
      <c r="O46" s="128">
        <f t="shared" si="14"/>
        <v>370.20222520956952</v>
      </c>
      <c r="P46" s="128">
        <f t="shared" si="14"/>
        <v>370.20222520956952</v>
      </c>
      <c r="Q46" s="128">
        <f t="shared" si="14"/>
        <v>370.20222520956952</v>
      </c>
      <c r="R46" s="128">
        <f t="shared" si="14"/>
        <v>370.20222520956952</v>
      </c>
      <c r="S46" s="128">
        <f t="shared" si="14"/>
        <v>370.20222520956952</v>
      </c>
      <c r="T46" s="128">
        <f t="shared" si="14"/>
        <v>0</v>
      </c>
      <c r="U46" s="128">
        <f t="shared" si="14"/>
        <v>740.40445041913904</v>
      </c>
      <c r="V46" s="128">
        <f t="shared" si="14"/>
        <v>370.20222520956952</v>
      </c>
      <c r="W46" s="128">
        <f t="shared" si="14"/>
        <v>370.20222520956952</v>
      </c>
      <c r="X46" s="128">
        <f t="shared" si="14"/>
        <v>370.20222520956952</v>
      </c>
      <c r="Y46" s="128">
        <f t="shared" si="14"/>
        <v>370.20222520956952</v>
      </c>
      <c r="Z46" s="128">
        <f t="shared" si="14"/>
        <v>370.20222520956952</v>
      </c>
      <c r="AA46" s="128">
        <f t="shared" si="14"/>
        <v>0</v>
      </c>
      <c r="AB46" s="128">
        <f t="shared" si="14"/>
        <v>740.40445041913904</v>
      </c>
      <c r="AC46" s="128">
        <f t="shared" si="14"/>
        <v>370.20222520956952</v>
      </c>
      <c r="AD46" s="128">
        <f t="shared" si="14"/>
        <v>370.20222520956952</v>
      </c>
      <c r="AE46" s="128">
        <f t="shared" si="14"/>
        <v>370.20222520956952</v>
      </c>
      <c r="AF46" s="128">
        <f t="shared" si="14"/>
        <v>370.20222520956952</v>
      </c>
      <c r="AG46" s="128">
        <f t="shared" si="14"/>
        <v>370.20222520956952</v>
      </c>
      <c r="AH46" s="128">
        <f t="shared" si="14"/>
        <v>370.20222520956952</v>
      </c>
      <c r="AI46" s="128">
        <f t="shared" si="14"/>
        <v>370.20222520956952</v>
      </c>
      <c r="AJ46" s="128">
        <f t="shared" si="14"/>
        <v>370.20222520956952</v>
      </c>
      <c r="AK46" s="128">
        <f t="shared" si="14"/>
        <v>370.20222520956952</v>
      </c>
      <c r="AL46" s="128">
        <f t="shared" si="14"/>
        <v>370.20222520956952</v>
      </c>
      <c r="AM46" s="128">
        <f t="shared" si="14"/>
        <v>370.20222520956952</v>
      </c>
      <c r="AN46" s="128">
        <f t="shared" si="14"/>
        <v>370.20222520956952</v>
      </c>
      <c r="AO46" s="128">
        <f t="shared" si="14"/>
        <v>370.20222520956952</v>
      </c>
      <c r="AP46" s="128">
        <f t="shared" si="14"/>
        <v>370.20222520956952</v>
      </c>
      <c r="AQ46" s="128">
        <f t="shared" si="14"/>
        <v>370.20222520956952</v>
      </c>
      <c r="AR46" s="128">
        <f t="shared" si="14"/>
        <v>370.20222520956952</v>
      </c>
      <c r="AS46" s="128">
        <f t="shared" si="14"/>
        <v>370.20222520956952</v>
      </c>
      <c r="AT46" s="128">
        <f t="shared" si="14"/>
        <v>370.20222520956952</v>
      </c>
      <c r="AU46" s="128">
        <f t="shared" si="14"/>
        <v>370.20222520956952</v>
      </c>
      <c r="AV46" s="128">
        <f t="shared" si="14"/>
        <v>370.20222520956952</v>
      </c>
      <c r="AW46" s="128">
        <f t="shared" si="14"/>
        <v>370.20222520956952</v>
      </c>
      <c r="AX46" s="128">
        <f t="shared" si="14"/>
        <v>370.20222520956952</v>
      </c>
      <c r="AY46" s="128">
        <f t="shared" si="14"/>
        <v>370.20222520956952</v>
      </c>
    </row>
    <row r="47" spans="1:52" x14ac:dyDescent="0.2">
      <c r="A47" s="128"/>
      <c r="B47" s="182" t="s">
        <v>344</v>
      </c>
      <c r="C47" s="128"/>
      <c r="D47" s="128">
        <v>256.30455114038847</v>
      </c>
      <c r="E47" s="128"/>
      <c r="F47" s="128"/>
      <c r="G47" s="128">
        <v>815.04934280752047</v>
      </c>
      <c r="H47" s="128">
        <v>271.68311426917353</v>
      </c>
      <c r="I47" s="128">
        <v>271.68311426917353</v>
      </c>
      <c r="J47" s="128">
        <v>271.68311426917353</v>
      </c>
      <c r="K47" s="128">
        <v>271.68311426917353</v>
      </c>
      <c r="L47" s="128">
        <v>271.68311426917353</v>
      </c>
      <c r="M47" s="128">
        <v>271.68311426917353</v>
      </c>
      <c r="N47" s="128">
        <v>271.68311426917353</v>
      </c>
      <c r="O47" s="128">
        <v>271.68311426917353</v>
      </c>
      <c r="P47" s="128">
        <v>271.68311426917353</v>
      </c>
      <c r="Q47" s="128">
        <v>271.68311426917353</v>
      </c>
      <c r="R47" s="128">
        <v>271.68311426917353</v>
      </c>
      <c r="S47" s="128">
        <v>271.68311426917353</v>
      </c>
      <c r="T47" s="128"/>
      <c r="U47" s="128">
        <v>543.36622853834717</v>
      </c>
      <c r="V47" s="128">
        <v>271.68311426917353</v>
      </c>
      <c r="W47" s="128">
        <v>271.68311426917353</v>
      </c>
      <c r="X47" s="128">
        <v>271.68311426917353</v>
      </c>
      <c r="Y47" s="128">
        <v>271.68311426917353</v>
      </c>
      <c r="Z47" s="128">
        <v>271.68311426917353</v>
      </c>
      <c r="AA47" s="128"/>
      <c r="AB47" s="128">
        <v>543.36622853834717</v>
      </c>
      <c r="AC47" s="128">
        <v>271.68311426917353</v>
      </c>
      <c r="AD47" s="128">
        <v>271.68311426917353</v>
      </c>
      <c r="AE47" s="128">
        <v>271.68311426917353</v>
      </c>
      <c r="AF47" s="128">
        <v>271.68311426917353</v>
      </c>
      <c r="AG47" s="128">
        <v>271.68311426917353</v>
      </c>
      <c r="AH47" s="128">
        <v>271.68311426917353</v>
      </c>
      <c r="AI47" s="128">
        <v>271.68311426917353</v>
      </c>
      <c r="AJ47" s="128">
        <v>271.68311426917353</v>
      </c>
      <c r="AK47" s="128">
        <v>271.68311426917353</v>
      </c>
      <c r="AL47" s="128">
        <v>271.68311426917353</v>
      </c>
      <c r="AM47" s="128">
        <v>271.68311426917353</v>
      </c>
      <c r="AN47" s="128">
        <v>271.68311426917353</v>
      </c>
      <c r="AO47" s="128">
        <v>271.68311426917353</v>
      </c>
      <c r="AP47" s="128">
        <v>271.68311426917353</v>
      </c>
      <c r="AQ47" s="128">
        <v>271.68311426917353</v>
      </c>
      <c r="AR47" s="128">
        <v>271.68311426917353</v>
      </c>
      <c r="AS47" s="128">
        <v>271.68311426917353</v>
      </c>
      <c r="AT47" s="128">
        <v>271.68311426917353</v>
      </c>
      <c r="AU47" s="128">
        <v>271.68311426917353</v>
      </c>
      <c r="AV47" s="128">
        <v>271.68311426917353</v>
      </c>
      <c r="AW47" s="128">
        <v>271.68311426917353</v>
      </c>
      <c r="AX47" s="128">
        <v>271.68311426917353</v>
      </c>
      <c r="AY47" s="128">
        <v>271.68311426917353</v>
      </c>
    </row>
    <row r="48" spans="1:52" x14ac:dyDescent="0.2">
      <c r="A48" s="128"/>
      <c r="B48" s="182" t="s">
        <v>345</v>
      </c>
      <c r="C48" s="128"/>
      <c r="D48" s="128">
        <v>92.94245826154166</v>
      </c>
      <c r="E48" s="128"/>
      <c r="F48" s="128"/>
      <c r="G48" s="128">
        <v>295.55733282118808</v>
      </c>
      <c r="H48" s="128">
        <v>98.519110940395933</v>
      </c>
      <c r="I48" s="128">
        <v>98.519110940395933</v>
      </c>
      <c r="J48" s="128">
        <v>98.519110940395933</v>
      </c>
      <c r="K48" s="128">
        <v>98.519110940395933</v>
      </c>
      <c r="L48" s="128">
        <v>98.519110940395933</v>
      </c>
      <c r="M48" s="128">
        <v>98.519110940395933</v>
      </c>
      <c r="N48" s="128">
        <v>98.519110940395933</v>
      </c>
      <c r="O48" s="128">
        <v>98.519110940395933</v>
      </c>
      <c r="P48" s="128">
        <v>98.519110940395933</v>
      </c>
      <c r="Q48" s="128">
        <v>98.519110940395933</v>
      </c>
      <c r="R48" s="128">
        <v>98.519110940395933</v>
      </c>
      <c r="S48" s="128">
        <v>98.519110940395933</v>
      </c>
      <c r="T48" s="128"/>
      <c r="U48" s="128">
        <v>197.03822188079178</v>
      </c>
      <c r="V48" s="128">
        <v>98.519110940395933</v>
      </c>
      <c r="W48" s="128">
        <v>98.519110940395933</v>
      </c>
      <c r="X48" s="128">
        <v>98.519110940395933</v>
      </c>
      <c r="Y48" s="128">
        <v>98.519110940395933</v>
      </c>
      <c r="Z48" s="128">
        <v>98.519110940395933</v>
      </c>
      <c r="AA48" s="128"/>
      <c r="AB48" s="128">
        <v>197.03822188079178</v>
      </c>
      <c r="AC48" s="128">
        <v>98.519110940395933</v>
      </c>
      <c r="AD48" s="128">
        <v>98.519110940395933</v>
      </c>
      <c r="AE48" s="128">
        <v>98.519110940395933</v>
      </c>
      <c r="AF48" s="128">
        <v>98.519110940395933</v>
      </c>
      <c r="AG48" s="128">
        <v>98.519110940395933</v>
      </c>
      <c r="AH48" s="128">
        <v>98.519110940395933</v>
      </c>
      <c r="AI48" s="128">
        <v>98.519110940395933</v>
      </c>
      <c r="AJ48" s="128">
        <v>98.519110940395933</v>
      </c>
      <c r="AK48" s="128">
        <v>98.519110940395933</v>
      </c>
      <c r="AL48" s="128">
        <v>98.519110940395933</v>
      </c>
      <c r="AM48" s="128">
        <v>98.519110940395933</v>
      </c>
      <c r="AN48" s="128">
        <v>98.519110940395933</v>
      </c>
      <c r="AO48" s="128">
        <v>98.519110940395933</v>
      </c>
      <c r="AP48" s="128">
        <v>98.519110940395933</v>
      </c>
      <c r="AQ48" s="128">
        <v>98.519110940395933</v>
      </c>
      <c r="AR48" s="128">
        <v>98.519110940395933</v>
      </c>
      <c r="AS48" s="128">
        <v>98.519110940395933</v>
      </c>
      <c r="AT48" s="128">
        <v>98.519110940395933</v>
      </c>
      <c r="AU48" s="128">
        <v>98.519110940395933</v>
      </c>
      <c r="AV48" s="128">
        <v>98.519110940395933</v>
      </c>
      <c r="AW48" s="128">
        <v>98.519110940395933</v>
      </c>
      <c r="AX48" s="128">
        <v>98.519110940395933</v>
      </c>
      <c r="AY48" s="128">
        <v>98.519110940395933</v>
      </c>
    </row>
    <row r="49" spans="1:52" x14ac:dyDescent="0.2">
      <c r="A49" s="128"/>
      <c r="B49" s="182" t="s">
        <v>346</v>
      </c>
      <c r="C49" s="128"/>
      <c r="D49" s="128">
        <v>12</v>
      </c>
      <c r="E49" s="128"/>
      <c r="F49" s="128"/>
      <c r="G49" s="128">
        <v>38</v>
      </c>
      <c r="H49" s="128">
        <v>13</v>
      </c>
      <c r="I49" s="128">
        <v>13</v>
      </c>
      <c r="J49" s="128">
        <v>13</v>
      </c>
      <c r="K49" s="128">
        <v>13</v>
      </c>
      <c r="L49" s="128">
        <v>13</v>
      </c>
      <c r="M49" s="128">
        <v>13</v>
      </c>
      <c r="N49" s="128">
        <v>13</v>
      </c>
      <c r="O49" s="128">
        <v>13</v>
      </c>
      <c r="P49" s="128">
        <v>13</v>
      </c>
      <c r="Q49" s="128">
        <v>13</v>
      </c>
      <c r="R49" s="128">
        <v>13</v>
      </c>
      <c r="S49" s="128">
        <v>13</v>
      </c>
      <c r="T49" s="128"/>
      <c r="U49" s="128">
        <v>25</v>
      </c>
      <c r="V49" s="128">
        <v>13</v>
      </c>
      <c r="W49" s="128">
        <v>13</v>
      </c>
      <c r="X49" s="128">
        <v>13</v>
      </c>
      <c r="Y49" s="128">
        <v>13</v>
      </c>
      <c r="Z49" s="128">
        <v>13</v>
      </c>
      <c r="AA49" s="128"/>
      <c r="AB49" s="128">
        <v>25</v>
      </c>
      <c r="AC49" s="128">
        <v>13</v>
      </c>
      <c r="AD49" s="128">
        <v>13</v>
      </c>
      <c r="AE49" s="128">
        <v>13</v>
      </c>
      <c r="AF49" s="128">
        <v>13</v>
      </c>
      <c r="AG49" s="128">
        <v>13</v>
      </c>
      <c r="AH49" s="128">
        <v>13</v>
      </c>
      <c r="AI49" s="128">
        <v>13</v>
      </c>
      <c r="AJ49" s="128">
        <v>13</v>
      </c>
      <c r="AK49" s="128">
        <v>13</v>
      </c>
      <c r="AL49" s="128">
        <v>13</v>
      </c>
      <c r="AM49" s="128">
        <v>13</v>
      </c>
      <c r="AN49" s="128">
        <v>13</v>
      </c>
      <c r="AO49" s="128">
        <v>13</v>
      </c>
      <c r="AP49" s="128">
        <v>13</v>
      </c>
      <c r="AQ49" s="128">
        <v>13</v>
      </c>
      <c r="AR49" s="128">
        <v>13</v>
      </c>
      <c r="AS49" s="128">
        <v>13</v>
      </c>
      <c r="AT49" s="128">
        <v>13</v>
      </c>
      <c r="AU49" s="128">
        <v>13</v>
      </c>
      <c r="AV49" s="128">
        <v>13</v>
      </c>
      <c r="AW49" s="128">
        <v>13</v>
      </c>
      <c r="AX49" s="128">
        <v>13</v>
      </c>
      <c r="AY49" s="128">
        <v>13</v>
      </c>
    </row>
    <row r="50" spans="1:52" x14ac:dyDescent="0.2">
      <c r="A50" s="128"/>
      <c r="B50" s="182" t="s">
        <v>347</v>
      </c>
      <c r="C50" s="128"/>
      <c r="D50" s="128">
        <f>D44-D47</f>
        <v>0</v>
      </c>
      <c r="E50" s="128">
        <f t="shared" ref="E50:AY50" si="15">E44-E47</f>
        <v>0</v>
      </c>
      <c r="F50" s="128">
        <f t="shared" si="15"/>
        <v>0</v>
      </c>
      <c r="G50" s="128">
        <f t="shared" si="15"/>
        <v>0</v>
      </c>
      <c r="H50" s="128">
        <f t="shared" si="15"/>
        <v>0</v>
      </c>
      <c r="I50" s="128">
        <f t="shared" si="15"/>
        <v>0</v>
      </c>
      <c r="J50" s="128">
        <f t="shared" si="15"/>
        <v>0</v>
      </c>
      <c r="K50" s="128">
        <f t="shared" si="15"/>
        <v>0</v>
      </c>
      <c r="L50" s="128">
        <f t="shared" si="15"/>
        <v>0</v>
      </c>
      <c r="M50" s="128">
        <f t="shared" si="15"/>
        <v>0</v>
      </c>
      <c r="N50" s="128">
        <f t="shared" si="15"/>
        <v>0</v>
      </c>
      <c r="O50" s="128">
        <f t="shared" si="15"/>
        <v>0</v>
      </c>
      <c r="P50" s="128">
        <f t="shared" si="15"/>
        <v>0</v>
      </c>
      <c r="Q50" s="128">
        <f t="shared" si="15"/>
        <v>0</v>
      </c>
      <c r="R50" s="128">
        <f t="shared" si="15"/>
        <v>0</v>
      </c>
      <c r="S50" s="128">
        <f t="shared" si="15"/>
        <v>0</v>
      </c>
      <c r="T50" s="128">
        <f t="shared" si="15"/>
        <v>0</v>
      </c>
      <c r="U50" s="128">
        <f t="shared" si="15"/>
        <v>0</v>
      </c>
      <c r="V50" s="128">
        <f t="shared" si="15"/>
        <v>0</v>
      </c>
      <c r="W50" s="128">
        <f t="shared" si="15"/>
        <v>0</v>
      </c>
      <c r="X50" s="128">
        <f t="shared" si="15"/>
        <v>0</v>
      </c>
      <c r="Y50" s="128">
        <f t="shared" si="15"/>
        <v>0</v>
      </c>
      <c r="Z50" s="128">
        <f t="shared" si="15"/>
        <v>0</v>
      </c>
      <c r="AA50" s="128">
        <f t="shared" si="15"/>
        <v>0</v>
      </c>
      <c r="AB50" s="128">
        <f t="shared" si="15"/>
        <v>0</v>
      </c>
      <c r="AC50" s="128">
        <f t="shared" si="15"/>
        <v>0</v>
      </c>
      <c r="AD50" s="128">
        <f t="shared" si="15"/>
        <v>0</v>
      </c>
      <c r="AE50" s="128">
        <f t="shared" si="15"/>
        <v>0</v>
      </c>
      <c r="AF50" s="128">
        <f t="shared" si="15"/>
        <v>0</v>
      </c>
      <c r="AG50" s="128">
        <f t="shared" si="15"/>
        <v>0</v>
      </c>
      <c r="AH50" s="128">
        <f t="shared" si="15"/>
        <v>0</v>
      </c>
      <c r="AI50" s="128">
        <f t="shared" si="15"/>
        <v>0</v>
      </c>
      <c r="AJ50" s="128">
        <f t="shared" si="15"/>
        <v>0</v>
      </c>
      <c r="AK50" s="128">
        <f t="shared" si="15"/>
        <v>0</v>
      </c>
      <c r="AL50" s="128">
        <f t="shared" si="15"/>
        <v>0</v>
      </c>
      <c r="AM50" s="128">
        <f t="shared" si="15"/>
        <v>0</v>
      </c>
      <c r="AN50" s="128">
        <f t="shared" si="15"/>
        <v>0</v>
      </c>
      <c r="AO50" s="128">
        <f t="shared" si="15"/>
        <v>0</v>
      </c>
      <c r="AP50" s="128">
        <f t="shared" si="15"/>
        <v>0</v>
      </c>
      <c r="AQ50" s="128">
        <f t="shared" si="15"/>
        <v>0</v>
      </c>
      <c r="AR50" s="128">
        <f t="shared" si="15"/>
        <v>0</v>
      </c>
      <c r="AS50" s="128">
        <f t="shared" si="15"/>
        <v>0</v>
      </c>
      <c r="AT50" s="128">
        <f t="shared" si="15"/>
        <v>0</v>
      </c>
      <c r="AU50" s="128">
        <f t="shared" si="15"/>
        <v>0</v>
      </c>
      <c r="AV50" s="128">
        <f t="shared" si="15"/>
        <v>0</v>
      </c>
      <c r="AW50" s="128">
        <f t="shared" si="15"/>
        <v>0</v>
      </c>
      <c r="AX50" s="128">
        <f t="shared" si="15"/>
        <v>0</v>
      </c>
      <c r="AY50" s="128">
        <f t="shared" si="15"/>
        <v>0</v>
      </c>
    </row>
    <row r="51" spans="1:52" x14ac:dyDescent="0.2">
      <c r="A51" s="128"/>
      <c r="B51" s="182" t="s">
        <v>348</v>
      </c>
      <c r="C51" s="128"/>
      <c r="D51" s="128">
        <f>D45-D48</f>
        <v>0</v>
      </c>
      <c r="E51" s="128">
        <f t="shared" ref="E51:AY51" si="16">E45-E48</f>
        <v>0</v>
      </c>
      <c r="F51" s="128">
        <f t="shared" si="16"/>
        <v>0</v>
      </c>
      <c r="G51" s="128">
        <f t="shared" si="16"/>
        <v>0</v>
      </c>
      <c r="H51" s="128">
        <f t="shared" si="16"/>
        <v>0</v>
      </c>
      <c r="I51" s="128">
        <f t="shared" si="16"/>
        <v>0</v>
      </c>
      <c r="J51" s="128">
        <f t="shared" si="16"/>
        <v>0</v>
      </c>
      <c r="K51" s="128">
        <f t="shared" si="16"/>
        <v>0</v>
      </c>
      <c r="L51" s="128">
        <f t="shared" si="16"/>
        <v>0</v>
      </c>
      <c r="M51" s="128">
        <f t="shared" si="16"/>
        <v>0</v>
      </c>
      <c r="N51" s="128">
        <f t="shared" si="16"/>
        <v>0</v>
      </c>
      <c r="O51" s="128">
        <f t="shared" si="16"/>
        <v>0</v>
      </c>
      <c r="P51" s="128">
        <f t="shared" si="16"/>
        <v>0</v>
      </c>
      <c r="Q51" s="128">
        <f t="shared" si="16"/>
        <v>0</v>
      </c>
      <c r="R51" s="128">
        <f t="shared" si="16"/>
        <v>0</v>
      </c>
      <c r="S51" s="128">
        <f t="shared" si="16"/>
        <v>0</v>
      </c>
      <c r="T51" s="128">
        <f t="shared" si="16"/>
        <v>0</v>
      </c>
      <c r="U51" s="128">
        <f t="shared" si="16"/>
        <v>0</v>
      </c>
      <c r="V51" s="128">
        <f t="shared" si="16"/>
        <v>0</v>
      </c>
      <c r="W51" s="128">
        <f t="shared" si="16"/>
        <v>0</v>
      </c>
      <c r="X51" s="128">
        <f t="shared" si="16"/>
        <v>0</v>
      </c>
      <c r="Y51" s="128">
        <f t="shared" si="16"/>
        <v>0</v>
      </c>
      <c r="Z51" s="128">
        <f t="shared" si="16"/>
        <v>0</v>
      </c>
      <c r="AA51" s="128">
        <f t="shared" si="16"/>
        <v>0</v>
      </c>
      <c r="AB51" s="128">
        <f t="shared" si="16"/>
        <v>0</v>
      </c>
      <c r="AC51" s="128">
        <f t="shared" si="16"/>
        <v>0</v>
      </c>
      <c r="AD51" s="128">
        <f t="shared" si="16"/>
        <v>0</v>
      </c>
      <c r="AE51" s="128">
        <f t="shared" si="16"/>
        <v>0</v>
      </c>
      <c r="AF51" s="128">
        <f t="shared" si="16"/>
        <v>0</v>
      </c>
      <c r="AG51" s="128">
        <f t="shared" si="16"/>
        <v>0</v>
      </c>
      <c r="AH51" s="128">
        <f t="shared" si="16"/>
        <v>0</v>
      </c>
      <c r="AI51" s="128">
        <f t="shared" si="16"/>
        <v>0</v>
      </c>
      <c r="AJ51" s="128">
        <f t="shared" si="16"/>
        <v>0</v>
      </c>
      <c r="AK51" s="128">
        <f t="shared" si="16"/>
        <v>0</v>
      </c>
      <c r="AL51" s="128">
        <f t="shared" si="16"/>
        <v>0</v>
      </c>
      <c r="AM51" s="128">
        <f t="shared" si="16"/>
        <v>0</v>
      </c>
      <c r="AN51" s="128">
        <f t="shared" si="16"/>
        <v>0</v>
      </c>
      <c r="AO51" s="128">
        <f t="shared" si="16"/>
        <v>0</v>
      </c>
      <c r="AP51" s="128">
        <f t="shared" si="16"/>
        <v>0</v>
      </c>
      <c r="AQ51" s="128">
        <f t="shared" si="16"/>
        <v>0</v>
      </c>
      <c r="AR51" s="128">
        <f t="shared" si="16"/>
        <v>0</v>
      </c>
      <c r="AS51" s="128">
        <f t="shared" si="16"/>
        <v>0</v>
      </c>
      <c r="AT51" s="128">
        <f t="shared" si="16"/>
        <v>0</v>
      </c>
      <c r="AU51" s="128">
        <f t="shared" si="16"/>
        <v>0</v>
      </c>
      <c r="AV51" s="128">
        <f t="shared" si="16"/>
        <v>0</v>
      </c>
      <c r="AW51" s="128">
        <f t="shared" si="16"/>
        <v>0</v>
      </c>
      <c r="AX51" s="128">
        <f t="shared" si="16"/>
        <v>0</v>
      </c>
      <c r="AY51" s="128">
        <f t="shared" si="16"/>
        <v>0</v>
      </c>
    </row>
    <row r="52" spans="1:52" x14ac:dyDescent="0.2">
      <c r="A52" s="128"/>
      <c r="B52" s="182" t="s">
        <v>349</v>
      </c>
      <c r="C52" s="128"/>
      <c r="D52" s="128">
        <v>1</v>
      </c>
      <c r="E52" s="128">
        <v>2</v>
      </c>
      <c r="F52" s="128">
        <v>1</v>
      </c>
      <c r="G52" s="128">
        <v>1</v>
      </c>
      <c r="H52" s="128">
        <v>1</v>
      </c>
      <c r="I52" s="128">
        <v>1</v>
      </c>
      <c r="J52" s="128">
        <v>2</v>
      </c>
      <c r="K52" s="128">
        <v>1</v>
      </c>
      <c r="L52" s="128">
        <v>1</v>
      </c>
      <c r="M52" s="128">
        <v>2</v>
      </c>
      <c r="N52" s="128">
        <v>1</v>
      </c>
      <c r="O52" s="128">
        <v>1</v>
      </c>
      <c r="P52" s="128">
        <v>1</v>
      </c>
      <c r="Q52" s="128">
        <v>2</v>
      </c>
      <c r="R52" s="128">
        <v>1</v>
      </c>
      <c r="S52" s="128">
        <v>1</v>
      </c>
      <c r="T52" s="128">
        <v>2</v>
      </c>
      <c r="U52" s="128">
        <v>1</v>
      </c>
      <c r="V52" s="128">
        <v>2</v>
      </c>
      <c r="W52" s="128">
        <v>3</v>
      </c>
      <c r="X52" s="128">
        <v>2</v>
      </c>
      <c r="Y52" s="128">
        <v>1</v>
      </c>
      <c r="Z52" s="128">
        <v>1</v>
      </c>
      <c r="AA52" s="128">
        <v>2</v>
      </c>
      <c r="AB52" s="128">
        <v>1</v>
      </c>
      <c r="AC52" s="128">
        <v>1</v>
      </c>
      <c r="AD52" s="128">
        <v>1</v>
      </c>
      <c r="AE52" s="128">
        <v>1</v>
      </c>
      <c r="AF52" s="128">
        <v>1</v>
      </c>
      <c r="AG52" s="128">
        <v>3</v>
      </c>
      <c r="AH52" s="128">
        <v>1</v>
      </c>
      <c r="AI52" s="128">
        <v>1</v>
      </c>
      <c r="AJ52" s="128">
        <v>1</v>
      </c>
      <c r="AK52" s="128">
        <v>1</v>
      </c>
      <c r="AL52" s="128">
        <v>1</v>
      </c>
      <c r="AM52" s="128">
        <v>1</v>
      </c>
      <c r="AN52" s="128">
        <v>1</v>
      </c>
      <c r="AO52" s="128">
        <v>1</v>
      </c>
      <c r="AP52" s="128">
        <v>1</v>
      </c>
      <c r="AQ52" s="128">
        <v>2</v>
      </c>
      <c r="AR52" s="128">
        <v>1</v>
      </c>
      <c r="AS52" s="128">
        <v>3</v>
      </c>
      <c r="AT52" s="128">
        <v>1</v>
      </c>
      <c r="AU52" s="128">
        <v>2</v>
      </c>
      <c r="AV52" s="128">
        <v>3</v>
      </c>
      <c r="AW52" s="128">
        <v>1</v>
      </c>
      <c r="AX52" s="128">
        <v>2</v>
      </c>
      <c r="AY52" s="128">
        <v>2</v>
      </c>
    </row>
    <row r="53" spans="1:52" x14ac:dyDescent="0.2">
      <c r="A53" s="128"/>
      <c r="B53" s="193" t="s">
        <v>350</v>
      </c>
      <c r="C53" s="128"/>
      <c r="D53" s="128">
        <v>213840</v>
      </c>
      <c r="E53" s="128">
        <v>0</v>
      </c>
      <c r="F53" s="128">
        <v>0</v>
      </c>
      <c r="G53" s="128">
        <v>677160</v>
      </c>
      <c r="H53" s="128">
        <v>231660</v>
      </c>
      <c r="I53" s="128">
        <v>231660</v>
      </c>
      <c r="J53" s="128">
        <v>231660</v>
      </c>
      <c r="K53" s="128">
        <v>231660</v>
      </c>
      <c r="L53" s="128">
        <v>231660</v>
      </c>
      <c r="M53" s="128">
        <v>231660</v>
      </c>
      <c r="N53" s="128">
        <v>231660</v>
      </c>
      <c r="O53" s="128">
        <v>231660</v>
      </c>
      <c r="P53" s="128">
        <v>231660</v>
      </c>
      <c r="Q53" s="128">
        <v>231660</v>
      </c>
      <c r="R53" s="128">
        <v>231660</v>
      </c>
      <c r="S53" s="128">
        <v>231660</v>
      </c>
      <c r="T53" s="128">
        <v>0</v>
      </c>
      <c r="U53" s="128">
        <v>445500</v>
      </c>
      <c r="V53" s="128">
        <v>231660</v>
      </c>
      <c r="W53" s="128">
        <v>231660</v>
      </c>
      <c r="X53" s="128">
        <v>231660</v>
      </c>
      <c r="Y53" s="128">
        <v>231660</v>
      </c>
      <c r="Z53" s="128">
        <v>231660</v>
      </c>
      <c r="AA53" s="128">
        <v>0</v>
      </c>
      <c r="AB53" s="128">
        <v>445500</v>
      </c>
      <c r="AC53" s="128">
        <v>231660</v>
      </c>
      <c r="AD53" s="128">
        <v>231660</v>
      </c>
      <c r="AE53" s="128">
        <v>231660</v>
      </c>
      <c r="AF53" s="128">
        <v>231660</v>
      </c>
      <c r="AG53" s="128">
        <v>231660</v>
      </c>
      <c r="AH53" s="128">
        <v>231660</v>
      </c>
      <c r="AI53" s="128">
        <v>231660</v>
      </c>
      <c r="AJ53" s="128">
        <v>231660</v>
      </c>
      <c r="AK53" s="128">
        <v>231660</v>
      </c>
      <c r="AL53" s="128">
        <v>231660</v>
      </c>
      <c r="AM53" s="128">
        <v>231660</v>
      </c>
      <c r="AN53" s="128">
        <v>231660</v>
      </c>
      <c r="AO53" s="128">
        <v>231660</v>
      </c>
      <c r="AP53" s="128">
        <v>231660</v>
      </c>
      <c r="AQ53" s="128">
        <v>231660</v>
      </c>
      <c r="AR53" s="128">
        <v>231660</v>
      </c>
      <c r="AS53" s="128">
        <v>231660</v>
      </c>
      <c r="AT53" s="128">
        <v>231660</v>
      </c>
      <c r="AU53" s="128">
        <v>231660</v>
      </c>
      <c r="AV53" s="128">
        <v>231660</v>
      </c>
      <c r="AW53" s="128">
        <v>231660</v>
      </c>
      <c r="AX53" s="128">
        <v>231660</v>
      </c>
      <c r="AY53" s="128">
        <v>231660</v>
      </c>
      <c r="AZ53">
        <f>SUM($D$53:$AY$53)</f>
        <v>11048400</v>
      </c>
    </row>
    <row r="54" spans="1:52" x14ac:dyDescent="0.2">
      <c r="A54" s="142"/>
      <c r="B54" s="157" t="s">
        <v>351</v>
      </c>
      <c r="C54" s="142"/>
      <c r="D54" s="142">
        <v>0</v>
      </c>
      <c r="E54" s="142">
        <v>0</v>
      </c>
      <c r="F54" s="142">
        <v>0</v>
      </c>
      <c r="G54" s="142">
        <v>0</v>
      </c>
      <c r="H54" s="142">
        <v>0</v>
      </c>
      <c r="I54" s="142">
        <v>0</v>
      </c>
      <c r="J54" s="142">
        <v>0</v>
      </c>
      <c r="K54" s="142">
        <v>0</v>
      </c>
      <c r="L54" s="142">
        <v>0</v>
      </c>
      <c r="M54" s="142">
        <v>0</v>
      </c>
      <c r="N54" s="142">
        <v>0</v>
      </c>
      <c r="O54" s="142">
        <v>0</v>
      </c>
      <c r="P54" s="142">
        <v>0</v>
      </c>
      <c r="Q54" s="142">
        <v>0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142">
        <v>0</v>
      </c>
      <c r="X54" s="142">
        <v>0</v>
      </c>
      <c r="Y54" s="142">
        <v>0</v>
      </c>
      <c r="Z54" s="142">
        <v>0</v>
      </c>
      <c r="AA54" s="142">
        <v>0</v>
      </c>
      <c r="AB54" s="142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142">
        <v>0</v>
      </c>
      <c r="AI54" s="142">
        <v>0</v>
      </c>
      <c r="AJ54" s="142">
        <v>0</v>
      </c>
      <c r="AK54" s="142">
        <v>0</v>
      </c>
      <c r="AL54" s="142">
        <v>0</v>
      </c>
      <c r="AM54" s="142">
        <v>0</v>
      </c>
      <c r="AN54" s="142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142">
        <v>0</v>
      </c>
      <c r="AU54" s="142">
        <v>0</v>
      </c>
      <c r="AV54" s="142">
        <v>0</v>
      </c>
      <c r="AW54" s="142">
        <v>0</v>
      </c>
      <c r="AX54" s="142">
        <v>0</v>
      </c>
      <c r="AY54" s="142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25" t="s">
        <v>22</v>
      </c>
    </row>
    <row r="3" spans="1:53" x14ac:dyDescent="0.2">
      <c r="A3" t="s">
        <v>286</v>
      </c>
      <c r="B3" s="126">
        <v>40000</v>
      </c>
      <c r="C3" s="127"/>
    </row>
    <row r="4" spans="1:53" x14ac:dyDescent="0.2">
      <c r="B4" s="128"/>
      <c r="C4" s="128"/>
    </row>
    <row r="5" spans="1:53" x14ac:dyDescent="0.2">
      <c r="C5" s="9" t="s">
        <v>287</v>
      </c>
    </row>
    <row r="6" spans="1:53" x14ac:dyDescent="0.2">
      <c r="C6" s="129">
        <v>0</v>
      </c>
      <c r="D6" s="129">
        <v>1</v>
      </c>
      <c r="E6" s="129">
        <v>2</v>
      </c>
      <c r="F6" s="129">
        <v>3</v>
      </c>
      <c r="G6" s="129">
        <v>4</v>
      </c>
      <c r="H6" s="129">
        <v>5</v>
      </c>
      <c r="I6" s="129">
        <v>6</v>
      </c>
      <c r="J6" s="129">
        <v>7</v>
      </c>
      <c r="K6" s="129">
        <v>8</v>
      </c>
      <c r="L6" s="129">
        <v>9</v>
      </c>
      <c r="M6" s="129">
        <v>10</v>
      </c>
      <c r="N6" s="129">
        <v>11</v>
      </c>
      <c r="O6" s="129">
        <v>12</v>
      </c>
      <c r="P6" s="129">
        <v>13</v>
      </c>
      <c r="Q6" s="129">
        <v>14</v>
      </c>
      <c r="R6" s="129">
        <v>15</v>
      </c>
      <c r="S6" s="129">
        <v>16</v>
      </c>
      <c r="T6" s="129">
        <v>17</v>
      </c>
      <c r="U6" s="129">
        <v>18</v>
      </c>
      <c r="V6" s="129">
        <v>19</v>
      </c>
      <c r="W6" s="129">
        <v>20</v>
      </c>
      <c r="X6" s="129">
        <v>21</v>
      </c>
      <c r="Y6" s="129">
        <v>22</v>
      </c>
      <c r="Z6" s="129">
        <v>23</v>
      </c>
      <c r="AA6" s="129">
        <v>24</v>
      </c>
      <c r="AB6" s="129">
        <v>25</v>
      </c>
      <c r="AC6" s="129">
        <v>26</v>
      </c>
      <c r="AD6" s="129">
        <v>27</v>
      </c>
      <c r="AE6" s="129">
        <v>28</v>
      </c>
      <c r="AF6" s="129">
        <v>29</v>
      </c>
      <c r="AG6" s="129">
        <v>30</v>
      </c>
      <c r="AH6" s="129">
        <v>31</v>
      </c>
      <c r="AI6" s="129">
        <v>32</v>
      </c>
      <c r="AJ6" s="129">
        <v>33</v>
      </c>
      <c r="AK6" s="129">
        <v>34</v>
      </c>
      <c r="AL6" s="129">
        <v>35</v>
      </c>
      <c r="AM6" s="129">
        <v>36</v>
      </c>
      <c r="AN6" s="129">
        <v>37</v>
      </c>
      <c r="AO6" s="129">
        <v>38</v>
      </c>
      <c r="AP6" s="129">
        <v>39</v>
      </c>
      <c r="AQ6" s="129">
        <v>40</v>
      </c>
      <c r="AR6" s="129">
        <v>41</v>
      </c>
      <c r="AS6" s="129">
        <v>42</v>
      </c>
      <c r="AT6" s="129">
        <v>43</v>
      </c>
      <c r="AU6" s="129">
        <v>44</v>
      </c>
      <c r="AV6" s="129">
        <v>45</v>
      </c>
      <c r="AW6" s="129">
        <v>46</v>
      </c>
      <c r="AX6" s="129">
        <v>47</v>
      </c>
      <c r="AY6" s="129">
        <v>48</v>
      </c>
    </row>
    <row r="7" spans="1:53" x14ac:dyDescent="0.2">
      <c r="B7" s="128"/>
      <c r="C7" s="130" t="s">
        <v>288</v>
      </c>
      <c r="D7" s="129" t="s">
        <v>289</v>
      </c>
      <c r="E7" s="129" t="s">
        <v>289</v>
      </c>
      <c r="F7" s="129" t="s">
        <v>289</v>
      </c>
      <c r="G7" s="129" t="s">
        <v>289</v>
      </c>
      <c r="H7" s="129" t="s">
        <v>289</v>
      </c>
      <c r="I7" s="129" t="s">
        <v>289</v>
      </c>
      <c r="J7" s="129" t="s">
        <v>289</v>
      </c>
      <c r="K7" s="129" t="s">
        <v>289</v>
      </c>
      <c r="L7" s="129" t="s">
        <v>289</v>
      </c>
      <c r="M7" s="129" t="s">
        <v>289</v>
      </c>
      <c r="N7" s="129" t="s">
        <v>289</v>
      </c>
      <c r="O7" s="129" t="s">
        <v>289</v>
      </c>
      <c r="P7" s="129" t="s">
        <v>289</v>
      </c>
      <c r="Q7" s="129" t="s">
        <v>289</v>
      </c>
      <c r="R7" s="129" t="s">
        <v>289</v>
      </c>
      <c r="S7" s="129" t="s">
        <v>289</v>
      </c>
      <c r="T7" s="129" t="s">
        <v>289</v>
      </c>
      <c r="U7" s="129" t="s">
        <v>289</v>
      </c>
      <c r="V7" s="129" t="s">
        <v>289</v>
      </c>
      <c r="W7" s="129" t="s">
        <v>289</v>
      </c>
      <c r="X7" s="129" t="s">
        <v>289</v>
      </c>
      <c r="Y7" s="129" t="s">
        <v>289</v>
      </c>
      <c r="Z7" s="129" t="s">
        <v>289</v>
      </c>
      <c r="AA7" s="129" t="s">
        <v>289</v>
      </c>
      <c r="AB7" s="129" t="s">
        <v>289</v>
      </c>
      <c r="AC7" s="129" t="s">
        <v>289</v>
      </c>
      <c r="AD7" s="129" t="s">
        <v>289</v>
      </c>
      <c r="AE7" s="129" t="s">
        <v>289</v>
      </c>
      <c r="AF7" s="129" t="s">
        <v>289</v>
      </c>
      <c r="AG7" s="129" t="s">
        <v>289</v>
      </c>
      <c r="AH7" s="129" t="s">
        <v>289</v>
      </c>
      <c r="AI7" s="129" t="s">
        <v>289</v>
      </c>
      <c r="AJ7" s="129" t="s">
        <v>289</v>
      </c>
      <c r="AK7" s="129" t="s">
        <v>289</v>
      </c>
      <c r="AL7" s="129" t="s">
        <v>289</v>
      </c>
      <c r="AM7" s="129" t="s">
        <v>289</v>
      </c>
      <c r="AN7" s="129" t="s">
        <v>289</v>
      </c>
      <c r="AO7" s="129" t="s">
        <v>289</v>
      </c>
      <c r="AP7" s="129" t="s">
        <v>289</v>
      </c>
      <c r="AQ7" s="129" t="s">
        <v>289</v>
      </c>
      <c r="AR7" s="129" t="s">
        <v>289</v>
      </c>
      <c r="AS7" s="129" t="s">
        <v>289</v>
      </c>
      <c r="AT7" s="129" t="s">
        <v>289</v>
      </c>
      <c r="AU7" s="129" t="s">
        <v>289</v>
      </c>
      <c r="AV7" s="129" t="s">
        <v>289</v>
      </c>
      <c r="AW7" s="129" t="s">
        <v>289</v>
      </c>
      <c r="AX7" s="129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31"/>
      <c r="AY8" s="128"/>
    </row>
    <row r="9" spans="1:53" x14ac:dyDescent="0.2">
      <c r="A9" s="132" t="s">
        <v>125</v>
      </c>
      <c r="B9" s="133">
        <v>1</v>
      </c>
      <c r="C9" s="134" t="s">
        <v>293</v>
      </c>
      <c r="D9" s="134">
        <v>1609.4358255146774</v>
      </c>
      <c r="E9" s="134">
        <v>1610.6629171250668</v>
      </c>
      <c r="F9" s="134">
        <v>1909.9482098398264</v>
      </c>
      <c r="G9" s="134">
        <v>1909.9482098398264</v>
      </c>
      <c r="H9" s="134">
        <v>1190.7626960127434</v>
      </c>
      <c r="I9" s="134">
        <v>1909.9482098398264</v>
      </c>
      <c r="J9" s="134">
        <v>1909.9482098398264</v>
      </c>
      <c r="K9" s="134">
        <v>1909.9482098398264</v>
      </c>
      <c r="L9" s="134">
        <v>1909.9482098398264</v>
      </c>
      <c r="M9" s="134">
        <v>1909.9482098398264</v>
      </c>
      <c r="N9" s="134">
        <v>1909.9482098398264</v>
      </c>
      <c r="O9" s="134">
        <v>1909.9482098398264</v>
      </c>
      <c r="P9" s="134">
        <v>1909.9482098398264</v>
      </c>
      <c r="Q9" s="134">
        <v>1909.9482098398264</v>
      </c>
      <c r="R9" s="134">
        <v>1909.9482098398264</v>
      </c>
      <c r="S9" s="134">
        <v>1909.9482098398264</v>
      </c>
      <c r="T9" s="134">
        <v>1909.9482098398264</v>
      </c>
      <c r="U9" s="134">
        <v>1909.9482098398264</v>
      </c>
      <c r="V9" s="134">
        <v>1909.9482098398264</v>
      </c>
      <c r="W9" s="134">
        <v>1909.9482098398264</v>
      </c>
      <c r="X9" s="134">
        <v>1909.9482098398264</v>
      </c>
      <c r="Y9" s="134">
        <v>1909.9482098398264</v>
      </c>
      <c r="Z9" s="134">
        <v>1909.9482098398264</v>
      </c>
      <c r="AA9" s="134">
        <v>1909.9482098398264</v>
      </c>
      <c r="AB9" s="134">
        <v>1909.9482098398264</v>
      </c>
      <c r="AC9" s="134">
        <v>1909.9482098398264</v>
      </c>
      <c r="AD9" s="134">
        <v>1909.9482098398264</v>
      </c>
      <c r="AE9" s="134">
        <v>1909.9482098398264</v>
      </c>
      <c r="AF9" s="134">
        <v>1909.9482098398264</v>
      </c>
      <c r="AG9" s="134">
        <v>1909.9482098398264</v>
      </c>
      <c r="AH9" s="134">
        <v>1909.9482098398264</v>
      </c>
      <c r="AI9" s="134">
        <v>1909.9482098398264</v>
      </c>
      <c r="AJ9" s="134">
        <v>1647.7635498143225</v>
      </c>
      <c r="AK9" s="134">
        <v>1648.8960275237914</v>
      </c>
      <c r="AL9" s="134">
        <v>1909.9482098398264</v>
      </c>
      <c r="AM9" s="134">
        <v>1909.9482098398264</v>
      </c>
      <c r="AN9" s="134">
        <v>1909.9482098398264</v>
      </c>
      <c r="AO9" s="134">
        <v>1909.9482098398264</v>
      </c>
      <c r="AP9" s="134">
        <v>1909.9482098398264</v>
      </c>
      <c r="AQ9" s="134">
        <v>1909.9482098398264</v>
      </c>
      <c r="AR9" s="134">
        <v>1656.6426176893524</v>
      </c>
      <c r="AS9" s="134">
        <v>1909.9482098398264</v>
      </c>
      <c r="AT9" s="134">
        <v>1201.8748664229811</v>
      </c>
      <c r="AU9" s="134">
        <v>1909.9482098398264</v>
      </c>
      <c r="AV9" s="134">
        <v>1660.9115722382035</v>
      </c>
      <c r="AW9" s="134">
        <v>1661.9591540515826</v>
      </c>
      <c r="AX9" s="134">
        <v>1909.9482098398264</v>
      </c>
      <c r="AY9" s="134">
        <v>1909.9482098398264</v>
      </c>
    </row>
    <row r="10" spans="1:53" x14ac:dyDescent="0.2">
      <c r="A10" s="135" t="s">
        <v>133</v>
      </c>
      <c r="B10" s="136">
        <v>1</v>
      </c>
      <c r="C10" s="124" t="s">
        <v>293</v>
      </c>
      <c r="D10">
        <v>171.61339991679952</v>
      </c>
      <c r="E10">
        <v>115.46528190577816</v>
      </c>
      <c r="F10">
        <v>0</v>
      </c>
      <c r="G10">
        <v>0</v>
      </c>
      <c r="H10">
        <v>367.17998847723049</v>
      </c>
      <c r="I10">
        <v>122.39332949241017</v>
      </c>
      <c r="J10">
        <v>122.39332949241017</v>
      </c>
      <c r="K10">
        <v>122.39332949241017</v>
      </c>
      <c r="L10">
        <v>122.39332949241017</v>
      </c>
      <c r="M10">
        <v>122.39332949241017</v>
      </c>
      <c r="N10">
        <v>122.39332949241017</v>
      </c>
      <c r="O10">
        <v>122.39332949241017</v>
      </c>
      <c r="P10">
        <v>122.39332949241017</v>
      </c>
      <c r="Q10">
        <v>122.39332949241017</v>
      </c>
      <c r="R10">
        <v>122.39332949241017</v>
      </c>
      <c r="S10">
        <v>122.39332949241017</v>
      </c>
      <c r="T10">
        <v>122.39332949241017</v>
      </c>
      <c r="U10">
        <v>0</v>
      </c>
      <c r="V10">
        <v>244.78665898482035</v>
      </c>
      <c r="W10">
        <v>122.39332949241017</v>
      </c>
      <c r="X10">
        <v>122.39332949241017</v>
      </c>
      <c r="Y10">
        <v>122.39332949241017</v>
      </c>
      <c r="Z10">
        <v>122.39332949241017</v>
      </c>
      <c r="AA10">
        <v>122.39332949241017</v>
      </c>
      <c r="AB10">
        <v>0</v>
      </c>
      <c r="AC10">
        <v>244.78665898482035</v>
      </c>
      <c r="AD10">
        <v>122.39332949241017</v>
      </c>
      <c r="AE10">
        <v>122.39332949241017</v>
      </c>
      <c r="AF10">
        <v>122.39332949241017</v>
      </c>
      <c r="AG10">
        <v>122.39332949241017</v>
      </c>
      <c r="AH10">
        <v>122.39332949241017</v>
      </c>
      <c r="AI10">
        <v>122.39332949241017</v>
      </c>
      <c r="AJ10">
        <v>122.39332949241017</v>
      </c>
      <c r="AK10">
        <v>122.39332949241017</v>
      </c>
      <c r="AL10">
        <v>122.39332949241017</v>
      </c>
      <c r="AM10">
        <v>122.39332949241017</v>
      </c>
      <c r="AN10">
        <v>122.39332949241017</v>
      </c>
      <c r="AO10">
        <v>122.39332949241017</v>
      </c>
      <c r="AP10">
        <v>122.39332949241017</v>
      </c>
      <c r="AQ10">
        <v>122.39332949241017</v>
      </c>
      <c r="AR10">
        <v>122.39332949241017</v>
      </c>
      <c r="AS10">
        <v>122.39332949241017</v>
      </c>
      <c r="AT10">
        <v>122.39332949241017</v>
      </c>
      <c r="AU10">
        <v>122.39332949241017</v>
      </c>
      <c r="AV10">
        <v>122.39332949241017</v>
      </c>
      <c r="AW10">
        <v>122.39332949241017</v>
      </c>
      <c r="AX10">
        <v>122.39332949241017</v>
      </c>
      <c r="AY10">
        <v>122.39332949241017</v>
      </c>
      <c r="AZ10">
        <v>122.39332949241017</v>
      </c>
    </row>
    <row r="11" spans="1:53" x14ac:dyDescent="0.2">
      <c r="B11" s="136">
        <v>2</v>
      </c>
      <c r="C11" s="124" t="s">
        <v>293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M11">
        <v>0</v>
      </c>
      <c r="N11">
        <v>0</v>
      </c>
      <c r="P11">
        <v>0</v>
      </c>
      <c r="Q11">
        <v>0</v>
      </c>
      <c r="R11">
        <v>0</v>
      </c>
      <c r="T11">
        <v>0</v>
      </c>
      <c r="U11">
        <v>0</v>
      </c>
      <c r="V11">
        <v>0</v>
      </c>
      <c r="X11">
        <v>0</v>
      </c>
      <c r="AC11">
        <v>0</v>
      </c>
      <c r="AD11">
        <v>0</v>
      </c>
      <c r="AH11">
        <v>0</v>
      </c>
      <c r="AN11">
        <v>0</v>
      </c>
      <c r="AQ11">
        <v>0</v>
      </c>
      <c r="AR11">
        <v>0</v>
      </c>
      <c r="AU11">
        <v>0</v>
      </c>
      <c r="AW11">
        <v>0</v>
      </c>
      <c r="AZ11">
        <v>0</v>
      </c>
      <c r="BA11">
        <v>0</v>
      </c>
    </row>
    <row r="12" spans="1:53" x14ac:dyDescent="0.2">
      <c r="B12" s="137">
        <v>3</v>
      </c>
      <c r="C12" s="124" t="s">
        <v>293</v>
      </c>
      <c r="R12">
        <v>0</v>
      </c>
      <c r="AB12">
        <v>0</v>
      </c>
      <c r="AL12">
        <v>0</v>
      </c>
      <c r="AM12">
        <v>0</v>
      </c>
      <c r="AT12">
        <v>0</v>
      </c>
      <c r="AY12">
        <v>0</v>
      </c>
    </row>
    <row r="13" spans="1:53" x14ac:dyDescent="0.2">
      <c r="B13" s="137">
        <v>4</v>
      </c>
      <c r="C13" s="124" t="s">
        <v>293</v>
      </c>
    </row>
    <row r="14" spans="1:53" x14ac:dyDescent="0.2">
      <c r="A14" s="132" t="s">
        <v>134</v>
      </c>
      <c r="B14" s="138">
        <v>1</v>
      </c>
      <c r="C14" s="134" t="s">
        <v>293</v>
      </c>
      <c r="D14" s="134">
        <v>734.03613889535461</v>
      </c>
      <c r="E14" s="134">
        <f t="shared" ref="E14:AZ14" si="0">D$172*SUM(D$122:D$169)</f>
        <v>521.70464422387943</v>
      </c>
      <c r="F14" s="134">
        <f t="shared" si="0"/>
        <v>644.43826092546624</v>
      </c>
      <c r="G14" s="134">
        <f t="shared" si="0"/>
        <v>588.89589297206658</v>
      </c>
      <c r="H14" s="134">
        <f t="shared" si="0"/>
        <v>544.86234655318503</v>
      </c>
      <c r="I14" s="134">
        <f t="shared" si="0"/>
        <v>530.4907383489043</v>
      </c>
      <c r="J14" s="134">
        <f t="shared" si="0"/>
        <v>474.09672014642661</v>
      </c>
      <c r="K14" s="134">
        <f t="shared" si="0"/>
        <v>474.39894663032527</v>
      </c>
      <c r="L14" s="134">
        <f t="shared" si="0"/>
        <v>468.21851814814818</v>
      </c>
      <c r="M14" s="134">
        <f t="shared" si="0"/>
        <v>437.79501215184223</v>
      </c>
      <c r="N14" s="134">
        <f t="shared" si="0"/>
        <v>450.71025000109876</v>
      </c>
      <c r="O14" s="134">
        <f t="shared" si="0"/>
        <v>439.69995627874852</v>
      </c>
      <c r="P14" s="134">
        <f t="shared" si="0"/>
        <v>438.18768879122251</v>
      </c>
      <c r="Q14" s="134">
        <f t="shared" si="0"/>
        <v>401.5681390046658</v>
      </c>
      <c r="R14" s="134">
        <f t="shared" si="0"/>
        <v>418.56667611083935</v>
      </c>
      <c r="S14" s="134">
        <f t="shared" si="0"/>
        <v>438.83173163953069</v>
      </c>
      <c r="T14" s="134">
        <f t="shared" si="0"/>
        <v>455.80759092562926</v>
      </c>
      <c r="U14" s="134">
        <f t="shared" si="0"/>
        <v>436.10124086273743</v>
      </c>
      <c r="V14" s="134">
        <f t="shared" si="0"/>
        <v>399.7912182922318</v>
      </c>
      <c r="W14" s="134">
        <f t="shared" si="0"/>
        <v>444.13956897954893</v>
      </c>
      <c r="X14" s="134">
        <f t="shared" si="0"/>
        <v>473.66577249348569</v>
      </c>
      <c r="Y14" s="134">
        <f t="shared" si="0"/>
        <v>485.15262332348306</v>
      </c>
      <c r="Z14" s="134">
        <f t="shared" si="0"/>
        <v>430.09362267472937</v>
      </c>
      <c r="AA14" s="134">
        <f t="shared" si="0"/>
        <v>405.84973497362267</v>
      </c>
      <c r="AB14" s="134">
        <f t="shared" si="0"/>
        <v>394.46440305834153</v>
      </c>
      <c r="AC14" s="134">
        <f t="shared" si="0"/>
        <v>355.83597953644562</v>
      </c>
      <c r="AD14" s="134">
        <f t="shared" si="0"/>
        <v>372.33441434560262</v>
      </c>
      <c r="AE14" s="134">
        <f t="shared" si="0"/>
        <v>369.90620465900139</v>
      </c>
      <c r="AF14" s="134">
        <f t="shared" si="0"/>
        <v>351.33133993079963</v>
      </c>
      <c r="AG14" s="134">
        <f t="shared" si="0"/>
        <v>363.25399132163693</v>
      </c>
      <c r="AH14" s="134">
        <f t="shared" si="0"/>
        <v>407.12690536176166</v>
      </c>
      <c r="AI14" s="134">
        <f t="shared" si="0"/>
        <v>390.21146341175563</v>
      </c>
      <c r="AJ14" s="134">
        <f t="shared" si="0"/>
        <v>381.03082237491697</v>
      </c>
      <c r="AK14" s="134">
        <f t="shared" si="0"/>
        <v>346.44574650392445</v>
      </c>
      <c r="AL14" s="134">
        <f t="shared" si="0"/>
        <v>388.27922220104097</v>
      </c>
      <c r="AM14" s="134">
        <f t="shared" si="0"/>
        <v>355.03024480560345</v>
      </c>
      <c r="AN14" s="134">
        <f t="shared" si="0"/>
        <v>359.78233593591</v>
      </c>
      <c r="AO14" s="134">
        <f t="shared" si="0"/>
        <v>372.47027762705795</v>
      </c>
      <c r="AP14" s="134">
        <f t="shared" si="0"/>
        <v>351.31251088857186</v>
      </c>
      <c r="AQ14" s="134">
        <f t="shared" si="0"/>
        <v>357.96683134829584</v>
      </c>
      <c r="AR14" s="134">
        <f t="shared" si="0"/>
        <v>329.6079978979003</v>
      </c>
      <c r="AS14" s="134">
        <f t="shared" si="0"/>
        <v>351.1143711433204</v>
      </c>
      <c r="AT14" s="134">
        <f t="shared" si="0"/>
        <v>405.16733533917284</v>
      </c>
      <c r="AU14" s="134">
        <f t="shared" si="0"/>
        <v>381.71474189638741</v>
      </c>
      <c r="AV14" s="134">
        <f t="shared" si="0"/>
        <v>414.59013831149844</v>
      </c>
      <c r="AW14" s="134">
        <f t="shared" si="0"/>
        <v>393.27434162580039</v>
      </c>
      <c r="AX14" s="134">
        <f t="shared" si="0"/>
        <v>400.55248617642962</v>
      </c>
      <c r="AY14" s="134">
        <f t="shared" si="0"/>
        <v>386.12338372921795</v>
      </c>
      <c r="AZ14" s="128">
        <f t="shared" si="0"/>
        <v>382.02125413264991</v>
      </c>
      <c r="BA14" s="125">
        <f>SUM($E14:$AZ14)</f>
        <v>20164.015638014858</v>
      </c>
    </row>
    <row r="15" spans="1:53" x14ac:dyDescent="0.2">
      <c r="A15" s="139" t="s">
        <v>123</v>
      </c>
      <c r="B15" s="140">
        <v>1</v>
      </c>
      <c r="C15" s="141" t="s">
        <v>293</v>
      </c>
      <c r="D15" s="141">
        <v>1437.8979926272982</v>
      </c>
      <c r="E15" s="141">
        <v>1089.363774146517</v>
      </c>
      <c r="F15" s="141">
        <v>1089.363774146517</v>
      </c>
      <c r="G15" s="141">
        <v>1089.363774146517</v>
      </c>
      <c r="H15" s="141">
        <v>1089.363774146517</v>
      </c>
      <c r="I15" s="141">
        <v>1089.363774146517</v>
      </c>
      <c r="J15" s="141">
        <v>1089.363774146517</v>
      </c>
      <c r="K15" s="141">
        <v>1089.363774146517</v>
      </c>
      <c r="L15" s="141">
        <v>1089.363774146517</v>
      </c>
      <c r="M15" s="141">
        <v>1089.363774146517</v>
      </c>
      <c r="N15" s="141">
        <v>1089.363774146517</v>
      </c>
      <c r="O15" s="141">
        <v>1089.363774146517</v>
      </c>
      <c r="P15" s="141">
        <v>1089.363774146517</v>
      </c>
      <c r="Q15" s="141">
        <v>1089.363774146517</v>
      </c>
      <c r="R15" s="141">
        <v>1089.363774146517</v>
      </c>
      <c r="S15" s="141">
        <v>1089.363774146517</v>
      </c>
      <c r="T15" s="141">
        <v>1089.363774146517</v>
      </c>
      <c r="U15" s="141">
        <v>1089.363774146517</v>
      </c>
      <c r="V15" s="141">
        <v>1089.363774146517</v>
      </c>
      <c r="W15" s="141">
        <v>1089.363774146517</v>
      </c>
      <c r="X15" s="141">
        <v>1089.363774146517</v>
      </c>
      <c r="Y15" s="141">
        <v>1089.363774146517</v>
      </c>
      <c r="Z15" s="141">
        <v>1089.363774146517</v>
      </c>
      <c r="AA15" s="141">
        <v>1089.363774146517</v>
      </c>
      <c r="AB15" s="141">
        <v>1089.363774146517</v>
      </c>
      <c r="AC15" s="141">
        <v>1089.363774146517</v>
      </c>
      <c r="AD15" s="141">
        <v>1089.363774146517</v>
      </c>
      <c r="AE15" s="141">
        <v>1089.363774146517</v>
      </c>
      <c r="AF15" s="141">
        <v>1089.363774146517</v>
      </c>
      <c r="AG15" s="141">
        <v>1089.363774146517</v>
      </c>
      <c r="AH15" s="141">
        <v>1089.363774146517</v>
      </c>
      <c r="AI15" s="141">
        <v>1089.363774146517</v>
      </c>
      <c r="AJ15" s="141">
        <v>1089.363774146517</v>
      </c>
      <c r="AK15" s="141">
        <v>1089.363774146517</v>
      </c>
      <c r="AL15" s="141">
        <v>1089.363774146517</v>
      </c>
      <c r="AM15" s="141">
        <v>1089.363774146517</v>
      </c>
      <c r="AN15" s="141">
        <v>1089.363774146517</v>
      </c>
      <c r="AO15" s="141">
        <v>1089.363774146517</v>
      </c>
      <c r="AP15" s="141">
        <v>1089.363774146517</v>
      </c>
      <c r="AQ15" s="141">
        <v>1089.363774146517</v>
      </c>
      <c r="AR15" s="141">
        <v>1089.363774146517</v>
      </c>
      <c r="AS15" s="141">
        <v>1089.363774146517</v>
      </c>
      <c r="AT15" s="141">
        <v>1089.363774146517</v>
      </c>
      <c r="AU15" s="141">
        <v>1089.363774146517</v>
      </c>
      <c r="AV15" s="141">
        <v>1089.363774146517</v>
      </c>
      <c r="AW15" s="141">
        <v>1089.363774146517</v>
      </c>
      <c r="AX15" s="141">
        <v>1089.363774146517</v>
      </c>
      <c r="AY15" s="141">
        <v>1089.363774146517</v>
      </c>
      <c r="AZ15">
        <v>0</v>
      </c>
    </row>
    <row r="16" spans="1:53" x14ac:dyDescent="0.2">
      <c r="A16" s="128"/>
      <c r="B16" s="136">
        <v>2</v>
      </c>
      <c r="C16" s="127" t="s">
        <v>293</v>
      </c>
      <c r="D16" s="124">
        <v>6.5</v>
      </c>
      <c r="E16" s="128">
        <v>456.5</v>
      </c>
      <c r="F16" s="128">
        <v>0</v>
      </c>
      <c r="G16" s="128">
        <v>0</v>
      </c>
      <c r="H16" s="128">
        <v>0</v>
      </c>
      <c r="I16" s="128">
        <v>0</v>
      </c>
      <c r="J16" s="128">
        <v>0</v>
      </c>
      <c r="K16" s="128">
        <v>0</v>
      </c>
      <c r="L16" s="128"/>
      <c r="M16" s="128">
        <v>0</v>
      </c>
      <c r="N16" s="128">
        <v>0</v>
      </c>
      <c r="O16" s="128"/>
      <c r="P16" s="128">
        <v>0</v>
      </c>
      <c r="Q16" s="128">
        <v>0</v>
      </c>
      <c r="R16" s="128">
        <v>0</v>
      </c>
      <c r="S16" s="128"/>
      <c r="T16" s="128">
        <v>0</v>
      </c>
      <c r="U16" s="128">
        <v>0</v>
      </c>
      <c r="V16" s="128">
        <v>0</v>
      </c>
      <c r="W16" s="128"/>
      <c r="X16" s="128">
        <v>0</v>
      </c>
      <c r="Y16" s="128"/>
      <c r="Z16" s="128"/>
      <c r="AA16" s="128"/>
      <c r="AB16" s="128"/>
      <c r="AC16" s="128">
        <v>0</v>
      </c>
      <c r="AD16" s="128">
        <v>0</v>
      </c>
      <c r="AE16" s="128"/>
      <c r="AF16" s="128"/>
      <c r="AG16" s="128"/>
      <c r="AH16" s="128">
        <v>0</v>
      </c>
      <c r="AI16" s="128"/>
      <c r="AJ16" s="128"/>
      <c r="AK16" s="128"/>
      <c r="AL16" s="128"/>
      <c r="AM16" s="128"/>
      <c r="AN16" s="128">
        <v>0</v>
      </c>
      <c r="AO16" s="128"/>
      <c r="AP16" s="128"/>
      <c r="AQ16" s="128">
        <v>0</v>
      </c>
      <c r="AR16" s="128">
        <v>0</v>
      </c>
      <c r="AS16" s="128"/>
      <c r="AT16" s="128"/>
      <c r="AU16" s="128">
        <v>0</v>
      </c>
      <c r="AV16" s="128"/>
      <c r="AW16" s="128">
        <v>0</v>
      </c>
      <c r="AX16" s="128"/>
      <c r="AY16" s="128"/>
      <c r="AZ16">
        <v>0</v>
      </c>
      <c r="BA16">
        <v>0</v>
      </c>
    </row>
    <row r="17" spans="1:51" x14ac:dyDescent="0.2">
      <c r="A17" s="128"/>
      <c r="B17" s="136">
        <v>3</v>
      </c>
      <c r="C17" s="127" t="s">
        <v>293</v>
      </c>
      <c r="D17" s="124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>
        <v>0</v>
      </c>
      <c r="S17" s="128"/>
      <c r="T17" s="128"/>
      <c r="U17" s="128"/>
      <c r="V17" s="128"/>
      <c r="W17" s="128"/>
      <c r="X17" s="128"/>
      <c r="Y17" s="128"/>
      <c r="Z17" s="128"/>
      <c r="AA17" s="128"/>
      <c r="AB17" s="128">
        <v>0</v>
      </c>
      <c r="AC17" s="128"/>
      <c r="AD17" s="128"/>
      <c r="AE17" s="128"/>
      <c r="AF17" s="128"/>
      <c r="AG17" s="128"/>
      <c r="AH17" s="128"/>
      <c r="AI17" s="128"/>
      <c r="AJ17" s="128"/>
      <c r="AK17" s="128"/>
      <c r="AL17" s="128">
        <v>0</v>
      </c>
      <c r="AM17" s="128">
        <v>0</v>
      </c>
      <c r="AN17" s="128"/>
      <c r="AO17" s="128"/>
      <c r="AP17" s="128"/>
      <c r="AQ17" s="128"/>
      <c r="AR17" s="128"/>
      <c r="AS17" s="128"/>
      <c r="AT17" s="128">
        <v>0</v>
      </c>
      <c r="AU17" s="128"/>
      <c r="AV17" s="128"/>
      <c r="AW17" s="128"/>
      <c r="AX17" s="128"/>
      <c r="AY17" s="128">
        <v>0</v>
      </c>
    </row>
    <row r="18" spans="1:51" x14ac:dyDescent="0.2">
      <c r="A18" s="142"/>
      <c r="B18" s="133">
        <v>4</v>
      </c>
      <c r="C18" s="142" t="s">
        <v>293</v>
      </c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</row>
    <row r="20" spans="1:51" x14ac:dyDescent="0.2">
      <c r="A20" s="1" t="s">
        <v>294</v>
      </c>
    </row>
    <row r="21" spans="1:51" x14ac:dyDescent="0.2">
      <c r="A21" s="143" t="s">
        <v>125</v>
      </c>
      <c r="B21" s="140">
        <v>1</v>
      </c>
      <c r="C21" s="141" t="s">
        <v>293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</row>
    <row r="22" spans="1:51" x14ac:dyDescent="0.2">
      <c r="A22" s="127"/>
      <c r="B22" s="137">
        <v>2</v>
      </c>
      <c r="C22" s="128" t="s">
        <v>293</v>
      </c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</row>
    <row r="23" spans="1:51" x14ac:dyDescent="0.2">
      <c r="A23" s="127"/>
      <c r="B23" s="144">
        <v>3</v>
      </c>
      <c r="C23" s="128" t="s">
        <v>293</v>
      </c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</row>
    <row r="24" spans="1:51" x14ac:dyDescent="0.2">
      <c r="A24" s="145"/>
      <c r="B24" s="146">
        <v>4</v>
      </c>
      <c r="C24" s="145" t="s">
        <v>293</v>
      </c>
      <c r="D24" s="142">
        <v>0</v>
      </c>
      <c r="E24" s="142">
        <v>0</v>
      </c>
      <c r="F24" s="142">
        <v>0</v>
      </c>
      <c r="G24" s="142">
        <v>0</v>
      </c>
      <c r="H24" s="142">
        <v>0</v>
      </c>
      <c r="I24" s="142">
        <v>0</v>
      </c>
      <c r="J24" s="142">
        <v>0</v>
      </c>
      <c r="K24" s="142">
        <v>0</v>
      </c>
      <c r="L24" s="142">
        <v>0</v>
      </c>
      <c r="M24" s="142">
        <v>0</v>
      </c>
      <c r="N24" s="142">
        <v>0</v>
      </c>
      <c r="O24" s="142">
        <v>0</v>
      </c>
      <c r="P24" s="142">
        <v>0</v>
      </c>
      <c r="Q24" s="142">
        <v>0</v>
      </c>
      <c r="R24" s="142">
        <v>0</v>
      </c>
      <c r="S24" s="142">
        <v>0</v>
      </c>
      <c r="T24" s="142">
        <v>0</v>
      </c>
      <c r="U24" s="142">
        <v>0</v>
      </c>
      <c r="V24" s="142">
        <v>0</v>
      </c>
      <c r="W24" s="142">
        <v>0</v>
      </c>
      <c r="X24" s="142">
        <v>0</v>
      </c>
      <c r="Y24" s="142">
        <v>0</v>
      </c>
      <c r="Z24" s="142">
        <v>0</v>
      </c>
      <c r="AA24" s="142">
        <v>0</v>
      </c>
      <c r="AB24" s="142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142">
        <v>0</v>
      </c>
      <c r="AJ24" s="142">
        <v>0</v>
      </c>
      <c r="AK24" s="142">
        <v>0</v>
      </c>
      <c r="AL24" s="142">
        <v>0</v>
      </c>
      <c r="AM24" s="142">
        <v>0</v>
      </c>
      <c r="AN24" s="142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  <c r="AT24" s="142">
        <v>0</v>
      </c>
      <c r="AU24" s="142">
        <v>0</v>
      </c>
      <c r="AV24" s="142">
        <v>0</v>
      </c>
      <c r="AW24" s="142">
        <v>0</v>
      </c>
      <c r="AX24" s="142">
        <v>0</v>
      </c>
      <c r="AY24" s="142">
        <v>0</v>
      </c>
    </row>
    <row r="25" spans="1:51" x14ac:dyDescent="0.2">
      <c r="A25" s="143" t="s">
        <v>133</v>
      </c>
      <c r="B25" s="140">
        <v>1</v>
      </c>
      <c r="C25" s="127" t="s">
        <v>293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</row>
    <row r="26" spans="1:51" x14ac:dyDescent="0.2">
      <c r="A26" s="127"/>
      <c r="B26" s="136">
        <v>2</v>
      </c>
      <c r="C26" s="127" t="s">
        <v>293</v>
      </c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</row>
    <row r="27" spans="1:51" x14ac:dyDescent="0.2">
      <c r="A27" s="127"/>
      <c r="B27" s="137">
        <v>3</v>
      </c>
      <c r="C27" s="127" t="s">
        <v>293</v>
      </c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</row>
    <row r="28" spans="1:51" x14ac:dyDescent="0.2">
      <c r="A28" s="127"/>
      <c r="B28" s="137">
        <v>4</v>
      </c>
      <c r="C28" s="127" t="s">
        <v>293</v>
      </c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</row>
    <row r="29" spans="1:51" x14ac:dyDescent="0.2">
      <c r="A29" s="127"/>
      <c r="B29" s="144">
        <v>5</v>
      </c>
      <c r="C29" s="127" t="s">
        <v>293</v>
      </c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</row>
    <row r="30" spans="1:51" x14ac:dyDescent="0.2">
      <c r="A30" s="127"/>
      <c r="B30" s="144">
        <v>6</v>
      </c>
      <c r="C30" s="127" t="s">
        <v>293</v>
      </c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</row>
    <row r="31" spans="1:51" x14ac:dyDescent="0.2">
      <c r="A31" s="127"/>
      <c r="B31" s="147">
        <v>7</v>
      </c>
      <c r="C31" s="127" t="s">
        <v>293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</row>
    <row r="32" spans="1:51" x14ac:dyDescent="0.2">
      <c r="A32" s="145"/>
      <c r="B32" s="146">
        <v>8</v>
      </c>
      <c r="C32" s="145" t="s">
        <v>293</v>
      </c>
      <c r="D32" s="142">
        <v>0</v>
      </c>
      <c r="E32" s="14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0</v>
      </c>
      <c r="R32" s="142">
        <v>0</v>
      </c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</v>
      </c>
      <c r="Y32" s="142">
        <v>0</v>
      </c>
      <c r="Z32" s="142">
        <v>0</v>
      </c>
      <c r="AA32" s="142">
        <v>0</v>
      </c>
      <c r="AB32" s="142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142">
        <v>0</v>
      </c>
      <c r="AI32" s="142">
        <v>0</v>
      </c>
      <c r="AJ32" s="142">
        <v>0</v>
      </c>
      <c r="AK32" s="142">
        <v>0</v>
      </c>
      <c r="AL32" s="142">
        <v>0</v>
      </c>
      <c r="AM32" s="142">
        <v>0</v>
      </c>
      <c r="AN32" s="142">
        <v>0</v>
      </c>
      <c r="AO32" s="142">
        <v>0</v>
      </c>
      <c r="AP32" s="142">
        <v>0</v>
      </c>
      <c r="AQ32" s="142">
        <v>0</v>
      </c>
      <c r="AR32" s="142">
        <v>0</v>
      </c>
      <c r="AS32" s="142">
        <v>0</v>
      </c>
      <c r="AT32" s="142">
        <v>0</v>
      </c>
      <c r="AU32" s="142">
        <v>0</v>
      </c>
      <c r="AV32" s="142">
        <v>0</v>
      </c>
      <c r="AW32" s="142">
        <v>0</v>
      </c>
      <c r="AX32" s="142">
        <v>0</v>
      </c>
      <c r="AY32" s="142">
        <v>0</v>
      </c>
    </row>
    <row r="33" spans="1:51" x14ac:dyDescent="0.2">
      <c r="A33" s="148" t="s">
        <v>134</v>
      </c>
      <c r="B33" s="136">
        <v>1</v>
      </c>
      <c r="C33" s="127" t="s">
        <v>293</v>
      </c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</row>
    <row r="34" spans="1:51" x14ac:dyDescent="0.2">
      <c r="A34" s="127"/>
      <c r="B34" s="136">
        <v>2</v>
      </c>
      <c r="C34" s="127" t="s">
        <v>293</v>
      </c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</row>
    <row r="35" spans="1:51" x14ac:dyDescent="0.2">
      <c r="A35" s="127"/>
      <c r="B35" s="136">
        <v>3</v>
      </c>
      <c r="C35" s="127" t="s">
        <v>293</v>
      </c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</row>
    <row r="36" spans="1:51" x14ac:dyDescent="0.2">
      <c r="A36" s="127"/>
      <c r="B36" s="137">
        <v>4</v>
      </c>
      <c r="C36" s="127" t="s">
        <v>293</v>
      </c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</row>
    <row r="37" spans="1:51" x14ac:dyDescent="0.2">
      <c r="A37" s="127"/>
      <c r="B37" s="137">
        <v>5</v>
      </c>
      <c r="C37" s="127" t="s">
        <v>293</v>
      </c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</row>
    <row r="38" spans="1:51" x14ac:dyDescent="0.2">
      <c r="A38" s="127"/>
      <c r="B38" s="137">
        <v>6</v>
      </c>
      <c r="C38" s="127" t="s">
        <v>293</v>
      </c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</row>
    <row r="39" spans="1:51" x14ac:dyDescent="0.2">
      <c r="A39" s="127"/>
      <c r="B39" s="144">
        <v>7</v>
      </c>
      <c r="C39" s="127" t="s">
        <v>293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</row>
    <row r="40" spans="1:51" x14ac:dyDescent="0.2">
      <c r="A40" s="127"/>
      <c r="B40" s="144">
        <v>8</v>
      </c>
      <c r="C40" s="127" t="s">
        <v>293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</row>
    <row r="41" spans="1:51" x14ac:dyDescent="0.2">
      <c r="A41" s="127"/>
      <c r="B41" s="144">
        <v>9</v>
      </c>
      <c r="C41" s="127" t="s">
        <v>293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</row>
    <row r="42" spans="1:51" x14ac:dyDescent="0.2">
      <c r="A42" s="127"/>
      <c r="B42" s="147">
        <v>10</v>
      </c>
      <c r="C42" s="127" t="s">
        <v>293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</row>
    <row r="43" spans="1:51" x14ac:dyDescent="0.2">
      <c r="A43" s="127"/>
      <c r="B43" s="147">
        <v>11</v>
      </c>
      <c r="C43" s="127" t="s">
        <v>293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</row>
    <row r="44" spans="1:51" x14ac:dyDescent="0.2">
      <c r="A44" s="127"/>
      <c r="B44" s="147">
        <v>12</v>
      </c>
      <c r="C44" s="145" t="s">
        <v>293</v>
      </c>
      <c r="D44" s="124">
        <v>0</v>
      </c>
      <c r="E44" s="124">
        <v>0</v>
      </c>
      <c r="F44" s="124">
        <v>0</v>
      </c>
      <c r="G44" s="124">
        <v>0</v>
      </c>
      <c r="H44" s="124">
        <v>0</v>
      </c>
      <c r="I44" s="124">
        <v>0</v>
      </c>
      <c r="J44" s="124">
        <v>0</v>
      </c>
      <c r="K44" s="124">
        <v>0</v>
      </c>
      <c r="L44" s="124">
        <v>0</v>
      </c>
      <c r="M44" s="124">
        <v>0</v>
      </c>
      <c r="N44" s="124">
        <v>0</v>
      </c>
      <c r="O44" s="124">
        <v>0</v>
      </c>
      <c r="P44" s="124">
        <v>0</v>
      </c>
      <c r="Q44" s="124">
        <v>0</v>
      </c>
      <c r="R44" s="124">
        <v>0</v>
      </c>
      <c r="S44" s="124">
        <v>0</v>
      </c>
      <c r="T44" s="124">
        <v>0</v>
      </c>
      <c r="U44" s="124">
        <v>0</v>
      </c>
      <c r="V44" s="124">
        <v>0</v>
      </c>
      <c r="W44" s="124">
        <v>0</v>
      </c>
      <c r="X44" s="124">
        <v>0</v>
      </c>
      <c r="Y44" s="124">
        <v>0</v>
      </c>
      <c r="Z44" s="124">
        <v>0</v>
      </c>
      <c r="AA44" s="124">
        <v>0</v>
      </c>
      <c r="AB44" s="124">
        <v>0</v>
      </c>
      <c r="AC44" s="124">
        <v>0</v>
      </c>
      <c r="AD44" s="124">
        <v>0</v>
      </c>
      <c r="AE44" s="124">
        <v>0</v>
      </c>
      <c r="AF44" s="124">
        <v>0</v>
      </c>
      <c r="AG44" s="124">
        <v>0</v>
      </c>
      <c r="AH44" s="124">
        <v>0</v>
      </c>
      <c r="AI44" s="124">
        <v>0</v>
      </c>
      <c r="AJ44" s="124">
        <v>0</v>
      </c>
      <c r="AK44" s="124">
        <v>0</v>
      </c>
      <c r="AL44" s="124">
        <v>0</v>
      </c>
      <c r="AM44" s="124">
        <v>0</v>
      </c>
      <c r="AN44" s="124">
        <v>0</v>
      </c>
      <c r="AO44" s="124">
        <v>0</v>
      </c>
      <c r="AP44" s="124">
        <v>0</v>
      </c>
      <c r="AQ44" s="124">
        <v>0</v>
      </c>
      <c r="AR44" s="124">
        <v>0</v>
      </c>
      <c r="AS44" s="124">
        <v>0</v>
      </c>
      <c r="AT44" s="124">
        <v>0</v>
      </c>
      <c r="AU44" s="124">
        <v>0</v>
      </c>
      <c r="AV44" s="124">
        <v>0</v>
      </c>
      <c r="AW44" s="124">
        <v>0</v>
      </c>
      <c r="AX44" s="124">
        <v>0</v>
      </c>
      <c r="AY44" s="124">
        <v>0</v>
      </c>
    </row>
    <row r="45" spans="1:51" x14ac:dyDescent="0.2">
      <c r="A45" s="143" t="s">
        <v>123</v>
      </c>
      <c r="B45" s="140">
        <v>1</v>
      </c>
      <c r="C45" s="127" t="s">
        <v>293</v>
      </c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</row>
    <row r="46" spans="1:51" x14ac:dyDescent="0.2">
      <c r="A46" s="127"/>
      <c r="B46" s="136">
        <v>2</v>
      </c>
      <c r="C46" s="127" t="s">
        <v>293</v>
      </c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</row>
    <row r="47" spans="1:51" x14ac:dyDescent="0.2">
      <c r="A47" s="127"/>
      <c r="B47" s="136">
        <v>3</v>
      </c>
      <c r="C47" s="127" t="s">
        <v>293</v>
      </c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</row>
    <row r="48" spans="1:51" x14ac:dyDescent="0.2">
      <c r="A48" s="127"/>
      <c r="B48" s="136">
        <v>4</v>
      </c>
      <c r="C48" s="127" t="s">
        <v>293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</row>
    <row r="49" spans="1:51" x14ac:dyDescent="0.2">
      <c r="A49" s="127"/>
      <c r="B49" s="136">
        <v>5</v>
      </c>
      <c r="C49" s="127" t="s">
        <v>293</v>
      </c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</row>
    <row r="50" spans="1:51" x14ac:dyDescent="0.2">
      <c r="A50" s="127"/>
      <c r="B50" s="136">
        <v>6</v>
      </c>
      <c r="C50" s="127" t="s">
        <v>293</v>
      </c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8"/>
      <c r="AB50" s="128"/>
      <c r="AC50" s="128"/>
      <c r="AD50" s="128"/>
      <c r="AE50" s="128"/>
      <c r="AF50" s="128"/>
      <c r="AG50" s="128"/>
      <c r="AH50" s="128"/>
      <c r="AI50" s="128"/>
      <c r="AJ50" s="128"/>
      <c r="AK50" s="128"/>
      <c r="AL50" s="128"/>
      <c r="AM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</row>
    <row r="51" spans="1:51" x14ac:dyDescent="0.2">
      <c r="A51" s="127"/>
      <c r="B51" s="136">
        <v>7</v>
      </c>
      <c r="C51" s="127" t="s">
        <v>293</v>
      </c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</row>
    <row r="52" spans="1:51" x14ac:dyDescent="0.2">
      <c r="A52" s="127"/>
      <c r="B52" s="136">
        <v>8</v>
      </c>
      <c r="C52" s="127" t="s">
        <v>293</v>
      </c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</row>
    <row r="53" spans="1:51" x14ac:dyDescent="0.2">
      <c r="A53" s="127"/>
      <c r="B53" s="136">
        <v>9</v>
      </c>
      <c r="C53" s="127" t="s">
        <v>293</v>
      </c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8"/>
      <c r="AB53" s="128"/>
      <c r="AC53" s="128"/>
      <c r="AD53" s="128"/>
      <c r="AE53" s="128"/>
      <c r="AF53" s="128"/>
      <c r="AG53" s="128"/>
      <c r="AH53" s="128"/>
      <c r="AI53" s="128"/>
      <c r="AJ53" s="128"/>
      <c r="AK53" s="128"/>
      <c r="AL53" s="128"/>
      <c r="AM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</row>
    <row r="54" spans="1:51" x14ac:dyDescent="0.2">
      <c r="A54" s="127"/>
      <c r="B54" s="136">
        <v>10</v>
      </c>
      <c r="C54" s="127" t="s">
        <v>293</v>
      </c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</row>
    <row r="55" spans="1:51" x14ac:dyDescent="0.2">
      <c r="A55" s="127"/>
      <c r="B55" s="136">
        <v>11</v>
      </c>
      <c r="C55" s="127" t="s">
        <v>293</v>
      </c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</row>
    <row r="56" spans="1:51" x14ac:dyDescent="0.2">
      <c r="A56" s="127"/>
      <c r="B56" s="136">
        <v>12</v>
      </c>
      <c r="C56" s="127" t="s">
        <v>293</v>
      </c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</row>
    <row r="57" spans="1:51" x14ac:dyDescent="0.2">
      <c r="A57" s="127"/>
      <c r="B57" s="137">
        <v>13</v>
      </c>
      <c r="C57" s="127" t="s">
        <v>293</v>
      </c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</row>
    <row r="58" spans="1:51" x14ac:dyDescent="0.2">
      <c r="A58" s="127"/>
      <c r="B58" s="137">
        <v>14</v>
      </c>
      <c r="C58" s="127" t="s">
        <v>293</v>
      </c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8"/>
      <c r="U58" s="128"/>
      <c r="V58" s="128"/>
      <c r="W58" s="128"/>
      <c r="X58" s="128"/>
      <c r="Y58" s="128"/>
      <c r="Z58" s="128"/>
      <c r="AA58" s="128"/>
      <c r="AB58" s="128"/>
      <c r="AC58" s="128"/>
      <c r="AD58" s="128"/>
      <c r="AE58" s="128"/>
      <c r="AF58" s="128"/>
      <c r="AG58" s="128"/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</row>
    <row r="59" spans="1:51" x14ac:dyDescent="0.2">
      <c r="A59" s="127"/>
      <c r="B59" s="137">
        <v>15</v>
      </c>
      <c r="C59" s="127" t="s">
        <v>293</v>
      </c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</row>
    <row r="60" spans="1:51" x14ac:dyDescent="0.2">
      <c r="A60" s="127"/>
      <c r="B60" s="137">
        <v>16</v>
      </c>
      <c r="C60" s="127" t="s">
        <v>293</v>
      </c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</row>
    <row r="61" spans="1:51" x14ac:dyDescent="0.2">
      <c r="A61" s="127"/>
      <c r="B61" s="137">
        <v>17</v>
      </c>
      <c r="C61" s="127" t="s">
        <v>293</v>
      </c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</row>
    <row r="62" spans="1:51" x14ac:dyDescent="0.2">
      <c r="A62" s="127"/>
      <c r="B62" s="137">
        <v>18</v>
      </c>
      <c r="C62" s="127" t="s">
        <v>293</v>
      </c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</row>
    <row r="63" spans="1:51" x14ac:dyDescent="0.2">
      <c r="A63" s="127"/>
      <c r="B63" s="137">
        <v>19</v>
      </c>
      <c r="C63" s="127" t="s">
        <v>293</v>
      </c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</row>
    <row r="64" spans="1:51" x14ac:dyDescent="0.2">
      <c r="A64" s="127"/>
      <c r="B64" s="137">
        <v>20</v>
      </c>
      <c r="C64" s="127" t="s">
        <v>293</v>
      </c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</row>
    <row r="65" spans="1:51" x14ac:dyDescent="0.2">
      <c r="A65" s="127"/>
      <c r="B65" s="137">
        <v>21</v>
      </c>
      <c r="C65" s="127" t="s">
        <v>293</v>
      </c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</row>
    <row r="66" spans="1:51" x14ac:dyDescent="0.2">
      <c r="A66" s="127"/>
      <c r="B66" s="137">
        <v>22</v>
      </c>
      <c r="C66" s="127" t="s">
        <v>293</v>
      </c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  <c r="V66" s="128"/>
      <c r="W66" s="128"/>
      <c r="X66" s="128"/>
      <c r="Y66" s="128"/>
      <c r="Z66" s="128"/>
      <c r="AA66" s="128"/>
      <c r="AB66" s="128"/>
      <c r="AC66" s="128"/>
      <c r="AD66" s="128"/>
      <c r="AE66" s="128"/>
      <c r="AF66" s="128"/>
      <c r="AG66" s="128"/>
      <c r="AH66" s="128"/>
      <c r="AI66" s="128"/>
      <c r="AJ66" s="128"/>
      <c r="AK66" s="128"/>
      <c r="AL66" s="128"/>
      <c r="AM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</row>
    <row r="67" spans="1:51" x14ac:dyDescent="0.2">
      <c r="A67" s="127"/>
      <c r="B67" s="137">
        <v>23</v>
      </c>
      <c r="C67" s="127" t="s">
        <v>293</v>
      </c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</row>
    <row r="68" spans="1:51" x14ac:dyDescent="0.2">
      <c r="A68" s="127"/>
      <c r="B68" s="137">
        <v>24</v>
      </c>
      <c r="C68" s="127" t="s">
        <v>293</v>
      </c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</row>
    <row r="69" spans="1:51" x14ac:dyDescent="0.2">
      <c r="A69" s="127"/>
      <c r="B69" s="144">
        <v>25</v>
      </c>
      <c r="C69" s="127" t="s">
        <v>293</v>
      </c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</row>
    <row r="70" spans="1:51" x14ac:dyDescent="0.2">
      <c r="A70" s="127"/>
      <c r="B70" s="144">
        <v>26</v>
      </c>
      <c r="C70" s="127" t="s">
        <v>293</v>
      </c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</row>
    <row r="71" spans="1:51" x14ac:dyDescent="0.2">
      <c r="A71" s="127"/>
      <c r="B71" s="144">
        <v>27</v>
      </c>
      <c r="C71" s="127" t="s">
        <v>293</v>
      </c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</row>
    <row r="72" spans="1:51" x14ac:dyDescent="0.2">
      <c r="A72" s="127"/>
      <c r="B72" s="144">
        <v>28</v>
      </c>
      <c r="C72" s="127" t="s">
        <v>293</v>
      </c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</row>
    <row r="73" spans="1:51" x14ac:dyDescent="0.2">
      <c r="A73" s="127"/>
      <c r="B73" s="144">
        <v>29</v>
      </c>
      <c r="C73" s="127" t="s">
        <v>293</v>
      </c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</row>
    <row r="74" spans="1:51" x14ac:dyDescent="0.2">
      <c r="A74" s="127"/>
      <c r="B74" s="144">
        <v>30</v>
      </c>
      <c r="C74" s="127" t="s">
        <v>293</v>
      </c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  <c r="AE74" s="128"/>
      <c r="AF74" s="128"/>
      <c r="AG74" s="128"/>
      <c r="AH74" s="128"/>
      <c r="AI74" s="128"/>
      <c r="AJ74" s="128"/>
      <c r="AK74" s="128"/>
      <c r="AL74" s="128"/>
      <c r="AM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</row>
    <row r="75" spans="1:51" x14ac:dyDescent="0.2">
      <c r="A75" s="127"/>
      <c r="B75" s="144">
        <v>31</v>
      </c>
      <c r="C75" s="127" t="s">
        <v>293</v>
      </c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  <c r="AI75" s="128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</row>
    <row r="76" spans="1:51" x14ac:dyDescent="0.2">
      <c r="A76" s="127"/>
      <c r="B76" s="144">
        <v>32</v>
      </c>
      <c r="C76" s="127" t="s">
        <v>293</v>
      </c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128"/>
      <c r="AF76" s="128"/>
      <c r="AG76" s="128"/>
      <c r="AH76" s="128"/>
      <c r="AI76" s="128"/>
      <c r="AJ76" s="128"/>
      <c r="AK76" s="128"/>
      <c r="AL76" s="128"/>
      <c r="AM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</row>
    <row r="77" spans="1:51" x14ac:dyDescent="0.2">
      <c r="A77" s="127"/>
      <c r="B77" s="144">
        <v>33</v>
      </c>
      <c r="C77" s="127" t="s">
        <v>293</v>
      </c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</row>
    <row r="78" spans="1:51" x14ac:dyDescent="0.2">
      <c r="A78" s="127"/>
      <c r="B78" s="144">
        <v>34</v>
      </c>
      <c r="C78" s="127" t="s">
        <v>293</v>
      </c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8"/>
      <c r="AI78" s="128"/>
      <c r="AJ78" s="128"/>
      <c r="AK78" s="128"/>
      <c r="AL78" s="128"/>
      <c r="AM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</row>
    <row r="79" spans="1:51" x14ac:dyDescent="0.2">
      <c r="A79" s="127"/>
      <c r="B79" s="144">
        <v>35</v>
      </c>
      <c r="C79" s="127" t="s">
        <v>293</v>
      </c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  <c r="AE79" s="128"/>
      <c r="AF79" s="128"/>
      <c r="AG79" s="128"/>
      <c r="AH79" s="128"/>
      <c r="AI79" s="128"/>
      <c r="AJ79" s="128"/>
      <c r="AK79" s="128"/>
      <c r="AL79" s="128"/>
      <c r="AM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</row>
    <row r="80" spans="1:51" x14ac:dyDescent="0.2">
      <c r="A80" s="127"/>
      <c r="B80" s="144">
        <v>36</v>
      </c>
      <c r="C80" s="127" t="s">
        <v>293</v>
      </c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</row>
    <row r="81" spans="1:52" x14ac:dyDescent="0.2">
      <c r="A81" s="127"/>
      <c r="B81" s="147">
        <v>37</v>
      </c>
      <c r="C81" s="127" t="s">
        <v>293</v>
      </c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128"/>
      <c r="W81" s="128"/>
      <c r="X81" s="128"/>
      <c r="Y81" s="128"/>
      <c r="Z81" s="128"/>
      <c r="AA81" s="128"/>
      <c r="AB81" s="128"/>
      <c r="AC81" s="128"/>
      <c r="AD81" s="128"/>
      <c r="AE81" s="128"/>
      <c r="AF81" s="128"/>
      <c r="AG81" s="128"/>
      <c r="AH81" s="128"/>
      <c r="AI81" s="128"/>
      <c r="AJ81" s="128"/>
      <c r="AK81" s="128"/>
      <c r="AL81" s="128"/>
      <c r="AM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</row>
    <row r="82" spans="1:52" x14ac:dyDescent="0.2">
      <c r="A82" s="127"/>
      <c r="B82" s="147">
        <v>38</v>
      </c>
      <c r="C82" s="127" t="s">
        <v>293</v>
      </c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128"/>
      <c r="W82" s="128"/>
      <c r="X82" s="128"/>
      <c r="Y82" s="128"/>
      <c r="Z82" s="128"/>
      <c r="AA82" s="128"/>
      <c r="AB82" s="128"/>
      <c r="AC82" s="128"/>
      <c r="AD82" s="128"/>
      <c r="AE82" s="128"/>
      <c r="AF82" s="128"/>
      <c r="AG82" s="128"/>
      <c r="AH82" s="128"/>
      <c r="AI82" s="128"/>
      <c r="AJ82" s="128"/>
      <c r="AK82" s="128"/>
      <c r="AL82" s="128"/>
      <c r="AM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</row>
    <row r="83" spans="1:52" x14ac:dyDescent="0.2">
      <c r="A83" s="127"/>
      <c r="B83" s="147">
        <v>39</v>
      </c>
      <c r="C83" s="127" t="s">
        <v>293</v>
      </c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28"/>
      <c r="AF83" s="128"/>
      <c r="AG83" s="128"/>
      <c r="AH83" s="128"/>
      <c r="AI83" s="128"/>
      <c r="AJ83" s="128"/>
      <c r="AK83" s="128"/>
      <c r="AL83" s="128"/>
      <c r="AM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</row>
    <row r="84" spans="1:52" x14ac:dyDescent="0.2">
      <c r="A84" s="127"/>
      <c r="B84" s="147">
        <v>40</v>
      </c>
      <c r="C84" s="127" t="s">
        <v>293</v>
      </c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28"/>
      <c r="AJ84" s="128"/>
      <c r="AK84" s="128"/>
      <c r="AL84" s="128"/>
      <c r="AM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</row>
    <row r="85" spans="1:52" x14ac:dyDescent="0.2">
      <c r="A85" s="127"/>
      <c r="B85" s="147">
        <v>41</v>
      </c>
      <c r="C85" s="127" t="s">
        <v>293</v>
      </c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128"/>
      <c r="AK85" s="128"/>
      <c r="AL85" s="128"/>
      <c r="AM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</row>
    <row r="86" spans="1:52" x14ac:dyDescent="0.2">
      <c r="A86" s="127"/>
      <c r="B86" s="147">
        <v>42</v>
      </c>
      <c r="C86" s="127" t="s">
        <v>293</v>
      </c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8"/>
      <c r="AE86" s="128"/>
      <c r="AF86" s="128"/>
      <c r="AG86" s="128"/>
      <c r="AH86" s="128"/>
      <c r="AI86" s="128"/>
      <c r="AJ86" s="128"/>
      <c r="AK86" s="128"/>
      <c r="AL86" s="128"/>
      <c r="AM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</row>
    <row r="87" spans="1:52" x14ac:dyDescent="0.2">
      <c r="A87" s="127"/>
      <c r="B87" s="147">
        <v>43</v>
      </c>
      <c r="C87" s="127" t="s">
        <v>293</v>
      </c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8"/>
      <c r="AE87" s="128"/>
      <c r="AF87" s="128"/>
      <c r="AG87" s="128"/>
      <c r="AH87" s="128"/>
      <c r="AI87" s="128"/>
      <c r="AJ87" s="128"/>
      <c r="AK87" s="128"/>
      <c r="AL87" s="128"/>
      <c r="AM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</row>
    <row r="88" spans="1:52" x14ac:dyDescent="0.2">
      <c r="A88" s="127"/>
      <c r="B88" s="147">
        <v>44</v>
      </c>
      <c r="C88" s="127" t="s">
        <v>293</v>
      </c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8"/>
      <c r="AE88" s="128"/>
      <c r="AF88" s="128"/>
      <c r="AG88" s="128"/>
      <c r="AH88" s="128"/>
      <c r="AI88" s="128"/>
      <c r="AJ88" s="128"/>
      <c r="AK88" s="128"/>
      <c r="AL88" s="128"/>
      <c r="AM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</row>
    <row r="89" spans="1:52" x14ac:dyDescent="0.2">
      <c r="A89" s="127"/>
      <c r="B89" s="147">
        <v>45</v>
      </c>
      <c r="C89" s="127" t="s">
        <v>293</v>
      </c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  <c r="AI89" s="128"/>
      <c r="AJ89" s="128"/>
      <c r="AK89" s="128"/>
      <c r="AL89" s="128"/>
      <c r="AM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</row>
    <row r="90" spans="1:52" x14ac:dyDescent="0.2">
      <c r="A90" s="127"/>
      <c r="B90" s="147">
        <v>46</v>
      </c>
      <c r="C90" s="127" t="s">
        <v>293</v>
      </c>
      <c r="D90" s="128"/>
      <c r="E90" s="128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  <c r="AI90" s="128"/>
      <c r="AJ90" s="128"/>
      <c r="AK90" s="128"/>
      <c r="AL90" s="128"/>
      <c r="AM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</row>
    <row r="91" spans="1:52" x14ac:dyDescent="0.2">
      <c r="A91" s="127"/>
      <c r="B91" s="147">
        <v>47</v>
      </c>
      <c r="C91" s="127" t="s">
        <v>293</v>
      </c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28"/>
      <c r="AF91" s="128"/>
      <c r="AG91" s="128"/>
      <c r="AH91" s="128"/>
      <c r="AI91" s="128"/>
      <c r="AJ91" s="128"/>
      <c r="AK91" s="128"/>
      <c r="AL91" s="128"/>
      <c r="AM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</row>
    <row r="92" spans="1:52" x14ac:dyDescent="0.2">
      <c r="A92" s="145"/>
      <c r="B92" s="146">
        <v>48</v>
      </c>
      <c r="C92" s="145" t="s">
        <v>293</v>
      </c>
      <c r="D92" s="142">
        <v>0</v>
      </c>
      <c r="E92" s="142">
        <v>0</v>
      </c>
      <c r="F92" s="142">
        <v>0</v>
      </c>
      <c r="G92" s="142">
        <v>0</v>
      </c>
      <c r="H92" s="142">
        <v>0</v>
      </c>
      <c r="I92" s="142">
        <v>0</v>
      </c>
      <c r="J92" s="142">
        <v>0</v>
      </c>
      <c r="K92" s="142">
        <v>0</v>
      </c>
      <c r="L92" s="142">
        <v>0</v>
      </c>
      <c r="M92" s="142">
        <v>0</v>
      </c>
      <c r="N92" s="142">
        <v>0</v>
      </c>
      <c r="O92" s="142">
        <v>0</v>
      </c>
      <c r="P92" s="142">
        <v>0</v>
      </c>
      <c r="Q92" s="142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142">
        <v>0</v>
      </c>
      <c r="X92" s="142">
        <v>0</v>
      </c>
      <c r="Y92" s="142">
        <v>0</v>
      </c>
      <c r="Z92" s="142">
        <v>0</v>
      </c>
      <c r="AA92" s="142">
        <v>0</v>
      </c>
      <c r="AB92" s="142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142">
        <v>0</v>
      </c>
      <c r="AJ92" s="142">
        <v>0</v>
      </c>
      <c r="AK92" s="142">
        <v>0</v>
      </c>
      <c r="AL92" s="142">
        <v>0</v>
      </c>
      <c r="AM92" s="142">
        <v>0</v>
      </c>
      <c r="AN92" s="142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142">
        <v>0</v>
      </c>
      <c r="AU92" s="142">
        <v>0</v>
      </c>
      <c r="AV92" s="142">
        <v>0</v>
      </c>
      <c r="AW92" s="142">
        <v>0</v>
      </c>
      <c r="AX92" s="142">
        <v>0</v>
      </c>
      <c r="AY92" s="142">
        <v>0</v>
      </c>
      <c r="AZ92" s="125">
        <f>SUM(D21:AY92)</f>
        <v>0</v>
      </c>
    </row>
    <row r="94" spans="1:52" x14ac:dyDescent="0.2">
      <c r="A94" s="1" t="s">
        <v>295</v>
      </c>
      <c r="B94" s="124"/>
      <c r="C94" s="124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</row>
    <row r="95" spans="1:52" x14ac:dyDescent="0.2">
      <c r="A95" s="143" t="s">
        <v>125</v>
      </c>
      <c r="B95" s="140">
        <v>1</v>
      </c>
      <c r="C95" s="141">
        <v>4081.2645598754193</v>
      </c>
      <c r="D95" s="128">
        <v>1609.4358255146774</v>
      </c>
      <c r="E95" s="128">
        <v>1610.6629171250668</v>
      </c>
      <c r="F95" s="128">
        <v>1909.9482098398264</v>
      </c>
      <c r="G95" s="128">
        <v>1909.9482098398264</v>
      </c>
      <c r="H95" s="128">
        <v>1190.7626960127434</v>
      </c>
      <c r="I95" s="128">
        <v>1909.9482098398264</v>
      </c>
      <c r="J95" s="128">
        <v>1909.9482098398264</v>
      </c>
      <c r="K95" s="128">
        <v>1909.9482098398264</v>
      </c>
      <c r="L95" s="128">
        <v>1909.9482098398264</v>
      </c>
      <c r="M95" s="128">
        <v>1909.9482098398264</v>
      </c>
      <c r="N95" s="128">
        <v>1909.9482098398264</v>
      </c>
      <c r="O95" s="128">
        <v>1909.9482098398264</v>
      </c>
      <c r="P95" s="128">
        <v>1909.9482098398264</v>
      </c>
      <c r="Q95" s="128">
        <v>1909.9482098398264</v>
      </c>
      <c r="R95" s="128">
        <v>1909.9482098398264</v>
      </c>
      <c r="S95" s="128">
        <v>1909.9482098398264</v>
      </c>
      <c r="T95" s="128">
        <v>1909.9482098398264</v>
      </c>
      <c r="U95" s="128">
        <v>1909.9482098398264</v>
      </c>
      <c r="V95" s="128">
        <v>1909.9482098398264</v>
      </c>
      <c r="W95" s="128">
        <v>1909.9482098398264</v>
      </c>
      <c r="X95" s="128">
        <v>1909.9482098398264</v>
      </c>
      <c r="Y95" s="128">
        <v>1909.9482098398264</v>
      </c>
      <c r="Z95" s="128">
        <v>1909.9482098398264</v>
      </c>
      <c r="AA95" s="128">
        <v>1909.9482098398264</v>
      </c>
      <c r="AB95" s="128">
        <v>1909.9482098398264</v>
      </c>
      <c r="AC95" s="128">
        <v>1909.9482098398264</v>
      </c>
      <c r="AD95" s="128">
        <v>1909.9482098398264</v>
      </c>
      <c r="AE95" s="128">
        <v>1909.9482098398264</v>
      </c>
      <c r="AF95" s="128">
        <v>1909.9482098398264</v>
      </c>
      <c r="AG95" s="128">
        <v>1909.9482098398264</v>
      </c>
      <c r="AH95" s="128">
        <v>1909.9482098398264</v>
      </c>
      <c r="AI95" s="128">
        <v>1909.9482098398264</v>
      </c>
      <c r="AJ95" s="128">
        <v>1647.7635498143225</v>
      </c>
      <c r="AK95" s="128">
        <v>1648.8960275237914</v>
      </c>
      <c r="AL95" s="128">
        <v>1909.9482098398264</v>
      </c>
      <c r="AM95" s="128">
        <v>1909.9482098398264</v>
      </c>
      <c r="AN95" s="128">
        <v>1909.9482098398264</v>
      </c>
      <c r="AO95" s="128">
        <v>1909.9482098398264</v>
      </c>
      <c r="AP95" s="128">
        <v>1909.9482098398264</v>
      </c>
      <c r="AQ95" s="128">
        <v>1909.9482098398264</v>
      </c>
      <c r="AR95" s="128">
        <v>1656.6426176893524</v>
      </c>
      <c r="AS95" s="128">
        <v>1909.9482098398264</v>
      </c>
      <c r="AT95" s="128">
        <v>1201.8748664229811</v>
      </c>
      <c r="AU95" s="128">
        <v>1909.9482098398264</v>
      </c>
      <c r="AV95" s="128">
        <v>1660.9115722382035</v>
      </c>
      <c r="AW95" s="128">
        <v>1661.9591540515826</v>
      </c>
      <c r="AX95" s="128">
        <v>1909.9482098398264</v>
      </c>
      <c r="AY95" s="128">
        <v>1909.9482098398264</v>
      </c>
    </row>
    <row r="96" spans="1:52" x14ac:dyDescent="0.2">
      <c r="A96" s="127"/>
      <c r="B96" s="137">
        <v>2</v>
      </c>
      <c r="C96" s="128">
        <v>3797.7758918127574</v>
      </c>
      <c r="D96" s="128">
        <v>4081.2645598754193</v>
      </c>
      <c r="E96" s="128">
        <v>1609.4358255146774</v>
      </c>
      <c r="F96" s="128">
        <v>1610.6629171250668</v>
      </c>
      <c r="G96" s="128">
        <v>1909.9482098398264</v>
      </c>
      <c r="H96" s="128">
        <v>1909.9482098398264</v>
      </c>
      <c r="I96" s="128">
        <v>1190.7626960127434</v>
      </c>
      <c r="J96" s="128">
        <v>1909.9482098398264</v>
      </c>
      <c r="K96" s="128">
        <v>1909.9482098398264</v>
      </c>
      <c r="L96" s="128">
        <v>1909.9482098398264</v>
      </c>
      <c r="M96" s="128">
        <v>1909.9482098398264</v>
      </c>
      <c r="N96" s="128">
        <v>1909.9482098398264</v>
      </c>
      <c r="O96" s="128">
        <v>1909.9482098398264</v>
      </c>
      <c r="P96" s="128">
        <v>1909.9482098398264</v>
      </c>
      <c r="Q96" s="128">
        <v>1909.9482098398264</v>
      </c>
      <c r="R96" s="128">
        <v>1909.9482098398264</v>
      </c>
      <c r="S96" s="128">
        <v>1909.9482098398264</v>
      </c>
      <c r="T96" s="128">
        <v>1909.9482098398264</v>
      </c>
      <c r="U96" s="128">
        <v>1909.9482098398264</v>
      </c>
      <c r="V96" s="128">
        <v>1909.9482098398264</v>
      </c>
      <c r="W96" s="128">
        <v>1909.9482098398264</v>
      </c>
      <c r="X96" s="128">
        <v>1909.9482098398264</v>
      </c>
      <c r="Y96" s="128">
        <v>1909.9482098398264</v>
      </c>
      <c r="Z96" s="128">
        <v>1909.9482098398264</v>
      </c>
      <c r="AA96" s="128">
        <v>1909.9482098398264</v>
      </c>
      <c r="AB96" s="128">
        <v>1909.9482098398264</v>
      </c>
      <c r="AC96" s="128">
        <v>1909.9482098398264</v>
      </c>
      <c r="AD96" s="128">
        <v>1909.9482098398264</v>
      </c>
      <c r="AE96" s="128">
        <v>1909.9482098398264</v>
      </c>
      <c r="AF96" s="128">
        <v>1909.9482098398264</v>
      </c>
      <c r="AG96" s="128">
        <v>1909.9482098398264</v>
      </c>
      <c r="AH96" s="128">
        <v>1909.9482098398264</v>
      </c>
      <c r="AI96" s="128">
        <v>1909.9482098398264</v>
      </c>
      <c r="AJ96" s="128">
        <v>1909.9482098398264</v>
      </c>
      <c r="AK96" s="128">
        <v>1647.7635498143225</v>
      </c>
      <c r="AL96" s="128">
        <v>1648.8960275237914</v>
      </c>
      <c r="AM96" s="128">
        <v>1909.9482098398264</v>
      </c>
      <c r="AN96" s="128">
        <v>1909.9482098398264</v>
      </c>
      <c r="AO96" s="128">
        <v>1909.9482098398264</v>
      </c>
      <c r="AP96" s="128">
        <v>1909.9482098398264</v>
      </c>
      <c r="AQ96" s="128">
        <v>1909.9482098398264</v>
      </c>
      <c r="AR96" s="128">
        <v>1909.9482098398264</v>
      </c>
      <c r="AS96" s="128">
        <v>1656.6426176893524</v>
      </c>
      <c r="AT96" s="128">
        <v>1909.9482098398264</v>
      </c>
      <c r="AU96" s="128">
        <v>1201.8748664229811</v>
      </c>
      <c r="AV96" s="128">
        <v>1909.9482098398264</v>
      </c>
      <c r="AW96" s="128">
        <v>1660.9115722382035</v>
      </c>
      <c r="AX96" s="128">
        <v>1661.9591540515826</v>
      </c>
      <c r="AY96" s="128">
        <v>1909.9482098398264</v>
      </c>
    </row>
    <row r="97" spans="1:52" x14ac:dyDescent="0.2">
      <c r="A97" s="127"/>
      <c r="B97" s="144">
        <v>3</v>
      </c>
      <c r="C97" s="128">
        <v>4081.2645598754193</v>
      </c>
      <c r="D97" s="128">
        <v>3797.7758918127574</v>
      </c>
      <c r="E97" s="128">
        <v>4081.2645598754193</v>
      </c>
      <c r="F97" s="128">
        <v>1609.4358255146774</v>
      </c>
      <c r="G97" s="128">
        <v>1610.6629171250668</v>
      </c>
      <c r="H97" s="128">
        <v>1909.9482098398264</v>
      </c>
      <c r="I97" s="128">
        <v>1909.9482098398264</v>
      </c>
      <c r="J97" s="128">
        <v>1190.7626960127434</v>
      </c>
      <c r="K97" s="128">
        <v>1909.9482098398264</v>
      </c>
      <c r="L97" s="128">
        <v>1909.9482098398264</v>
      </c>
      <c r="M97" s="128">
        <v>1909.9482098398264</v>
      </c>
      <c r="N97" s="128">
        <v>1909.9482098398264</v>
      </c>
      <c r="O97" s="128">
        <v>1909.9482098398264</v>
      </c>
      <c r="P97" s="128">
        <v>1909.9482098398264</v>
      </c>
      <c r="Q97" s="128">
        <v>1909.9482098398264</v>
      </c>
      <c r="R97" s="128">
        <v>1909.9482098398264</v>
      </c>
      <c r="S97" s="128">
        <v>1909.9482098398264</v>
      </c>
      <c r="T97" s="128">
        <v>1909.9482098398264</v>
      </c>
      <c r="U97" s="128">
        <v>1909.9482098398264</v>
      </c>
      <c r="V97" s="128">
        <v>1909.9482098398264</v>
      </c>
      <c r="W97" s="128">
        <v>1909.9482098398264</v>
      </c>
      <c r="X97" s="128">
        <v>1909.9482098398264</v>
      </c>
      <c r="Y97" s="128">
        <v>1909.9482098398264</v>
      </c>
      <c r="Z97" s="128">
        <v>1909.9482098398264</v>
      </c>
      <c r="AA97" s="128">
        <v>1909.9482098398264</v>
      </c>
      <c r="AB97" s="128">
        <v>1909.9482098398264</v>
      </c>
      <c r="AC97" s="128">
        <v>1909.9482098398264</v>
      </c>
      <c r="AD97" s="128">
        <v>1909.9482098398264</v>
      </c>
      <c r="AE97" s="128">
        <v>1909.9482098398264</v>
      </c>
      <c r="AF97" s="128">
        <v>1909.9482098398264</v>
      </c>
      <c r="AG97" s="128">
        <v>1909.9482098398264</v>
      </c>
      <c r="AH97" s="128">
        <v>1909.9482098398264</v>
      </c>
      <c r="AI97" s="128">
        <v>1909.9482098398264</v>
      </c>
      <c r="AJ97" s="128">
        <v>1909.9482098398264</v>
      </c>
      <c r="AK97" s="128">
        <v>1909.9482098398264</v>
      </c>
      <c r="AL97" s="128">
        <v>1647.7635498143225</v>
      </c>
      <c r="AM97" s="128">
        <v>1648.8960275237914</v>
      </c>
      <c r="AN97" s="128">
        <v>1909.9482098398264</v>
      </c>
      <c r="AO97" s="128">
        <v>1909.9482098398264</v>
      </c>
      <c r="AP97" s="128">
        <v>1909.9482098398264</v>
      </c>
      <c r="AQ97" s="128">
        <v>1909.9482098398264</v>
      </c>
      <c r="AR97" s="128">
        <v>1909.9482098398264</v>
      </c>
      <c r="AS97" s="128">
        <v>1909.9482098398264</v>
      </c>
      <c r="AT97" s="128">
        <v>1656.6426176893524</v>
      </c>
      <c r="AU97" s="128">
        <v>1909.9482098398264</v>
      </c>
      <c r="AV97" s="128">
        <v>1201.8748664229811</v>
      </c>
      <c r="AW97" s="128">
        <v>1909.9482098398264</v>
      </c>
      <c r="AX97" s="128">
        <v>1660.9115722382035</v>
      </c>
      <c r="AY97" s="128">
        <v>1661.9591540515826</v>
      </c>
    </row>
    <row r="98" spans="1:52" x14ac:dyDescent="0.2">
      <c r="A98" s="127"/>
      <c r="B98" s="147">
        <v>4</v>
      </c>
      <c r="C98" s="124">
        <v>4081.2645598754193</v>
      </c>
      <c r="D98" s="128">
        <v>4081.2645598754193</v>
      </c>
      <c r="E98" s="128">
        <v>3797.7758918127574</v>
      </c>
      <c r="F98" s="128">
        <v>4081.2645598754193</v>
      </c>
      <c r="G98" s="128">
        <v>1609.4358255146774</v>
      </c>
      <c r="H98" s="128">
        <v>1610.6629171250668</v>
      </c>
      <c r="I98" s="128">
        <v>1909.9482098398264</v>
      </c>
      <c r="J98" s="128">
        <v>1909.9482098398264</v>
      </c>
      <c r="K98" s="128">
        <v>1190.7626960127434</v>
      </c>
      <c r="L98" s="128">
        <v>1909.9482098398264</v>
      </c>
      <c r="M98" s="128">
        <v>1909.9482098398264</v>
      </c>
      <c r="N98" s="128">
        <v>1909.9482098398264</v>
      </c>
      <c r="O98" s="128">
        <v>1909.9482098398264</v>
      </c>
      <c r="P98" s="128">
        <v>1909.9482098398264</v>
      </c>
      <c r="Q98" s="128">
        <v>1909.9482098398264</v>
      </c>
      <c r="R98" s="128">
        <v>1909.9482098398264</v>
      </c>
      <c r="S98" s="128">
        <v>1909.9482098398264</v>
      </c>
      <c r="T98" s="128">
        <v>1909.9482098398264</v>
      </c>
      <c r="U98" s="128">
        <v>1909.9482098398264</v>
      </c>
      <c r="V98" s="128">
        <v>1909.9482098398264</v>
      </c>
      <c r="W98" s="128">
        <v>1909.9482098398264</v>
      </c>
      <c r="X98" s="128">
        <v>1909.9482098398264</v>
      </c>
      <c r="Y98" s="128">
        <v>1909.9482098398264</v>
      </c>
      <c r="Z98" s="128">
        <v>1909.9482098398264</v>
      </c>
      <c r="AA98" s="128">
        <v>1909.9482098398264</v>
      </c>
      <c r="AB98" s="128">
        <v>1909.9482098398264</v>
      </c>
      <c r="AC98" s="128">
        <v>1909.9482098398264</v>
      </c>
      <c r="AD98" s="128">
        <v>1909.9482098398264</v>
      </c>
      <c r="AE98" s="128">
        <v>1909.9482098398264</v>
      </c>
      <c r="AF98" s="128">
        <v>1909.9482098398264</v>
      </c>
      <c r="AG98" s="128">
        <v>1909.9482098398264</v>
      </c>
      <c r="AH98" s="128">
        <v>1909.9482098398264</v>
      </c>
      <c r="AI98" s="128">
        <v>1909.9482098398264</v>
      </c>
      <c r="AJ98" s="128">
        <v>1909.9482098398264</v>
      </c>
      <c r="AK98" s="128">
        <v>1909.9482098398264</v>
      </c>
      <c r="AL98" s="128">
        <v>1909.9482098398264</v>
      </c>
      <c r="AM98" s="128">
        <v>1647.7635498143225</v>
      </c>
      <c r="AN98" s="128">
        <v>1648.8960275237914</v>
      </c>
      <c r="AO98" s="128">
        <v>1909.9482098398264</v>
      </c>
      <c r="AP98" s="128">
        <v>1909.9482098398264</v>
      </c>
      <c r="AQ98" s="128">
        <v>1909.9482098398264</v>
      </c>
      <c r="AR98" s="128">
        <v>1909.9482098398264</v>
      </c>
      <c r="AS98" s="128">
        <v>1909.9482098398264</v>
      </c>
      <c r="AT98" s="128">
        <v>1909.9482098398264</v>
      </c>
      <c r="AU98" s="128">
        <v>1656.6426176893524</v>
      </c>
      <c r="AV98" s="128">
        <v>1909.9482098398264</v>
      </c>
      <c r="AW98" s="128">
        <v>1201.8748664229811</v>
      </c>
      <c r="AX98" s="128">
        <v>1909.9482098398264</v>
      </c>
      <c r="AY98" s="128">
        <v>1660.9115722382035</v>
      </c>
    </row>
    <row r="99" spans="1:52" x14ac:dyDescent="0.2">
      <c r="A99" s="145"/>
      <c r="B99" s="149" t="s">
        <v>296</v>
      </c>
      <c r="C99" s="142">
        <v>3766.2645598754193</v>
      </c>
      <c r="D99" s="142">
        <v>3681.2645598754193</v>
      </c>
      <c r="E99" s="142">
        <v>3577.2645598754193</v>
      </c>
      <c r="F99" s="142">
        <v>3279.7758918127574</v>
      </c>
      <c r="G99" s="142">
        <v>3532.2645598754193</v>
      </c>
      <c r="H99" s="142">
        <v>1132.4358255146774</v>
      </c>
      <c r="I99" s="142">
        <v>1137.6629171250668</v>
      </c>
      <c r="J99" s="142">
        <v>1425.9482098398264</v>
      </c>
      <c r="K99" s="142">
        <v>1450.9482098398264</v>
      </c>
      <c r="L99" s="142">
        <v>664.76269601274339</v>
      </c>
      <c r="M99" s="142">
        <v>1386.9482098398264</v>
      </c>
      <c r="N99" s="142">
        <v>1304.9482098398264</v>
      </c>
      <c r="O99" s="142">
        <v>1389.9482098398264</v>
      </c>
      <c r="P99" s="142">
        <v>1288.9482098398264</v>
      </c>
      <c r="Q99" s="142">
        <v>1383.9482098398264</v>
      </c>
      <c r="R99" s="142">
        <v>1284.9482098398264</v>
      </c>
      <c r="S99" s="142">
        <v>1268.9482098398264</v>
      </c>
      <c r="T99" s="142">
        <v>1392.9482098398264</v>
      </c>
      <c r="U99" s="142">
        <v>1311.9482098398264</v>
      </c>
      <c r="V99" s="142">
        <v>1353.9482098398264</v>
      </c>
      <c r="W99" s="142">
        <v>1322.9482098398264</v>
      </c>
      <c r="X99" s="142">
        <v>1398.9482098398264</v>
      </c>
      <c r="Y99" s="142">
        <v>1362.9482098398264</v>
      </c>
      <c r="Z99" s="142">
        <v>1278.9482098398264</v>
      </c>
      <c r="AA99" s="142">
        <v>1362.9482098398264</v>
      </c>
      <c r="AB99" s="142">
        <v>1304.9482098398264</v>
      </c>
      <c r="AC99" s="142">
        <v>1411.9482098398264</v>
      </c>
      <c r="AD99" s="142">
        <v>1382.9482098398264</v>
      </c>
      <c r="AE99" s="142">
        <v>1225.9482098398264</v>
      </c>
      <c r="AF99" s="142">
        <v>1346.9482098398264</v>
      </c>
      <c r="AG99" s="142">
        <v>1287.9482098398264</v>
      </c>
      <c r="AH99" s="142">
        <v>1300.9482098398264</v>
      </c>
      <c r="AI99" s="142">
        <v>1295.9482098398264</v>
      </c>
      <c r="AJ99" s="142">
        <v>1349.9482098398264</v>
      </c>
      <c r="AK99" s="142">
        <v>1428.9482098398264</v>
      </c>
      <c r="AL99" s="142">
        <v>1282.9482098398264</v>
      </c>
      <c r="AM99" s="142">
        <v>1334.9482098398264</v>
      </c>
      <c r="AN99" s="142">
        <v>1068.7635498143225</v>
      </c>
      <c r="AO99" s="142">
        <v>941.89602752379142</v>
      </c>
      <c r="AP99" s="142">
        <v>1432.9482098398264</v>
      </c>
      <c r="AQ99" s="142">
        <v>1289.9482098398264</v>
      </c>
      <c r="AR99" s="142">
        <v>1386.9482098398264</v>
      </c>
      <c r="AS99" s="142">
        <v>1325.9482098398264</v>
      </c>
      <c r="AT99" s="142">
        <v>1354.9482098398264</v>
      </c>
      <c r="AU99" s="142">
        <v>1366.9482098398264</v>
      </c>
      <c r="AV99" s="142">
        <v>1128.6426176893524</v>
      </c>
      <c r="AW99" s="142">
        <v>1227.9482098398264</v>
      </c>
      <c r="AX99" s="142">
        <v>606.87486642298109</v>
      </c>
      <c r="AY99" s="142">
        <v>1317.9482098398264</v>
      </c>
      <c r="AZ99" s="125">
        <f>SUM($D99:$AY99)</f>
        <v>70380.691835615595</v>
      </c>
    </row>
    <row r="100" spans="1:52" x14ac:dyDescent="0.2">
      <c r="A100" s="148" t="s">
        <v>133</v>
      </c>
      <c r="B100" s="136">
        <v>1</v>
      </c>
      <c r="C100" s="124">
        <v>171.61339991679952</v>
      </c>
      <c r="D100" s="124">
        <v>171.61339991679952</v>
      </c>
      <c r="E100" s="124">
        <v>115.46528190577816</v>
      </c>
      <c r="F100" s="124">
        <v>0</v>
      </c>
      <c r="G100" s="124">
        <v>0</v>
      </c>
      <c r="H100" s="124">
        <v>367.17998847723049</v>
      </c>
      <c r="I100" s="124">
        <v>122.39332949241017</v>
      </c>
      <c r="J100" s="124">
        <v>122.39332949241017</v>
      </c>
      <c r="K100" s="124">
        <v>122.39332949241017</v>
      </c>
      <c r="L100" s="124">
        <v>122.39332949241017</v>
      </c>
      <c r="M100" s="124">
        <v>122.39332949241017</v>
      </c>
      <c r="N100" s="124">
        <v>122.39332949241017</v>
      </c>
      <c r="O100" s="124">
        <v>122.39332949241017</v>
      </c>
      <c r="P100" s="124">
        <v>122.39332949241017</v>
      </c>
      <c r="Q100" s="124">
        <v>122.39332949241017</v>
      </c>
      <c r="R100" s="124">
        <v>122.39332949241017</v>
      </c>
      <c r="S100" s="124">
        <v>122.39332949241017</v>
      </c>
      <c r="T100" s="124">
        <v>122.39332949241017</v>
      </c>
      <c r="U100" s="124">
        <v>0</v>
      </c>
      <c r="V100" s="124">
        <v>244.78665898482035</v>
      </c>
      <c r="W100" s="124">
        <v>122.39332949241017</v>
      </c>
      <c r="X100" s="124">
        <v>122.39332949241017</v>
      </c>
      <c r="Y100" s="124">
        <v>122.39332949241017</v>
      </c>
      <c r="Z100" s="124">
        <v>122.39332949241017</v>
      </c>
      <c r="AA100" s="124">
        <v>122.39332949241017</v>
      </c>
      <c r="AB100" s="124">
        <v>0</v>
      </c>
      <c r="AC100" s="124">
        <v>244.78665898482035</v>
      </c>
      <c r="AD100" s="124">
        <v>122.39332949241017</v>
      </c>
      <c r="AE100" s="124">
        <v>122.39332949241017</v>
      </c>
      <c r="AF100" s="124">
        <v>122.39332949241017</v>
      </c>
      <c r="AG100" s="124">
        <v>122.39332949241017</v>
      </c>
      <c r="AH100" s="124">
        <v>122.39332949241017</v>
      </c>
      <c r="AI100" s="124">
        <v>122.39332949241017</v>
      </c>
      <c r="AJ100" s="124">
        <v>122.39332949241017</v>
      </c>
      <c r="AK100" s="124">
        <v>122.39332949241017</v>
      </c>
      <c r="AL100" s="124">
        <v>122.39332949241017</v>
      </c>
      <c r="AM100" s="124">
        <v>122.39332949241017</v>
      </c>
      <c r="AN100" s="124">
        <v>122.39332949241017</v>
      </c>
      <c r="AO100" s="124">
        <v>122.39332949241017</v>
      </c>
      <c r="AP100" s="124">
        <v>122.39332949241017</v>
      </c>
      <c r="AQ100" s="124">
        <v>122.39332949241017</v>
      </c>
      <c r="AR100" s="124">
        <v>122.39332949241017</v>
      </c>
      <c r="AS100" s="124">
        <v>122.39332949241017</v>
      </c>
      <c r="AT100" s="124">
        <v>122.39332949241017</v>
      </c>
      <c r="AU100" s="124">
        <v>122.39332949241017</v>
      </c>
      <c r="AV100" s="124">
        <v>122.39332949241017</v>
      </c>
      <c r="AW100" s="124">
        <v>122.39332949241017</v>
      </c>
      <c r="AX100" s="124">
        <v>122.39332949241017</v>
      </c>
      <c r="AY100" s="124">
        <v>122.39332949241017</v>
      </c>
    </row>
    <row r="101" spans="1:52" x14ac:dyDescent="0.2">
      <c r="A101" s="127"/>
      <c r="B101" s="136">
        <v>2</v>
      </c>
      <c r="C101" s="124">
        <v>0</v>
      </c>
      <c r="D101" s="124">
        <v>0</v>
      </c>
      <c r="E101" s="124">
        <v>0</v>
      </c>
      <c r="F101" s="124">
        <v>0</v>
      </c>
      <c r="G101" s="124">
        <v>0</v>
      </c>
      <c r="H101" s="124">
        <v>0</v>
      </c>
      <c r="I101" s="124">
        <v>0</v>
      </c>
      <c r="J101" s="124">
        <v>0</v>
      </c>
      <c r="K101" s="124">
        <v>0</v>
      </c>
      <c r="L101" s="124">
        <v>0</v>
      </c>
      <c r="M101" s="124">
        <v>0</v>
      </c>
      <c r="N101" s="124">
        <v>0</v>
      </c>
      <c r="O101" s="124">
        <v>0</v>
      </c>
      <c r="P101" s="124">
        <v>0</v>
      </c>
      <c r="Q101" s="124">
        <v>0</v>
      </c>
      <c r="R101" s="124">
        <v>0</v>
      </c>
      <c r="S101" s="124">
        <v>0</v>
      </c>
      <c r="T101" s="124">
        <v>0</v>
      </c>
      <c r="U101" s="124">
        <v>0</v>
      </c>
      <c r="V101" s="124">
        <v>0</v>
      </c>
      <c r="W101" s="124">
        <v>0</v>
      </c>
      <c r="X101" s="124">
        <v>0</v>
      </c>
      <c r="Y101" s="124">
        <v>0</v>
      </c>
      <c r="Z101" s="124">
        <v>0</v>
      </c>
      <c r="AA101" s="124">
        <v>0</v>
      </c>
      <c r="AB101" s="124">
        <v>0</v>
      </c>
      <c r="AC101" s="124">
        <v>0</v>
      </c>
      <c r="AD101" s="124">
        <v>0</v>
      </c>
      <c r="AE101" s="124">
        <v>0</v>
      </c>
      <c r="AF101" s="124">
        <v>0</v>
      </c>
      <c r="AG101" s="124">
        <v>0</v>
      </c>
      <c r="AH101" s="124">
        <v>0</v>
      </c>
      <c r="AI101" s="124">
        <v>0</v>
      </c>
      <c r="AJ101" s="124">
        <v>0</v>
      </c>
      <c r="AK101" s="124">
        <v>0</v>
      </c>
      <c r="AL101" s="124">
        <v>0</v>
      </c>
      <c r="AM101" s="124">
        <v>0</v>
      </c>
      <c r="AN101" s="124">
        <v>0</v>
      </c>
      <c r="AO101" s="124">
        <v>0</v>
      </c>
      <c r="AP101" s="124">
        <v>0</v>
      </c>
      <c r="AQ101" s="124">
        <v>0</v>
      </c>
      <c r="AR101" s="124">
        <v>0</v>
      </c>
      <c r="AS101" s="124">
        <v>0</v>
      </c>
      <c r="AT101" s="124">
        <v>0</v>
      </c>
      <c r="AU101" s="124">
        <v>0</v>
      </c>
      <c r="AV101" s="124">
        <v>0</v>
      </c>
      <c r="AW101" s="124">
        <v>0</v>
      </c>
      <c r="AX101" s="124">
        <v>0</v>
      </c>
      <c r="AY101" s="124">
        <v>0</v>
      </c>
    </row>
    <row r="102" spans="1:52" x14ac:dyDescent="0.2">
      <c r="A102" s="127"/>
      <c r="B102" s="137">
        <v>3</v>
      </c>
      <c r="C102" s="124">
        <v>0</v>
      </c>
      <c r="D102" s="124">
        <v>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124">
        <v>0</v>
      </c>
      <c r="O102" s="124">
        <v>0</v>
      </c>
      <c r="P102" s="124">
        <v>0</v>
      </c>
      <c r="Q102" s="124">
        <v>0</v>
      </c>
      <c r="R102" s="124">
        <v>0</v>
      </c>
      <c r="S102" s="124">
        <v>0</v>
      </c>
      <c r="T102" s="124">
        <v>0</v>
      </c>
      <c r="U102" s="124">
        <v>0</v>
      </c>
      <c r="V102" s="124">
        <v>0</v>
      </c>
      <c r="W102" s="124">
        <v>0</v>
      </c>
      <c r="X102" s="124">
        <v>0</v>
      </c>
      <c r="Y102" s="124">
        <v>0</v>
      </c>
      <c r="Z102" s="124">
        <v>0</v>
      </c>
      <c r="AA102" s="124">
        <v>0</v>
      </c>
      <c r="AB102" s="124">
        <v>0</v>
      </c>
      <c r="AC102" s="124">
        <v>0</v>
      </c>
      <c r="AD102" s="124">
        <v>0</v>
      </c>
      <c r="AE102" s="124">
        <v>0</v>
      </c>
      <c r="AF102" s="124">
        <v>0</v>
      </c>
      <c r="AG102" s="124">
        <v>0</v>
      </c>
      <c r="AH102" s="124">
        <v>0</v>
      </c>
      <c r="AI102" s="124">
        <v>0</v>
      </c>
      <c r="AJ102" s="124">
        <v>0</v>
      </c>
      <c r="AK102" s="124">
        <v>0</v>
      </c>
      <c r="AL102" s="124">
        <v>0</v>
      </c>
      <c r="AM102" s="124">
        <v>0</v>
      </c>
      <c r="AN102" s="124">
        <v>0</v>
      </c>
      <c r="AO102" s="124">
        <v>0</v>
      </c>
      <c r="AP102" s="124">
        <v>0</v>
      </c>
      <c r="AQ102" s="124">
        <v>0</v>
      </c>
      <c r="AR102" s="124">
        <v>0</v>
      </c>
      <c r="AS102" s="124">
        <v>0</v>
      </c>
      <c r="AT102" s="124">
        <v>0</v>
      </c>
      <c r="AU102" s="124">
        <v>0</v>
      </c>
      <c r="AV102" s="124">
        <v>0</v>
      </c>
      <c r="AW102" s="124">
        <v>0</v>
      </c>
      <c r="AX102" s="124">
        <v>0</v>
      </c>
      <c r="AY102" s="124">
        <v>0</v>
      </c>
    </row>
    <row r="103" spans="1:52" x14ac:dyDescent="0.2">
      <c r="A103" s="127"/>
      <c r="B103" s="137">
        <v>4</v>
      </c>
      <c r="C103" s="124">
        <v>0</v>
      </c>
      <c r="D103" s="124">
        <v>0</v>
      </c>
      <c r="E103" s="124">
        <v>0</v>
      </c>
      <c r="F103" s="124">
        <v>0</v>
      </c>
      <c r="G103" s="124">
        <v>0</v>
      </c>
      <c r="H103" s="124">
        <v>0</v>
      </c>
      <c r="I103" s="124">
        <v>0</v>
      </c>
      <c r="J103" s="124">
        <v>0</v>
      </c>
      <c r="K103" s="124">
        <v>0</v>
      </c>
      <c r="L103" s="124">
        <v>0</v>
      </c>
      <c r="M103" s="124">
        <v>0</v>
      </c>
      <c r="N103" s="124">
        <v>0</v>
      </c>
      <c r="O103" s="124">
        <v>0</v>
      </c>
      <c r="P103" s="124">
        <v>0</v>
      </c>
      <c r="Q103" s="124">
        <v>0</v>
      </c>
      <c r="R103" s="124">
        <v>0</v>
      </c>
      <c r="S103" s="124">
        <v>0</v>
      </c>
      <c r="T103" s="124">
        <v>0</v>
      </c>
      <c r="U103" s="124">
        <v>0</v>
      </c>
      <c r="V103" s="124">
        <v>0</v>
      </c>
      <c r="W103" s="124">
        <v>0</v>
      </c>
      <c r="X103" s="124">
        <v>0</v>
      </c>
      <c r="Y103" s="124">
        <v>0</v>
      </c>
      <c r="Z103" s="124">
        <v>0</v>
      </c>
      <c r="AA103" s="124">
        <v>0</v>
      </c>
      <c r="AB103" s="124">
        <v>0</v>
      </c>
      <c r="AC103" s="124">
        <v>0</v>
      </c>
      <c r="AD103" s="124">
        <v>0</v>
      </c>
      <c r="AE103" s="124">
        <v>0</v>
      </c>
      <c r="AF103" s="124">
        <v>0</v>
      </c>
      <c r="AG103" s="124">
        <v>0</v>
      </c>
      <c r="AH103" s="124">
        <v>0</v>
      </c>
      <c r="AI103" s="124">
        <v>0</v>
      </c>
      <c r="AJ103" s="124">
        <v>0</v>
      </c>
      <c r="AK103" s="124">
        <v>0</v>
      </c>
      <c r="AL103" s="124">
        <v>0</v>
      </c>
      <c r="AM103" s="124">
        <v>0</v>
      </c>
      <c r="AN103" s="124">
        <v>0</v>
      </c>
      <c r="AO103" s="124">
        <v>0</v>
      </c>
      <c r="AP103" s="124">
        <v>0</v>
      </c>
      <c r="AQ103" s="124">
        <v>0</v>
      </c>
      <c r="AR103" s="124">
        <v>0</v>
      </c>
      <c r="AS103" s="124">
        <v>0</v>
      </c>
      <c r="AT103" s="124">
        <v>0</v>
      </c>
      <c r="AU103" s="124">
        <v>0</v>
      </c>
      <c r="AV103" s="124">
        <v>0</v>
      </c>
      <c r="AW103" s="124">
        <v>0</v>
      </c>
      <c r="AX103" s="124">
        <v>0</v>
      </c>
      <c r="AY103" s="124">
        <v>0</v>
      </c>
    </row>
    <row r="104" spans="1:52" x14ac:dyDescent="0.2">
      <c r="A104" s="127"/>
      <c r="B104" s="144">
        <v>5</v>
      </c>
      <c r="C104" s="124">
        <v>0</v>
      </c>
      <c r="D104" s="124">
        <v>0</v>
      </c>
      <c r="E104" s="124">
        <v>0</v>
      </c>
      <c r="F104" s="124">
        <v>0</v>
      </c>
      <c r="G104" s="124">
        <v>0</v>
      </c>
      <c r="H104" s="124">
        <v>0</v>
      </c>
      <c r="I104" s="124">
        <v>0</v>
      </c>
      <c r="J104" s="124">
        <v>0</v>
      </c>
      <c r="K104" s="124">
        <v>0</v>
      </c>
      <c r="L104" s="124">
        <v>0</v>
      </c>
      <c r="M104" s="124">
        <v>0</v>
      </c>
      <c r="N104" s="124">
        <v>0</v>
      </c>
      <c r="O104" s="124">
        <v>0</v>
      </c>
      <c r="P104" s="124">
        <v>0</v>
      </c>
      <c r="Q104" s="124">
        <v>0</v>
      </c>
      <c r="R104" s="124">
        <v>0</v>
      </c>
      <c r="S104" s="124">
        <v>0</v>
      </c>
      <c r="T104" s="124">
        <v>0</v>
      </c>
      <c r="U104" s="124">
        <v>0</v>
      </c>
      <c r="V104" s="124">
        <v>0</v>
      </c>
      <c r="W104" s="124">
        <v>0</v>
      </c>
      <c r="X104" s="124">
        <v>0</v>
      </c>
      <c r="Y104" s="124">
        <v>0</v>
      </c>
      <c r="Z104" s="124">
        <v>0</v>
      </c>
      <c r="AA104" s="124">
        <v>0</v>
      </c>
      <c r="AB104" s="124">
        <v>0</v>
      </c>
      <c r="AC104" s="124">
        <v>0</v>
      </c>
      <c r="AD104" s="124">
        <v>0</v>
      </c>
      <c r="AE104" s="124">
        <v>0</v>
      </c>
      <c r="AF104" s="124">
        <v>0</v>
      </c>
      <c r="AG104" s="124">
        <v>0</v>
      </c>
      <c r="AH104" s="124">
        <v>0</v>
      </c>
      <c r="AI104" s="124">
        <v>0</v>
      </c>
      <c r="AJ104" s="124">
        <v>0</v>
      </c>
      <c r="AK104" s="124">
        <v>0</v>
      </c>
      <c r="AL104" s="124">
        <v>0</v>
      </c>
      <c r="AM104" s="124">
        <v>0</v>
      </c>
      <c r="AN104" s="124">
        <v>0</v>
      </c>
      <c r="AO104" s="124">
        <v>0</v>
      </c>
      <c r="AP104" s="124">
        <v>0</v>
      </c>
      <c r="AQ104" s="124">
        <v>0</v>
      </c>
      <c r="AR104" s="124">
        <v>0</v>
      </c>
      <c r="AS104" s="124">
        <v>0</v>
      </c>
      <c r="AT104" s="124">
        <v>0</v>
      </c>
      <c r="AU104" s="124">
        <v>0</v>
      </c>
      <c r="AV104" s="124">
        <v>0</v>
      </c>
      <c r="AW104" s="124">
        <v>0</v>
      </c>
      <c r="AX104" s="124">
        <v>0</v>
      </c>
      <c r="AY104" s="124">
        <v>0</v>
      </c>
    </row>
    <row r="105" spans="1:52" x14ac:dyDescent="0.2">
      <c r="A105" s="127"/>
      <c r="B105" s="144">
        <v>6</v>
      </c>
      <c r="C105" s="124">
        <v>0</v>
      </c>
      <c r="D105" s="124">
        <v>0</v>
      </c>
      <c r="E105" s="124">
        <v>0</v>
      </c>
      <c r="F105" s="124">
        <v>0</v>
      </c>
      <c r="G105" s="124">
        <v>0</v>
      </c>
      <c r="H105" s="124">
        <v>0</v>
      </c>
      <c r="I105" s="124">
        <v>0</v>
      </c>
      <c r="J105" s="124">
        <v>0</v>
      </c>
      <c r="K105" s="124">
        <v>0</v>
      </c>
      <c r="L105" s="124">
        <v>0</v>
      </c>
      <c r="M105" s="124">
        <v>0</v>
      </c>
      <c r="N105" s="124">
        <v>0</v>
      </c>
      <c r="O105" s="124">
        <v>0</v>
      </c>
      <c r="P105" s="124">
        <v>0</v>
      </c>
      <c r="Q105" s="124">
        <v>0</v>
      </c>
      <c r="R105" s="124">
        <v>0</v>
      </c>
      <c r="S105" s="124">
        <v>0</v>
      </c>
      <c r="T105" s="124">
        <v>0</v>
      </c>
      <c r="U105" s="124">
        <v>0</v>
      </c>
      <c r="V105" s="124">
        <v>0</v>
      </c>
      <c r="W105" s="124">
        <v>0</v>
      </c>
      <c r="X105" s="124">
        <v>0</v>
      </c>
      <c r="Y105" s="124">
        <v>0</v>
      </c>
      <c r="Z105" s="124">
        <v>0</v>
      </c>
      <c r="AA105" s="124">
        <v>0</v>
      </c>
      <c r="AB105" s="124">
        <v>0</v>
      </c>
      <c r="AC105" s="124">
        <v>0</v>
      </c>
      <c r="AD105" s="124">
        <v>0</v>
      </c>
      <c r="AE105" s="124">
        <v>0</v>
      </c>
      <c r="AF105" s="124">
        <v>0</v>
      </c>
      <c r="AG105" s="124">
        <v>0</v>
      </c>
      <c r="AH105" s="124">
        <v>0</v>
      </c>
      <c r="AI105" s="124">
        <v>0</v>
      </c>
      <c r="AJ105" s="124">
        <v>0</v>
      </c>
      <c r="AK105" s="124">
        <v>0</v>
      </c>
      <c r="AL105" s="124">
        <v>0</v>
      </c>
      <c r="AM105" s="124">
        <v>0</v>
      </c>
      <c r="AN105" s="124">
        <v>0</v>
      </c>
      <c r="AO105" s="124">
        <v>0</v>
      </c>
      <c r="AP105" s="124">
        <v>0</v>
      </c>
      <c r="AQ105" s="124">
        <v>0</v>
      </c>
      <c r="AR105" s="124">
        <v>0</v>
      </c>
      <c r="AS105" s="124">
        <v>0</v>
      </c>
      <c r="AT105" s="124">
        <v>0</v>
      </c>
      <c r="AU105" s="124">
        <v>0</v>
      </c>
      <c r="AV105" s="124">
        <v>0</v>
      </c>
      <c r="AW105" s="124">
        <v>0</v>
      </c>
      <c r="AX105" s="124">
        <v>0</v>
      </c>
      <c r="AY105" s="124">
        <v>0</v>
      </c>
    </row>
    <row r="106" spans="1:52" x14ac:dyDescent="0.2">
      <c r="A106" s="127"/>
      <c r="B106" s="147">
        <v>7</v>
      </c>
      <c r="C106" s="124">
        <v>0</v>
      </c>
      <c r="D106" s="124">
        <v>0</v>
      </c>
      <c r="E106" s="124">
        <v>0</v>
      </c>
      <c r="F106" s="124">
        <v>0</v>
      </c>
      <c r="G106" s="124">
        <v>0</v>
      </c>
      <c r="H106" s="124">
        <v>0</v>
      </c>
      <c r="I106" s="124">
        <v>0</v>
      </c>
      <c r="J106" s="124">
        <v>0</v>
      </c>
      <c r="K106" s="124">
        <v>0</v>
      </c>
      <c r="L106" s="124">
        <v>0</v>
      </c>
      <c r="M106" s="124">
        <v>0</v>
      </c>
      <c r="N106" s="124">
        <v>0</v>
      </c>
      <c r="O106" s="124">
        <v>0</v>
      </c>
      <c r="P106" s="124">
        <v>0</v>
      </c>
      <c r="Q106" s="124">
        <v>0</v>
      </c>
      <c r="R106" s="124">
        <v>0</v>
      </c>
      <c r="S106" s="124">
        <v>0</v>
      </c>
      <c r="T106" s="124">
        <v>0</v>
      </c>
      <c r="U106" s="124">
        <v>0</v>
      </c>
      <c r="V106" s="124">
        <v>0</v>
      </c>
      <c r="W106" s="124">
        <v>0</v>
      </c>
      <c r="X106" s="124">
        <v>0</v>
      </c>
      <c r="Y106" s="124">
        <v>0</v>
      </c>
      <c r="Z106" s="124">
        <v>0</v>
      </c>
      <c r="AA106" s="124">
        <v>0</v>
      </c>
      <c r="AB106" s="124">
        <v>0</v>
      </c>
      <c r="AC106" s="124">
        <v>0</v>
      </c>
      <c r="AD106" s="124">
        <v>0</v>
      </c>
      <c r="AE106" s="124">
        <v>0</v>
      </c>
      <c r="AF106" s="124">
        <v>0</v>
      </c>
      <c r="AG106" s="124">
        <v>0</v>
      </c>
      <c r="AH106" s="124">
        <v>0</v>
      </c>
      <c r="AI106" s="124">
        <v>0</v>
      </c>
      <c r="AJ106" s="124">
        <v>0</v>
      </c>
      <c r="AK106" s="124">
        <v>0</v>
      </c>
      <c r="AL106" s="124">
        <v>0</v>
      </c>
      <c r="AM106" s="124">
        <v>0</v>
      </c>
      <c r="AN106" s="124">
        <v>0</v>
      </c>
      <c r="AO106" s="124">
        <v>0</v>
      </c>
      <c r="AP106" s="124">
        <v>0</v>
      </c>
      <c r="AQ106" s="124">
        <v>0</v>
      </c>
      <c r="AR106" s="124">
        <v>0</v>
      </c>
      <c r="AS106" s="124">
        <v>0</v>
      </c>
      <c r="AT106" s="124">
        <v>0</v>
      </c>
      <c r="AU106" s="124">
        <v>0</v>
      </c>
      <c r="AV106" s="124">
        <v>0</v>
      </c>
      <c r="AW106" s="124">
        <v>0</v>
      </c>
      <c r="AX106" s="124">
        <v>0</v>
      </c>
      <c r="AY106" s="124">
        <v>0</v>
      </c>
    </row>
    <row r="107" spans="1:52" x14ac:dyDescent="0.2">
      <c r="A107" s="127"/>
      <c r="B107" s="147">
        <v>8</v>
      </c>
      <c r="C107" s="124">
        <v>0</v>
      </c>
      <c r="D107" s="124">
        <v>0</v>
      </c>
      <c r="E107" s="124">
        <v>0</v>
      </c>
      <c r="F107" s="124">
        <v>0</v>
      </c>
      <c r="G107" s="124">
        <v>0</v>
      </c>
      <c r="H107" s="124">
        <v>0</v>
      </c>
      <c r="I107" s="124">
        <v>0</v>
      </c>
      <c r="J107" s="124">
        <v>0</v>
      </c>
      <c r="K107" s="124">
        <v>0</v>
      </c>
      <c r="L107" s="124">
        <v>0</v>
      </c>
      <c r="M107" s="124">
        <v>0</v>
      </c>
      <c r="N107" s="124">
        <v>0</v>
      </c>
      <c r="O107" s="124">
        <v>0</v>
      </c>
      <c r="P107" s="124">
        <v>0</v>
      </c>
      <c r="Q107" s="124">
        <v>0</v>
      </c>
      <c r="R107" s="124">
        <v>0</v>
      </c>
      <c r="S107" s="124">
        <v>0</v>
      </c>
      <c r="T107" s="124">
        <v>0</v>
      </c>
      <c r="U107" s="124">
        <v>0</v>
      </c>
      <c r="V107" s="124">
        <v>0</v>
      </c>
      <c r="W107" s="124">
        <v>0</v>
      </c>
      <c r="X107" s="124">
        <v>0</v>
      </c>
      <c r="Y107" s="124">
        <v>0</v>
      </c>
      <c r="Z107" s="124">
        <v>0</v>
      </c>
      <c r="AA107" s="124">
        <v>0</v>
      </c>
      <c r="AB107" s="124">
        <v>0</v>
      </c>
      <c r="AC107" s="124">
        <v>0</v>
      </c>
      <c r="AD107" s="124">
        <v>0</v>
      </c>
      <c r="AE107" s="124">
        <v>0</v>
      </c>
      <c r="AF107" s="124">
        <v>0</v>
      </c>
      <c r="AG107" s="124">
        <v>0</v>
      </c>
      <c r="AH107" s="124">
        <v>0</v>
      </c>
      <c r="AI107" s="124">
        <v>0</v>
      </c>
      <c r="AJ107" s="124">
        <v>0</v>
      </c>
      <c r="AK107" s="124">
        <v>0</v>
      </c>
      <c r="AL107" s="124">
        <v>0</v>
      </c>
      <c r="AM107" s="124">
        <v>0</v>
      </c>
      <c r="AN107" s="124">
        <v>0</v>
      </c>
      <c r="AO107" s="124">
        <v>0</v>
      </c>
      <c r="AP107" s="124">
        <v>0</v>
      </c>
      <c r="AQ107" s="124">
        <v>0</v>
      </c>
      <c r="AR107" s="124">
        <v>0</v>
      </c>
      <c r="AS107" s="124">
        <v>0</v>
      </c>
      <c r="AT107" s="124">
        <v>0</v>
      </c>
      <c r="AU107" s="124">
        <v>0</v>
      </c>
      <c r="AV107" s="124">
        <v>0</v>
      </c>
      <c r="AW107" s="124">
        <v>0</v>
      </c>
      <c r="AX107" s="124">
        <v>0</v>
      </c>
      <c r="AY107" s="124">
        <v>0</v>
      </c>
    </row>
    <row r="108" spans="1:52" x14ac:dyDescent="0.2">
      <c r="A108" s="145"/>
      <c r="B108" s="149" t="s">
        <v>296</v>
      </c>
      <c r="C108" s="131">
        <v>0</v>
      </c>
      <c r="D108" s="142">
        <v>0</v>
      </c>
      <c r="E108" s="142">
        <v>0</v>
      </c>
      <c r="F108" s="142">
        <v>0</v>
      </c>
      <c r="G108" s="142">
        <v>0</v>
      </c>
      <c r="H108" s="142">
        <v>0</v>
      </c>
      <c r="I108" s="142">
        <v>0</v>
      </c>
      <c r="J108" s="142">
        <v>0</v>
      </c>
      <c r="K108" s="142">
        <v>0</v>
      </c>
      <c r="L108" s="142">
        <v>0</v>
      </c>
      <c r="M108" s="142">
        <v>0</v>
      </c>
      <c r="N108" s="142">
        <v>0</v>
      </c>
      <c r="O108" s="142">
        <v>0</v>
      </c>
      <c r="P108" s="142">
        <v>0</v>
      </c>
      <c r="Q108" s="142">
        <v>0</v>
      </c>
      <c r="R108" s="142">
        <v>0</v>
      </c>
      <c r="S108" s="142">
        <v>0</v>
      </c>
      <c r="T108" s="142">
        <v>0</v>
      </c>
      <c r="U108" s="142">
        <v>0</v>
      </c>
      <c r="V108" s="142">
        <v>0</v>
      </c>
      <c r="W108" s="142">
        <v>0</v>
      </c>
      <c r="X108" s="142">
        <v>0</v>
      </c>
      <c r="Y108" s="142">
        <v>0</v>
      </c>
      <c r="Z108" s="142">
        <v>0</v>
      </c>
      <c r="AA108" s="142">
        <v>0</v>
      </c>
      <c r="AB108" s="142">
        <v>0</v>
      </c>
      <c r="AC108" s="142">
        <v>0</v>
      </c>
      <c r="AD108" s="142">
        <v>0</v>
      </c>
      <c r="AE108" s="142">
        <v>0</v>
      </c>
      <c r="AF108" s="142">
        <v>0</v>
      </c>
      <c r="AG108" s="142">
        <v>0</v>
      </c>
      <c r="AH108" s="142">
        <v>0</v>
      </c>
      <c r="AI108" s="142">
        <v>0</v>
      </c>
      <c r="AJ108" s="142">
        <v>0</v>
      </c>
      <c r="AK108" s="142">
        <v>0</v>
      </c>
      <c r="AL108" s="142">
        <v>0</v>
      </c>
      <c r="AM108" s="142">
        <v>0</v>
      </c>
      <c r="AN108" s="142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142">
        <v>0</v>
      </c>
      <c r="AU108" s="142">
        <v>0</v>
      </c>
      <c r="AV108" s="142">
        <v>0</v>
      </c>
      <c r="AW108" s="142">
        <v>0</v>
      </c>
      <c r="AX108" s="142">
        <v>0</v>
      </c>
      <c r="AY108" s="142">
        <v>0</v>
      </c>
      <c r="AZ108" s="125">
        <f>SUM($D108:$AY108)</f>
        <v>0</v>
      </c>
    </row>
    <row r="109" spans="1:52" x14ac:dyDescent="0.2">
      <c r="A109" s="148" t="s">
        <v>134</v>
      </c>
      <c r="B109" s="136">
        <v>1</v>
      </c>
      <c r="C109" s="124">
        <v>604.04983847082872</v>
      </c>
      <c r="D109" s="124">
        <v>734.03613889535461</v>
      </c>
      <c r="E109" s="124">
        <v>521.70464422387943</v>
      </c>
      <c r="F109" s="124">
        <v>644.43826092546624</v>
      </c>
      <c r="G109" s="124">
        <v>588.89589297206658</v>
      </c>
      <c r="H109" s="124">
        <v>544.86234655318503</v>
      </c>
      <c r="I109" s="124">
        <v>530.4907383489043</v>
      </c>
      <c r="J109" s="124">
        <v>474.09672014642661</v>
      </c>
      <c r="K109" s="124">
        <v>474.39894663032527</v>
      </c>
      <c r="L109" s="124">
        <v>468.21851814814818</v>
      </c>
      <c r="M109" s="124">
        <v>437.79501215184223</v>
      </c>
      <c r="N109" s="124">
        <v>450.71025000109876</v>
      </c>
      <c r="O109" s="124">
        <v>439.69995627874852</v>
      </c>
      <c r="P109" s="124">
        <v>438.18768879122251</v>
      </c>
      <c r="Q109" s="124">
        <v>401.5681390046658</v>
      </c>
      <c r="R109" s="124">
        <v>418.56667611083935</v>
      </c>
      <c r="S109" s="124">
        <v>438.83173163953069</v>
      </c>
      <c r="T109" s="124">
        <v>455.80759092562926</v>
      </c>
      <c r="U109" s="124">
        <v>436.10124086273743</v>
      </c>
      <c r="V109" s="124">
        <v>399.7912182922318</v>
      </c>
      <c r="W109" s="124">
        <v>444.13956897954893</v>
      </c>
      <c r="X109" s="124">
        <v>473.66577249348569</v>
      </c>
      <c r="Y109" s="124">
        <v>485.15262332348306</v>
      </c>
      <c r="Z109" s="124">
        <v>430.09362267472937</v>
      </c>
      <c r="AA109" s="124">
        <v>405.84973497362267</v>
      </c>
      <c r="AB109" s="124">
        <v>394.46440305834153</v>
      </c>
      <c r="AC109" s="124">
        <v>355.83597953644562</v>
      </c>
      <c r="AD109" s="124">
        <v>372.33441434560262</v>
      </c>
      <c r="AE109" s="124">
        <v>369.90620465900139</v>
      </c>
      <c r="AF109" s="124">
        <v>351.33133993079963</v>
      </c>
      <c r="AG109" s="124">
        <v>363.25399132163693</v>
      </c>
      <c r="AH109" s="124">
        <v>407.12690536176166</v>
      </c>
      <c r="AI109" s="124">
        <v>390.21146341175563</v>
      </c>
      <c r="AJ109" s="124">
        <v>381.03082237491697</v>
      </c>
      <c r="AK109" s="124">
        <v>346.44574650392445</v>
      </c>
      <c r="AL109" s="124">
        <v>388.27922220104097</v>
      </c>
      <c r="AM109" s="124">
        <v>355.03024480560345</v>
      </c>
      <c r="AN109" s="124">
        <v>359.78233593591</v>
      </c>
      <c r="AO109" s="124">
        <v>372.47027762705795</v>
      </c>
      <c r="AP109" s="124">
        <v>351.31251088857186</v>
      </c>
      <c r="AQ109" s="124">
        <v>357.96683134829584</v>
      </c>
      <c r="AR109" s="124">
        <v>329.6079978979003</v>
      </c>
      <c r="AS109" s="124">
        <v>351.1143711433204</v>
      </c>
      <c r="AT109" s="124">
        <v>405.16733533917284</v>
      </c>
      <c r="AU109" s="124">
        <v>381.71474189638741</v>
      </c>
      <c r="AV109" s="124">
        <v>414.59013831149844</v>
      </c>
      <c r="AW109" s="124">
        <v>393.27434162580039</v>
      </c>
      <c r="AX109" s="124">
        <v>400.55248617642962</v>
      </c>
      <c r="AY109" s="124">
        <v>386.12338372921795</v>
      </c>
    </row>
    <row r="110" spans="1:52" x14ac:dyDescent="0.2">
      <c r="A110" s="127"/>
      <c r="B110" s="136">
        <v>2</v>
      </c>
      <c r="C110" s="124">
        <v>827.74607777280244</v>
      </c>
      <c r="D110" s="124">
        <v>604.04983847082872</v>
      </c>
      <c r="E110" s="124">
        <v>734.03613889535461</v>
      </c>
      <c r="F110" s="124">
        <v>521.70464422387943</v>
      </c>
      <c r="G110" s="124">
        <v>644.43826092546624</v>
      </c>
      <c r="H110" s="124">
        <v>588.89589297206658</v>
      </c>
      <c r="I110" s="124">
        <v>544.86234655318503</v>
      </c>
      <c r="J110" s="124">
        <v>530.4907383489043</v>
      </c>
      <c r="K110" s="124">
        <v>474.09672014642661</v>
      </c>
      <c r="L110" s="124">
        <v>474.39894663032527</v>
      </c>
      <c r="M110" s="124">
        <v>468.21851814814818</v>
      </c>
      <c r="N110" s="124">
        <v>437.79501215184223</v>
      </c>
      <c r="O110" s="124">
        <v>450.71025000109876</v>
      </c>
      <c r="P110" s="124">
        <v>439.69995627874852</v>
      </c>
      <c r="Q110" s="124">
        <v>438.18768879122251</v>
      </c>
      <c r="R110" s="124">
        <v>401.5681390046658</v>
      </c>
      <c r="S110" s="124">
        <v>418.56667611083935</v>
      </c>
      <c r="T110" s="124">
        <v>438.83173163953069</v>
      </c>
      <c r="U110" s="124">
        <v>455.80759092562926</v>
      </c>
      <c r="V110" s="124">
        <v>436.10124086273743</v>
      </c>
      <c r="W110" s="124">
        <v>399.7912182922318</v>
      </c>
      <c r="X110" s="124">
        <v>444.13956897954893</v>
      </c>
      <c r="Y110" s="124">
        <v>473.66577249348569</v>
      </c>
      <c r="Z110" s="124">
        <v>485.15262332348306</v>
      </c>
      <c r="AA110" s="124">
        <v>430.09362267472937</v>
      </c>
      <c r="AB110" s="124">
        <v>405.84973497362267</v>
      </c>
      <c r="AC110" s="124">
        <v>394.46440305834153</v>
      </c>
      <c r="AD110" s="124">
        <v>355.83597953644562</v>
      </c>
      <c r="AE110" s="124">
        <v>372.33441434560262</v>
      </c>
      <c r="AF110" s="124">
        <v>369.90620465900139</v>
      </c>
      <c r="AG110" s="124">
        <v>351.33133993079963</v>
      </c>
      <c r="AH110" s="124">
        <v>363.25399132163693</v>
      </c>
      <c r="AI110" s="124">
        <v>407.12690536176166</v>
      </c>
      <c r="AJ110" s="124">
        <v>390.21146341175563</v>
      </c>
      <c r="AK110" s="124">
        <v>381.03082237491697</v>
      </c>
      <c r="AL110" s="124">
        <v>346.44574650392445</v>
      </c>
      <c r="AM110" s="124">
        <v>388.27922220104097</v>
      </c>
      <c r="AN110" s="124">
        <v>355.03024480560345</v>
      </c>
      <c r="AO110" s="124">
        <v>359.78233593591</v>
      </c>
      <c r="AP110" s="124">
        <v>372.47027762705795</v>
      </c>
      <c r="AQ110" s="124">
        <v>351.31251088857186</v>
      </c>
      <c r="AR110" s="124">
        <v>357.96683134829584</v>
      </c>
      <c r="AS110" s="124">
        <v>329.6079978979003</v>
      </c>
      <c r="AT110" s="124">
        <v>351.1143711433204</v>
      </c>
      <c r="AU110" s="124">
        <v>405.16733533917284</v>
      </c>
      <c r="AV110" s="124">
        <v>363.1605110180015</v>
      </c>
      <c r="AW110" s="124">
        <v>281.71569081130241</v>
      </c>
      <c r="AX110" s="124">
        <v>79.490151958073</v>
      </c>
      <c r="AY110" s="124">
        <v>0</v>
      </c>
    </row>
    <row r="111" spans="1:52" x14ac:dyDescent="0.2">
      <c r="A111" s="127"/>
      <c r="B111" s="136">
        <v>3</v>
      </c>
      <c r="C111" s="124">
        <v>813.98208599083387</v>
      </c>
      <c r="D111" s="124">
        <v>827.74607777280244</v>
      </c>
      <c r="E111" s="124">
        <v>604.04983847082872</v>
      </c>
      <c r="F111" s="124">
        <v>734.03613889535461</v>
      </c>
      <c r="G111" s="124">
        <v>521.70464422387943</v>
      </c>
      <c r="H111" s="124">
        <v>644.43826092546624</v>
      </c>
      <c r="I111" s="124">
        <v>588.89589297206658</v>
      </c>
      <c r="J111" s="124">
        <v>544.86234655318503</v>
      </c>
      <c r="K111" s="124">
        <v>530.4907383489043</v>
      </c>
      <c r="L111" s="124">
        <v>474.09672014642661</v>
      </c>
      <c r="M111" s="124">
        <v>474.39894663032527</v>
      </c>
      <c r="N111" s="124">
        <v>468.21851814814818</v>
      </c>
      <c r="O111" s="124">
        <v>437.79501215184223</v>
      </c>
      <c r="P111" s="124">
        <v>450.71025000109876</v>
      </c>
      <c r="Q111" s="124">
        <v>439.69995627874852</v>
      </c>
      <c r="R111" s="124">
        <v>438.18768879122251</v>
      </c>
      <c r="S111" s="124">
        <v>401.5681390046658</v>
      </c>
      <c r="T111" s="124">
        <v>418.56667611083935</v>
      </c>
      <c r="U111" s="124">
        <v>438.83173163953069</v>
      </c>
      <c r="V111" s="124">
        <v>455.80759092562926</v>
      </c>
      <c r="W111" s="124">
        <v>436.10124086273743</v>
      </c>
      <c r="X111" s="124">
        <v>399.7912182922318</v>
      </c>
      <c r="Y111" s="124">
        <v>444.13956897954893</v>
      </c>
      <c r="Z111" s="124">
        <v>473.66577249348569</v>
      </c>
      <c r="AA111" s="124">
        <v>485.15262332348306</v>
      </c>
      <c r="AB111" s="124">
        <v>430.09362267472937</v>
      </c>
      <c r="AC111" s="124">
        <v>405.84973497362267</v>
      </c>
      <c r="AD111" s="124">
        <v>394.46440305834153</v>
      </c>
      <c r="AE111" s="124">
        <v>355.83597953644562</v>
      </c>
      <c r="AF111" s="124">
        <v>372.33441434560262</v>
      </c>
      <c r="AG111" s="124">
        <v>369.90620465900139</v>
      </c>
      <c r="AH111" s="124">
        <v>351.33133993079963</v>
      </c>
      <c r="AI111" s="124">
        <v>363.25399132163693</v>
      </c>
      <c r="AJ111" s="124">
        <v>407.12690536176166</v>
      </c>
      <c r="AK111" s="124">
        <v>390.21146341175563</v>
      </c>
      <c r="AL111" s="124">
        <v>381.03082237491697</v>
      </c>
      <c r="AM111" s="124">
        <v>346.44574650392445</v>
      </c>
      <c r="AN111" s="124">
        <v>388.27922220104097</v>
      </c>
      <c r="AO111" s="124">
        <v>355.03024480560345</v>
      </c>
      <c r="AP111" s="124">
        <v>359.78233593591</v>
      </c>
      <c r="AQ111" s="124">
        <v>372.47027762705795</v>
      </c>
      <c r="AR111" s="124">
        <v>351.31251088857186</v>
      </c>
      <c r="AS111" s="124">
        <v>357.96683134829584</v>
      </c>
      <c r="AT111" s="124">
        <v>329.6079978979003</v>
      </c>
      <c r="AU111" s="124">
        <v>147.50138175358308</v>
      </c>
      <c r="AV111" s="124">
        <v>0</v>
      </c>
      <c r="AW111" s="124">
        <v>0</v>
      </c>
      <c r="AX111" s="124">
        <v>0</v>
      </c>
      <c r="AY111" s="124">
        <v>0</v>
      </c>
    </row>
    <row r="112" spans="1:52" x14ac:dyDescent="0.2">
      <c r="A112" s="127"/>
      <c r="B112" s="137">
        <v>4</v>
      </c>
      <c r="C112" s="124">
        <v>886.28465167188222</v>
      </c>
      <c r="D112" s="124">
        <v>813.98208599083387</v>
      </c>
      <c r="E112" s="124">
        <v>827.74607777280244</v>
      </c>
      <c r="F112" s="124">
        <v>604.04983847082872</v>
      </c>
      <c r="G112" s="124">
        <v>734.03613889535461</v>
      </c>
      <c r="H112" s="124">
        <v>521.70464422387943</v>
      </c>
      <c r="I112" s="124">
        <v>644.43826092546624</v>
      </c>
      <c r="J112" s="124">
        <v>588.89589297206658</v>
      </c>
      <c r="K112" s="124">
        <v>544.86234655318503</v>
      </c>
      <c r="L112" s="124">
        <v>530.4907383489043</v>
      </c>
      <c r="M112" s="124">
        <v>474.09672014642661</v>
      </c>
      <c r="N112" s="124">
        <v>474.39894663032527</v>
      </c>
      <c r="O112" s="124">
        <v>468.21851814814818</v>
      </c>
      <c r="P112" s="124">
        <v>437.79501215184223</v>
      </c>
      <c r="Q112" s="124">
        <v>450.71025000109876</v>
      </c>
      <c r="R112" s="124">
        <v>439.69995627874852</v>
      </c>
      <c r="S112" s="124">
        <v>438.18768879122251</v>
      </c>
      <c r="T112" s="124">
        <v>401.5681390046658</v>
      </c>
      <c r="U112" s="124">
        <v>418.56667611083935</v>
      </c>
      <c r="V112" s="124">
        <v>438.83173163953069</v>
      </c>
      <c r="W112" s="124">
        <v>455.80759092562926</v>
      </c>
      <c r="X112" s="124">
        <v>436.10124086273743</v>
      </c>
      <c r="Y112" s="124">
        <v>399.7912182922318</v>
      </c>
      <c r="Z112" s="124">
        <v>444.13956897954893</v>
      </c>
      <c r="AA112" s="124">
        <v>473.66577249348569</v>
      </c>
      <c r="AB112" s="124">
        <v>485.15262332348306</v>
      </c>
      <c r="AC112" s="124">
        <v>430.09362267472937</v>
      </c>
      <c r="AD112" s="124">
        <v>405.84973497362267</v>
      </c>
      <c r="AE112" s="124">
        <v>394.46440305834153</v>
      </c>
      <c r="AF112" s="124">
        <v>355.83597953644562</v>
      </c>
      <c r="AG112" s="124">
        <v>372.33441434560262</v>
      </c>
      <c r="AH112" s="124">
        <v>369.90620465900139</v>
      </c>
      <c r="AI112" s="124">
        <v>351.33133993079963</v>
      </c>
      <c r="AJ112" s="124">
        <v>363.25399132163693</v>
      </c>
      <c r="AK112" s="124">
        <v>407.12690536176166</v>
      </c>
      <c r="AL112" s="124">
        <v>390.21146341175563</v>
      </c>
      <c r="AM112" s="124">
        <v>381.03082237491697</v>
      </c>
      <c r="AN112" s="124">
        <v>346.44574650392445</v>
      </c>
      <c r="AO112" s="124">
        <v>388.27922220104097</v>
      </c>
      <c r="AP112" s="124">
        <v>355.03024480560345</v>
      </c>
      <c r="AQ112" s="124">
        <v>359.78233593591</v>
      </c>
      <c r="AR112" s="124">
        <v>326.80533514146043</v>
      </c>
      <c r="AS112" s="124">
        <v>185.51502155567385</v>
      </c>
      <c r="AT112" s="124">
        <v>4.7739281214869038</v>
      </c>
      <c r="AU112" s="124">
        <v>0</v>
      </c>
      <c r="AV112" s="124">
        <v>0</v>
      </c>
      <c r="AW112" s="124">
        <v>0</v>
      </c>
      <c r="AX112" s="124">
        <v>0</v>
      </c>
      <c r="AY112" s="124">
        <v>0</v>
      </c>
    </row>
    <row r="113" spans="1:52" x14ac:dyDescent="0.2">
      <c r="A113" s="127"/>
      <c r="B113" s="137">
        <v>5</v>
      </c>
      <c r="C113" s="124">
        <v>660.92168912601494</v>
      </c>
      <c r="D113" s="124">
        <v>886.28465167188222</v>
      </c>
      <c r="E113" s="124">
        <v>813.98208599083387</v>
      </c>
      <c r="F113" s="124">
        <v>827.74607777280244</v>
      </c>
      <c r="G113" s="124">
        <v>604.04983847082872</v>
      </c>
      <c r="H113" s="124">
        <v>734.03613889535461</v>
      </c>
      <c r="I113" s="124">
        <v>521.70464422387943</v>
      </c>
      <c r="J113" s="124">
        <v>644.43826092546624</v>
      </c>
      <c r="K113" s="124">
        <v>588.89589297206658</v>
      </c>
      <c r="L113" s="124">
        <v>544.86234655318503</v>
      </c>
      <c r="M113" s="124">
        <v>530.4907383489043</v>
      </c>
      <c r="N113" s="124">
        <v>474.09672014642661</v>
      </c>
      <c r="O113" s="124">
        <v>474.39894663032527</v>
      </c>
      <c r="P113" s="124">
        <v>468.21851814814818</v>
      </c>
      <c r="Q113" s="124">
        <v>437.79501215184223</v>
      </c>
      <c r="R113" s="124">
        <v>450.71025000109876</v>
      </c>
      <c r="S113" s="124">
        <v>439.69995627874852</v>
      </c>
      <c r="T113" s="124">
        <v>438.18768879122251</v>
      </c>
      <c r="U113" s="124">
        <v>401.5681390046658</v>
      </c>
      <c r="V113" s="124">
        <v>418.56667611083935</v>
      </c>
      <c r="W113" s="124">
        <v>438.83173163953069</v>
      </c>
      <c r="X113" s="124">
        <v>455.80759092562926</v>
      </c>
      <c r="Y113" s="124">
        <v>436.10124086273743</v>
      </c>
      <c r="Z113" s="124">
        <v>399.7912182922318</v>
      </c>
      <c r="AA113" s="124">
        <v>444.13956897954893</v>
      </c>
      <c r="AB113" s="124">
        <v>473.66577249348569</v>
      </c>
      <c r="AC113" s="124">
        <v>485.15262332348306</v>
      </c>
      <c r="AD113" s="124">
        <v>430.09362267472937</v>
      </c>
      <c r="AE113" s="124">
        <v>405.84973497362267</v>
      </c>
      <c r="AF113" s="124">
        <v>394.46440305834153</v>
      </c>
      <c r="AG113" s="124">
        <v>355.83597953644562</v>
      </c>
      <c r="AH113" s="124">
        <v>372.33441434560262</v>
      </c>
      <c r="AI113" s="124">
        <v>369.90620465900139</v>
      </c>
      <c r="AJ113" s="124">
        <v>351.33133993079963</v>
      </c>
      <c r="AK113" s="124">
        <v>363.25399132163693</v>
      </c>
      <c r="AL113" s="124">
        <v>407.12690536176166</v>
      </c>
      <c r="AM113" s="124">
        <v>390.21146341175563</v>
      </c>
      <c r="AN113" s="124">
        <v>381.03082237491697</v>
      </c>
      <c r="AO113" s="124">
        <v>346.44574650392445</v>
      </c>
      <c r="AP113" s="124">
        <v>348.53386560290664</v>
      </c>
      <c r="AQ113" s="124">
        <v>132.22932476016291</v>
      </c>
      <c r="AR113" s="124">
        <v>0</v>
      </c>
      <c r="AS113" s="124">
        <v>0</v>
      </c>
      <c r="AT113" s="124">
        <v>0</v>
      </c>
      <c r="AU113" s="124">
        <v>0</v>
      </c>
      <c r="AV113" s="124">
        <v>0</v>
      </c>
      <c r="AW113" s="124">
        <v>0</v>
      </c>
      <c r="AX113" s="124">
        <v>0</v>
      </c>
      <c r="AY113" s="124">
        <v>0</v>
      </c>
    </row>
    <row r="114" spans="1:52" x14ac:dyDescent="0.2">
      <c r="A114" s="127"/>
      <c r="B114" s="137">
        <v>6</v>
      </c>
      <c r="C114" s="124">
        <v>935.98992265414472</v>
      </c>
      <c r="D114" s="124">
        <v>660.92168912601494</v>
      </c>
      <c r="E114" s="124">
        <v>886.28465167188222</v>
      </c>
      <c r="F114" s="124">
        <v>813.98208599083387</v>
      </c>
      <c r="G114" s="124">
        <v>827.74607777280244</v>
      </c>
      <c r="H114" s="124">
        <v>604.04983847082872</v>
      </c>
      <c r="I114" s="124">
        <v>734.03613889535461</v>
      </c>
      <c r="J114" s="124">
        <v>521.70464422387943</v>
      </c>
      <c r="K114" s="124">
        <v>644.43826092546624</v>
      </c>
      <c r="L114" s="124">
        <v>588.89589297206658</v>
      </c>
      <c r="M114" s="124">
        <v>544.86234655318503</v>
      </c>
      <c r="N114" s="124">
        <v>530.4907383489043</v>
      </c>
      <c r="O114" s="124">
        <v>474.09672014642661</v>
      </c>
      <c r="P114" s="124">
        <v>474.39894663032527</v>
      </c>
      <c r="Q114" s="124">
        <v>468.21851814814818</v>
      </c>
      <c r="R114" s="124">
        <v>437.79501215184223</v>
      </c>
      <c r="S114" s="124">
        <v>450.71025000109876</v>
      </c>
      <c r="T114" s="124">
        <v>439.69995627874852</v>
      </c>
      <c r="U114" s="124">
        <v>438.18768879122251</v>
      </c>
      <c r="V114" s="124">
        <v>401.5681390046658</v>
      </c>
      <c r="W114" s="124">
        <v>418.56667611083935</v>
      </c>
      <c r="X114" s="124">
        <v>438.83173163953069</v>
      </c>
      <c r="Y114" s="124">
        <v>455.80759092562926</v>
      </c>
      <c r="Z114" s="124">
        <v>436.10124086273743</v>
      </c>
      <c r="AA114" s="124">
        <v>399.7912182922318</v>
      </c>
      <c r="AB114" s="124">
        <v>444.13956897954893</v>
      </c>
      <c r="AC114" s="124">
        <v>473.66577249348569</v>
      </c>
      <c r="AD114" s="124">
        <v>485.15262332348306</v>
      </c>
      <c r="AE114" s="124">
        <v>430.09362267472937</v>
      </c>
      <c r="AF114" s="124">
        <v>405.84973497362267</v>
      </c>
      <c r="AG114" s="124">
        <v>394.46440305834153</v>
      </c>
      <c r="AH114" s="124">
        <v>355.83597953644562</v>
      </c>
      <c r="AI114" s="124">
        <v>372.33441434560262</v>
      </c>
      <c r="AJ114" s="124">
        <v>369.90620465900139</v>
      </c>
      <c r="AK114" s="124">
        <v>351.33133993079963</v>
      </c>
      <c r="AL114" s="124">
        <v>363.25399132163693</v>
      </c>
      <c r="AM114" s="124">
        <v>396.09310321276246</v>
      </c>
      <c r="AN114" s="124">
        <v>323.65713527954955</v>
      </c>
      <c r="AO114" s="124">
        <v>158.86744245299002</v>
      </c>
      <c r="AP114" s="124">
        <v>0</v>
      </c>
      <c r="AQ114" s="124">
        <v>0</v>
      </c>
      <c r="AR114" s="124">
        <v>0</v>
      </c>
      <c r="AS114" s="124">
        <v>0</v>
      </c>
      <c r="AT114" s="124">
        <v>0</v>
      </c>
      <c r="AU114" s="124">
        <v>0</v>
      </c>
      <c r="AV114" s="124">
        <v>0</v>
      </c>
      <c r="AW114" s="124">
        <v>0</v>
      </c>
      <c r="AX114" s="124">
        <v>0</v>
      </c>
      <c r="AY114" s="124">
        <v>0</v>
      </c>
    </row>
    <row r="115" spans="1:52" x14ac:dyDescent="0.2">
      <c r="A115" s="127"/>
      <c r="B115" s="144">
        <v>7</v>
      </c>
      <c r="C115" s="124">
        <v>1087.4609558960331</v>
      </c>
      <c r="D115" s="124">
        <v>935.98992265414472</v>
      </c>
      <c r="E115" s="124">
        <v>660.92168912601494</v>
      </c>
      <c r="F115" s="124">
        <v>886.28465167188222</v>
      </c>
      <c r="G115" s="124">
        <v>813.98208599083387</v>
      </c>
      <c r="H115" s="124">
        <v>827.74607777280244</v>
      </c>
      <c r="I115" s="124">
        <v>604.04983847082872</v>
      </c>
      <c r="J115" s="124">
        <v>734.03613889535461</v>
      </c>
      <c r="K115" s="124">
        <v>521.70464422387943</v>
      </c>
      <c r="L115" s="124">
        <v>644.43826092546624</v>
      </c>
      <c r="M115" s="124">
        <v>588.89589297206658</v>
      </c>
      <c r="N115" s="124">
        <v>544.86234655318503</v>
      </c>
      <c r="O115" s="124">
        <v>530.4907383489043</v>
      </c>
      <c r="P115" s="124">
        <v>474.09672014642661</v>
      </c>
      <c r="Q115" s="124">
        <v>474.39894663032527</v>
      </c>
      <c r="R115" s="124">
        <v>468.21851814814818</v>
      </c>
      <c r="S115" s="124">
        <v>437.79501215184223</v>
      </c>
      <c r="T115" s="124">
        <v>450.71025000109876</v>
      </c>
      <c r="U115" s="124">
        <v>439.69995627874852</v>
      </c>
      <c r="V115" s="124">
        <v>438.18768879122251</v>
      </c>
      <c r="W115" s="124">
        <v>401.5681390046658</v>
      </c>
      <c r="X115" s="124">
        <v>418.56667611083935</v>
      </c>
      <c r="Y115" s="124">
        <v>438.83173163953069</v>
      </c>
      <c r="Z115" s="124">
        <v>455.80759092562926</v>
      </c>
      <c r="AA115" s="124">
        <v>436.10124086273743</v>
      </c>
      <c r="AB115" s="124">
        <v>399.7912182922318</v>
      </c>
      <c r="AC115" s="124">
        <v>444.13956897954893</v>
      </c>
      <c r="AD115" s="124">
        <v>473.66577249348569</v>
      </c>
      <c r="AE115" s="124">
        <v>485.15262332348306</v>
      </c>
      <c r="AF115" s="124">
        <v>430.09362267472937</v>
      </c>
      <c r="AG115" s="124">
        <v>405.84973497362267</v>
      </c>
      <c r="AH115" s="124">
        <v>394.46440305834153</v>
      </c>
      <c r="AI115" s="124">
        <v>355.83597953644562</v>
      </c>
      <c r="AJ115" s="124">
        <v>372.33441434560262</v>
      </c>
      <c r="AK115" s="124">
        <v>241.98196459325334</v>
      </c>
      <c r="AL115" s="124">
        <v>122.33994001030408</v>
      </c>
      <c r="AM115" s="124">
        <v>0</v>
      </c>
      <c r="AN115" s="124">
        <v>0</v>
      </c>
      <c r="AO115" s="124">
        <v>0</v>
      </c>
      <c r="AP115" s="124">
        <v>0</v>
      </c>
      <c r="AQ115" s="124">
        <v>0</v>
      </c>
      <c r="AR115" s="124">
        <v>0</v>
      </c>
      <c r="AS115" s="124">
        <v>0</v>
      </c>
      <c r="AT115" s="124">
        <v>0</v>
      </c>
      <c r="AU115" s="124">
        <v>0</v>
      </c>
      <c r="AV115" s="124">
        <v>0</v>
      </c>
      <c r="AW115" s="124">
        <v>0</v>
      </c>
      <c r="AX115" s="124">
        <v>0</v>
      </c>
      <c r="AY115" s="124">
        <v>0</v>
      </c>
    </row>
    <row r="116" spans="1:52" x14ac:dyDescent="0.2">
      <c r="A116" s="127"/>
      <c r="B116" s="144">
        <v>8</v>
      </c>
      <c r="C116" s="124">
        <v>1077.6013456504515</v>
      </c>
      <c r="D116" s="124">
        <v>1087.4609558960331</v>
      </c>
      <c r="E116" s="124">
        <v>935.98992265414472</v>
      </c>
      <c r="F116" s="124">
        <v>660.92168912601494</v>
      </c>
      <c r="G116" s="124">
        <v>886.28465167188222</v>
      </c>
      <c r="H116" s="124">
        <v>813.98208599083387</v>
      </c>
      <c r="I116" s="124">
        <v>827.74607777280244</v>
      </c>
      <c r="J116" s="124">
        <v>604.04983847082872</v>
      </c>
      <c r="K116" s="124">
        <v>734.03613889535461</v>
      </c>
      <c r="L116" s="124">
        <v>521.70464422387943</v>
      </c>
      <c r="M116" s="124">
        <v>644.43826092546624</v>
      </c>
      <c r="N116" s="124">
        <v>588.89589297206658</v>
      </c>
      <c r="O116" s="124">
        <v>544.86234655318503</v>
      </c>
      <c r="P116" s="124">
        <v>530.4907383489043</v>
      </c>
      <c r="Q116" s="124">
        <v>474.09672014642661</v>
      </c>
      <c r="R116" s="124">
        <v>474.39894663032527</v>
      </c>
      <c r="S116" s="124">
        <v>468.21851814814818</v>
      </c>
      <c r="T116" s="124">
        <v>437.79501215184223</v>
      </c>
      <c r="U116" s="124">
        <v>450.71025000109876</v>
      </c>
      <c r="V116" s="124">
        <v>439.69995627874852</v>
      </c>
      <c r="W116" s="124">
        <v>438.18768879122251</v>
      </c>
      <c r="X116" s="124">
        <v>401.5681390046658</v>
      </c>
      <c r="Y116" s="124">
        <v>418.56667611083935</v>
      </c>
      <c r="Z116" s="124">
        <v>438.83173163953069</v>
      </c>
      <c r="AA116" s="124">
        <v>455.80759092562926</v>
      </c>
      <c r="AB116" s="124">
        <v>436.10124086273743</v>
      </c>
      <c r="AC116" s="124">
        <v>399.7912182922318</v>
      </c>
      <c r="AD116" s="124">
        <v>444.13956897954893</v>
      </c>
      <c r="AE116" s="124">
        <v>473.66577249348569</v>
      </c>
      <c r="AF116" s="124">
        <v>485.15262332348306</v>
      </c>
      <c r="AG116" s="124">
        <v>430.09362267472937</v>
      </c>
      <c r="AH116" s="124">
        <v>405.84973497362267</v>
      </c>
      <c r="AI116" s="124">
        <v>394.20017862133295</v>
      </c>
      <c r="AJ116" s="124">
        <v>118.39855049115238</v>
      </c>
      <c r="AK116" s="124">
        <v>0</v>
      </c>
      <c r="AL116" s="124">
        <v>0</v>
      </c>
      <c r="AM116" s="124">
        <v>0</v>
      </c>
      <c r="AN116" s="124">
        <v>0</v>
      </c>
      <c r="AO116" s="124">
        <v>0</v>
      </c>
      <c r="AP116" s="124">
        <v>0</v>
      </c>
      <c r="AQ116" s="124">
        <v>0</v>
      </c>
      <c r="AR116" s="124">
        <v>0</v>
      </c>
      <c r="AS116" s="124">
        <v>0</v>
      </c>
      <c r="AT116" s="124">
        <v>0</v>
      </c>
      <c r="AU116" s="124">
        <v>0</v>
      </c>
      <c r="AV116" s="124">
        <v>0</v>
      </c>
      <c r="AW116" s="124">
        <v>0</v>
      </c>
      <c r="AX116" s="124">
        <v>0</v>
      </c>
      <c r="AY116" s="124">
        <v>0</v>
      </c>
    </row>
    <row r="117" spans="1:52" x14ac:dyDescent="0.2">
      <c r="A117" s="127"/>
      <c r="B117" s="144">
        <v>9</v>
      </c>
      <c r="C117" s="124">
        <v>778.55611768876111</v>
      </c>
      <c r="D117" s="124">
        <v>1077.6013456504515</v>
      </c>
      <c r="E117" s="124">
        <v>1087.4609558960331</v>
      </c>
      <c r="F117" s="124">
        <v>935.98992265414472</v>
      </c>
      <c r="G117" s="124">
        <v>660.92168912601494</v>
      </c>
      <c r="H117" s="124">
        <v>886.28465167188222</v>
      </c>
      <c r="I117" s="124">
        <v>813.98208599083387</v>
      </c>
      <c r="J117" s="124">
        <v>827.74607777280244</v>
      </c>
      <c r="K117" s="124">
        <v>604.04983847082872</v>
      </c>
      <c r="L117" s="124">
        <v>734.03613889535461</v>
      </c>
      <c r="M117" s="124">
        <v>521.70464422387943</v>
      </c>
      <c r="N117" s="124">
        <v>644.43826092546624</v>
      </c>
      <c r="O117" s="124">
        <v>588.89589297206658</v>
      </c>
      <c r="P117" s="124">
        <v>544.86234655318503</v>
      </c>
      <c r="Q117" s="124">
        <v>530.4907383489043</v>
      </c>
      <c r="R117" s="124">
        <v>474.09672014642661</v>
      </c>
      <c r="S117" s="124">
        <v>474.39894663032527</v>
      </c>
      <c r="T117" s="124">
        <v>468.21851814814818</v>
      </c>
      <c r="U117" s="124">
        <v>437.79501215184223</v>
      </c>
      <c r="V117" s="124">
        <v>450.71025000109876</v>
      </c>
      <c r="W117" s="124">
        <v>439.69995627874852</v>
      </c>
      <c r="X117" s="124">
        <v>438.18768879122251</v>
      </c>
      <c r="Y117" s="124">
        <v>401.5681390046658</v>
      </c>
      <c r="Z117" s="124">
        <v>418.56667611083935</v>
      </c>
      <c r="AA117" s="124">
        <v>438.83173163953069</v>
      </c>
      <c r="AB117" s="124">
        <v>455.80759092562926</v>
      </c>
      <c r="AC117" s="124">
        <v>436.10124086273743</v>
      </c>
      <c r="AD117" s="124">
        <v>399.7912182922318</v>
      </c>
      <c r="AE117" s="124">
        <v>444.13956897954893</v>
      </c>
      <c r="AF117" s="124">
        <v>413.38582650889293</v>
      </c>
      <c r="AG117" s="124">
        <v>397.42989126893053</v>
      </c>
      <c r="AH117" s="124">
        <v>212.38063013034076</v>
      </c>
      <c r="AI117" s="124">
        <v>0</v>
      </c>
      <c r="AJ117" s="124">
        <v>0</v>
      </c>
      <c r="AK117" s="124">
        <v>0</v>
      </c>
      <c r="AL117" s="124">
        <v>0</v>
      </c>
      <c r="AM117" s="124">
        <v>0</v>
      </c>
      <c r="AN117" s="124">
        <v>0</v>
      </c>
      <c r="AO117" s="124">
        <v>0</v>
      </c>
      <c r="AP117" s="124">
        <v>0</v>
      </c>
      <c r="AQ117" s="124">
        <v>0</v>
      </c>
      <c r="AR117" s="124">
        <v>0</v>
      </c>
      <c r="AS117" s="124">
        <v>0</v>
      </c>
      <c r="AT117" s="124">
        <v>0</v>
      </c>
      <c r="AU117" s="124">
        <v>0</v>
      </c>
      <c r="AV117" s="124">
        <v>0</v>
      </c>
      <c r="AW117" s="124">
        <v>0</v>
      </c>
      <c r="AX117" s="124">
        <v>0</v>
      </c>
      <c r="AY117" s="124">
        <v>0</v>
      </c>
    </row>
    <row r="118" spans="1:52" x14ac:dyDescent="0.2">
      <c r="A118" s="127"/>
      <c r="B118" s="147">
        <v>10</v>
      </c>
      <c r="C118" s="124">
        <v>876.31552284536212</v>
      </c>
      <c r="D118" s="124">
        <v>778.55611768876111</v>
      </c>
      <c r="E118" s="124">
        <v>1077.6013456504515</v>
      </c>
      <c r="F118" s="124">
        <v>1087.4609558960331</v>
      </c>
      <c r="G118" s="124">
        <v>935.98992265414472</v>
      </c>
      <c r="H118" s="124">
        <v>660.92168912601494</v>
      </c>
      <c r="I118" s="124">
        <v>886.28465167188222</v>
      </c>
      <c r="J118" s="124">
        <v>813.98208599083387</v>
      </c>
      <c r="K118" s="124">
        <v>827.74607777280244</v>
      </c>
      <c r="L118" s="124">
        <v>604.04983847082872</v>
      </c>
      <c r="M118" s="124">
        <v>734.03613889535461</v>
      </c>
      <c r="N118" s="124">
        <v>521.70464422387943</v>
      </c>
      <c r="O118" s="124">
        <v>644.43826092546624</v>
      </c>
      <c r="P118" s="124">
        <v>588.89589297206658</v>
      </c>
      <c r="Q118" s="124">
        <v>544.86234655318503</v>
      </c>
      <c r="R118" s="124">
        <v>530.4907383489043</v>
      </c>
      <c r="S118" s="124">
        <v>474.09672014642661</v>
      </c>
      <c r="T118" s="124">
        <v>474.39894663032527</v>
      </c>
      <c r="U118" s="124">
        <v>468.21851814814818</v>
      </c>
      <c r="V118" s="124">
        <v>437.79501215184223</v>
      </c>
      <c r="W118" s="124">
        <v>450.71025000109876</v>
      </c>
      <c r="X118" s="124">
        <v>439.69995627874852</v>
      </c>
      <c r="Y118" s="124">
        <v>438.18768879122251</v>
      </c>
      <c r="Z118" s="124">
        <v>401.5681390046658</v>
      </c>
      <c r="AA118" s="124">
        <v>418.56667611083935</v>
      </c>
      <c r="AB118" s="124">
        <v>438.83173163953069</v>
      </c>
      <c r="AC118" s="124">
        <v>455.80759092562926</v>
      </c>
      <c r="AD118" s="124">
        <v>329.2650240506415</v>
      </c>
      <c r="AE118" s="124">
        <v>51.208218516798581</v>
      </c>
      <c r="AF118" s="124">
        <v>0</v>
      </c>
      <c r="AG118" s="124">
        <v>0</v>
      </c>
      <c r="AH118" s="124">
        <v>0</v>
      </c>
      <c r="AI118" s="124">
        <v>0</v>
      </c>
      <c r="AJ118" s="124">
        <v>0</v>
      </c>
      <c r="AK118" s="124">
        <v>0</v>
      </c>
      <c r="AL118" s="124">
        <v>0</v>
      </c>
      <c r="AM118" s="124">
        <v>0</v>
      </c>
      <c r="AN118" s="124">
        <v>0</v>
      </c>
      <c r="AO118" s="124">
        <v>0</v>
      </c>
      <c r="AP118" s="124">
        <v>0</v>
      </c>
      <c r="AQ118" s="124">
        <v>0</v>
      </c>
      <c r="AR118" s="124">
        <v>0</v>
      </c>
      <c r="AS118" s="124">
        <v>0</v>
      </c>
      <c r="AT118" s="124">
        <v>0</v>
      </c>
      <c r="AU118" s="124">
        <v>0</v>
      </c>
      <c r="AV118" s="124">
        <v>0</v>
      </c>
      <c r="AW118" s="124">
        <v>0</v>
      </c>
      <c r="AX118" s="124">
        <v>0</v>
      </c>
      <c r="AY118" s="124">
        <v>0</v>
      </c>
    </row>
    <row r="119" spans="1:52" x14ac:dyDescent="0.2">
      <c r="A119" s="127"/>
      <c r="B119" s="147">
        <v>11</v>
      </c>
      <c r="C119" s="124">
        <v>337.38078695935587</v>
      </c>
      <c r="D119" s="124">
        <v>290.35690546112176</v>
      </c>
      <c r="E119" s="124">
        <v>407.39197469791463</v>
      </c>
      <c r="F119" s="124">
        <v>972.49870697006634</v>
      </c>
      <c r="G119" s="124">
        <v>1087.4609558960331</v>
      </c>
      <c r="H119" s="124">
        <v>935.98992265414472</v>
      </c>
      <c r="I119" s="124">
        <v>660.92168912601494</v>
      </c>
      <c r="J119" s="124">
        <v>886.28465167188222</v>
      </c>
      <c r="K119" s="124">
        <v>813.98208599083387</v>
      </c>
      <c r="L119" s="124">
        <v>827.74607777280244</v>
      </c>
      <c r="M119" s="124">
        <v>604.04983847082872</v>
      </c>
      <c r="N119" s="124">
        <v>734.03613889535461</v>
      </c>
      <c r="O119" s="124">
        <v>521.70464422387943</v>
      </c>
      <c r="P119" s="124">
        <v>644.43826092546624</v>
      </c>
      <c r="Q119" s="124">
        <v>588.89589297206658</v>
      </c>
      <c r="R119" s="124">
        <v>544.86234655318503</v>
      </c>
      <c r="S119" s="124">
        <v>530.4907383489043</v>
      </c>
      <c r="T119" s="124">
        <v>474.09672014642661</v>
      </c>
      <c r="U119" s="124">
        <v>474.39894663032527</v>
      </c>
      <c r="V119" s="124">
        <v>468.21851814814818</v>
      </c>
      <c r="W119" s="124">
        <v>437.79501215184223</v>
      </c>
      <c r="X119" s="124">
        <v>450.71025000109876</v>
      </c>
      <c r="Y119" s="124">
        <v>439.69995627874852</v>
      </c>
      <c r="Z119" s="124">
        <v>435.15459650912629</v>
      </c>
      <c r="AA119" s="124">
        <v>229.57985170047294</v>
      </c>
      <c r="AB119" s="124">
        <v>129.5791222533623</v>
      </c>
      <c r="AC119" s="124">
        <v>16.410853892892987</v>
      </c>
      <c r="AD119" s="124">
        <v>0</v>
      </c>
      <c r="AE119" s="124">
        <v>0</v>
      </c>
      <c r="AF119" s="124">
        <v>0</v>
      </c>
      <c r="AG119" s="124">
        <v>0</v>
      </c>
      <c r="AH119" s="124">
        <v>0</v>
      </c>
      <c r="AI119" s="124">
        <v>0</v>
      </c>
      <c r="AJ119" s="124">
        <v>0</v>
      </c>
      <c r="AK119" s="124">
        <v>0</v>
      </c>
      <c r="AL119" s="124">
        <v>0</v>
      </c>
      <c r="AM119" s="124">
        <v>0</v>
      </c>
      <c r="AN119" s="124">
        <v>0</v>
      </c>
      <c r="AO119" s="124">
        <v>0</v>
      </c>
      <c r="AP119" s="124">
        <v>0</v>
      </c>
      <c r="AQ119" s="124">
        <v>0</v>
      </c>
      <c r="AR119" s="124">
        <v>0</v>
      </c>
      <c r="AS119" s="124">
        <v>0</v>
      </c>
      <c r="AT119" s="124">
        <v>0</v>
      </c>
      <c r="AU119" s="124">
        <v>0</v>
      </c>
      <c r="AV119" s="124">
        <v>0</v>
      </c>
      <c r="AW119" s="124">
        <v>0</v>
      </c>
      <c r="AX119" s="124">
        <v>0</v>
      </c>
      <c r="AY119" s="124">
        <v>0</v>
      </c>
    </row>
    <row r="120" spans="1:52" x14ac:dyDescent="0.2">
      <c r="A120" s="127"/>
      <c r="B120" s="147">
        <v>12</v>
      </c>
      <c r="C120" s="124">
        <v>0</v>
      </c>
      <c r="D120" s="124">
        <v>0</v>
      </c>
      <c r="E120" s="124">
        <v>0</v>
      </c>
      <c r="F120" s="124">
        <v>0</v>
      </c>
      <c r="G120" s="124">
        <v>352.49870697006634</v>
      </c>
      <c r="H120" s="124">
        <v>937.95966286609939</v>
      </c>
      <c r="I120" s="124">
        <v>935.98992265414472</v>
      </c>
      <c r="J120" s="124">
        <v>660.92168912601494</v>
      </c>
      <c r="K120" s="124">
        <v>886.28465167188222</v>
      </c>
      <c r="L120" s="124">
        <v>813.98208599083387</v>
      </c>
      <c r="M120" s="124">
        <v>827.74607777280244</v>
      </c>
      <c r="N120" s="124">
        <v>604.04983847082872</v>
      </c>
      <c r="O120" s="124">
        <v>734.03613889535461</v>
      </c>
      <c r="P120" s="124">
        <v>521.70464422387943</v>
      </c>
      <c r="Q120" s="124">
        <v>644.43826092546624</v>
      </c>
      <c r="R120" s="124">
        <v>588.89589297206658</v>
      </c>
      <c r="S120" s="124">
        <v>532.33189305484302</v>
      </c>
      <c r="T120" s="124">
        <v>484.1364027468444</v>
      </c>
      <c r="U120" s="124">
        <v>474.09672014642661</v>
      </c>
      <c r="V120" s="124">
        <v>416.49566677675188</v>
      </c>
      <c r="W120" s="124">
        <v>338.07491914439578</v>
      </c>
      <c r="X120" s="124">
        <v>307.13629717381536</v>
      </c>
      <c r="Y120" s="124">
        <v>120.66383883512026</v>
      </c>
      <c r="Z120" s="124">
        <v>0</v>
      </c>
      <c r="AA120" s="124">
        <v>0</v>
      </c>
      <c r="AB120" s="124">
        <v>0</v>
      </c>
      <c r="AC120" s="124">
        <v>0</v>
      </c>
      <c r="AD120" s="124">
        <v>0</v>
      </c>
      <c r="AE120" s="124">
        <v>0</v>
      </c>
      <c r="AF120" s="124">
        <v>0</v>
      </c>
      <c r="AG120" s="124">
        <v>0</v>
      </c>
      <c r="AH120" s="124">
        <v>0</v>
      </c>
      <c r="AI120" s="124">
        <v>0</v>
      </c>
      <c r="AJ120" s="124">
        <v>0</v>
      </c>
      <c r="AK120" s="124">
        <v>0</v>
      </c>
      <c r="AL120" s="124">
        <v>0</v>
      </c>
      <c r="AM120" s="124">
        <v>0</v>
      </c>
      <c r="AN120" s="124">
        <v>0</v>
      </c>
      <c r="AO120" s="124">
        <v>0</v>
      </c>
      <c r="AP120" s="124">
        <v>0</v>
      </c>
      <c r="AQ120" s="124">
        <v>0</v>
      </c>
      <c r="AR120" s="124">
        <v>0</v>
      </c>
      <c r="AS120" s="124">
        <v>0</v>
      </c>
      <c r="AT120" s="124">
        <v>0</v>
      </c>
      <c r="AU120" s="124">
        <v>0</v>
      </c>
      <c r="AV120" s="124">
        <v>0</v>
      </c>
      <c r="AW120" s="124">
        <v>0</v>
      </c>
      <c r="AX120" s="124">
        <v>0</v>
      </c>
      <c r="AY120" s="124">
        <v>0</v>
      </c>
    </row>
    <row r="121" spans="1:52" x14ac:dyDescent="0.2">
      <c r="A121" s="145"/>
      <c r="B121" s="149" t="s">
        <v>296</v>
      </c>
      <c r="C121" s="131">
        <v>0</v>
      </c>
      <c r="D121" s="142">
        <v>0</v>
      </c>
      <c r="E121" s="142">
        <v>0</v>
      </c>
      <c r="F121" s="142">
        <v>0</v>
      </c>
      <c r="G121" s="142">
        <v>0</v>
      </c>
      <c r="H121" s="142">
        <v>0</v>
      </c>
      <c r="I121" s="142">
        <v>409.70279870225818</v>
      </c>
      <c r="J121" s="142">
        <v>457.72173574844101</v>
      </c>
      <c r="K121" s="142">
        <v>144.53037032282282</v>
      </c>
      <c r="L121" s="142">
        <v>352.58884615325815</v>
      </c>
      <c r="M121" s="142">
        <v>219.09855110592173</v>
      </c>
      <c r="N121" s="142">
        <v>335.70322084318224</v>
      </c>
      <c r="O121" s="142">
        <v>133.38793369911122</v>
      </c>
      <c r="P121" s="142">
        <v>216.83140369708303</v>
      </c>
      <c r="Q121" s="142">
        <v>68.089655956643355</v>
      </c>
      <c r="R121" s="142">
        <v>48.617745723989742</v>
      </c>
      <c r="S121" s="142">
        <v>0</v>
      </c>
      <c r="T121" s="142">
        <v>0</v>
      </c>
      <c r="U121" s="142">
        <v>14.868215841140682</v>
      </c>
      <c r="V121" s="142">
        <v>0</v>
      </c>
      <c r="W121" s="142">
        <v>0</v>
      </c>
      <c r="X121" s="142">
        <v>0</v>
      </c>
      <c r="Y121" s="142">
        <v>0</v>
      </c>
      <c r="Z121" s="142">
        <v>0</v>
      </c>
      <c r="AA121" s="142">
        <v>0</v>
      </c>
      <c r="AB121" s="142">
        <v>0</v>
      </c>
      <c r="AC121" s="142">
        <v>0</v>
      </c>
      <c r="AD121" s="142">
        <v>0</v>
      </c>
      <c r="AE121" s="142">
        <v>0</v>
      </c>
      <c r="AF121" s="142">
        <v>0</v>
      </c>
      <c r="AG121" s="142">
        <v>0</v>
      </c>
      <c r="AH121" s="142">
        <v>0</v>
      </c>
      <c r="AI121" s="142">
        <v>0</v>
      </c>
      <c r="AJ121" s="142">
        <v>0</v>
      </c>
      <c r="AK121" s="142">
        <v>0</v>
      </c>
      <c r="AL121" s="142">
        <v>0</v>
      </c>
      <c r="AM121" s="142">
        <v>0</v>
      </c>
      <c r="AN121" s="142">
        <v>0</v>
      </c>
      <c r="AO121" s="142">
        <v>0</v>
      </c>
      <c r="AP121" s="142">
        <v>0</v>
      </c>
      <c r="AQ121" s="142">
        <v>0</v>
      </c>
      <c r="AR121" s="142">
        <v>0</v>
      </c>
      <c r="AS121" s="142">
        <v>0</v>
      </c>
      <c r="AT121" s="142">
        <v>0</v>
      </c>
      <c r="AU121" s="142">
        <v>0</v>
      </c>
      <c r="AV121" s="142">
        <v>0</v>
      </c>
      <c r="AW121" s="142">
        <v>0</v>
      </c>
      <c r="AX121" s="142">
        <v>0</v>
      </c>
      <c r="AY121" s="142">
        <v>0</v>
      </c>
      <c r="AZ121" s="125">
        <f>SUM($D121:$AY121)</f>
        <v>2401.1404777938524</v>
      </c>
    </row>
    <row r="122" spans="1:52" x14ac:dyDescent="0.2">
      <c r="A122" s="148" t="s">
        <v>123</v>
      </c>
      <c r="B122" s="136">
        <v>1</v>
      </c>
      <c r="C122" s="124">
        <v>1419.4134523958462</v>
      </c>
      <c r="D122" s="124">
        <v>1437.8979926272982</v>
      </c>
      <c r="E122" s="124">
        <v>1089.363774146517</v>
      </c>
      <c r="F122" s="124">
        <v>1089.363774146517</v>
      </c>
      <c r="G122" s="124">
        <v>1089.363774146517</v>
      </c>
      <c r="H122" s="124">
        <v>1089.363774146517</v>
      </c>
      <c r="I122" s="124">
        <v>1089.363774146517</v>
      </c>
      <c r="J122" s="124">
        <v>1089.363774146517</v>
      </c>
      <c r="K122" s="124">
        <v>1089.363774146517</v>
      </c>
      <c r="L122" s="124">
        <v>1089.363774146517</v>
      </c>
      <c r="M122" s="124">
        <v>1089.363774146517</v>
      </c>
      <c r="N122" s="124">
        <v>1089.363774146517</v>
      </c>
      <c r="O122" s="124">
        <v>1089.363774146517</v>
      </c>
      <c r="P122" s="124">
        <v>1089.363774146517</v>
      </c>
      <c r="Q122" s="124">
        <v>1089.363774146517</v>
      </c>
      <c r="R122" s="124">
        <v>1089.363774146517</v>
      </c>
      <c r="S122" s="124">
        <v>1089.363774146517</v>
      </c>
      <c r="T122" s="124">
        <v>1089.363774146517</v>
      </c>
      <c r="U122" s="124">
        <v>1089.363774146517</v>
      </c>
      <c r="V122" s="124">
        <v>1089.363774146517</v>
      </c>
      <c r="W122" s="124">
        <v>1089.363774146517</v>
      </c>
      <c r="X122" s="124">
        <v>1089.363774146517</v>
      </c>
      <c r="Y122" s="124">
        <v>1089.363774146517</v>
      </c>
      <c r="Z122" s="124">
        <v>1089.363774146517</v>
      </c>
      <c r="AA122" s="124">
        <v>1089.363774146517</v>
      </c>
      <c r="AB122" s="124">
        <v>1089.363774146517</v>
      </c>
      <c r="AC122" s="124">
        <v>1089.363774146517</v>
      </c>
      <c r="AD122" s="124">
        <v>1089.363774146517</v>
      </c>
      <c r="AE122" s="124">
        <v>1089.363774146517</v>
      </c>
      <c r="AF122" s="124">
        <v>1089.363774146517</v>
      </c>
      <c r="AG122" s="124">
        <v>1089.363774146517</v>
      </c>
      <c r="AH122" s="124">
        <v>1089.363774146517</v>
      </c>
      <c r="AI122" s="124">
        <v>1089.363774146517</v>
      </c>
      <c r="AJ122" s="124">
        <v>1089.363774146517</v>
      </c>
      <c r="AK122" s="124">
        <v>1089.363774146517</v>
      </c>
      <c r="AL122" s="124">
        <v>1089.363774146517</v>
      </c>
      <c r="AM122" s="124">
        <v>1089.363774146517</v>
      </c>
      <c r="AN122" s="124">
        <v>1089.363774146517</v>
      </c>
      <c r="AO122" s="124">
        <v>1089.363774146517</v>
      </c>
      <c r="AP122" s="124">
        <v>1089.363774146517</v>
      </c>
      <c r="AQ122" s="124">
        <v>1089.363774146517</v>
      </c>
      <c r="AR122" s="124">
        <v>1089.363774146517</v>
      </c>
      <c r="AS122" s="124">
        <v>1089.363774146517</v>
      </c>
      <c r="AT122" s="124">
        <v>1089.363774146517</v>
      </c>
      <c r="AU122" s="124">
        <v>1089.363774146517</v>
      </c>
      <c r="AV122" s="124">
        <v>1089.363774146517</v>
      </c>
      <c r="AW122" s="124">
        <v>1089.363774146517</v>
      </c>
      <c r="AX122" s="124">
        <v>1089.363774146517</v>
      </c>
      <c r="AY122" s="124">
        <v>1089.363774146517</v>
      </c>
    </row>
    <row r="123" spans="1:52" x14ac:dyDescent="0.2">
      <c r="A123" s="127"/>
      <c r="B123" s="136">
        <v>2</v>
      </c>
      <c r="C123" s="124">
        <v>496.81273249056244</v>
      </c>
      <c r="D123" s="124">
        <v>286.35064164745779</v>
      </c>
      <c r="E123" s="124">
        <v>1040.5229415989083</v>
      </c>
      <c r="F123" s="124">
        <v>759.75577624861671</v>
      </c>
      <c r="G123" s="124">
        <v>711.42172261610949</v>
      </c>
      <c r="H123" s="124">
        <v>663.92315020944147</v>
      </c>
      <c r="I123" s="124">
        <v>477.53932184321297</v>
      </c>
      <c r="J123" s="124">
        <v>478.53818893759961</v>
      </c>
      <c r="K123" s="124">
        <v>458.11169765059924</v>
      </c>
      <c r="L123" s="124">
        <v>357.56114813034401</v>
      </c>
      <c r="M123" s="124">
        <v>400.24637524010666</v>
      </c>
      <c r="N123" s="124">
        <v>363.85704245590472</v>
      </c>
      <c r="O123" s="124">
        <v>358.85895555195566</v>
      </c>
      <c r="P123" s="124">
        <v>237.83030570897859</v>
      </c>
      <c r="Q123" s="124">
        <v>294.01095258359373</v>
      </c>
      <c r="R123" s="124">
        <v>360.9875354177949</v>
      </c>
      <c r="S123" s="124">
        <v>417.09323145437264</v>
      </c>
      <c r="T123" s="124">
        <v>351.96318601835748</v>
      </c>
      <c r="U123" s="124">
        <v>231.95753239643329</v>
      </c>
      <c r="V123" s="124">
        <v>378.53008825071856</v>
      </c>
      <c r="W123" s="124">
        <v>476.11502763718238</v>
      </c>
      <c r="X123" s="124">
        <v>514.07939516779106</v>
      </c>
      <c r="Y123" s="124">
        <v>332.10783765103116</v>
      </c>
      <c r="Z123" s="124">
        <v>251.98110172685381</v>
      </c>
      <c r="AA123" s="124">
        <v>214.35225708642895</v>
      </c>
      <c r="AB123" s="124">
        <v>86.684222616654438</v>
      </c>
      <c r="AC123" s="124">
        <v>141.21201722672572</v>
      </c>
      <c r="AD123" s="124">
        <v>133.18671539702189</v>
      </c>
      <c r="AE123" s="124">
        <v>71.796261058462733</v>
      </c>
      <c r="AF123" s="124">
        <v>111.2009617932398</v>
      </c>
      <c r="AG123" s="124">
        <v>256.20218605467443</v>
      </c>
      <c r="AH123" s="124">
        <v>200.29617102611064</v>
      </c>
      <c r="AI123" s="124">
        <v>169.95389221990001</v>
      </c>
      <c r="AJ123" s="124">
        <v>55.649236324873868</v>
      </c>
      <c r="AK123" s="124">
        <v>193.91005906496332</v>
      </c>
      <c r="AL123" s="124">
        <v>84.021246496690424</v>
      </c>
      <c r="AM123" s="124">
        <v>99.727042356663787</v>
      </c>
      <c r="AN123" s="124">
        <v>141.66104922230215</v>
      </c>
      <c r="AO123" s="124">
        <v>71.734030540284721</v>
      </c>
      <c r="AP123" s="124">
        <v>93.726748243181078</v>
      </c>
      <c r="AQ123" s="124">
        <v>0</v>
      </c>
      <c r="AR123" s="124">
        <v>71.079173066946282</v>
      </c>
      <c r="AS123" s="124">
        <v>249.7257515957844</v>
      </c>
      <c r="AT123" s="124">
        <v>172.21426562064585</v>
      </c>
      <c r="AU123" s="124">
        <v>280.86838246165098</v>
      </c>
      <c r="AV123" s="124">
        <v>210.41907032552774</v>
      </c>
      <c r="AW123" s="124">
        <v>234.47354432804684</v>
      </c>
      <c r="AX123" s="124">
        <v>186.78495181910444</v>
      </c>
      <c r="AY123" s="124">
        <v>173.22729724805356</v>
      </c>
    </row>
    <row r="124" spans="1:52" x14ac:dyDescent="0.2">
      <c r="A124" s="127"/>
      <c r="B124" s="136">
        <v>3</v>
      </c>
      <c r="C124" s="124">
        <v>0</v>
      </c>
      <c r="D124" s="124">
        <v>0</v>
      </c>
      <c r="E124" s="124">
        <v>0</v>
      </c>
      <c r="F124" s="124">
        <v>97.198065193042453</v>
      </c>
      <c r="G124" s="124">
        <v>0</v>
      </c>
      <c r="H124" s="124">
        <v>0</v>
      </c>
      <c r="I124" s="124">
        <v>0</v>
      </c>
      <c r="J124" s="124">
        <v>0</v>
      </c>
      <c r="K124" s="124">
        <v>0</v>
      </c>
      <c r="L124" s="124">
        <v>0</v>
      </c>
      <c r="M124" s="124">
        <v>0</v>
      </c>
      <c r="N124" s="124">
        <v>0</v>
      </c>
      <c r="O124" s="124">
        <v>0</v>
      </c>
      <c r="P124" s="124">
        <v>0</v>
      </c>
      <c r="Q124" s="124">
        <v>0</v>
      </c>
      <c r="R124" s="124">
        <v>0</v>
      </c>
      <c r="S124" s="124">
        <v>0</v>
      </c>
      <c r="T124" s="124">
        <v>0</v>
      </c>
      <c r="U124" s="124">
        <v>0</v>
      </c>
      <c r="V124" s="124">
        <v>0</v>
      </c>
      <c r="W124" s="124">
        <v>0</v>
      </c>
      <c r="X124" s="124">
        <v>0</v>
      </c>
      <c r="Y124" s="124">
        <v>0</v>
      </c>
      <c r="Z124" s="124">
        <v>0</v>
      </c>
      <c r="AA124" s="124">
        <v>0</v>
      </c>
      <c r="AB124" s="124">
        <v>0</v>
      </c>
      <c r="AC124" s="124">
        <v>0</v>
      </c>
      <c r="AD124" s="124">
        <v>0</v>
      </c>
      <c r="AE124" s="124">
        <v>0</v>
      </c>
      <c r="AF124" s="124">
        <v>0</v>
      </c>
      <c r="AG124" s="124">
        <v>0</v>
      </c>
      <c r="AH124" s="124">
        <v>0</v>
      </c>
      <c r="AI124" s="124">
        <v>0</v>
      </c>
      <c r="AJ124" s="124">
        <v>0</v>
      </c>
      <c r="AK124" s="124">
        <v>0</v>
      </c>
      <c r="AL124" s="124">
        <v>0</v>
      </c>
      <c r="AM124" s="124">
        <v>0</v>
      </c>
      <c r="AN124" s="124">
        <v>0</v>
      </c>
      <c r="AO124" s="124">
        <v>0</v>
      </c>
      <c r="AP124" s="124">
        <v>0</v>
      </c>
      <c r="AQ124" s="124">
        <v>0</v>
      </c>
      <c r="AR124" s="124">
        <v>0</v>
      </c>
      <c r="AS124" s="124">
        <v>0</v>
      </c>
      <c r="AT124" s="124">
        <v>0</v>
      </c>
      <c r="AU124" s="124">
        <v>0</v>
      </c>
      <c r="AV124" s="124">
        <v>0</v>
      </c>
      <c r="AW124" s="124">
        <v>0</v>
      </c>
      <c r="AX124" s="124">
        <v>0</v>
      </c>
      <c r="AY124" s="124">
        <v>0</v>
      </c>
    </row>
    <row r="125" spans="1:52" x14ac:dyDescent="0.2">
      <c r="A125" s="127"/>
      <c r="B125" s="136">
        <v>4</v>
      </c>
      <c r="C125" s="124">
        <v>0</v>
      </c>
      <c r="D125" s="124">
        <v>0</v>
      </c>
      <c r="E125" s="124">
        <v>0</v>
      </c>
      <c r="F125" s="124">
        <v>0</v>
      </c>
      <c r="G125" s="124">
        <v>0</v>
      </c>
      <c r="H125" s="124">
        <v>0</v>
      </c>
      <c r="I125" s="124">
        <v>0</v>
      </c>
      <c r="J125" s="124">
        <v>0</v>
      </c>
      <c r="K125" s="124">
        <v>0</v>
      </c>
      <c r="L125" s="124">
        <v>0</v>
      </c>
      <c r="M125" s="124">
        <v>0</v>
      </c>
      <c r="N125" s="124">
        <v>0</v>
      </c>
      <c r="O125" s="124">
        <v>0</v>
      </c>
      <c r="P125" s="124">
        <v>0</v>
      </c>
      <c r="Q125" s="124">
        <v>0</v>
      </c>
      <c r="R125" s="124">
        <v>0</v>
      </c>
      <c r="S125" s="124">
        <v>0</v>
      </c>
      <c r="T125" s="124">
        <v>0</v>
      </c>
      <c r="U125" s="124">
        <v>0</v>
      </c>
      <c r="V125" s="124">
        <v>0</v>
      </c>
      <c r="W125" s="124">
        <v>0</v>
      </c>
      <c r="X125" s="124">
        <v>0</v>
      </c>
      <c r="Y125" s="124">
        <v>0</v>
      </c>
      <c r="Z125" s="124">
        <v>0</v>
      </c>
      <c r="AA125" s="124">
        <v>0</v>
      </c>
      <c r="AB125" s="124">
        <v>0</v>
      </c>
      <c r="AC125" s="124">
        <v>0</v>
      </c>
      <c r="AD125" s="124">
        <v>0</v>
      </c>
      <c r="AE125" s="124">
        <v>0</v>
      </c>
      <c r="AF125" s="124">
        <v>0</v>
      </c>
      <c r="AG125" s="124">
        <v>0</v>
      </c>
      <c r="AH125" s="124">
        <v>0</v>
      </c>
      <c r="AI125" s="124">
        <v>0</v>
      </c>
      <c r="AJ125" s="124">
        <v>0</v>
      </c>
      <c r="AK125" s="124">
        <v>0</v>
      </c>
      <c r="AL125" s="124">
        <v>0</v>
      </c>
      <c r="AM125" s="124">
        <v>0</v>
      </c>
      <c r="AN125" s="124">
        <v>0</v>
      </c>
      <c r="AO125" s="124">
        <v>0</v>
      </c>
      <c r="AP125" s="124">
        <v>0</v>
      </c>
      <c r="AQ125" s="124">
        <v>0</v>
      </c>
      <c r="AR125" s="124">
        <v>0</v>
      </c>
      <c r="AS125" s="124">
        <v>0</v>
      </c>
      <c r="AT125" s="124">
        <v>0</v>
      </c>
      <c r="AU125" s="124">
        <v>0</v>
      </c>
      <c r="AV125" s="124">
        <v>0</v>
      </c>
      <c r="AW125" s="124">
        <v>0</v>
      </c>
      <c r="AX125" s="124">
        <v>0</v>
      </c>
      <c r="AY125" s="124">
        <v>0</v>
      </c>
    </row>
    <row r="126" spans="1:52" x14ac:dyDescent="0.2">
      <c r="A126" s="127"/>
      <c r="B126" s="136">
        <v>5</v>
      </c>
      <c r="C126" s="124">
        <v>0</v>
      </c>
      <c r="D126" s="124">
        <v>0</v>
      </c>
      <c r="E126" s="124">
        <v>0</v>
      </c>
      <c r="F126" s="124">
        <v>0</v>
      </c>
      <c r="G126" s="124">
        <v>0</v>
      </c>
      <c r="H126" s="124">
        <v>0</v>
      </c>
      <c r="I126" s="124">
        <v>0</v>
      </c>
      <c r="J126" s="124">
        <v>0</v>
      </c>
      <c r="K126" s="124">
        <v>0</v>
      </c>
      <c r="L126" s="124">
        <v>0</v>
      </c>
      <c r="M126" s="124">
        <v>0</v>
      </c>
      <c r="N126" s="124">
        <v>0</v>
      </c>
      <c r="O126" s="124">
        <v>0</v>
      </c>
      <c r="P126" s="124">
        <v>0</v>
      </c>
      <c r="Q126" s="124">
        <v>0</v>
      </c>
      <c r="R126" s="124">
        <v>0</v>
      </c>
      <c r="S126" s="124">
        <v>0</v>
      </c>
      <c r="T126" s="124">
        <v>0</v>
      </c>
      <c r="U126" s="124">
        <v>0</v>
      </c>
      <c r="V126" s="124">
        <v>0</v>
      </c>
      <c r="W126" s="124">
        <v>0</v>
      </c>
      <c r="X126" s="124">
        <v>0</v>
      </c>
      <c r="Y126" s="124">
        <v>0</v>
      </c>
      <c r="Z126" s="124">
        <v>0</v>
      </c>
      <c r="AA126" s="124">
        <v>0</v>
      </c>
      <c r="AB126" s="124">
        <v>0</v>
      </c>
      <c r="AC126" s="124">
        <v>0</v>
      </c>
      <c r="AD126" s="124">
        <v>0</v>
      </c>
      <c r="AE126" s="124">
        <v>0</v>
      </c>
      <c r="AF126" s="124">
        <v>0</v>
      </c>
      <c r="AG126" s="124">
        <v>0</v>
      </c>
      <c r="AH126" s="124">
        <v>0</v>
      </c>
      <c r="AI126" s="124">
        <v>0</v>
      </c>
      <c r="AJ126" s="124">
        <v>0</v>
      </c>
      <c r="AK126" s="124">
        <v>0</v>
      </c>
      <c r="AL126" s="124">
        <v>0</v>
      </c>
      <c r="AM126" s="124">
        <v>0</v>
      </c>
      <c r="AN126" s="124">
        <v>0</v>
      </c>
      <c r="AO126" s="124">
        <v>0</v>
      </c>
      <c r="AP126" s="124">
        <v>0</v>
      </c>
      <c r="AQ126" s="124">
        <v>0</v>
      </c>
      <c r="AR126" s="124">
        <v>0</v>
      </c>
      <c r="AS126" s="124">
        <v>0</v>
      </c>
      <c r="AT126" s="124">
        <v>0</v>
      </c>
      <c r="AU126" s="124">
        <v>0</v>
      </c>
      <c r="AV126" s="124">
        <v>0</v>
      </c>
      <c r="AW126" s="124">
        <v>0</v>
      </c>
      <c r="AX126" s="124">
        <v>0</v>
      </c>
      <c r="AY126" s="124">
        <v>0</v>
      </c>
    </row>
    <row r="127" spans="1:52" x14ac:dyDescent="0.2">
      <c r="A127" s="127"/>
      <c r="B127" s="136">
        <v>6</v>
      </c>
      <c r="C127" s="124">
        <v>0</v>
      </c>
      <c r="D127" s="124">
        <v>0</v>
      </c>
      <c r="E127" s="124">
        <v>0</v>
      </c>
      <c r="F127" s="124">
        <v>0</v>
      </c>
      <c r="G127" s="124">
        <v>0</v>
      </c>
      <c r="H127" s="124">
        <v>0</v>
      </c>
      <c r="I127" s="124">
        <v>0</v>
      </c>
      <c r="J127" s="124">
        <v>0</v>
      </c>
      <c r="K127" s="124">
        <v>0</v>
      </c>
      <c r="L127" s="124">
        <v>0</v>
      </c>
      <c r="M127" s="124">
        <v>0</v>
      </c>
      <c r="N127" s="124">
        <v>0</v>
      </c>
      <c r="O127" s="124">
        <v>0</v>
      </c>
      <c r="P127" s="124">
        <v>0</v>
      </c>
      <c r="Q127" s="124">
        <v>0</v>
      </c>
      <c r="R127" s="124">
        <v>0</v>
      </c>
      <c r="S127" s="124">
        <v>0</v>
      </c>
      <c r="T127" s="124">
        <v>0</v>
      </c>
      <c r="U127" s="124">
        <v>0</v>
      </c>
      <c r="V127" s="124">
        <v>0</v>
      </c>
      <c r="W127" s="124">
        <v>0</v>
      </c>
      <c r="X127" s="124">
        <v>0</v>
      </c>
      <c r="Y127" s="124">
        <v>0</v>
      </c>
      <c r="Z127" s="124">
        <v>0</v>
      </c>
      <c r="AA127" s="124">
        <v>0</v>
      </c>
      <c r="AB127" s="124">
        <v>0</v>
      </c>
      <c r="AC127" s="124">
        <v>0</v>
      </c>
      <c r="AD127" s="124">
        <v>0</v>
      </c>
      <c r="AE127" s="124">
        <v>0</v>
      </c>
      <c r="AF127" s="124">
        <v>0</v>
      </c>
      <c r="AG127" s="124">
        <v>0</v>
      </c>
      <c r="AH127" s="124">
        <v>0</v>
      </c>
      <c r="AI127" s="124">
        <v>0</v>
      </c>
      <c r="AJ127" s="124">
        <v>0</v>
      </c>
      <c r="AK127" s="124">
        <v>0</v>
      </c>
      <c r="AL127" s="124">
        <v>0</v>
      </c>
      <c r="AM127" s="124">
        <v>0</v>
      </c>
      <c r="AN127" s="124">
        <v>0</v>
      </c>
      <c r="AO127" s="124">
        <v>0</v>
      </c>
      <c r="AP127" s="124">
        <v>0</v>
      </c>
      <c r="AQ127" s="124">
        <v>0</v>
      </c>
      <c r="AR127" s="124">
        <v>0</v>
      </c>
      <c r="AS127" s="124">
        <v>0</v>
      </c>
      <c r="AT127" s="124">
        <v>0</v>
      </c>
      <c r="AU127" s="124">
        <v>0</v>
      </c>
      <c r="AV127" s="124">
        <v>0</v>
      </c>
      <c r="AW127" s="124">
        <v>0</v>
      </c>
      <c r="AX127" s="124">
        <v>0</v>
      </c>
      <c r="AY127" s="124">
        <v>0</v>
      </c>
    </row>
    <row r="128" spans="1:52" x14ac:dyDescent="0.2">
      <c r="A128" s="127"/>
      <c r="B128" s="136">
        <v>7</v>
      </c>
      <c r="C128" s="124">
        <v>0</v>
      </c>
      <c r="D128" s="124">
        <v>0</v>
      </c>
      <c r="E128" s="124">
        <v>0</v>
      </c>
      <c r="F128" s="124">
        <v>0</v>
      </c>
      <c r="G128" s="124">
        <v>0</v>
      </c>
      <c r="H128" s="124">
        <v>0</v>
      </c>
      <c r="I128" s="124">
        <v>0</v>
      </c>
      <c r="J128" s="124">
        <v>0</v>
      </c>
      <c r="K128" s="124">
        <v>0</v>
      </c>
      <c r="L128" s="124">
        <v>0</v>
      </c>
      <c r="M128" s="124">
        <v>0</v>
      </c>
      <c r="N128" s="124">
        <v>0</v>
      </c>
      <c r="O128" s="124">
        <v>0</v>
      </c>
      <c r="P128" s="124">
        <v>0</v>
      </c>
      <c r="Q128" s="124">
        <v>0</v>
      </c>
      <c r="R128" s="124">
        <v>0</v>
      </c>
      <c r="S128" s="124">
        <v>0</v>
      </c>
      <c r="T128" s="124">
        <v>0</v>
      </c>
      <c r="U128" s="124">
        <v>0</v>
      </c>
      <c r="V128" s="124">
        <v>0</v>
      </c>
      <c r="W128" s="124">
        <v>0</v>
      </c>
      <c r="X128" s="124">
        <v>0</v>
      </c>
      <c r="Y128" s="124">
        <v>0</v>
      </c>
      <c r="Z128" s="124">
        <v>0</v>
      </c>
      <c r="AA128" s="124">
        <v>0</v>
      </c>
      <c r="AB128" s="124">
        <v>0</v>
      </c>
      <c r="AC128" s="124">
        <v>0</v>
      </c>
      <c r="AD128" s="124">
        <v>0</v>
      </c>
      <c r="AE128" s="124">
        <v>0</v>
      </c>
      <c r="AF128" s="124">
        <v>0</v>
      </c>
      <c r="AG128" s="124">
        <v>0</v>
      </c>
      <c r="AH128" s="124">
        <v>0</v>
      </c>
      <c r="AI128" s="124">
        <v>0</v>
      </c>
      <c r="AJ128" s="124">
        <v>0</v>
      </c>
      <c r="AK128" s="124">
        <v>0</v>
      </c>
      <c r="AL128" s="124">
        <v>0</v>
      </c>
      <c r="AM128" s="124">
        <v>0</v>
      </c>
      <c r="AN128" s="124">
        <v>0</v>
      </c>
      <c r="AO128" s="124">
        <v>0</v>
      </c>
      <c r="AP128" s="124">
        <v>0</v>
      </c>
      <c r="AQ128" s="124">
        <v>0</v>
      </c>
      <c r="AR128" s="124">
        <v>0</v>
      </c>
      <c r="AS128" s="124">
        <v>0</v>
      </c>
      <c r="AT128" s="124">
        <v>0</v>
      </c>
      <c r="AU128" s="124">
        <v>0</v>
      </c>
      <c r="AV128" s="124">
        <v>0</v>
      </c>
      <c r="AW128" s="124">
        <v>0</v>
      </c>
      <c r="AX128" s="124">
        <v>0</v>
      </c>
      <c r="AY128" s="124">
        <v>0</v>
      </c>
    </row>
    <row r="129" spans="1:51" x14ac:dyDescent="0.2">
      <c r="A129" s="127"/>
      <c r="B129" s="136">
        <v>8</v>
      </c>
      <c r="C129" s="124">
        <v>0</v>
      </c>
      <c r="D129" s="124">
        <v>0</v>
      </c>
      <c r="E129" s="124">
        <v>0</v>
      </c>
      <c r="F129" s="124">
        <v>0</v>
      </c>
      <c r="G129" s="124">
        <v>0</v>
      </c>
      <c r="H129" s="124">
        <v>0</v>
      </c>
      <c r="I129" s="124">
        <v>0</v>
      </c>
      <c r="J129" s="124">
        <v>0</v>
      </c>
      <c r="K129" s="124">
        <v>0</v>
      </c>
      <c r="L129" s="124">
        <v>0</v>
      </c>
      <c r="M129" s="124">
        <v>0</v>
      </c>
      <c r="N129" s="124">
        <v>0</v>
      </c>
      <c r="O129" s="124">
        <v>0</v>
      </c>
      <c r="P129" s="124">
        <v>0</v>
      </c>
      <c r="Q129" s="124">
        <v>0</v>
      </c>
      <c r="R129" s="124">
        <v>0</v>
      </c>
      <c r="S129" s="124">
        <v>0</v>
      </c>
      <c r="T129" s="124">
        <v>0</v>
      </c>
      <c r="U129" s="124">
        <v>0</v>
      </c>
      <c r="V129" s="124">
        <v>0</v>
      </c>
      <c r="W129" s="124">
        <v>0</v>
      </c>
      <c r="X129" s="124">
        <v>0</v>
      </c>
      <c r="Y129" s="124">
        <v>0</v>
      </c>
      <c r="Z129" s="124">
        <v>0</v>
      </c>
      <c r="AA129" s="124">
        <v>0</v>
      </c>
      <c r="AB129" s="124">
        <v>0</v>
      </c>
      <c r="AC129" s="124">
        <v>0</v>
      </c>
      <c r="AD129" s="124">
        <v>0</v>
      </c>
      <c r="AE129" s="124">
        <v>0</v>
      </c>
      <c r="AF129" s="124">
        <v>0</v>
      </c>
      <c r="AG129" s="124">
        <v>0</v>
      </c>
      <c r="AH129" s="124">
        <v>0</v>
      </c>
      <c r="AI129" s="124">
        <v>0</v>
      </c>
      <c r="AJ129" s="124">
        <v>0</v>
      </c>
      <c r="AK129" s="124">
        <v>0</v>
      </c>
      <c r="AL129" s="124">
        <v>0</v>
      </c>
      <c r="AM129" s="124">
        <v>0</v>
      </c>
      <c r="AN129" s="124">
        <v>0</v>
      </c>
      <c r="AO129" s="124">
        <v>0</v>
      </c>
      <c r="AP129" s="124">
        <v>0</v>
      </c>
      <c r="AQ129" s="124">
        <v>0</v>
      </c>
      <c r="AR129" s="124">
        <v>0</v>
      </c>
      <c r="AS129" s="124">
        <v>0</v>
      </c>
      <c r="AT129" s="124">
        <v>0</v>
      </c>
      <c r="AU129" s="124">
        <v>0</v>
      </c>
      <c r="AV129" s="124">
        <v>0</v>
      </c>
      <c r="AW129" s="124">
        <v>0</v>
      </c>
      <c r="AX129" s="124">
        <v>0</v>
      </c>
      <c r="AY129" s="124">
        <v>0</v>
      </c>
    </row>
    <row r="130" spans="1:51" x14ac:dyDescent="0.2">
      <c r="A130" s="127"/>
      <c r="B130" s="136">
        <v>9</v>
      </c>
      <c r="C130" s="124">
        <v>0</v>
      </c>
      <c r="D130" s="124">
        <v>0</v>
      </c>
      <c r="E130" s="124">
        <v>0</v>
      </c>
      <c r="F130" s="124">
        <v>0</v>
      </c>
      <c r="G130" s="124">
        <v>0</v>
      </c>
      <c r="H130" s="124">
        <v>0</v>
      </c>
      <c r="I130" s="124">
        <v>0</v>
      </c>
      <c r="J130" s="124">
        <v>0</v>
      </c>
      <c r="K130" s="124">
        <v>0</v>
      </c>
      <c r="L130" s="124">
        <v>0</v>
      </c>
      <c r="M130" s="124">
        <v>0</v>
      </c>
      <c r="N130" s="124">
        <v>0</v>
      </c>
      <c r="O130" s="124">
        <v>0</v>
      </c>
      <c r="P130" s="124">
        <v>0</v>
      </c>
      <c r="Q130" s="124">
        <v>0</v>
      </c>
      <c r="R130" s="124">
        <v>0</v>
      </c>
      <c r="S130" s="124">
        <v>0</v>
      </c>
      <c r="T130" s="124">
        <v>0</v>
      </c>
      <c r="U130" s="124">
        <v>0</v>
      </c>
      <c r="V130" s="124">
        <v>0</v>
      </c>
      <c r="W130" s="124">
        <v>0</v>
      </c>
      <c r="X130" s="124">
        <v>0</v>
      </c>
      <c r="Y130" s="124">
        <v>0</v>
      </c>
      <c r="Z130" s="124">
        <v>0</v>
      </c>
      <c r="AA130" s="124">
        <v>0</v>
      </c>
      <c r="AB130" s="124">
        <v>0</v>
      </c>
      <c r="AC130" s="124">
        <v>0</v>
      </c>
      <c r="AD130" s="124">
        <v>0</v>
      </c>
      <c r="AE130" s="124">
        <v>0</v>
      </c>
      <c r="AF130" s="124">
        <v>0</v>
      </c>
      <c r="AG130" s="124">
        <v>0</v>
      </c>
      <c r="AH130" s="124">
        <v>0</v>
      </c>
      <c r="AI130" s="124">
        <v>0</v>
      </c>
      <c r="AJ130" s="124">
        <v>0</v>
      </c>
      <c r="AK130" s="124">
        <v>0</v>
      </c>
      <c r="AL130" s="124">
        <v>0</v>
      </c>
      <c r="AM130" s="124">
        <v>0</v>
      </c>
      <c r="AN130" s="124">
        <v>0</v>
      </c>
      <c r="AO130" s="124">
        <v>0</v>
      </c>
      <c r="AP130" s="124">
        <v>0</v>
      </c>
      <c r="AQ130" s="124">
        <v>0</v>
      </c>
      <c r="AR130" s="124">
        <v>0</v>
      </c>
      <c r="AS130" s="124">
        <v>0</v>
      </c>
      <c r="AT130" s="124">
        <v>0</v>
      </c>
      <c r="AU130" s="124">
        <v>0</v>
      </c>
      <c r="AV130" s="124">
        <v>0</v>
      </c>
      <c r="AW130" s="124">
        <v>0</v>
      </c>
      <c r="AX130" s="124">
        <v>0</v>
      </c>
      <c r="AY130" s="124">
        <v>0</v>
      </c>
    </row>
    <row r="131" spans="1:51" x14ac:dyDescent="0.2">
      <c r="A131" s="127"/>
      <c r="B131" s="136">
        <v>10</v>
      </c>
      <c r="C131" s="124">
        <v>0</v>
      </c>
      <c r="D131" s="124">
        <v>0</v>
      </c>
      <c r="E131" s="124">
        <v>0</v>
      </c>
      <c r="F131" s="124">
        <v>0</v>
      </c>
      <c r="G131" s="124">
        <v>0</v>
      </c>
      <c r="H131" s="124">
        <v>0</v>
      </c>
      <c r="I131" s="124">
        <v>0</v>
      </c>
      <c r="J131" s="124">
        <v>0</v>
      </c>
      <c r="K131" s="124">
        <v>0</v>
      </c>
      <c r="L131" s="124">
        <v>0</v>
      </c>
      <c r="M131" s="124">
        <v>0</v>
      </c>
      <c r="N131" s="124">
        <v>0</v>
      </c>
      <c r="O131" s="124">
        <v>0</v>
      </c>
      <c r="P131" s="124">
        <v>0</v>
      </c>
      <c r="Q131" s="124">
        <v>0</v>
      </c>
      <c r="R131" s="124">
        <v>0</v>
      </c>
      <c r="S131" s="124">
        <v>0</v>
      </c>
      <c r="T131" s="124">
        <v>0</v>
      </c>
      <c r="U131" s="124">
        <v>0</v>
      </c>
      <c r="V131" s="124">
        <v>0</v>
      </c>
      <c r="W131" s="124">
        <v>0</v>
      </c>
      <c r="X131" s="124">
        <v>0</v>
      </c>
      <c r="Y131" s="124">
        <v>0</v>
      </c>
      <c r="Z131" s="124">
        <v>0</v>
      </c>
      <c r="AA131" s="124">
        <v>0</v>
      </c>
      <c r="AB131" s="124">
        <v>0</v>
      </c>
      <c r="AC131" s="124">
        <v>0</v>
      </c>
      <c r="AD131" s="124">
        <v>0</v>
      </c>
      <c r="AE131" s="124">
        <v>0</v>
      </c>
      <c r="AF131" s="124">
        <v>0</v>
      </c>
      <c r="AG131" s="124">
        <v>0</v>
      </c>
      <c r="AH131" s="124">
        <v>0</v>
      </c>
      <c r="AI131" s="124">
        <v>0</v>
      </c>
      <c r="AJ131" s="124">
        <v>0</v>
      </c>
      <c r="AK131" s="124">
        <v>0</v>
      </c>
      <c r="AL131" s="124">
        <v>0</v>
      </c>
      <c r="AM131" s="124">
        <v>0</v>
      </c>
      <c r="AN131" s="124">
        <v>0</v>
      </c>
      <c r="AO131" s="124">
        <v>0</v>
      </c>
      <c r="AP131" s="124">
        <v>0</v>
      </c>
      <c r="AQ131" s="124">
        <v>0</v>
      </c>
      <c r="AR131" s="124">
        <v>0</v>
      </c>
      <c r="AS131" s="124">
        <v>0</v>
      </c>
      <c r="AT131" s="124">
        <v>0</v>
      </c>
      <c r="AU131" s="124">
        <v>0</v>
      </c>
      <c r="AV131" s="124">
        <v>0</v>
      </c>
      <c r="AW131" s="124">
        <v>0</v>
      </c>
      <c r="AX131" s="124">
        <v>0</v>
      </c>
      <c r="AY131" s="124">
        <v>0</v>
      </c>
    </row>
    <row r="132" spans="1:51" x14ac:dyDescent="0.2">
      <c r="A132" s="127"/>
      <c r="B132" s="136">
        <v>11</v>
      </c>
      <c r="C132" s="124">
        <v>0</v>
      </c>
      <c r="D132" s="124">
        <v>0</v>
      </c>
      <c r="E132" s="124">
        <v>0</v>
      </c>
      <c r="F132" s="124">
        <v>0</v>
      </c>
      <c r="G132" s="124">
        <v>0</v>
      </c>
      <c r="H132" s="124">
        <v>0</v>
      </c>
      <c r="I132" s="124">
        <v>0</v>
      </c>
      <c r="J132" s="124">
        <v>0</v>
      </c>
      <c r="K132" s="124">
        <v>0</v>
      </c>
      <c r="L132" s="124">
        <v>0</v>
      </c>
      <c r="M132" s="124">
        <v>0</v>
      </c>
      <c r="N132" s="124">
        <v>0</v>
      </c>
      <c r="O132" s="124">
        <v>0</v>
      </c>
      <c r="P132" s="124">
        <v>0</v>
      </c>
      <c r="Q132" s="124">
        <v>0</v>
      </c>
      <c r="R132" s="124">
        <v>0</v>
      </c>
      <c r="S132" s="124">
        <v>0</v>
      </c>
      <c r="T132" s="124">
        <v>0</v>
      </c>
      <c r="U132" s="124">
        <v>0</v>
      </c>
      <c r="V132" s="124">
        <v>0</v>
      </c>
      <c r="W132" s="124">
        <v>0</v>
      </c>
      <c r="X132" s="124">
        <v>0</v>
      </c>
      <c r="Y132" s="124">
        <v>0</v>
      </c>
      <c r="Z132" s="124">
        <v>0</v>
      </c>
      <c r="AA132" s="124">
        <v>0</v>
      </c>
      <c r="AB132" s="124">
        <v>0</v>
      </c>
      <c r="AC132" s="124">
        <v>0</v>
      </c>
      <c r="AD132" s="124">
        <v>0</v>
      </c>
      <c r="AE132" s="124">
        <v>0</v>
      </c>
      <c r="AF132" s="124">
        <v>0</v>
      </c>
      <c r="AG132" s="124">
        <v>0</v>
      </c>
      <c r="AH132" s="124">
        <v>0</v>
      </c>
      <c r="AI132" s="124">
        <v>0</v>
      </c>
      <c r="AJ132" s="124">
        <v>0</v>
      </c>
      <c r="AK132" s="124">
        <v>0</v>
      </c>
      <c r="AL132" s="124">
        <v>0</v>
      </c>
      <c r="AM132" s="124">
        <v>0</v>
      </c>
      <c r="AN132" s="124">
        <v>0</v>
      </c>
      <c r="AO132" s="124">
        <v>0</v>
      </c>
      <c r="AP132" s="124">
        <v>0</v>
      </c>
      <c r="AQ132" s="124">
        <v>0</v>
      </c>
      <c r="AR132" s="124">
        <v>0</v>
      </c>
      <c r="AS132" s="124">
        <v>0</v>
      </c>
      <c r="AT132" s="124">
        <v>0</v>
      </c>
      <c r="AU132" s="124">
        <v>0</v>
      </c>
      <c r="AV132" s="124">
        <v>0</v>
      </c>
      <c r="AW132" s="124">
        <v>0</v>
      </c>
      <c r="AX132" s="124">
        <v>0</v>
      </c>
      <c r="AY132" s="124">
        <v>0</v>
      </c>
    </row>
    <row r="133" spans="1:51" x14ac:dyDescent="0.2">
      <c r="A133" s="127"/>
      <c r="B133" s="136">
        <v>12</v>
      </c>
      <c r="C133" s="124">
        <v>0</v>
      </c>
      <c r="D133" s="124">
        <v>0</v>
      </c>
      <c r="E133" s="124">
        <v>0</v>
      </c>
      <c r="F133" s="124">
        <v>0</v>
      </c>
      <c r="G133" s="124">
        <v>0</v>
      </c>
      <c r="H133" s="124">
        <v>0</v>
      </c>
      <c r="I133" s="124">
        <v>0</v>
      </c>
      <c r="J133" s="124">
        <v>0</v>
      </c>
      <c r="K133" s="124">
        <v>0</v>
      </c>
      <c r="L133" s="124">
        <v>0</v>
      </c>
      <c r="M133" s="124">
        <v>0</v>
      </c>
      <c r="N133" s="124">
        <v>0</v>
      </c>
      <c r="O133" s="124">
        <v>0</v>
      </c>
      <c r="P133" s="124">
        <v>0</v>
      </c>
      <c r="Q133" s="124">
        <v>0</v>
      </c>
      <c r="R133" s="124">
        <v>0</v>
      </c>
      <c r="S133" s="124">
        <v>0</v>
      </c>
      <c r="T133" s="124">
        <v>0</v>
      </c>
      <c r="U133" s="124">
        <v>0</v>
      </c>
      <c r="V133" s="124">
        <v>0</v>
      </c>
      <c r="W133" s="124">
        <v>0</v>
      </c>
      <c r="X133" s="124">
        <v>0</v>
      </c>
      <c r="Y133" s="124">
        <v>0</v>
      </c>
      <c r="Z133" s="124">
        <v>0</v>
      </c>
      <c r="AA133" s="124">
        <v>0</v>
      </c>
      <c r="AB133" s="124">
        <v>0</v>
      </c>
      <c r="AC133" s="124">
        <v>0</v>
      </c>
      <c r="AD133" s="124">
        <v>0</v>
      </c>
      <c r="AE133" s="124">
        <v>0</v>
      </c>
      <c r="AF133" s="124">
        <v>0</v>
      </c>
      <c r="AG133" s="124">
        <v>0</v>
      </c>
      <c r="AH133" s="124">
        <v>0</v>
      </c>
      <c r="AI133" s="124">
        <v>0</v>
      </c>
      <c r="AJ133" s="124">
        <v>0</v>
      </c>
      <c r="AK133" s="124">
        <v>0</v>
      </c>
      <c r="AL133" s="124">
        <v>0</v>
      </c>
      <c r="AM133" s="124">
        <v>0</v>
      </c>
      <c r="AN133" s="124">
        <v>0</v>
      </c>
      <c r="AO133" s="124">
        <v>0</v>
      </c>
      <c r="AP133" s="124">
        <v>0</v>
      </c>
      <c r="AQ133" s="124">
        <v>0</v>
      </c>
      <c r="AR133" s="124">
        <v>0</v>
      </c>
      <c r="AS133" s="124">
        <v>0</v>
      </c>
      <c r="AT133" s="124">
        <v>0</v>
      </c>
      <c r="AU133" s="124">
        <v>0</v>
      </c>
      <c r="AV133" s="124">
        <v>0</v>
      </c>
      <c r="AW133" s="124">
        <v>0</v>
      </c>
      <c r="AX133" s="124">
        <v>0</v>
      </c>
      <c r="AY133" s="124">
        <v>0</v>
      </c>
    </row>
    <row r="134" spans="1:51" x14ac:dyDescent="0.2">
      <c r="A134" s="127"/>
      <c r="B134" s="137">
        <v>13</v>
      </c>
      <c r="C134" s="124">
        <v>0</v>
      </c>
      <c r="D134" s="124">
        <v>0</v>
      </c>
      <c r="E134" s="124">
        <v>0</v>
      </c>
      <c r="F134" s="124">
        <v>0</v>
      </c>
      <c r="G134" s="124">
        <v>0</v>
      </c>
      <c r="H134" s="124">
        <v>0</v>
      </c>
      <c r="I134" s="124">
        <v>0</v>
      </c>
      <c r="J134" s="124">
        <v>0</v>
      </c>
      <c r="K134" s="124">
        <v>0</v>
      </c>
      <c r="L134" s="124">
        <v>0</v>
      </c>
      <c r="M134" s="124">
        <v>0</v>
      </c>
      <c r="N134" s="124">
        <v>0</v>
      </c>
      <c r="O134" s="124">
        <v>0</v>
      </c>
      <c r="P134" s="124">
        <v>0</v>
      </c>
      <c r="Q134" s="124">
        <v>0</v>
      </c>
      <c r="R134" s="124">
        <v>0</v>
      </c>
      <c r="S134" s="124">
        <v>0</v>
      </c>
      <c r="T134" s="124">
        <v>0</v>
      </c>
      <c r="U134" s="124">
        <v>0</v>
      </c>
      <c r="V134" s="124">
        <v>0</v>
      </c>
      <c r="W134" s="124">
        <v>0</v>
      </c>
      <c r="X134" s="124">
        <v>0</v>
      </c>
      <c r="Y134" s="124">
        <v>0</v>
      </c>
      <c r="Z134" s="124">
        <v>0</v>
      </c>
      <c r="AA134" s="124">
        <v>0</v>
      </c>
      <c r="AB134" s="124">
        <v>0</v>
      </c>
      <c r="AC134" s="124">
        <v>0</v>
      </c>
      <c r="AD134" s="124">
        <v>0</v>
      </c>
      <c r="AE134" s="124">
        <v>0</v>
      </c>
      <c r="AF134" s="124">
        <v>0</v>
      </c>
      <c r="AG134" s="124">
        <v>0</v>
      </c>
      <c r="AH134" s="124">
        <v>0</v>
      </c>
      <c r="AI134" s="124">
        <v>0</v>
      </c>
      <c r="AJ134" s="124">
        <v>0</v>
      </c>
      <c r="AK134" s="124">
        <v>0</v>
      </c>
      <c r="AL134" s="124">
        <v>0</v>
      </c>
      <c r="AM134" s="124">
        <v>0</v>
      </c>
      <c r="AN134" s="124">
        <v>0</v>
      </c>
      <c r="AO134" s="124">
        <v>0</v>
      </c>
      <c r="AP134" s="124">
        <v>0</v>
      </c>
      <c r="AQ134" s="124">
        <v>0</v>
      </c>
      <c r="AR134" s="124">
        <v>0</v>
      </c>
      <c r="AS134" s="124">
        <v>0</v>
      </c>
      <c r="AT134" s="124">
        <v>0</v>
      </c>
      <c r="AU134" s="124">
        <v>0</v>
      </c>
      <c r="AV134" s="124">
        <v>0</v>
      </c>
      <c r="AW134" s="124">
        <v>0</v>
      </c>
      <c r="AX134" s="124">
        <v>0</v>
      </c>
      <c r="AY134" s="124">
        <v>0</v>
      </c>
    </row>
    <row r="135" spans="1:51" x14ac:dyDescent="0.2">
      <c r="A135" s="127"/>
      <c r="B135" s="137">
        <v>14</v>
      </c>
      <c r="C135" s="124">
        <v>0</v>
      </c>
      <c r="D135" s="124">
        <v>0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124">
        <v>0</v>
      </c>
      <c r="O135" s="124">
        <v>0</v>
      </c>
      <c r="P135" s="124">
        <v>0</v>
      </c>
      <c r="Q135" s="124">
        <v>0</v>
      </c>
      <c r="R135" s="124">
        <v>0</v>
      </c>
      <c r="S135" s="124">
        <v>0</v>
      </c>
      <c r="T135" s="124">
        <v>0</v>
      </c>
      <c r="U135" s="124">
        <v>0</v>
      </c>
      <c r="V135" s="124">
        <v>0</v>
      </c>
      <c r="W135" s="124">
        <v>0</v>
      </c>
      <c r="X135" s="124">
        <v>0</v>
      </c>
      <c r="Y135" s="124">
        <v>0</v>
      </c>
      <c r="Z135" s="124">
        <v>0</v>
      </c>
      <c r="AA135" s="124">
        <v>0</v>
      </c>
      <c r="AB135" s="124">
        <v>0</v>
      </c>
      <c r="AC135" s="124">
        <v>0</v>
      </c>
      <c r="AD135" s="124">
        <v>0</v>
      </c>
      <c r="AE135" s="124">
        <v>0</v>
      </c>
      <c r="AF135" s="124">
        <v>0</v>
      </c>
      <c r="AG135" s="124">
        <v>0</v>
      </c>
      <c r="AH135" s="124">
        <v>0</v>
      </c>
      <c r="AI135" s="124">
        <v>0</v>
      </c>
      <c r="AJ135" s="124">
        <v>0</v>
      </c>
      <c r="AK135" s="124">
        <v>0</v>
      </c>
      <c r="AL135" s="124">
        <v>0</v>
      </c>
      <c r="AM135" s="124">
        <v>0</v>
      </c>
      <c r="AN135" s="124">
        <v>0</v>
      </c>
      <c r="AO135" s="124">
        <v>0</v>
      </c>
      <c r="AP135" s="124">
        <v>0</v>
      </c>
      <c r="AQ135" s="124">
        <v>0</v>
      </c>
      <c r="AR135" s="124">
        <v>0</v>
      </c>
      <c r="AS135" s="124">
        <v>0</v>
      </c>
      <c r="AT135" s="124">
        <v>0</v>
      </c>
      <c r="AU135" s="124">
        <v>0</v>
      </c>
      <c r="AV135" s="124">
        <v>0</v>
      </c>
      <c r="AW135" s="124">
        <v>0</v>
      </c>
      <c r="AX135" s="124">
        <v>0</v>
      </c>
      <c r="AY135" s="124">
        <v>0</v>
      </c>
    </row>
    <row r="136" spans="1:51" x14ac:dyDescent="0.2">
      <c r="A136" s="127"/>
      <c r="B136" s="137">
        <v>15</v>
      </c>
      <c r="C136" s="124">
        <v>0</v>
      </c>
      <c r="D136" s="124">
        <v>0</v>
      </c>
      <c r="E136" s="124">
        <v>0</v>
      </c>
      <c r="F136" s="124">
        <v>0</v>
      </c>
      <c r="G136" s="124">
        <v>0</v>
      </c>
      <c r="H136" s="124">
        <v>0</v>
      </c>
      <c r="I136" s="124">
        <v>0</v>
      </c>
      <c r="J136" s="124">
        <v>0</v>
      </c>
      <c r="K136" s="124">
        <v>0</v>
      </c>
      <c r="L136" s="124">
        <v>0</v>
      </c>
      <c r="M136" s="124">
        <v>0</v>
      </c>
      <c r="N136" s="124">
        <v>0</v>
      </c>
      <c r="O136" s="124">
        <v>0</v>
      </c>
      <c r="P136" s="124">
        <v>0</v>
      </c>
      <c r="Q136" s="124">
        <v>0</v>
      </c>
      <c r="R136" s="124">
        <v>0</v>
      </c>
      <c r="S136" s="124">
        <v>0</v>
      </c>
      <c r="T136" s="124">
        <v>0</v>
      </c>
      <c r="U136" s="124">
        <v>0</v>
      </c>
      <c r="V136" s="124">
        <v>0</v>
      </c>
      <c r="W136" s="124">
        <v>0</v>
      </c>
      <c r="X136" s="124">
        <v>0</v>
      </c>
      <c r="Y136" s="124">
        <v>0</v>
      </c>
      <c r="Z136" s="124">
        <v>0</v>
      </c>
      <c r="AA136" s="124">
        <v>0</v>
      </c>
      <c r="AB136" s="124">
        <v>0</v>
      </c>
      <c r="AC136" s="124">
        <v>0</v>
      </c>
      <c r="AD136" s="124">
        <v>0</v>
      </c>
      <c r="AE136" s="124">
        <v>0</v>
      </c>
      <c r="AF136" s="124">
        <v>0</v>
      </c>
      <c r="AG136" s="124">
        <v>0</v>
      </c>
      <c r="AH136" s="124">
        <v>0</v>
      </c>
      <c r="AI136" s="124">
        <v>0</v>
      </c>
      <c r="AJ136" s="124">
        <v>0</v>
      </c>
      <c r="AK136" s="124">
        <v>0</v>
      </c>
      <c r="AL136" s="124">
        <v>0</v>
      </c>
      <c r="AM136" s="124">
        <v>0</v>
      </c>
      <c r="AN136" s="124">
        <v>0</v>
      </c>
      <c r="AO136" s="124">
        <v>0</v>
      </c>
      <c r="AP136" s="124">
        <v>0</v>
      </c>
      <c r="AQ136" s="124">
        <v>0</v>
      </c>
      <c r="AR136" s="124">
        <v>0</v>
      </c>
      <c r="AS136" s="124">
        <v>0</v>
      </c>
      <c r="AT136" s="124">
        <v>0</v>
      </c>
      <c r="AU136" s="124">
        <v>0</v>
      </c>
      <c r="AV136" s="124">
        <v>0</v>
      </c>
      <c r="AW136" s="124">
        <v>0</v>
      </c>
      <c r="AX136" s="124">
        <v>0</v>
      </c>
      <c r="AY136" s="124">
        <v>0</v>
      </c>
    </row>
    <row r="137" spans="1:51" x14ac:dyDescent="0.2">
      <c r="A137" s="127"/>
      <c r="B137" s="137">
        <v>16</v>
      </c>
      <c r="C137" s="124">
        <v>0</v>
      </c>
      <c r="D137" s="124">
        <v>0</v>
      </c>
      <c r="E137" s="124">
        <v>0</v>
      </c>
      <c r="F137" s="124">
        <v>0</v>
      </c>
      <c r="G137" s="124">
        <v>0</v>
      </c>
      <c r="H137" s="124">
        <v>0</v>
      </c>
      <c r="I137" s="124">
        <v>0</v>
      </c>
      <c r="J137" s="124">
        <v>0</v>
      </c>
      <c r="K137" s="124">
        <v>0</v>
      </c>
      <c r="L137" s="124">
        <v>0</v>
      </c>
      <c r="M137" s="124">
        <v>0</v>
      </c>
      <c r="N137" s="124">
        <v>0</v>
      </c>
      <c r="O137" s="124">
        <v>0</v>
      </c>
      <c r="P137" s="124">
        <v>0</v>
      </c>
      <c r="Q137" s="124">
        <v>0</v>
      </c>
      <c r="R137" s="124">
        <v>0</v>
      </c>
      <c r="S137" s="124">
        <v>0</v>
      </c>
      <c r="T137" s="124">
        <v>0</v>
      </c>
      <c r="U137" s="124">
        <v>0</v>
      </c>
      <c r="V137" s="124">
        <v>0</v>
      </c>
      <c r="W137" s="124">
        <v>0</v>
      </c>
      <c r="X137" s="124">
        <v>0</v>
      </c>
      <c r="Y137" s="124">
        <v>0</v>
      </c>
      <c r="Z137" s="124">
        <v>0</v>
      </c>
      <c r="AA137" s="124">
        <v>0</v>
      </c>
      <c r="AB137" s="124">
        <v>0</v>
      </c>
      <c r="AC137" s="124">
        <v>0</v>
      </c>
      <c r="AD137" s="124">
        <v>0</v>
      </c>
      <c r="AE137" s="124">
        <v>0</v>
      </c>
      <c r="AF137" s="124">
        <v>0</v>
      </c>
      <c r="AG137" s="124">
        <v>0</v>
      </c>
      <c r="AH137" s="124">
        <v>0</v>
      </c>
      <c r="AI137" s="124">
        <v>0</v>
      </c>
      <c r="AJ137" s="124">
        <v>0</v>
      </c>
      <c r="AK137" s="124">
        <v>0</v>
      </c>
      <c r="AL137" s="124">
        <v>0</v>
      </c>
      <c r="AM137" s="124">
        <v>0</v>
      </c>
      <c r="AN137" s="124">
        <v>0</v>
      </c>
      <c r="AO137" s="124">
        <v>0</v>
      </c>
      <c r="AP137" s="124">
        <v>0</v>
      </c>
      <c r="AQ137" s="124">
        <v>0</v>
      </c>
      <c r="AR137" s="124">
        <v>0</v>
      </c>
      <c r="AS137" s="124">
        <v>0</v>
      </c>
      <c r="AT137" s="124">
        <v>0</v>
      </c>
      <c r="AU137" s="124">
        <v>0</v>
      </c>
      <c r="AV137" s="124">
        <v>0</v>
      </c>
      <c r="AW137" s="124">
        <v>0</v>
      </c>
      <c r="AX137" s="124">
        <v>0</v>
      </c>
      <c r="AY137" s="124">
        <v>0</v>
      </c>
    </row>
    <row r="138" spans="1:51" x14ac:dyDescent="0.2">
      <c r="A138" s="127"/>
      <c r="B138" s="137">
        <v>17</v>
      </c>
      <c r="C138" s="124">
        <v>0</v>
      </c>
      <c r="D138" s="124">
        <v>0</v>
      </c>
      <c r="E138" s="124">
        <v>0</v>
      </c>
      <c r="F138" s="124">
        <v>0</v>
      </c>
      <c r="G138" s="124">
        <v>0</v>
      </c>
      <c r="H138" s="124">
        <v>0</v>
      </c>
      <c r="I138" s="124">
        <v>0</v>
      </c>
      <c r="J138" s="124">
        <v>0</v>
      </c>
      <c r="K138" s="124">
        <v>0</v>
      </c>
      <c r="L138" s="124">
        <v>0</v>
      </c>
      <c r="M138" s="124">
        <v>0</v>
      </c>
      <c r="N138" s="124">
        <v>0</v>
      </c>
      <c r="O138" s="124">
        <v>0</v>
      </c>
      <c r="P138" s="124">
        <v>0</v>
      </c>
      <c r="Q138" s="124">
        <v>0</v>
      </c>
      <c r="R138" s="124">
        <v>0</v>
      </c>
      <c r="S138" s="124">
        <v>0</v>
      </c>
      <c r="T138" s="124">
        <v>0</v>
      </c>
      <c r="U138" s="124">
        <v>0</v>
      </c>
      <c r="V138" s="124">
        <v>0</v>
      </c>
      <c r="W138" s="124">
        <v>0</v>
      </c>
      <c r="X138" s="124">
        <v>0</v>
      </c>
      <c r="Y138" s="124">
        <v>0</v>
      </c>
      <c r="Z138" s="124">
        <v>0</v>
      </c>
      <c r="AA138" s="124">
        <v>0</v>
      </c>
      <c r="AB138" s="124">
        <v>0</v>
      </c>
      <c r="AC138" s="124">
        <v>0</v>
      </c>
      <c r="AD138" s="124">
        <v>0</v>
      </c>
      <c r="AE138" s="124">
        <v>0</v>
      </c>
      <c r="AF138" s="124">
        <v>0</v>
      </c>
      <c r="AG138" s="124">
        <v>0</v>
      </c>
      <c r="AH138" s="124">
        <v>0</v>
      </c>
      <c r="AI138" s="124">
        <v>0</v>
      </c>
      <c r="AJ138" s="124">
        <v>0</v>
      </c>
      <c r="AK138" s="124">
        <v>0</v>
      </c>
      <c r="AL138" s="124">
        <v>0</v>
      </c>
      <c r="AM138" s="124">
        <v>0</v>
      </c>
      <c r="AN138" s="124">
        <v>0</v>
      </c>
      <c r="AO138" s="124">
        <v>0</v>
      </c>
      <c r="AP138" s="124">
        <v>0</v>
      </c>
      <c r="AQ138" s="124">
        <v>0</v>
      </c>
      <c r="AR138" s="124">
        <v>0</v>
      </c>
      <c r="AS138" s="124">
        <v>0</v>
      </c>
      <c r="AT138" s="124">
        <v>0</v>
      </c>
      <c r="AU138" s="124">
        <v>0</v>
      </c>
      <c r="AV138" s="124">
        <v>0</v>
      </c>
      <c r="AW138" s="124">
        <v>0</v>
      </c>
      <c r="AX138" s="124">
        <v>0</v>
      </c>
      <c r="AY138" s="124">
        <v>0</v>
      </c>
    </row>
    <row r="139" spans="1:51" x14ac:dyDescent="0.2">
      <c r="A139" s="127"/>
      <c r="B139" s="137">
        <v>18</v>
      </c>
      <c r="C139" s="124">
        <v>0</v>
      </c>
      <c r="D139" s="124">
        <v>0</v>
      </c>
      <c r="E139" s="124">
        <v>0</v>
      </c>
      <c r="F139" s="124">
        <v>0</v>
      </c>
      <c r="G139" s="124">
        <v>0</v>
      </c>
      <c r="H139" s="124">
        <v>0</v>
      </c>
      <c r="I139" s="124">
        <v>0</v>
      </c>
      <c r="J139" s="124">
        <v>0</v>
      </c>
      <c r="K139" s="124">
        <v>0</v>
      </c>
      <c r="L139" s="124">
        <v>0</v>
      </c>
      <c r="M139" s="124">
        <v>0</v>
      </c>
      <c r="N139" s="124">
        <v>0</v>
      </c>
      <c r="O139" s="124">
        <v>0</v>
      </c>
      <c r="P139" s="124">
        <v>0</v>
      </c>
      <c r="Q139" s="124">
        <v>0</v>
      </c>
      <c r="R139" s="124">
        <v>0</v>
      </c>
      <c r="S139" s="124">
        <v>0</v>
      </c>
      <c r="T139" s="124">
        <v>0</v>
      </c>
      <c r="U139" s="124">
        <v>0</v>
      </c>
      <c r="V139" s="124">
        <v>0</v>
      </c>
      <c r="W139" s="124">
        <v>0</v>
      </c>
      <c r="X139" s="124">
        <v>0</v>
      </c>
      <c r="Y139" s="124">
        <v>0</v>
      </c>
      <c r="Z139" s="124">
        <v>0</v>
      </c>
      <c r="AA139" s="124">
        <v>0</v>
      </c>
      <c r="AB139" s="124">
        <v>0</v>
      </c>
      <c r="AC139" s="124">
        <v>0</v>
      </c>
      <c r="AD139" s="124">
        <v>0</v>
      </c>
      <c r="AE139" s="124">
        <v>0</v>
      </c>
      <c r="AF139" s="124">
        <v>0</v>
      </c>
      <c r="AG139" s="124">
        <v>0</v>
      </c>
      <c r="AH139" s="124">
        <v>0</v>
      </c>
      <c r="AI139" s="124">
        <v>0</v>
      </c>
      <c r="AJ139" s="124">
        <v>0</v>
      </c>
      <c r="AK139" s="124">
        <v>0</v>
      </c>
      <c r="AL139" s="124">
        <v>0</v>
      </c>
      <c r="AM139" s="124">
        <v>0</v>
      </c>
      <c r="AN139" s="124">
        <v>0</v>
      </c>
      <c r="AO139" s="124">
        <v>0</v>
      </c>
      <c r="AP139" s="124">
        <v>0</v>
      </c>
      <c r="AQ139" s="124">
        <v>0</v>
      </c>
      <c r="AR139" s="124">
        <v>0</v>
      </c>
      <c r="AS139" s="124">
        <v>0</v>
      </c>
      <c r="AT139" s="124">
        <v>0</v>
      </c>
      <c r="AU139" s="124">
        <v>0</v>
      </c>
      <c r="AV139" s="124">
        <v>0</v>
      </c>
      <c r="AW139" s="124">
        <v>0</v>
      </c>
      <c r="AX139" s="124">
        <v>0</v>
      </c>
      <c r="AY139" s="124">
        <v>0</v>
      </c>
    </row>
    <row r="140" spans="1:51" x14ac:dyDescent="0.2">
      <c r="A140" s="127"/>
      <c r="B140" s="137">
        <v>19</v>
      </c>
      <c r="C140" s="124">
        <v>0</v>
      </c>
      <c r="D140" s="124">
        <v>0</v>
      </c>
      <c r="E140" s="124">
        <v>0</v>
      </c>
      <c r="F140" s="124">
        <v>0</v>
      </c>
      <c r="G140" s="124">
        <v>0</v>
      </c>
      <c r="H140" s="124">
        <v>0</v>
      </c>
      <c r="I140" s="124">
        <v>0</v>
      </c>
      <c r="J140" s="124">
        <v>0</v>
      </c>
      <c r="K140" s="124">
        <v>0</v>
      </c>
      <c r="L140" s="124">
        <v>0</v>
      </c>
      <c r="M140" s="124">
        <v>0</v>
      </c>
      <c r="N140" s="124">
        <v>0</v>
      </c>
      <c r="O140" s="124">
        <v>0</v>
      </c>
      <c r="P140" s="124">
        <v>0</v>
      </c>
      <c r="Q140" s="124">
        <v>0</v>
      </c>
      <c r="R140" s="124">
        <v>0</v>
      </c>
      <c r="S140" s="124">
        <v>0</v>
      </c>
      <c r="T140" s="124">
        <v>0</v>
      </c>
      <c r="U140" s="124">
        <v>0</v>
      </c>
      <c r="V140" s="124">
        <v>0</v>
      </c>
      <c r="W140" s="124">
        <v>0</v>
      </c>
      <c r="X140" s="124">
        <v>0</v>
      </c>
      <c r="Y140" s="124">
        <v>0</v>
      </c>
      <c r="Z140" s="124">
        <v>0</v>
      </c>
      <c r="AA140" s="124">
        <v>0</v>
      </c>
      <c r="AB140" s="124">
        <v>0</v>
      </c>
      <c r="AC140" s="124">
        <v>0</v>
      </c>
      <c r="AD140" s="124">
        <v>0</v>
      </c>
      <c r="AE140" s="124">
        <v>0</v>
      </c>
      <c r="AF140" s="124">
        <v>0</v>
      </c>
      <c r="AG140" s="124">
        <v>0</v>
      </c>
      <c r="AH140" s="124">
        <v>0</v>
      </c>
      <c r="AI140" s="124">
        <v>0</v>
      </c>
      <c r="AJ140" s="124">
        <v>0</v>
      </c>
      <c r="AK140" s="124">
        <v>0</v>
      </c>
      <c r="AL140" s="124">
        <v>0</v>
      </c>
      <c r="AM140" s="124">
        <v>0</v>
      </c>
      <c r="AN140" s="124">
        <v>0</v>
      </c>
      <c r="AO140" s="124">
        <v>0</v>
      </c>
      <c r="AP140" s="124">
        <v>0</v>
      </c>
      <c r="AQ140" s="124">
        <v>0</v>
      </c>
      <c r="AR140" s="124">
        <v>0</v>
      </c>
      <c r="AS140" s="124">
        <v>0</v>
      </c>
      <c r="AT140" s="124">
        <v>0</v>
      </c>
      <c r="AU140" s="124">
        <v>0</v>
      </c>
      <c r="AV140" s="124">
        <v>0</v>
      </c>
      <c r="AW140" s="124">
        <v>0</v>
      </c>
      <c r="AX140" s="124">
        <v>0</v>
      </c>
      <c r="AY140" s="124">
        <v>0</v>
      </c>
    </row>
    <row r="141" spans="1:51" x14ac:dyDescent="0.2">
      <c r="A141" s="127"/>
      <c r="B141" s="137">
        <v>20</v>
      </c>
      <c r="C141" s="124">
        <v>0</v>
      </c>
      <c r="D141" s="124">
        <v>0</v>
      </c>
      <c r="E141" s="124">
        <v>0</v>
      </c>
      <c r="F141" s="124">
        <v>0</v>
      </c>
      <c r="G141" s="124">
        <v>0</v>
      </c>
      <c r="H141" s="124">
        <v>0</v>
      </c>
      <c r="I141" s="124">
        <v>0</v>
      </c>
      <c r="J141" s="124">
        <v>0</v>
      </c>
      <c r="K141" s="124">
        <v>0</v>
      </c>
      <c r="L141" s="124">
        <v>0</v>
      </c>
      <c r="M141" s="124">
        <v>0</v>
      </c>
      <c r="N141" s="124">
        <v>0</v>
      </c>
      <c r="O141" s="124">
        <v>0</v>
      </c>
      <c r="P141" s="124">
        <v>0</v>
      </c>
      <c r="Q141" s="124">
        <v>0</v>
      </c>
      <c r="R141" s="124">
        <v>0</v>
      </c>
      <c r="S141" s="124">
        <v>0</v>
      </c>
      <c r="T141" s="124">
        <v>0</v>
      </c>
      <c r="U141" s="124">
        <v>0</v>
      </c>
      <c r="V141" s="124">
        <v>0</v>
      </c>
      <c r="W141" s="124">
        <v>0</v>
      </c>
      <c r="X141" s="124">
        <v>0</v>
      </c>
      <c r="Y141" s="124">
        <v>0</v>
      </c>
      <c r="Z141" s="124">
        <v>0</v>
      </c>
      <c r="AA141" s="124">
        <v>0</v>
      </c>
      <c r="AB141" s="124">
        <v>0</v>
      </c>
      <c r="AC141" s="124">
        <v>0</v>
      </c>
      <c r="AD141" s="124">
        <v>0</v>
      </c>
      <c r="AE141" s="124">
        <v>0</v>
      </c>
      <c r="AF141" s="124">
        <v>0</v>
      </c>
      <c r="AG141" s="124">
        <v>0</v>
      </c>
      <c r="AH141" s="124">
        <v>0</v>
      </c>
      <c r="AI141" s="124">
        <v>0</v>
      </c>
      <c r="AJ141" s="124">
        <v>0</v>
      </c>
      <c r="AK141" s="124">
        <v>0</v>
      </c>
      <c r="AL141" s="124">
        <v>0</v>
      </c>
      <c r="AM141" s="124">
        <v>0</v>
      </c>
      <c r="AN141" s="124">
        <v>0</v>
      </c>
      <c r="AO141" s="124">
        <v>0</v>
      </c>
      <c r="AP141" s="124">
        <v>0</v>
      </c>
      <c r="AQ141" s="124">
        <v>0</v>
      </c>
      <c r="AR141" s="124">
        <v>0</v>
      </c>
      <c r="AS141" s="124">
        <v>0</v>
      </c>
      <c r="AT141" s="124">
        <v>0</v>
      </c>
      <c r="AU141" s="124">
        <v>0</v>
      </c>
      <c r="AV141" s="124">
        <v>0</v>
      </c>
      <c r="AW141" s="124">
        <v>0</v>
      </c>
      <c r="AX141" s="124">
        <v>0</v>
      </c>
      <c r="AY141" s="124">
        <v>0</v>
      </c>
    </row>
    <row r="142" spans="1:51" x14ac:dyDescent="0.2">
      <c r="A142" s="127"/>
      <c r="B142" s="137">
        <v>21</v>
      </c>
      <c r="C142" s="124">
        <v>0</v>
      </c>
      <c r="D142" s="124">
        <v>0</v>
      </c>
      <c r="E142" s="124">
        <v>0</v>
      </c>
      <c r="F142" s="124">
        <v>0</v>
      </c>
      <c r="G142" s="124">
        <v>0</v>
      </c>
      <c r="H142" s="124">
        <v>0</v>
      </c>
      <c r="I142" s="124">
        <v>0</v>
      </c>
      <c r="J142" s="124">
        <v>0</v>
      </c>
      <c r="K142" s="124">
        <v>0</v>
      </c>
      <c r="L142" s="124">
        <v>0</v>
      </c>
      <c r="M142" s="124">
        <v>0</v>
      </c>
      <c r="N142" s="124">
        <v>0</v>
      </c>
      <c r="O142" s="124">
        <v>0</v>
      </c>
      <c r="P142" s="124">
        <v>0</v>
      </c>
      <c r="Q142" s="124">
        <v>0</v>
      </c>
      <c r="R142" s="124">
        <v>0</v>
      </c>
      <c r="S142" s="124">
        <v>0</v>
      </c>
      <c r="T142" s="124">
        <v>0</v>
      </c>
      <c r="U142" s="124">
        <v>0</v>
      </c>
      <c r="V142" s="124">
        <v>0</v>
      </c>
      <c r="W142" s="124">
        <v>0</v>
      </c>
      <c r="X142" s="124">
        <v>0</v>
      </c>
      <c r="Y142" s="124">
        <v>0</v>
      </c>
      <c r="Z142" s="124">
        <v>0</v>
      </c>
      <c r="AA142" s="124">
        <v>0</v>
      </c>
      <c r="AB142" s="124">
        <v>0</v>
      </c>
      <c r="AC142" s="124">
        <v>0</v>
      </c>
      <c r="AD142" s="124">
        <v>0</v>
      </c>
      <c r="AE142" s="124">
        <v>0</v>
      </c>
      <c r="AF142" s="124">
        <v>0</v>
      </c>
      <c r="AG142" s="124">
        <v>0</v>
      </c>
      <c r="AH142" s="124">
        <v>0</v>
      </c>
      <c r="AI142" s="124">
        <v>0</v>
      </c>
      <c r="AJ142" s="124">
        <v>0</v>
      </c>
      <c r="AK142" s="124">
        <v>0</v>
      </c>
      <c r="AL142" s="124">
        <v>0</v>
      </c>
      <c r="AM142" s="124">
        <v>0</v>
      </c>
      <c r="AN142" s="124">
        <v>0</v>
      </c>
      <c r="AO142" s="124">
        <v>0</v>
      </c>
      <c r="AP142" s="124">
        <v>0</v>
      </c>
      <c r="AQ142" s="124">
        <v>0</v>
      </c>
      <c r="AR142" s="124">
        <v>0</v>
      </c>
      <c r="AS142" s="124">
        <v>0</v>
      </c>
      <c r="AT142" s="124">
        <v>0</v>
      </c>
      <c r="AU142" s="124">
        <v>0</v>
      </c>
      <c r="AV142" s="124">
        <v>0</v>
      </c>
      <c r="AW142" s="124">
        <v>0</v>
      </c>
      <c r="AX142" s="124">
        <v>0</v>
      </c>
      <c r="AY142" s="124">
        <v>0</v>
      </c>
    </row>
    <row r="143" spans="1:51" x14ac:dyDescent="0.2">
      <c r="A143" s="127"/>
      <c r="B143" s="137">
        <v>22</v>
      </c>
      <c r="C143" s="124">
        <v>0</v>
      </c>
      <c r="D143" s="124">
        <v>0</v>
      </c>
      <c r="E143" s="124">
        <v>0</v>
      </c>
      <c r="F143" s="124">
        <v>0</v>
      </c>
      <c r="G143" s="124">
        <v>0</v>
      </c>
      <c r="H143" s="124">
        <v>0</v>
      </c>
      <c r="I143" s="124">
        <v>0</v>
      </c>
      <c r="J143" s="124">
        <v>0</v>
      </c>
      <c r="K143" s="124">
        <v>0</v>
      </c>
      <c r="L143" s="124">
        <v>0</v>
      </c>
      <c r="M143" s="124">
        <v>0</v>
      </c>
      <c r="N143" s="124">
        <v>0</v>
      </c>
      <c r="O143" s="124">
        <v>0</v>
      </c>
      <c r="P143" s="124">
        <v>0</v>
      </c>
      <c r="Q143" s="124">
        <v>0</v>
      </c>
      <c r="R143" s="124">
        <v>0</v>
      </c>
      <c r="S143" s="124">
        <v>0</v>
      </c>
      <c r="T143" s="124">
        <v>0</v>
      </c>
      <c r="U143" s="124">
        <v>0</v>
      </c>
      <c r="V143" s="124">
        <v>0</v>
      </c>
      <c r="W143" s="124">
        <v>0</v>
      </c>
      <c r="X143" s="124">
        <v>0</v>
      </c>
      <c r="Y143" s="124">
        <v>0</v>
      </c>
      <c r="Z143" s="124">
        <v>0</v>
      </c>
      <c r="AA143" s="124">
        <v>0</v>
      </c>
      <c r="AB143" s="124">
        <v>0</v>
      </c>
      <c r="AC143" s="124">
        <v>0</v>
      </c>
      <c r="AD143" s="124">
        <v>0</v>
      </c>
      <c r="AE143" s="124">
        <v>0</v>
      </c>
      <c r="AF143" s="124">
        <v>0</v>
      </c>
      <c r="AG143" s="124">
        <v>0</v>
      </c>
      <c r="AH143" s="124">
        <v>0</v>
      </c>
      <c r="AI143" s="124">
        <v>0</v>
      </c>
      <c r="AJ143" s="124">
        <v>0</v>
      </c>
      <c r="AK143" s="124">
        <v>0</v>
      </c>
      <c r="AL143" s="124">
        <v>0</v>
      </c>
      <c r="AM143" s="124">
        <v>0</v>
      </c>
      <c r="AN143" s="124">
        <v>0</v>
      </c>
      <c r="AO143" s="124">
        <v>0</v>
      </c>
      <c r="AP143" s="124">
        <v>0</v>
      </c>
      <c r="AQ143" s="124">
        <v>0</v>
      </c>
      <c r="AR143" s="124">
        <v>0</v>
      </c>
      <c r="AS143" s="124">
        <v>0</v>
      </c>
      <c r="AT143" s="124">
        <v>0</v>
      </c>
      <c r="AU143" s="124">
        <v>0</v>
      </c>
      <c r="AV143" s="124">
        <v>0</v>
      </c>
      <c r="AW143" s="124">
        <v>0</v>
      </c>
      <c r="AX143" s="124">
        <v>0</v>
      </c>
      <c r="AY143" s="124">
        <v>0</v>
      </c>
    </row>
    <row r="144" spans="1:51" x14ac:dyDescent="0.2">
      <c r="A144" s="127"/>
      <c r="B144" s="137">
        <v>23</v>
      </c>
      <c r="C144" s="124">
        <v>0</v>
      </c>
      <c r="D144" s="124">
        <v>0</v>
      </c>
      <c r="E144" s="124">
        <v>0</v>
      </c>
      <c r="F144" s="124">
        <v>0</v>
      </c>
      <c r="G144" s="124">
        <v>0</v>
      </c>
      <c r="H144" s="124">
        <v>0</v>
      </c>
      <c r="I144" s="124">
        <v>0</v>
      </c>
      <c r="J144" s="124">
        <v>0</v>
      </c>
      <c r="K144" s="124">
        <v>0</v>
      </c>
      <c r="L144" s="124">
        <v>0</v>
      </c>
      <c r="M144" s="124">
        <v>0</v>
      </c>
      <c r="N144" s="124">
        <v>0</v>
      </c>
      <c r="O144" s="124">
        <v>0</v>
      </c>
      <c r="P144" s="124">
        <v>0</v>
      </c>
      <c r="Q144" s="124">
        <v>0</v>
      </c>
      <c r="R144" s="124">
        <v>0</v>
      </c>
      <c r="S144" s="124">
        <v>0</v>
      </c>
      <c r="T144" s="124">
        <v>0</v>
      </c>
      <c r="U144" s="124">
        <v>0</v>
      </c>
      <c r="V144" s="124">
        <v>0</v>
      </c>
      <c r="W144" s="124">
        <v>0</v>
      </c>
      <c r="X144" s="124">
        <v>0</v>
      </c>
      <c r="Y144" s="124">
        <v>0</v>
      </c>
      <c r="Z144" s="124">
        <v>0</v>
      </c>
      <c r="AA144" s="124">
        <v>0</v>
      </c>
      <c r="AB144" s="124">
        <v>0</v>
      </c>
      <c r="AC144" s="124">
        <v>0</v>
      </c>
      <c r="AD144" s="124">
        <v>0</v>
      </c>
      <c r="AE144" s="124">
        <v>0</v>
      </c>
      <c r="AF144" s="124">
        <v>0</v>
      </c>
      <c r="AG144" s="124">
        <v>0</v>
      </c>
      <c r="AH144" s="124">
        <v>0</v>
      </c>
      <c r="AI144" s="124">
        <v>0</v>
      </c>
      <c r="AJ144" s="124">
        <v>0</v>
      </c>
      <c r="AK144" s="124">
        <v>0</v>
      </c>
      <c r="AL144" s="124">
        <v>0</v>
      </c>
      <c r="AM144" s="124">
        <v>0</v>
      </c>
      <c r="AN144" s="124">
        <v>0</v>
      </c>
      <c r="AO144" s="124">
        <v>0</v>
      </c>
      <c r="AP144" s="124">
        <v>0</v>
      </c>
      <c r="AQ144" s="124">
        <v>0</v>
      </c>
      <c r="AR144" s="124">
        <v>0</v>
      </c>
      <c r="AS144" s="124">
        <v>0</v>
      </c>
      <c r="AT144" s="124">
        <v>0</v>
      </c>
      <c r="AU144" s="124">
        <v>0</v>
      </c>
      <c r="AV144" s="124">
        <v>0</v>
      </c>
      <c r="AW144" s="124">
        <v>0</v>
      </c>
      <c r="AX144" s="124">
        <v>0</v>
      </c>
      <c r="AY144" s="124">
        <v>0</v>
      </c>
    </row>
    <row r="145" spans="1:51" x14ac:dyDescent="0.2">
      <c r="A145" s="127"/>
      <c r="B145" s="137">
        <v>24</v>
      </c>
      <c r="C145" s="124">
        <v>0</v>
      </c>
      <c r="D145" s="124">
        <v>0</v>
      </c>
      <c r="E145" s="124">
        <v>0</v>
      </c>
      <c r="F145" s="124">
        <v>0</v>
      </c>
      <c r="G145" s="124">
        <v>0</v>
      </c>
      <c r="H145" s="124">
        <v>0</v>
      </c>
      <c r="I145" s="124">
        <v>0</v>
      </c>
      <c r="J145" s="124">
        <v>0</v>
      </c>
      <c r="K145" s="124">
        <v>0</v>
      </c>
      <c r="L145" s="124">
        <v>0</v>
      </c>
      <c r="M145" s="124">
        <v>0</v>
      </c>
      <c r="N145" s="124">
        <v>0</v>
      </c>
      <c r="O145" s="124">
        <v>0</v>
      </c>
      <c r="P145" s="124">
        <v>0</v>
      </c>
      <c r="Q145" s="124">
        <v>0</v>
      </c>
      <c r="R145" s="124">
        <v>0</v>
      </c>
      <c r="S145" s="124">
        <v>0</v>
      </c>
      <c r="T145" s="124">
        <v>0</v>
      </c>
      <c r="U145" s="124">
        <v>0</v>
      </c>
      <c r="V145" s="124">
        <v>0</v>
      </c>
      <c r="W145" s="124">
        <v>0</v>
      </c>
      <c r="X145" s="124">
        <v>0</v>
      </c>
      <c r="Y145" s="124">
        <v>0</v>
      </c>
      <c r="Z145" s="124">
        <v>0</v>
      </c>
      <c r="AA145" s="124">
        <v>0</v>
      </c>
      <c r="AB145" s="124">
        <v>0</v>
      </c>
      <c r="AC145" s="124">
        <v>0</v>
      </c>
      <c r="AD145" s="124">
        <v>0</v>
      </c>
      <c r="AE145" s="124">
        <v>0</v>
      </c>
      <c r="AF145" s="124">
        <v>0</v>
      </c>
      <c r="AG145" s="124">
        <v>0</v>
      </c>
      <c r="AH145" s="124">
        <v>0</v>
      </c>
      <c r="AI145" s="124">
        <v>0</v>
      </c>
      <c r="AJ145" s="124">
        <v>0</v>
      </c>
      <c r="AK145" s="124">
        <v>0</v>
      </c>
      <c r="AL145" s="124">
        <v>0</v>
      </c>
      <c r="AM145" s="124">
        <v>0</v>
      </c>
      <c r="AN145" s="124">
        <v>0</v>
      </c>
      <c r="AO145" s="124">
        <v>0</v>
      </c>
      <c r="AP145" s="124">
        <v>0</v>
      </c>
      <c r="AQ145" s="124">
        <v>0</v>
      </c>
      <c r="AR145" s="124">
        <v>0</v>
      </c>
      <c r="AS145" s="124">
        <v>0</v>
      </c>
      <c r="AT145" s="124">
        <v>0</v>
      </c>
      <c r="AU145" s="124">
        <v>0</v>
      </c>
      <c r="AV145" s="124">
        <v>0</v>
      </c>
      <c r="AW145" s="124">
        <v>0</v>
      </c>
      <c r="AX145" s="124">
        <v>0</v>
      </c>
      <c r="AY145" s="124">
        <v>0</v>
      </c>
    </row>
    <row r="146" spans="1:51" x14ac:dyDescent="0.2">
      <c r="A146" s="127"/>
      <c r="B146" s="144">
        <v>25</v>
      </c>
      <c r="C146" s="124">
        <v>0</v>
      </c>
      <c r="D146" s="124">
        <v>0</v>
      </c>
      <c r="E146" s="124">
        <v>0</v>
      </c>
      <c r="F146" s="124">
        <v>0</v>
      </c>
      <c r="G146" s="124">
        <v>0</v>
      </c>
      <c r="H146" s="124">
        <v>0</v>
      </c>
      <c r="I146" s="124">
        <v>0</v>
      </c>
      <c r="J146" s="124">
        <v>0</v>
      </c>
      <c r="K146" s="124">
        <v>0</v>
      </c>
      <c r="L146" s="124">
        <v>0</v>
      </c>
      <c r="M146" s="124">
        <v>0</v>
      </c>
      <c r="N146" s="124">
        <v>0</v>
      </c>
      <c r="O146" s="124">
        <v>0</v>
      </c>
      <c r="P146" s="124">
        <v>0</v>
      </c>
      <c r="Q146" s="124">
        <v>0</v>
      </c>
      <c r="R146" s="124">
        <v>0</v>
      </c>
      <c r="S146" s="124">
        <v>0</v>
      </c>
      <c r="T146" s="124">
        <v>0</v>
      </c>
      <c r="U146" s="124">
        <v>0</v>
      </c>
      <c r="V146" s="124">
        <v>0</v>
      </c>
      <c r="W146" s="124">
        <v>0</v>
      </c>
      <c r="X146" s="124">
        <v>0</v>
      </c>
      <c r="Y146" s="124">
        <v>0</v>
      </c>
      <c r="Z146" s="124">
        <v>0</v>
      </c>
      <c r="AA146" s="124">
        <v>0</v>
      </c>
      <c r="AB146" s="124">
        <v>0</v>
      </c>
      <c r="AC146" s="124">
        <v>0</v>
      </c>
      <c r="AD146" s="124">
        <v>0</v>
      </c>
      <c r="AE146" s="124">
        <v>0</v>
      </c>
      <c r="AF146" s="124">
        <v>0</v>
      </c>
      <c r="AG146" s="124">
        <v>0</v>
      </c>
      <c r="AH146" s="124">
        <v>0</v>
      </c>
      <c r="AI146" s="124">
        <v>0</v>
      </c>
      <c r="AJ146" s="124">
        <v>0</v>
      </c>
      <c r="AK146" s="124">
        <v>0</v>
      </c>
      <c r="AL146" s="124">
        <v>0</v>
      </c>
      <c r="AM146" s="124">
        <v>0</v>
      </c>
      <c r="AN146" s="124">
        <v>0</v>
      </c>
      <c r="AO146" s="124">
        <v>0</v>
      </c>
      <c r="AP146" s="124">
        <v>0</v>
      </c>
      <c r="AQ146" s="124">
        <v>0</v>
      </c>
      <c r="AR146" s="124">
        <v>0</v>
      </c>
      <c r="AS146" s="124">
        <v>0</v>
      </c>
      <c r="AT146" s="124">
        <v>0</v>
      </c>
      <c r="AU146" s="124">
        <v>0</v>
      </c>
      <c r="AV146" s="124">
        <v>0</v>
      </c>
      <c r="AW146" s="124">
        <v>0</v>
      </c>
      <c r="AX146" s="124">
        <v>0</v>
      </c>
      <c r="AY146" s="124">
        <v>0</v>
      </c>
    </row>
    <row r="147" spans="1:51" x14ac:dyDescent="0.2">
      <c r="A147" s="127"/>
      <c r="B147" s="144">
        <v>26</v>
      </c>
      <c r="C147" s="124">
        <v>0</v>
      </c>
      <c r="D147" s="124">
        <v>0</v>
      </c>
      <c r="E147" s="124">
        <v>0</v>
      </c>
      <c r="F147" s="124">
        <v>0</v>
      </c>
      <c r="G147" s="124">
        <v>0</v>
      </c>
      <c r="H147" s="124">
        <v>0</v>
      </c>
      <c r="I147" s="124">
        <v>0</v>
      </c>
      <c r="J147" s="124">
        <v>0</v>
      </c>
      <c r="K147" s="124">
        <v>0</v>
      </c>
      <c r="L147" s="124">
        <v>0</v>
      </c>
      <c r="M147" s="124">
        <v>0</v>
      </c>
      <c r="N147" s="124">
        <v>0</v>
      </c>
      <c r="O147" s="124">
        <v>0</v>
      </c>
      <c r="P147" s="124">
        <v>0</v>
      </c>
      <c r="Q147" s="124">
        <v>0</v>
      </c>
      <c r="R147" s="124">
        <v>0</v>
      </c>
      <c r="S147" s="124">
        <v>0</v>
      </c>
      <c r="T147" s="124">
        <v>0</v>
      </c>
      <c r="U147" s="124">
        <v>0</v>
      </c>
      <c r="V147" s="124">
        <v>0</v>
      </c>
      <c r="W147" s="124">
        <v>0</v>
      </c>
      <c r="X147" s="124">
        <v>0</v>
      </c>
      <c r="Y147" s="124">
        <v>0</v>
      </c>
      <c r="Z147" s="124">
        <v>0</v>
      </c>
      <c r="AA147" s="124">
        <v>0</v>
      </c>
      <c r="AB147" s="124">
        <v>0</v>
      </c>
      <c r="AC147" s="124">
        <v>0</v>
      </c>
      <c r="AD147" s="124">
        <v>0</v>
      </c>
      <c r="AE147" s="124">
        <v>0</v>
      </c>
      <c r="AF147" s="124">
        <v>0</v>
      </c>
      <c r="AG147" s="124">
        <v>0</v>
      </c>
      <c r="AH147" s="124">
        <v>0</v>
      </c>
      <c r="AI147" s="124">
        <v>0</v>
      </c>
      <c r="AJ147" s="124">
        <v>0</v>
      </c>
      <c r="AK147" s="124">
        <v>0</v>
      </c>
      <c r="AL147" s="124">
        <v>0</v>
      </c>
      <c r="AM147" s="124">
        <v>0</v>
      </c>
      <c r="AN147" s="124">
        <v>0</v>
      </c>
      <c r="AO147" s="124">
        <v>0</v>
      </c>
      <c r="AP147" s="124">
        <v>0</v>
      </c>
      <c r="AQ147" s="124">
        <v>0</v>
      </c>
      <c r="AR147" s="124">
        <v>0</v>
      </c>
      <c r="AS147" s="124">
        <v>0</v>
      </c>
      <c r="AT147" s="124">
        <v>0</v>
      </c>
      <c r="AU147" s="124">
        <v>0</v>
      </c>
      <c r="AV147" s="124">
        <v>0</v>
      </c>
      <c r="AW147" s="124">
        <v>0</v>
      </c>
      <c r="AX147" s="124">
        <v>0</v>
      </c>
      <c r="AY147" s="124">
        <v>0</v>
      </c>
    </row>
    <row r="148" spans="1:51" x14ac:dyDescent="0.2">
      <c r="A148" s="127"/>
      <c r="B148" s="144">
        <v>27</v>
      </c>
      <c r="C148" s="124">
        <v>0</v>
      </c>
      <c r="D148" s="124">
        <v>0</v>
      </c>
      <c r="E148" s="124">
        <v>0</v>
      </c>
      <c r="F148" s="124">
        <v>0</v>
      </c>
      <c r="G148" s="124">
        <v>0</v>
      </c>
      <c r="H148" s="124">
        <v>0</v>
      </c>
      <c r="I148" s="124">
        <v>0</v>
      </c>
      <c r="J148" s="124">
        <v>0</v>
      </c>
      <c r="K148" s="124">
        <v>0</v>
      </c>
      <c r="L148" s="124">
        <v>0</v>
      </c>
      <c r="M148" s="124">
        <v>0</v>
      </c>
      <c r="N148" s="124">
        <v>0</v>
      </c>
      <c r="O148" s="124">
        <v>0</v>
      </c>
      <c r="P148" s="124">
        <v>0</v>
      </c>
      <c r="Q148" s="124">
        <v>0</v>
      </c>
      <c r="R148" s="124">
        <v>0</v>
      </c>
      <c r="S148" s="124">
        <v>0</v>
      </c>
      <c r="T148" s="124">
        <v>0</v>
      </c>
      <c r="U148" s="124">
        <v>0</v>
      </c>
      <c r="V148" s="124">
        <v>0</v>
      </c>
      <c r="W148" s="124">
        <v>0</v>
      </c>
      <c r="X148" s="124">
        <v>0</v>
      </c>
      <c r="Y148" s="124">
        <v>0</v>
      </c>
      <c r="Z148" s="124">
        <v>0</v>
      </c>
      <c r="AA148" s="124">
        <v>0</v>
      </c>
      <c r="AB148" s="124">
        <v>0</v>
      </c>
      <c r="AC148" s="124">
        <v>0</v>
      </c>
      <c r="AD148" s="124">
        <v>0</v>
      </c>
      <c r="AE148" s="124">
        <v>0</v>
      </c>
      <c r="AF148" s="124">
        <v>0</v>
      </c>
      <c r="AG148" s="124">
        <v>0</v>
      </c>
      <c r="AH148" s="124">
        <v>0</v>
      </c>
      <c r="AI148" s="124">
        <v>0</v>
      </c>
      <c r="AJ148" s="124">
        <v>0</v>
      </c>
      <c r="AK148" s="124">
        <v>0</v>
      </c>
      <c r="AL148" s="124">
        <v>0</v>
      </c>
      <c r="AM148" s="124">
        <v>0</v>
      </c>
      <c r="AN148" s="124">
        <v>0</v>
      </c>
      <c r="AO148" s="124">
        <v>0</v>
      </c>
      <c r="AP148" s="124">
        <v>0</v>
      </c>
      <c r="AQ148" s="124">
        <v>0</v>
      </c>
      <c r="AR148" s="124">
        <v>0</v>
      </c>
      <c r="AS148" s="124">
        <v>0</v>
      </c>
      <c r="AT148" s="124">
        <v>0</v>
      </c>
      <c r="AU148" s="124">
        <v>0</v>
      </c>
      <c r="AV148" s="124">
        <v>0</v>
      </c>
      <c r="AW148" s="124">
        <v>0</v>
      </c>
      <c r="AX148" s="124">
        <v>0</v>
      </c>
      <c r="AY148" s="124">
        <v>0</v>
      </c>
    </row>
    <row r="149" spans="1:51" x14ac:dyDescent="0.2">
      <c r="A149" s="127"/>
      <c r="B149" s="144">
        <v>28</v>
      </c>
      <c r="C149" s="124">
        <v>0</v>
      </c>
      <c r="D149" s="124">
        <v>0</v>
      </c>
      <c r="E149" s="124">
        <v>0</v>
      </c>
      <c r="F149" s="124">
        <v>0</v>
      </c>
      <c r="G149" s="124">
        <v>0</v>
      </c>
      <c r="H149" s="124">
        <v>0</v>
      </c>
      <c r="I149" s="124">
        <v>0</v>
      </c>
      <c r="J149" s="124">
        <v>0</v>
      </c>
      <c r="K149" s="124">
        <v>0</v>
      </c>
      <c r="L149" s="124">
        <v>0</v>
      </c>
      <c r="M149" s="124">
        <v>0</v>
      </c>
      <c r="N149" s="124">
        <v>0</v>
      </c>
      <c r="O149" s="124">
        <v>0</v>
      </c>
      <c r="P149" s="124">
        <v>0</v>
      </c>
      <c r="Q149" s="124">
        <v>0</v>
      </c>
      <c r="R149" s="124">
        <v>0</v>
      </c>
      <c r="S149" s="124">
        <v>0</v>
      </c>
      <c r="T149" s="124">
        <v>0</v>
      </c>
      <c r="U149" s="124">
        <v>0</v>
      </c>
      <c r="V149" s="124">
        <v>0</v>
      </c>
      <c r="W149" s="124">
        <v>0</v>
      </c>
      <c r="X149" s="124">
        <v>0</v>
      </c>
      <c r="Y149" s="124">
        <v>0</v>
      </c>
      <c r="Z149" s="124">
        <v>0</v>
      </c>
      <c r="AA149" s="124">
        <v>0</v>
      </c>
      <c r="AB149" s="124">
        <v>0</v>
      </c>
      <c r="AC149" s="124">
        <v>0</v>
      </c>
      <c r="AD149" s="124">
        <v>0</v>
      </c>
      <c r="AE149" s="124">
        <v>0</v>
      </c>
      <c r="AF149" s="124">
        <v>0</v>
      </c>
      <c r="AG149" s="124">
        <v>0</v>
      </c>
      <c r="AH149" s="124">
        <v>0</v>
      </c>
      <c r="AI149" s="124">
        <v>0</v>
      </c>
      <c r="AJ149" s="124">
        <v>0</v>
      </c>
      <c r="AK149" s="124">
        <v>0</v>
      </c>
      <c r="AL149" s="124">
        <v>0</v>
      </c>
      <c r="AM149" s="124">
        <v>0</v>
      </c>
      <c r="AN149" s="124">
        <v>0</v>
      </c>
      <c r="AO149" s="124">
        <v>0</v>
      </c>
      <c r="AP149" s="124">
        <v>0</v>
      </c>
      <c r="AQ149" s="124">
        <v>0</v>
      </c>
      <c r="AR149" s="124">
        <v>0</v>
      </c>
      <c r="AS149" s="124">
        <v>0</v>
      </c>
      <c r="AT149" s="124">
        <v>0</v>
      </c>
      <c r="AU149" s="124">
        <v>0</v>
      </c>
      <c r="AV149" s="124">
        <v>0</v>
      </c>
      <c r="AW149" s="124">
        <v>0</v>
      </c>
      <c r="AX149" s="124">
        <v>0</v>
      </c>
      <c r="AY149" s="124">
        <v>0</v>
      </c>
    </row>
    <row r="150" spans="1:51" x14ac:dyDescent="0.2">
      <c r="A150" s="127"/>
      <c r="B150" s="144">
        <v>29</v>
      </c>
      <c r="C150" s="124">
        <v>0</v>
      </c>
      <c r="D150" s="124">
        <v>0</v>
      </c>
      <c r="E150" s="124">
        <v>0</v>
      </c>
      <c r="F150" s="124">
        <v>0</v>
      </c>
      <c r="G150" s="124">
        <v>0</v>
      </c>
      <c r="H150" s="124">
        <v>0</v>
      </c>
      <c r="I150" s="124">
        <v>0</v>
      </c>
      <c r="J150" s="124">
        <v>0</v>
      </c>
      <c r="K150" s="124">
        <v>0</v>
      </c>
      <c r="L150" s="124">
        <v>0</v>
      </c>
      <c r="M150" s="124">
        <v>0</v>
      </c>
      <c r="N150" s="124">
        <v>0</v>
      </c>
      <c r="O150" s="124">
        <v>0</v>
      </c>
      <c r="P150" s="124">
        <v>0</v>
      </c>
      <c r="Q150" s="124">
        <v>0</v>
      </c>
      <c r="R150" s="124">
        <v>0</v>
      </c>
      <c r="S150" s="124">
        <v>0</v>
      </c>
      <c r="T150" s="124">
        <v>0</v>
      </c>
      <c r="U150" s="124">
        <v>0</v>
      </c>
      <c r="V150" s="124">
        <v>0</v>
      </c>
      <c r="W150" s="124">
        <v>0</v>
      </c>
      <c r="X150" s="124">
        <v>0</v>
      </c>
      <c r="Y150" s="124">
        <v>0</v>
      </c>
      <c r="Z150" s="124">
        <v>0</v>
      </c>
      <c r="AA150" s="124">
        <v>0</v>
      </c>
      <c r="AB150" s="124">
        <v>0</v>
      </c>
      <c r="AC150" s="124">
        <v>0</v>
      </c>
      <c r="AD150" s="124">
        <v>0</v>
      </c>
      <c r="AE150" s="124">
        <v>0</v>
      </c>
      <c r="AF150" s="124">
        <v>0</v>
      </c>
      <c r="AG150" s="124">
        <v>0</v>
      </c>
      <c r="AH150" s="124">
        <v>0</v>
      </c>
      <c r="AI150" s="124">
        <v>0</v>
      </c>
      <c r="AJ150" s="124">
        <v>0</v>
      </c>
      <c r="AK150" s="124">
        <v>0</v>
      </c>
      <c r="AL150" s="124">
        <v>0</v>
      </c>
      <c r="AM150" s="124">
        <v>0</v>
      </c>
      <c r="AN150" s="124">
        <v>0</v>
      </c>
      <c r="AO150" s="124">
        <v>0</v>
      </c>
      <c r="AP150" s="124">
        <v>0</v>
      </c>
      <c r="AQ150" s="124">
        <v>0</v>
      </c>
      <c r="AR150" s="124">
        <v>0</v>
      </c>
      <c r="AS150" s="124">
        <v>0</v>
      </c>
      <c r="AT150" s="124">
        <v>0</v>
      </c>
      <c r="AU150" s="124">
        <v>0</v>
      </c>
      <c r="AV150" s="124">
        <v>0</v>
      </c>
      <c r="AW150" s="124">
        <v>0</v>
      </c>
      <c r="AX150" s="124">
        <v>0</v>
      </c>
      <c r="AY150" s="124">
        <v>0</v>
      </c>
    </row>
    <row r="151" spans="1:51" x14ac:dyDescent="0.2">
      <c r="A151" s="127"/>
      <c r="B151" s="144">
        <v>30</v>
      </c>
      <c r="C151" s="124">
        <v>0</v>
      </c>
      <c r="D151" s="124">
        <v>0</v>
      </c>
      <c r="E151" s="124">
        <v>0</v>
      </c>
      <c r="F151" s="124">
        <v>0</v>
      </c>
      <c r="G151" s="124">
        <v>0</v>
      </c>
      <c r="H151" s="124">
        <v>0</v>
      </c>
      <c r="I151" s="124">
        <v>0</v>
      </c>
      <c r="J151" s="124">
        <v>0</v>
      </c>
      <c r="K151" s="124">
        <v>0</v>
      </c>
      <c r="L151" s="124">
        <v>0</v>
      </c>
      <c r="M151" s="124">
        <v>0</v>
      </c>
      <c r="N151" s="124">
        <v>0</v>
      </c>
      <c r="O151" s="124">
        <v>0</v>
      </c>
      <c r="P151" s="124">
        <v>0</v>
      </c>
      <c r="Q151" s="124">
        <v>0</v>
      </c>
      <c r="R151" s="124">
        <v>0</v>
      </c>
      <c r="S151" s="124">
        <v>0</v>
      </c>
      <c r="T151" s="124">
        <v>0</v>
      </c>
      <c r="U151" s="124">
        <v>0</v>
      </c>
      <c r="V151" s="124">
        <v>0</v>
      </c>
      <c r="W151" s="124">
        <v>0</v>
      </c>
      <c r="X151" s="124">
        <v>0</v>
      </c>
      <c r="Y151" s="124">
        <v>0</v>
      </c>
      <c r="Z151" s="124">
        <v>0</v>
      </c>
      <c r="AA151" s="124">
        <v>0</v>
      </c>
      <c r="AB151" s="124">
        <v>0</v>
      </c>
      <c r="AC151" s="124">
        <v>0</v>
      </c>
      <c r="AD151" s="124">
        <v>0</v>
      </c>
      <c r="AE151" s="124">
        <v>0</v>
      </c>
      <c r="AF151" s="124">
        <v>0</v>
      </c>
      <c r="AG151" s="124">
        <v>0</v>
      </c>
      <c r="AH151" s="124">
        <v>0</v>
      </c>
      <c r="AI151" s="124">
        <v>0</v>
      </c>
      <c r="AJ151" s="124">
        <v>0</v>
      </c>
      <c r="AK151" s="124">
        <v>0</v>
      </c>
      <c r="AL151" s="124">
        <v>0</v>
      </c>
      <c r="AM151" s="124">
        <v>0</v>
      </c>
      <c r="AN151" s="124">
        <v>0</v>
      </c>
      <c r="AO151" s="124">
        <v>0</v>
      </c>
      <c r="AP151" s="124">
        <v>0</v>
      </c>
      <c r="AQ151" s="124">
        <v>0</v>
      </c>
      <c r="AR151" s="124">
        <v>0</v>
      </c>
      <c r="AS151" s="124">
        <v>0</v>
      </c>
      <c r="AT151" s="124">
        <v>0</v>
      </c>
      <c r="AU151" s="124">
        <v>0</v>
      </c>
      <c r="AV151" s="124">
        <v>0</v>
      </c>
      <c r="AW151" s="124">
        <v>0</v>
      </c>
      <c r="AX151" s="124">
        <v>0</v>
      </c>
      <c r="AY151" s="124">
        <v>0</v>
      </c>
    </row>
    <row r="152" spans="1:51" x14ac:dyDescent="0.2">
      <c r="A152" s="127"/>
      <c r="B152" s="144">
        <v>31</v>
      </c>
      <c r="C152" s="124">
        <v>0</v>
      </c>
      <c r="D152" s="124">
        <v>0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124">
        <v>0</v>
      </c>
      <c r="O152" s="124">
        <v>0</v>
      </c>
      <c r="P152" s="124">
        <v>0</v>
      </c>
      <c r="Q152" s="124">
        <v>0</v>
      </c>
      <c r="R152" s="124">
        <v>0</v>
      </c>
      <c r="S152" s="124">
        <v>0</v>
      </c>
      <c r="T152" s="124">
        <v>0</v>
      </c>
      <c r="U152" s="124">
        <v>0</v>
      </c>
      <c r="V152" s="124">
        <v>0</v>
      </c>
      <c r="W152" s="124">
        <v>0</v>
      </c>
      <c r="X152" s="124">
        <v>0</v>
      </c>
      <c r="Y152" s="124">
        <v>0</v>
      </c>
      <c r="Z152" s="124">
        <v>0</v>
      </c>
      <c r="AA152" s="124">
        <v>0</v>
      </c>
      <c r="AB152" s="124">
        <v>0</v>
      </c>
      <c r="AC152" s="124">
        <v>0</v>
      </c>
      <c r="AD152" s="124">
        <v>0</v>
      </c>
      <c r="AE152" s="124">
        <v>0</v>
      </c>
      <c r="AF152" s="124">
        <v>0</v>
      </c>
      <c r="AG152" s="124">
        <v>0</v>
      </c>
      <c r="AH152" s="124">
        <v>0</v>
      </c>
      <c r="AI152" s="124">
        <v>0</v>
      </c>
      <c r="AJ152" s="124">
        <v>0</v>
      </c>
      <c r="AK152" s="124">
        <v>0</v>
      </c>
      <c r="AL152" s="124">
        <v>0</v>
      </c>
      <c r="AM152" s="124">
        <v>0</v>
      </c>
      <c r="AN152" s="124">
        <v>0</v>
      </c>
      <c r="AO152" s="124">
        <v>0</v>
      </c>
      <c r="AP152" s="124">
        <v>0</v>
      </c>
      <c r="AQ152" s="124">
        <v>0</v>
      </c>
      <c r="AR152" s="124">
        <v>0</v>
      </c>
      <c r="AS152" s="124">
        <v>0</v>
      </c>
      <c r="AT152" s="124">
        <v>0</v>
      </c>
      <c r="AU152" s="124">
        <v>0</v>
      </c>
      <c r="AV152" s="124">
        <v>0</v>
      </c>
      <c r="AW152" s="124">
        <v>0</v>
      </c>
      <c r="AX152" s="124">
        <v>0</v>
      </c>
      <c r="AY152" s="124">
        <v>0</v>
      </c>
    </row>
    <row r="153" spans="1:51" x14ac:dyDescent="0.2">
      <c r="A153" s="127"/>
      <c r="B153" s="144">
        <v>32</v>
      </c>
      <c r="C153" s="124">
        <v>0</v>
      </c>
      <c r="D153" s="124">
        <v>0</v>
      </c>
      <c r="E153" s="124">
        <v>0</v>
      </c>
      <c r="F153" s="124">
        <v>0</v>
      </c>
      <c r="G153" s="124">
        <v>0</v>
      </c>
      <c r="H153" s="124">
        <v>0</v>
      </c>
      <c r="I153" s="124">
        <v>0</v>
      </c>
      <c r="J153" s="124">
        <v>0</v>
      </c>
      <c r="K153" s="124">
        <v>0</v>
      </c>
      <c r="L153" s="124">
        <v>0</v>
      </c>
      <c r="M153" s="124">
        <v>0</v>
      </c>
      <c r="N153" s="124">
        <v>0</v>
      </c>
      <c r="O153" s="124">
        <v>0</v>
      </c>
      <c r="P153" s="124">
        <v>0</v>
      </c>
      <c r="Q153" s="124">
        <v>0</v>
      </c>
      <c r="R153" s="124">
        <v>0</v>
      </c>
      <c r="S153" s="124">
        <v>0</v>
      </c>
      <c r="T153" s="124">
        <v>0</v>
      </c>
      <c r="U153" s="124">
        <v>0</v>
      </c>
      <c r="V153" s="124">
        <v>0</v>
      </c>
      <c r="W153" s="124">
        <v>0</v>
      </c>
      <c r="X153" s="124">
        <v>0</v>
      </c>
      <c r="Y153" s="124">
        <v>0</v>
      </c>
      <c r="Z153" s="124">
        <v>0</v>
      </c>
      <c r="AA153" s="124">
        <v>0</v>
      </c>
      <c r="AB153" s="124">
        <v>0</v>
      </c>
      <c r="AC153" s="124">
        <v>0</v>
      </c>
      <c r="AD153" s="124">
        <v>0</v>
      </c>
      <c r="AE153" s="124">
        <v>0</v>
      </c>
      <c r="AF153" s="124">
        <v>0</v>
      </c>
      <c r="AG153" s="124">
        <v>0</v>
      </c>
      <c r="AH153" s="124">
        <v>0</v>
      </c>
      <c r="AI153" s="124">
        <v>0</v>
      </c>
      <c r="AJ153" s="124">
        <v>0</v>
      </c>
      <c r="AK153" s="124">
        <v>0</v>
      </c>
      <c r="AL153" s="124">
        <v>0</v>
      </c>
      <c r="AM153" s="124">
        <v>0</v>
      </c>
      <c r="AN153" s="124">
        <v>0</v>
      </c>
      <c r="AO153" s="124">
        <v>0</v>
      </c>
      <c r="AP153" s="124">
        <v>0</v>
      </c>
      <c r="AQ153" s="124">
        <v>0</v>
      </c>
      <c r="AR153" s="124">
        <v>0</v>
      </c>
      <c r="AS153" s="124">
        <v>0</v>
      </c>
      <c r="AT153" s="124">
        <v>0</v>
      </c>
      <c r="AU153" s="124">
        <v>0</v>
      </c>
      <c r="AV153" s="124">
        <v>0</v>
      </c>
      <c r="AW153" s="124">
        <v>0</v>
      </c>
      <c r="AX153" s="124">
        <v>0</v>
      </c>
      <c r="AY153" s="124">
        <v>0</v>
      </c>
    </row>
    <row r="154" spans="1:51" x14ac:dyDescent="0.2">
      <c r="A154" s="127"/>
      <c r="B154" s="144">
        <v>33</v>
      </c>
      <c r="C154" s="124">
        <v>0</v>
      </c>
      <c r="D154" s="124">
        <v>0</v>
      </c>
      <c r="E154" s="124">
        <v>0</v>
      </c>
      <c r="F154" s="124">
        <v>0</v>
      </c>
      <c r="G154" s="124">
        <v>0</v>
      </c>
      <c r="H154" s="124">
        <v>0</v>
      </c>
      <c r="I154" s="124">
        <v>0</v>
      </c>
      <c r="J154" s="124">
        <v>0</v>
      </c>
      <c r="K154" s="124">
        <v>0</v>
      </c>
      <c r="L154" s="124">
        <v>0</v>
      </c>
      <c r="M154" s="124">
        <v>0</v>
      </c>
      <c r="N154" s="124">
        <v>0</v>
      </c>
      <c r="O154" s="124">
        <v>0</v>
      </c>
      <c r="P154" s="124">
        <v>0</v>
      </c>
      <c r="Q154" s="124">
        <v>0</v>
      </c>
      <c r="R154" s="124">
        <v>0</v>
      </c>
      <c r="S154" s="124">
        <v>0</v>
      </c>
      <c r="T154" s="124">
        <v>0</v>
      </c>
      <c r="U154" s="124">
        <v>0</v>
      </c>
      <c r="V154" s="124">
        <v>0</v>
      </c>
      <c r="W154" s="124">
        <v>0</v>
      </c>
      <c r="X154" s="124">
        <v>0</v>
      </c>
      <c r="Y154" s="124">
        <v>0</v>
      </c>
      <c r="Z154" s="124">
        <v>0</v>
      </c>
      <c r="AA154" s="124">
        <v>0</v>
      </c>
      <c r="AB154" s="124">
        <v>0</v>
      </c>
      <c r="AC154" s="124">
        <v>0</v>
      </c>
      <c r="AD154" s="124">
        <v>0</v>
      </c>
      <c r="AE154" s="124">
        <v>0</v>
      </c>
      <c r="AF154" s="124">
        <v>0</v>
      </c>
      <c r="AG154" s="124">
        <v>0</v>
      </c>
      <c r="AH154" s="124">
        <v>0</v>
      </c>
      <c r="AI154" s="124">
        <v>0</v>
      </c>
      <c r="AJ154" s="124">
        <v>0</v>
      </c>
      <c r="AK154" s="124">
        <v>0</v>
      </c>
      <c r="AL154" s="124">
        <v>0</v>
      </c>
      <c r="AM154" s="124">
        <v>0</v>
      </c>
      <c r="AN154" s="124">
        <v>0</v>
      </c>
      <c r="AO154" s="124">
        <v>0</v>
      </c>
      <c r="AP154" s="124">
        <v>0</v>
      </c>
      <c r="AQ154" s="124">
        <v>0</v>
      </c>
      <c r="AR154" s="124">
        <v>0</v>
      </c>
      <c r="AS154" s="124">
        <v>0</v>
      </c>
      <c r="AT154" s="124">
        <v>0</v>
      </c>
      <c r="AU154" s="124">
        <v>0</v>
      </c>
      <c r="AV154" s="124">
        <v>0</v>
      </c>
      <c r="AW154" s="124">
        <v>0</v>
      </c>
      <c r="AX154" s="124">
        <v>0</v>
      </c>
      <c r="AY154" s="124">
        <v>0</v>
      </c>
    </row>
    <row r="155" spans="1:51" x14ac:dyDescent="0.2">
      <c r="A155" s="127"/>
      <c r="B155" s="144">
        <v>34</v>
      </c>
      <c r="C155" s="124">
        <v>0</v>
      </c>
      <c r="D155" s="124">
        <v>0</v>
      </c>
      <c r="E155" s="124">
        <v>0</v>
      </c>
      <c r="F155" s="124">
        <v>0</v>
      </c>
      <c r="G155" s="124">
        <v>0</v>
      </c>
      <c r="H155" s="124">
        <v>0</v>
      </c>
      <c r="I155" s="124">
        <v>0</v>
      </c>
      <c r="J155" s="124">
        <v>0</v>
      </c>
      <c r="K155" s="124">
        <v>0</v>
      </c>
      <c r="L155" s="124">
        <v>0</v>
      </c>
      <c r="M155" s="124">
        <v>0</v>
      </c>
      <c r="N155" s="124">
        <v>0</v>
      </c>
      <c r="O155" s="124">
        <v>0</v>
      </c>
      <c r="P155" s="124">
        <v>0</v>
      </c>
      <c r="Q155" s="124">
        <v>0</v>
      </c>
      <c r="R155" s="124">
        <v>0</v>
      </c>
      <c r="S155" s="124">
        <v>0</v>
      </c>
      <c r="T155" s="124">
        <v>0</v>
      </c>
      <c r="U155" s="124">
        <v>0</v>
      </c>
      <c r="V155" s="124">
        <v>0</v>
      </c>
      <c r="W155" s="124">
        <v>0</v>
      </c>
      <c r="X155" s="124">
        <v>0</v>
      </c>
      <c r="Y155" s="124">
        <v>0</v>
      </c>
      <c r="Z155" s="124">
        <v>0</v>
      </c>
      <c r="AA155" s="124">
        <v>0</v>
      </c>
      <c r="AB155" s="124">
        <v>0</v>
      </c>
      <c r="AC155" s="124">
        <v>0</v>
      </c>
      <c r="AD155" s="124">
        <v>0</v>
      </c>
      <c r="AE155" s="124">
        <v>0</v>
      </c>
      <c r="AF155" s="124">
        <v>0</v>
      </c>
      <c r="AG155" s="124">
        <v>0</v>
      </c>
      <c r="AH155" s="124">
        <v>0</v>
      </c>
      <c r="AI155" s="124">
        <v>0</v>
      </c>
      <c r="AJ155" s="124">
        <v>0</v>
      </c>
      <c r="AK155" s="124">
        <v>0</v>
      </c>
      <c r="AL155" s="124">
        <v>0</v>
      </c>
      <c r="AM155" s="124">
        <v>0</v>
      </c>
      <c r="AN155" s="124">
        <v>0</v>
      </c>
      <c r="AO155" s="124">
        <v>0</v>
      </c>
      <c r="AP155" s="124">
        <v>0</v>
      </c>
      <c r="AQ155" s="124">
        <v>0</v>
      </c>
      <c r="AR155" s="124">
        <v>0</v>
      </c>
      <c r="AS155" s="124">
        <v>0</v>
      </c>
      <c r="AT155" s="124">
        <v>0</v>
      </c>
      <c r="AU155" s="124">
        <v>0</v>
      </c>
      <c r="AV155" s="124">
        <v>0</v>
      </c>
      <c r="AW155" s="124">
        <v>0</v>
      </c>
      <c r="AX155" s="124">
        <v>0</v>
      </c>
      <c r="AY155" s="124">
        <v>0</v>
      </c>
    </row>
    <row r="156" spans="1:51" x14ac:dyDescent="0.2">
      <c r="A156" s="127"/>
      <c r="B156" s="144">
        <v>35</v>
      </c>
      <c r="C156" s="124">
        <v>0</v>
      </c>
      <c r="D156" s="124">
        <v>0</v>
      </c>
      <c r="E156" s="124">
        <v>0</v>
      </c>
      <c r="F156" s="124">
        <v>0</v>
      </c>
      <c r="G156" s="124">
        <v>0</v>
      </c>
      <c r="H156" s="124">
        <v>0</v>
      </c>
      <c r="I156" s="124">
        <v>0</v>
      </c>
      <c r="J156" s="124">
        <v>0</v>
      </c>
      <c r="K156" s="124">
        <v>0</v>
      </c>
      <c r="L156" s="124">
        <v>0</v>
      </c>
      <c r="M156" s="124">
        <v>0</v>
      </c>
      <c r="N156" s="124">
        <v>0</v>
      </c>
      <c r="O156" s="124">
        <v>0</v>
      </c>
      <c r="P156" s="124">
        <v>0</v>
      </c>
      <c r="Q156" s="124">
        <v>0</v>
      </c>
      <c r="R156" s="124">
        <v>0</v>
      </c>
      <c r="S156" s="124">
        <v>0</v>
      </c>
      <c r="T156" s="124">
        <v>0</v>
      </c>
      <c r="U156" s="124">
        <v>0</v>
      </c>
      <c r="V156" s="124">
        <v>0</v>
      </c>
      <c r="W156" s="124">
        <v>0</v>
      </c>
      <c r="X156" s="124">
        <v>0</v>
      </c>
      <c r="Y156" s="124">
        <v>0</v>
      </c>
      <c r="Z156" s="124">
        <v>0</v>
      </c>
      <c r="AA156" s="124">
        <v>0</v>
      </c>
      <c r="AB156" s="124">
        <v>0</v>
      </c>
      <c r="AC156" s="124">
        <v>0</v>
      </c>
      <c r="AD156" s="124">
        <v>0</v>
      </c>
      <c r="AE156" s="124">
        <v>0</v>
      </c>
      <c r="AF156" s="124">
        <v>0</v>
      </c>
      <c r="AG156" s="124">
        <v>0</v>
      </c>
      <c r="AH156" s="124">
        <v>0</v>
      </c>
      <c r="AI156" s="124">
        <v>0</v>
      </c>
      <c r="AJ156" s="124">
        <v>0</v>
      </c>
      <c r="AK156" s="124">
        <v>0</v>
      </c>
      <c r="AL156" s="124">
        <v>0</v>
      </c>
      <c r="AM156" s="124">
        <v>0</v>
      </c>
      <c r="AN156" s="124">
        <v>0</v>
      </c>
      <c r="AO156" s="124">
        <v>0</v>
      </c>
      <c r="AP156" s="124">
        <v>0</v>
      </c>
      <c r="AQ156" s="124">
        <v>0</v>
      </c>
      <c r="AR156" s="124">
        <v>0</v>
      </c>
      <c r="AS156" s="124">
        <v>0</v>
      </c>
      <c r="AT156" s="124">
        <v>0</v>
      </c>
      <c r="AU156" s="124">
        <v>0</v>
      </c>
      <c r="AV156" s="124">
        <v>0</v>
      </c>
      <c r="AW156" s="124">
        <v>0</v>
      </c>
      <c r="AX156" s="124">
        <v>0</v>
      </c>
      <c r="AY156" s="124">
        <v>0</v>
      </c>
    </row>
    <row r="157" spans="1:51" x14ac:dyDescent="0.2">
      <c r="A157" s="127"/>
      <c r="B157" s="144">
        <v>36</v>
      </c>
      <c r="C157" s="124">
        <v>0</v>
      </c>
      <c r="D157" s="124">
        <v>0</v>
      </c>
      <c r="E157" s="124">
        <v>0</v>
      </c>
      <c r="F157" s="124">
        <v>0</v>
      </c>
      <c r="G157" s="124">
        <v>0</v>
      </c>
      <c r="H157" s="124">
        <v>0</v>
      </c>
      <c r="I157" s="124">
        <v>0</v>
      </c>
      <c r="J157" s="124">
        <v>0</v>
      </c>
      <c r="K157" s="124">
        <v>0</v>
      </c>
      <c r="L157" s="124">
        <v>0</v>
      </c>
      <c r="M157" s="124">
        <v>0</v>
      </c>
      <c r="N157" s="124">
        <v>0</v>
      </c>
      <c r="O157" s="124">
        <v>0</v>
      </c>
      <c r="P157" s="124">
        <v>0</v>
      </c>
      <c r="Q157" s="124">
        <v>0</v>
      </c>
      <c r="R157" s="124">
        <v>0</v>
      </c>
      <c r="S157" s="124">
        <v>0</v>
      </c>
      <c r="T157" s="124">
        <v>0</v>
      </c>
      <c r="U157" s="124">
        <v>0</v>
      </c>
      <c r="V157" s="124">
        <v>0</v>
      </c>
      <c r="W157" s="124">
        <v>0</v>
      </c>
      <c r="X157" s="124">
        <v>0</v>
      </c>
      <c r="Y157" s="124">
        <v>0</v>
      </c>
      <c r="Z157" s="124">
        <v>0</v>
      </c>
      <c r="AA157" s="124">
        <v>0</v>
      </c>
      <c r="AB157" s="124">
        <v>0</v>
      </c>
      <c r="AC157" s="124">
        <v>0</v>
      </c>
      <c r="AD157" s="124">
        <v>0</v>
      </c>
      <c r="AE157" s="124">
        <v>0</v>
      </c>
      <c r="AF157" s="124">
        <v>0</v>
      </c>
      <c r="AG157" s="124">
        <v>0</v>
      </c>
      <c r="AH157" s="124">
        <v>0</v>
      </c>
      <c r="AI157" s="124">
        <v>0</v>
      </c>
      <c r="AJ157" s="124">
        <v>0</v>
      </c>
      <c r="AK157" s="124">
        <v>0</v>
      </c>
      <c r="AL157" s="124">
        <v>0</v>
      </c>
      <c r="AM157" s="124">
        <v>0</v>
      </c>
      <c r="AN157" s="124">
        <v>0</v>
      </c>
      <c r="AO157" s="124">
        <v>0</v>
      </c>
      <c r="AP157" s="124">
        <v>0</v>
      </c>
      <c r="AQ157" s="124">
        <v>0</v>
      </c>
      <c r="AR157" s="124">
        <v>0</v>
      </c>
      <c r="AS157" s="124">
        <v>0</v>
      </c>
      <c r="AT157" s="124">
        <v>0</v>
      </c>
      <c r="AU157" s="124">
        <v>0</v>
      </c>
      <c r="AV157" s="124">
        <v>0</v>
      </c>
      <c r="AW157" s="124">
        <v>0</v>
      </c>
      <c r="AX157" s="124">
        <v>0</v>
      </c>
      <c r="AY157" s="124">
        <v>0</v>
      </c>
    </row>
    <row r="158" spans="1:51" x14ac:dyDescent="0.2">
      <c r="A158" s="127"/>
      <c r="B158" s="147">
        <v>37</v>
      </c>
      <c r="C158" s="124">
        <v>0</v>
      </c>
      <c r="D158" s="124">
        <v>0</v>
      </c>
      <c r="E158" s="124">
        <v>0</v>
      </c>
      <c r="F158" s="124">
        <v>0</v>
      </c>
      <c r="G158" s="124">
        <v>0</v>
      </c>
      <c r="H158" s="124">
        <v>0</v>
      </c>
      <c r="I158" s="124">
        <v>0</v>
      </c>
      <c r="J158" s="124">
        <v>0</v>
      </c>
      <c r="K158" s="124">
        <v>0</v>
      </c>
      <c r="L158" s="124">
        <v>0</v>
      </c>
      <c r="M158" s="124">
        <v>0</v>
      </c>
      <c r="N158" s="124">
        <v>0</v>
      </c>
      <c r="O158" s="124">
        <v>0</v>
      </c>
      <c r="P158" s="124">
        <v>0</v>
      </c>
      <c r="Q158" s="124">
        <v>0</v>
      </c>
      <c r="R158" s="124">
        <v>0</v>
      </c>
      <c r="S158" s="124">
        <v>0</v>
      </c>
      <c r="T158" s="124">
        <v>0</v>
      </c>
      <c r="U158" s="124">
        <v>0</v>
      </c>
      <c r="V158" s="124">
        <v>0</v>
      </c>
      <c r="W158" s="124">
        <v>0</v>
      </c>
      <c r="X158" s="124">
        <v>0</v>
      </c>
      <c r="Y158" s="124">
        <v>0</v>
      </c>
      <c r="Z158" s="124">
        <v>0</v>
      </c>
      <c r="AA158" s="124">
        <v>0</v>
      </c>
      <c r="AB158" s="124">
        <v>0</v>
      </c>
      <c r="AC158" s="124">
        <v>0</v>
      </c>
      <c r="AD158" s="124">
        <v>0</v>
      </c>
      <c r="AE158" s="124">
        <v>0</v>
      </c>
      <c r="AF158" s="124">
        <v>0</v>
      </c>
      <c r="AG158" s="124">
        <v>0</v>
      </c>
      <c r="AH158" s="124">
        <v>0</v>
      </c>
      <c r="AI158" s="124">
        <v>0</v>
      </c>
      <c r="AJ158" s="124">
        <v>0</v>
      </c>
      <c r="AK158" s="124">
        <v>0</v>
      </c>
      <c r="AL158" s="124">
        <v>0</v>
      </c>
      <c r="AM158" s="124">
        <v>0</v>
      </c>
      <c r="AN158" s="124">
        <v>0</v>
      </c>
      <c r="AO158" s="124">
        <v>0</v>
      </c>
      <c r="AP158" s="124">
        <v>0</v>
      </c>
      <c r="AQ158" s="124">
        <v>0</v>
      </c>
      <c r="AR158" s="124">
        <v>0</v>
      </c>
      <c r="AS158" s="124">
        <v>0</v>
      </c>
      <c r="AT158" s="124">
        <v>0</v>
      </c>
      <c r="AU158" s="124">
        <v>0</v>
      </c>
      <c r="AV158" s="124">
        <v>0</v>
      </c>
      <c r="AW158" s="124">
        <v>0</v>
      </c>
      <c r="AX158" s="124">
        <v>0</v>
      </c>
      <c r="AY158" s="124">
        <v>0</v>
      </c>
    </row>
    <row r="159" spans="1:51" x14ac:dyDescent="0.2">
      <c r="A159" s="127"/>
      <c r="B159" s="147">
        <v>38</v>
      </c>
      <c r="C159" s="124">
        <v>0</v>
      </c>
      <c r="D159" s="124">
        <v>0</v>
      </c>
      <c r="E159" s="124">
        <v>0</v>
      </c>
      <c r="F159" s="124">
        <v>0</v>
      </c>
      <c r="G159" s="124">
        <v>0</v>
      </c>
      <c r="H159" s="124">
        <v>0</v>
      </c>
      <c r="I159" s="124">
        <v>0</v>
      </c>
      <c r="J159" s="124">
        <v>0</v>
      </c>
      <c r="K159" s="124">
        <v>0</v>
      </c>
      <c r="L159" s="124">
        <v>0</v>
      </c>
      <c r="M159" s="124">
        <v>0</v>
      </c>
      <c r="N159" s="124">
        <v>0</v>
      </c>
      <c r="O159" s="124">
        <v>0</v>
      </c>
      <c r="P159" s="124">
        <v>0</v>
      </c>
      <c r="Q159" s="124">
        <v>0</v>
      </c>
      <c r="R159" s="124">
        <v>0</v>
      </c>
      <c r="S159" s="124">
        <v>0</v>
      </c>
      <c r="T159" s="124">
        <v>0</v>
      </c>
      <c r="U159" s="124">
        <v>0</v>
      </c>
      <c r="V159" s="124">
        <v>0</v>
      </c>
      <c r="W159" s="124">
        <v>0</v>
      </c>
      <c r="X159" s="124">
        <v>0</v>
      </c>
      <c r="Y159" s="124">
        <v>0</v>
      </c>
      <c r="Z159" s="124">
        <v>0</v>
      </c>
      <c r="AA159" s="124">
        <v>0</v>
      </c>
      <c r="AB159" s="124">
        <v>0</v>
      </c>
      <c r="AC159" s="124">
        <v>0</v>
      </c>
      <c r="AD159" s="124">
        <v>0</v>
      </c>
      <c r="AE159" s="124">
        <v>0</v>
      </c>
      <c r="AF159" s="124">
        <v>0</v>
      </c>
      <c r="AG159" s="124">
        <v>0</v>
      </c>
      <c r="AH159" s="124">
        <v>0</v>
      </c>
      <c r="AI159" s="124">
        <v>0</v>
      </c>
      <c r="AJ159" s="124">
        <v>0</v>
      </c>
      <c r="AK159" s="124">
        <v>0</v>
      </c>
      <c r="AL159" s="124">
        <v>0</v>
      </c>
      <c r="AM159" s="124">
        <v>0</v>
      </c>
      <c r="AN159" s="124">
        <v>0</v>
      </c>
      <c r="AO159" s="124">
        <v>0</v>
      </c>
      <c r="AP159" s="124">
        <v>0</v>
      </c>
      <c r="AQ159" s="124">
        <v>0</v>
      </c>
      <c r="AR159" s="124">
        <v>0</v>
      </c>
      <c r="AS159" s="124">
        <v>0</v>
      </c>
      <c r="AT159" s="124">
        <v>0</v>
      </c>
      <c r="AU159" s="124">
        <v>0</v>
      </c>
      <c r="AV159" s="124">
        <v>0</v>
      </c>
      <c r="AW159" s="124">
        <v>0</v>
      </c>
      <c r="AX159" s="124">
        <v>0</v>
      </c>
      <c r="AY159" s="124">
        <v>0</v>
      </c>
    </row>
    <row r="160" spans="1:51" x14ac:dyDescent="0.2">
      <c r="A160" s="127"/>
      <c r="B160" s="147">
        <v>39</v>
      </c>
      <c r="C160" s="124">
        <v>0</v>
      </c>
      <c r="D160" s="124">
        <v>0</v>
      </c>
      <c r="E160" s="124">
        <v>0</v>
      </c>
      <c r="F160" s="124">
        <v>0</v>
      </c>
      <c r="G160" s="124">
        <v>0</v>
      </c>
      <c r="H160" s="124">
        <v>0</v>
      </c>
      <c r="I160" s="124">
        <v>0</v>
      </c>
      <c r="J160" s="124">
        <v>0</v>
      </c>
      <c r="K160" s="124">
        <v>0</v>
      </c>
      <c r="L160" s="124">
        <v>0</v>
      </c>
      <c r="M160" s="124">
        <v>0</v>
      </c>
      <c r="N160" s="124">
        <v>0</v>
      </c>
      <c r="O160" s="124">
        <v>0</v>
      </c>
      <c r="P160" s="124">
        <v>0</v>
      </c>
      <c r="Q160" s="124">
        <v>0</v>
      </c>
      <c r="R160" s="124">
        <v>0</v>
      </c>
      <c r="S160" s="124">
        <v>0</v>
      </c>
      <c r="T160" s="124">
        <v>0</v>
      </c>
      <c r="U160" s="124">
        <v>0</v>
      </c>
      <c r="V160" s="124">
        <v>0</v>
      </c>
      <c r="W160" s="124">
        <v>0</v>
      </c>
      <c r="X160" s="124">
        <v>0</v>
      </c>
      <c r="Y160" s="124">
        <v>0</v>
      </c>
      <c r="Z160" s="124">
        <v>0</v>
      </c>
      <c r="AA160" s="124">
        <v>0</v>
      </c>
      <c r="AB160" s="124">
        <v>0</v>
      </c>
      <c r="AC160" s="124">
        <v>0</v>
      </c>
      <c r="AD160" s="124">
        <v>0</v>
      </c>
      <c r="AE160" s="124">
        <v>0</v>
      </c>
      <c r="AF160" s="124">
        <v>0</v>
      </c>
      <c r="AG160" s="124">
        <v>0</v>
      </c>
      <c r="AH160" s="124">
        <v>0</v>
      </c>
      <c r="AI160" s="124">
        <v>0</v>
      </c>
      <c r="AJ160" s="124">
        <v>0</v>
      </c>
      <c r="AK160" s="124">
        <v>0</v>
      </c>
      <c r="AL160" s="124">
        <v>0</v>
      </c>
      <c r="AM160" s="124">
        <v>0</v>
      </c>
      <c r="AN160" s="124">
        <v>0</v>
      </c>
      <c r="AO160" s="124">
        <v>0</v>
      </c>
      <c r="AP160" s="124">
        <v>0</v>
      </c>
      <c r="AQ160" s="124">
        <v>0</v>
      </c>
      <c r="AR160" s="124">
        <v>0</v>
      </c>
      <c r="AS160" s="124">
        <v>0</v>
      </c>
      <c r="AT160" s="124">
        <v>0</v>
      </c>
      <c r="AU160" s="124">
        <v>0</v>
      </c>
      <c r="AV160" s="124">
        <v>0</v>
      </c>
      <c r="AW160" s="124">
        <v>0</v>
      </c>
      <c r="AX160" s="124">
        <v>0</v>
      </c>
      <c r="AY160" s="124">
        <v>0</v>
      </c>
    </row>
    <row r="161" spans="1:52" x14ac:dyDescent="0.2">
      <c r="A161" s="127"/>
      <c r="B161" s="147">
        <v>40</v>
      </c>
      <c r="C161" s="124">
        <v>0</v>
      </c>
      <c r="D161" s="124">
        <v>0</v>
      </c>
      <c r="E161" s="124">
        <v>0</v>
      </c>
      <c r="F161" s="124">
        <v>0</v>
      </c>
      <c r="G161" s="124">
        <v>0</v>
      </c>
      <c r="H161" s="124">
        <v>0</v>
      </c>
      <c r="I161" s="124">
        <v>0</v>
      </c>
      <c r="J161" s="124">
        <v>0</v>
      </c>
      <c r="K161" s="124">
        <v>0</v>
      </c>
      <c r="L161" s="124">
        <v>0</v>
      </c>
      <c r="M161" s="124">
        <v>0</v>
      </c>
      <c r="N161" s="124">
        <v>0</v>
      </c>
      <c r="O161" s="124">
        <v>0</v>
      </c>
      <c r="P161" s="124">
        <v>0</v>
      </c>
      <c r="Q161" s="124">
        <v>0</v>
      </c>
      <c r="R161" s="124">
        <v>0</v>
      </c>
      <c r="S161" s="124">
        <v>0</v>
      </c>
      <c r="T161" s="124">
        <v>0</v>
      </c>
      <c r="U161" s="124">
        <v>0</v>
      </c>
      <c r="V161" s="124">
        <v>0</v>
      </c>
      <c r="W161" s="124">
        <v>0</v>
      </c>
      <c r="X161" s="124">
        <v>0</v>
      </c>
      <c r="Y161" s="124">
        <v>0</v>
      </c>
      <c r="Z161" s="124">
        <v>0</v>
      </c>
      <c r="AA161" s="124">
        <v>0</v>
      </c>
      <c r="AB161" s="124">
        <v>0</v>
      </c>
      <c r="AC161" s="124">
        <v>0</v>
      </c>
      <c r="AD161" s="124">
        <v>0</v>
      </c>
      <c r="AE161" s="124">
        <v>0</v>
      </c>
      <c r="AF161" s="124">
        <v>0</v>
      </c>
      <c r="AG161" s="124">
        <v>0</v>
      </c>
      <c r="AH161" s="124">
        <v>0</v>
      </c>
      <c r="AI161" s="124">
        <v>0</v>
      </c>
      <c r="AJ161" s="124">
        <v>0</v>
      </c>
      <c r="AK161" s="124">
        <v>0</v>
      </c>
      <c r="AL161" s="124">
        <v>0</v>
      </c>
      <c r="AM161" s="124">
        <v>0</v>
      </c>
      <c r="AN161" s="124">
        <v>0</v>
      </c>
      <c r="AO161" s="124">
        <v>0</v>
      </c>
      <c r="AP161" s="124">
        <v>0</v>
      </c>
      <c r="AQ161" s="124">
        <v>0</v>
      </c>
      <c r="AR161" s="124">
        <v>0</v>
      </c>
      <c r="AS161" s="124">
        <v>0</v>
      </c>
      <c r="AT161" s="124">
        <v>0</v>
      </c>
      <c r="AU161" s="124">
        <v>0</v>
      </c>
      <c r="AV161" s="124">
        <v>0</v>
      </c>
      <c r="AW161" s="124">
        <v>0</v>
      </c>
      <c r="AX161" s="124">
        <v>0</v>
      </c>
      <c r="AY161" s="124">
        <v>0</v>
      </c>
    </row>
    <row r="162" spans="1:52" x14ac:dyDescent="0.2">
      <c r="A162" s="127"/>
      <c r="B162" s="147">
        <v>41</v>
      </c>
      <c r="C162" s="124">
        <v>0</v>
      </c>
      <c r="D162" s="124">
        <v>0</v>
      </c>
      <c r="E162" s="124">
        <v>0</v>
      </c>
      <c r="F162" s="124">
        <v>0</v>
      </c>
      <c r="G162" s="124">
        <v>0</v>
      </c>
      <c r="H162" s="124">
        <v>0</v>
      </c>
      <c r="I162" s="124">
        <v>0</v>
      </c>
      <c r="J162" s="124">
        <v>0</v>
      </c>
      <c r="K162" s="124">
        <v>0</v>
      </c>
      <c r="L162" s="124">
        <v>0</v>
      </c>
      <c r="M162" s="124">
        <v>0</v>
      </c>
      <c r="N162" s="124">
        <v>0</v>
      </c>
      <c r="O162" s="124">
        <v>0</v>
      </c>
      <c r="P162" s="124">
        <v>0</v>
      </c>
      <c r="Q162" s="124">
        <v>0</v>
      </c>
      <c r="R162" s="124">
        <v>0</v>
      </c>
      <c r="S162" s="124">
        <v>0</v>
      </c>
      <c r="T162" s="124">
        <v>0</v>
      </c>
      <c r="U162" s="124">
        <v>0</v>
      </c>
      <c r="V162" s="124">
        <v>0</v>
      </c>
      <c r="W162" s="124">
        <v>0</v>
      </c>
      <c r="X162" s="124">
        <v>0</v>
      </c>
      <c r="Y162" s="124">
        <v>0</v>
      </c>
      <c r="Z162" s="124">
        <v>0</v>
      </c>
      <c r="AA162" s="124">
        <v>0</v>
      </c>
      <c r="AB162" s="124">
        <v>0</v>
      </c>
      <c r="AC162" s="124">
        <v>0</v>
      </c>
      <c r="AD162" s="124">
        <v>0</v>
      </c>
      <c r="AE162" s="124">
        <v>0</v>
      </c>
      <c r="AF162" s="124">
        <v>0</v>
      </c>
      <c r="AG162" s="124">
        <v>0</v>
      </c>
      <c r="AH162" s="124">
        <v>0</v>
      </c>
      <c r="AI162" s="124">
        <v>0</v>
      </c>
      <c r="AJ162" s="124">
        <v>0</v>
      </c>
      <c r="AK162" s="124">
        <v>0</v>
      </c>
      <c r="AL162" s="124">
        <v>0</v>
      </c>
      <c r="AM162" s="124">
        <v>0</v>
      </c>
      <c r="AN162" s="124">
        <v>0</v>
      </c>
      <c r="AO162" s="124">
        <v>0</v>
      </c>
      <c r="AP162" s="124">
        <v>0</v>
      </c>
      <c r="AQ162" s="124">
        <v>0</v>
      </c>
      <c r="AR162" s="124">
        <v>0</v>
      </c>
      <c r="AS162" s="124">
        <v>0</v>
      </c>
      <c r="AT162" s="124">
        <v>0</v>
      </c>
      <c r="AU162" s="124">
        <v>0</v>
      </c>
      <c r="AV162" s="124">
        <v>0</v>
      </c>
      <c r="AW162" s="124">
        <v>0</v>
      </c>
      <c r="AX162" s="124">
        <v>0</v>
      </c>
      <c r="AY162" s="124">
        <v>0</v>
      </c>
    </row>
    <row r="163" spans="1:52" x14ac:dyDescent="0.2">
      <c r="A163" s="127"/>
      <c r="B163" s="147">
        <v>42</v>
      </c>
      <c r="C163" s="124">
        <v>0</v>
      </c>
      <c r="D163" s="124">
        <v>0</v>
      </c>
      <c r="E163" s="124">
        <v>0</v>
      </c>
      <c r="F163" s="124">
        <v>0</v>
      </c>
      <c r="G163" s="124">
        <v>0</v>
      </c>
      <c r="H163" s="124">
        <v>0</v>
      </c>
      <c r="I163" s="124">
        <v>0</v>
      </c>
      <c r="J163" s="124">
        <v>0</v>
      </c>
      <c r="K163" s="124">
        <v>0</v>
      </c>
      <c r="L163" s="124">
        <v>0</v>
      </c>
      <c r="M163" s="124">
        <v>0</v>
      </c>
      <c r="N163" s="124">
        <v>0</v>
      </c>
      <c r="O163" s="124">
        <v>0</v>
      </c>
      <c r="P163" s="124">
        <v>0</v>
      </c>
      <c r="Q163" s="124">
        <v>0</v>
      </c>
      <c r="R163" s="124">
        <v>0</v>
      </c>
      <c r="S163" s="124">
        <v>0</v>
      </c>
      <c r="T163" s="124">
        <v>0</v>
      </c>
      <c r="U163" s="124">
        <v>0</v>
      </c>
      <c r="V163" s="124">
        <v>0</v>
      </c>
      <c r="W163" s="124">
        <v>0</v>
      </c>
      <c r="X163" s="124">
        <v>0</v>
      </c>
      <c r="Y163" s="124">
        <v>0</v>
      </c>
      <c r="Z163" s="124">
        <v>0</v>
      </c>
      <c r="AA163" s="124">
        <v>0</v>
      </c>
      <c r="AB163" s="124">
        <v>0</v>
      </c>
      <c r="AC163" s="124">
        <v>0</v>
      </c>
      <c r="AD163" s="124">
        <v>0</v>
      </c>
      <c r="AE163" s="124">
        <v>0</v>
      </c>
      <c r="AF163" s="124">
        <v>0</v>
      </c>
      <c r="AG163" s="124">
        <v>0</v>
      </c>
      <c r="AH163" s="124">
        <v>0</v>
      </c>
      <c r="AI163" s="124">
        <v>0</v>
      </c>
      <c r="AJ163" s="124">
        <v>0</v>
      </c>
      <c r="AK163" s="124">
        <v>0</v>
      </c>
      <c r="AL163" s="124">
        <v>0</v>
      </c>
      <c r="AM163" s="124">
        <v>0</v>
      </c>
      <c r="AN163" s="124">
        <v>0</v>
      </c>
      <c r="AO163" s="124">
        <v>0</v>
      </c>
      <c r="AP163" s="124">
        <v>0</v>
      </c>
      <c r="AQ163" s="124">
        <v>0</v>
      </c>
      <c r="AR163" s="124">
        <v>0</v>
      </c>
      <c r="AS163" s="124">
        <v>0</v>
      </c>
      <c r="AT163" s="124">
        <v>0</v>
      </c>
      <c r="AU163" s="124">
        <v>0</v>
      </c>
      <c r="AV163" s="124">
        <v>0</v>
      </c>
      <c r="AW163" s="124">
        <v>0</v>
      </c>
      <c r="AX163" s="124">
        <v>0</v>
      </c>
      <c r="AY163" s="124">
        <v>0</v>
      </c>
    </row>
    <row r="164" spans="1:52" x14ac:dyDescent="0.2">
      <c r="A164" s="127"/>
      <c r="B164" s="147">
        <v>43</v>
      </c>
      <c r="C164" s="124">
        <v>0</v>
      </c>
      <c r="D164" s="124">
        <v>0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124">
        <v>0</v>
      </c>
      <c r="O164" s="124">
        <v>0</v>
      </c>
      <c r="P164" s="124">
        <v>0</v>
      </c>
      <c r="Q164" s="124">
        <v>0</v>
      </c>
      <c r="R164" s="124">
        <v>0</v>
      </c>
      <c r="S164" s="124">
        <v>0</v>
      </c>
      <c r="T164" s="124">
        <v>0</v>
      </c>
      <c r="U164" s="124">
        <v>0</v>
      </c>
      <c r="V164" s="124">
        <v>0</v>
      </c>
      <c r="W164" s="124">
        <v>0</v>
      </c>
      <c r="X164" s="124">
        <v>0</v>
      </c>
      <c r="Y164" s="124">
        <v>0</v>
      </c>
      <c r="Z164" s="124">
        <v>0</v>
      </c>
      <c r="AA164" s="124">
        <v>0</v>
      </c>
      <c r="AB164" s="124">
        <v>0</v>
      </c>
      <c r="AC164" s="124">
        <v>0</v>
      </c>
      <c r="AD164" s="124">
        <v>0</v>
      </c>
      <c r="AE164" s="124">
        <v>0</v>
      </c>
      <c r="AF164" s="124">
        <v>0</v>
      </c>
      <c r="AG164" s="124">
        <v>0</v>
      </c>
      <c r="AH164" s="124">
        <v>0</v>
      </c>
      <c r="AI164" s="124">
        <v>0</v>
      </c>
      <c r="AJ164" s="124">
        <v>0</v>
      </c>
      <c r="AK164" s="124">
        <v>0</v>
      </c>
      <c r="AL164" s="124">
        <v>0</v>
      </c>
      <c r="AM164" s="124">
        <v>0</v>
      </c>
      <c r="AN164" s="124">
        <v>0</v>
      </c>
      <c r="AO164" s="124">
        <v>0</v>
      </c>
      <c r="AP164" s="124">
        <v>0</v>
      </c>
      <c r="AQ164" s="124">
        <v>0</v>
      </c>
      <c r="AR164" s="124">
        <v>0</v>
      </c>
      <c r="AS164" s="124">
        <v>0</v>
      </c>
      <c r="AT164" s="124">
        <v>0</v>
      </c>
      <c r="AU164" s="124">
        <v>0</v>
      </c>
      <c r="AV164" s="124">
        <v>0</v>
      </c>
      <c r="AW164" s="124">
        <v>0</v>
      </c>
      <c r="AX164" s="124">
        <v>0</v>
      </c>
      <c r="AY164" s="124">
        <v>0</v>
      </c>
    </row>
    <row r="165" spans="1:52" x14ac:dyDescent="0.2">
      <c r="A165" s="127"/>
      <c r="B165" s="147">
        <v>44</v>
      </c>
      <c r="C165" s="124">
        <v>0</v>
      </c>
      <c r="D165" s="124">
        <v>0</v>
      </c>
      <c r="E165" s="124">
        <v>0</v>
      </c>
      <c r="F165" s="124">
        <v>0</v>
      </c>
      <c r="G165" s="124">
        <v>0</v>
      </c>
      <c r="H165" s="124">
        <v>0</v>
      </c>
      <c r="I165" s="124">
        <v>0</v>
      </c>
      <c r="J165" s="124">
        <v>0</v>
      </c>
      <c r="K165" s="124">
        <v>0</v>
      </c>
      <c r="L165" s="124">
        <v>0</v>
      </c>
      <c r="M165" s="124">
        <v>0</v>
      </c>
      <c r="N165" s="124">
        <v>0</v>
      </c>
      <c r="O165" s="124">
        <v>0</v>
      </c>
      <c r="P165" s="124">
        <v>0</v>
      </c>
      <c r="Q165" s="124">
        <v>0</v>
      </c>
      <c r="R165" s="124">
        <v>0</v>
      </c>
      <c r="S165" s="124">
        <v>0</v>
      </c>
      <c r="T165" s="124">
        <v>0</v>
      </c>
      <c r="U165" s="124">
        <v>0</v>
      </c>
      <c r="V165" s="124">
        <v>0</v>
      </c>
      <c r="W165" s="124">
        <v>0</v>
      </c>
      <c r="X165" s="124">
        <v>0</v>
      </c>
      <c r="Y165" s="124">
        <v>0</v>
      </c>
      <c r="Z165" s="124">
        <v>0</v>
      </c>
      <c r="AA165" s="124">
        <v>0</v>
      </c>
      <c r="AB165" s="124">
        <v>0</v>
      </c>
      <c r="AC165" s="124">
        <v>0</v>
      </c>
      <c r="AD165" s="124">
        <v>0</v>
      </c>
      <c r="AE165" s="124">
        <v>0</v>
      </c>
      <c r="AF165" s="124">
        <v>0</v>
      </c>
      <c r="AG165" s="124">
        <v>0</v>
      </c>
      <c r="AH165" s="124">
        <v>0</v>
      </c>
      <c r="AI165" s="124">
        <v>0</v>
      </c>
      <c r="AJ165" s="124">
        <v>0</v>
      </c>
      <c r="AK165" s="124">
        <v>0</v>
      </c>
      <c r="AL165" s="124">
        <v>0</v>
      </c>
      <c r="AM165" s="124">
        <v>0</v>
      </c>
      <c r="AN165" s="124">
        <v>0</v>
      </c>
      <c r="AO165" s="124">
        <v>0</v>
      </c>
      <c r="AP165" s="124">
        <v>0</v>
      </c>
      <c r="AQ165" s="124">
        <v>0</v>
      </c>
      <c r="AR165" s="124">
        <v>0</v>
      </c>
      <c r="AS165" s="124">
        <v>0</v>
      </c>
      <c r="AT165" s="124">
        <v>0</v>
      </c>
      <c r="AU165" s="124">
        <v>0</v>
      </c>
      <c r="AV165" s="124">
        <v>0</v>
      </c>
      <c r="AW165" s="124">
        <v>0</v>
      </c>
      <c r="AX165" s="124">
        <v>0</v>
      </c>
      <c r="AY165" s="124">
        <v>0</v>
      </c>
    </row>
    <row r="166" spans="1:52" x14ac:dyDescent="0.2">
      <c r="A166" s="127"/>
      <c r="B166" s="147">
        <v>45</v>
      </c>
      <c r="C166" s="124">
        <v>0</v>
      </c>
      <c r="D166" s="124">
        <v>0</v>
      </c>
      <c r="E166" s="124">
        <v>0</v>
      </c>
      <c r="F166" s="124">
        <v>0</v>
      </c>
      <c r="G166" s="124">
        <v>0</v>
      </c>
      <c r="H166" s="124">
        <v>0</v>
      </c>
      <c r="I166" s="124">
        <v>0</v>
      </c>
      <c r="J166" s="124">
        <v>0</v>
      </c>
      <c r="K166" s="124">
        <v>0</v>
      </c>
      <c r="L166" s="124">
        <v>0</v>
      </c>
      <c r="M166" s="124">
        <v>0</v>
      </c>
      <c r="N166" s="124">
        <v>0</v>
      </c>
      <c r="O166" s="124">
        <v>0</v>
      </c>
      <c r="P166" s="124">
        <v>0</v>
      </c>
      <c r="Q166" s="124">
        <v>0</v>
      </c>
      <c r="R166" s="124">
        <v>0</v>
      </c>
      <c r="S166" s="124">
        <v>0</v>
      </c>
      <c r="T166" s="124">
        <v>0</v>
      </c>
      <c r="U166" s="124">
        <v>0</v>
      </c>
      <c r="V166" s="124">
        <v>0</v>
      </c>
      <c r="W166" s="124">
        <v>0</v>
      </c>
      <c r="X166" s="124">
        <v>0</v>
      </c>
      <c r="Y166" s="124">
        <v>0</v>
      </c>
      <c r="Z166" s="124">
        <v>0</v>
      </c>
      <c r="AA166" s="124">
        <v>0</v>
      </c>
      <c r="AB166" s="124">
        <v>0</v>
      </c>
      <c r="AC166" s="124">
        <v>0</v>
      </c>
      <c r="AD166" s="124">
        <v>0</v>
      </c>
      <c r="AE166" s="124">
        <v>0</v>
      </c>
      <c r="AF166" s="124">
        <v>0</v>
      </c>
      <c r="AG166" s="124">
        <v>0</v>
      </c>
      <c r="AH166" s="124">
        <v>0</v>
      </c>
      <c r="AI166" s="124">
        <v>0</v>
      </c>
      <c r="AJ166" s="124">
        <v>0</v>
      </c>
      <c r="AK166" s="124">
        <v>0</v>
      </c>
      <c r="AL166" s="124">
        <v>0</v>
      </c>
      <c r="AM166" s="124">
        <v>0</v>
      </c>
      <c r="AN166" s="124">
        <v>0</v>
      </c>
      <c r="AO166" s="124">
        <v>0</v>
      </c>
      <c r="AP166" s="124">
        <v>0</v>
      </c>
      <c r="AQ166" s="124">
        <v>0</v>
      </c>
      <c r="AR166" s="124">
        <v>0</v>
      </c>
      <c r="AS166" s="124">
        <v>0</v>
      </c>
      <c r="AT166" s="124">
        <v>0</v>
      </c>
      <c r="AU166" s="124">
        <v>0</v>
      </c>
      <c r="AV166" s="124">
        <v>0</v>
      </c>
      <c r="AW166" s="124">
        <v>0</v>
      </c>
      <c r="AX166" s="124">
        <v>0</v>
      </c>
      <c r="AY166" s="124">
        <v>0</v>
      </c>
    </row>
    <row r="167" spans="1:52" x14ac:dyDescent="0.2">
      <c r="A167" s="127"/>
      <c r="B167" s="147">
        <v>46</v>
      </c>
      <c r="C167" s="124">
        <v>0</v>
      </c>
      <c r="D167" s="124">
        <v>0</v>
      </c>
      <c r="E167" s="124">
        <v>0</v>
      </c>
      <c r="F167" s="124">
        <v>0</v>
      </c>
      <c r="G167" s="124">
        <v>0</v>
      </c>
      <c r="H167" s="124">
        <v>0</v>
      </c>
      <c r="I167" s="124">
        <v>0</v>
      </c>
      <c r="J167" s="124">
        <v>0</v>
      </c>
      <c r="K167" s="124">
        <v>0</v>
      </c>
      <c r="L167" s="124">
        <v>0</v>
      </c>
      <c r="M167" s="124">
        <v>0</v>
      </c>
      <c r="N167" s="124">
        <v>0</v>
      </c>
      <c r="O167" s="124">
        <v>0</v>
      </c>
      <c r="P167" s="124">
        <v>0</v>
      </c>
      <c r="Q167" s="124">
        <v>0</v>
      </c>
      <c r="R167" s="124">
        <v>0</v>
      </c>
      <c r="S167" s="124">
        <v>0</v>
      </c>
      <c r="T167" s="124">
        <v>0</v>
      </c>
      <c r="U167" s="124">
        <v>0</v>
      </c>
      <c r="V167" s="124">
        <v>0</v>
      </c>
      <c r="W167" s="124">
        <v>0</v>
      </c>
      <c r="X167" s="124">
        <v>0</v>
      </c>
      <c r="Y167" s="124">
        <v>0</v>
      </c>
      <c r="Z167" s="124">
        <v>0</v>
      </c>
      <c r="AA167" s="124">
        <v>0</v>
      </c>
      <c r="AB167" s="124">
        <v>0</v>
      </c>
      <c r="AC167" s="124">
        <v>0</v>
      </c>
      <c r="AD167" s="124">
        <v>0</v>
      </c>
      <c r="AE167" s="124">
        <v>0</v>
      </c>
      <c r="AF167" s="124">
        <v>0</v>
      </c>
      <c r="AG167" s="124">
        <v>0</v>
      </c>
      <c r="AH167" s="124">
        <v>0</v>
      </c>
      <c r="AI167" s="124">
        <v>0</v>
      </c>
      <c r="AJ167" s="124">
        <v>0</v>
      </c>
      <c r="AK167" s="124">
        <v>0</v>
      </c>
      <c r="AL167" s="124">
        <v>0</v>
      </c>
      <c r="AM167" s="124">
        <v>0</v>
      </c>
      <c r="AN167" s="124">
        <v>0</v>
      </c>
      <c r="AO167" s="124">
        <v>0</v>
      </c>
      <c r="AP167" s="124">
        <v>0</v>
      </c>
      <c r="AQ167" s="124">
        <v>0</v>
      </c>
      <c r="AR167" s="124">
        <v>0</v>
      </c>
      <c r="AS167" s="124">
        <v>0</v>
      </c>
      <c r="AT167" s="124">
        <v>0</v>
      </c>
      <c r="AU167" s="124">
        <v>0</v>
      </c>
      <c r="AV167" s="124">
        <v>0</v>
      </c>
      <c r="AW167" s="124">
        <v>0</v>
      </c>
      <c r="AX167" s="124">
        <v>0</v>
      </c>
      <c r="AY167" s="124">
        <v>0</v>
      </c>
    </row>
    <row r="168" spans="1:52" x14ac:dyDescent="0.2">
      <c r="A168" s="127"/>
      <c r="B168" s="147">
        <v>47</v>
      </c>
      <c r="C168" s="124">
        <v>0</v>
      </c>
      <c r="D168" s="124">
        <v>0</v>
      </c>
      <c r="E168" s="124">
        <v>0</v>
      </c>
      <c r="F168" s="124">
        <v>0</v>
      </c>
      <c r="G168" s="124">
        <v>0</v>
      </c>
      <c r="H168" s="124">
        <v>0</v>
      </c>
      <c r="I168" s="124">
        <v>0</v>
      </c>
      <c r="J168" s="124">
        <v>0</v>
      </c>
      <c r="K168" s="124">
        <v>0</v>
      </c>
      <c r="L168" s="124">
        <v>0</v>
      </c>
      <c r="M168" s="124">
        <v>0</v>
      </c>
      <c r="N168" s="124">
        <v>0</v>
      </c>
      <c r="O168" s="124">
        <v>0</v>
      </c>
      <c r="P168" s="124">
        <v>0</v>
      </c>
      <c r="Q168" s="124">
        <v>0</v>
      </c>
      <c r="R168" s="124">
        <v>0</v>
      </c>
      <c r="S168" s="124">
        <v>0</v>
      </c>
      <c r="T168" s="124">
        <v>0</v>
      </c>
      <c r="U168" s="124">
        <v>0</v>
      </c>
      <c r="V168" s="124">
        <v>0</v>
      </c>
      <c r="W168" s="124">
        <v>0</v>
      </c>
      <c r="X168" s="124">
        <v>0</v>
      </c>
      <c r="Y168" s="124">
        <v>0</v>
      </c>
      <c r="Z168" s="124">
        <v>0</v>
      </c>
      <c r="AA168" s="124">
        <v>0</v>
      </c>
      <c r="AB168" s="124">
        <v>0</v>
      </c>
      <c r="AC168" s="124">
        <v>0</v>
      </c>
      <c r="AD168" s="124">
        <v>0</v>
      </c>
      <c r="AE168" s="124">
        <v>0</v>
      </c>
      <c r="AF168" s="124">
        <v>0</v>
      </c>
      <c r="AG168" s="124">
        <v>0</v>
      </c>
      <c r="AH168" s="124">
        <v>0</v>
      </c>
      <c r="AI168" s="124">
        <v>0</v>
      </c>
      <c r="AJ168" s="124">
        <v>0</v>
      </c>
      <c r="AK168" s="124">
        <v>0</v>
      </c>
      <c r="AL168" s="124">
        <v>0</v>
      </c>
      <c r="AM168" s="124">
        <v>0</v>
      </c>
      <c r="AN168" s="124">
        <v>0</v>
      </c>
      <c r="AO168" s="124">
        <v>0</v>
      </c>
      <c r="AP168" s="124">
        <v>0</v>
      </c>
      <c r="AQ168" s="124">
        <v>0</v>
      </c>
      <c r="AR168" s="124">
        <v>0</v>
      </c>
      <c r="AS168" s="124">
        <v>0</v>
      </c>
      <c r="AT168" s="124">
        <v>0</v>
      </c>
      <c r="AU168" s="124">
        <v>0</v>
      </c>
      <c r="AV168" s="124">
        <v>0</v>
      </c>
      <c r="AW168" s="124">
        <v>0</v>
      </c>
      <c r="AX168" s="124">
        <v>0</v>
      </c>
      <c r="AY168" s="124">
        <v>0</v>
      </c>
    </row>
    <row r="169" spans="1:52" x14ac:dyDescent="0.2">
      <c r="A169" s="127"/>
      <c r="B169" s="147">
        <v>48</v>
      </c>
      <c r="C169" s="124">
        <v>0</v>
      </c>
      <c r="D169" s="124">
        <v>0</v>
      </c>
      <c r="E169" s="124">
        <v>0</v>
      </c>
      <c r="F169" s="124">
        <v>0</v>
      </c>
      <c r="G169" s="124">
        <v>0</v>
      </c>
      <c r="H169" s="124">
        <v>0</v>
      </c>
      <c r="I169" s="124">
        <v>0</v>
      </c>
      <c r="J169" s="124">
        <v>0</v>
      </c>
      <c r="K169" s="124">
        <v>0</v>
      </c>
      <c r="L169" s="124">
        <v>0</v>
      </c>
      <c r="M169" s="124">
        <v>0</v>
      </c>
      <c r="N169" s="124">
        <v>0</v>
      </c>
      <c r="O169" s="124">
        <v>0</v>
      </c>
      <c r="P169" s="124">
        <v>0</v>
      </c>
      <c r="Q169" s="124">
        <v>0</v>
      </c>
      <c r="R169" s="124">
        <v>0</v>
      </c>
      <c r="S169" s="124">
        <v>0</v>
      </c>
      <c r="T169" s="124">
        <v>0</v>
      </c>
      <c r="U169" s="124">
        <v>0</v>
      </c>
      <c r="V169" s="124">
        <v>0</v>
      </c>
      <c r="W169" s="124">
        <v>0</v>
      </c>
      <c r="X169" s="124">
        <v>0</v>
      </c>
      <c r="Y169" s="124">
        <v>0</v>
      </c>
      <c r="Z169" s="124">
        <v>0</v>
      </c>
      <c r="AA169" s="124">
        <v>0</v>
      </c>
      <c r="AB169" s="124">
        <v>0</v>
      </c>
      <c r="AC169" s="124">
        <v>0</v>
      </c>
      <c r="AD169" s="124">
        <v>0</v>
      </c>
      <c r="AE169" s="124">
        <v>0</v>
      </c>
      <c r="AF169" s="124">
        <v>0</v>
      </c>
      <c r="AG169" s="124">
        <v>0</v>
      </c>
      <c r="AH169" s="124">
        <v>0</v>
      </c>
      <c r="AI169" s="124">
        <v>0</v>
      </c>
      <c r="AJ169" s="124">
        <v>0</v>
      </c>
      <c r="AK169" s="124">
        <v>0</v>
      </c>
      <c r="AL169" s="124">
        <v>0</v>
      </c>
      <c r="AM169" s="124">
        <v>0</v>
      </c>
      <c r="AN169" s="124">
        <v>0</v>
      </c>
      <c r="AO169" s="124">
        <v>0</v>
      </c>
      <c r="AP169" s="124">
        <v>0</v>
      </c>
      <c r="AQ169" s="124">
        <v>0</v>
      </c>
      <c r="AR169" s="124">
        <v>0</v>
      </c>
      <c r="AS169" s="124">
        <v>0</v>
      </c>
      <c r="AT169" s="124">
        <v>0</v>
      </c>
      <c r="AU169" s="124">
        <v>0</v>
      </c>
      <c r="AV169" s="124">
        <v>0</v>
      </c>
      <c r="AW169" s="124">
        <v>0</v>
      </c>
      <c r="AX169" s="124">
        <v>0</v>
      </c>
      <c r="AY169" s="124">
        <v>0</v>
      </c>
    </row>
    <row r="170" spans="1:52" x14ac:dyDescent="0.2">
      <c r="A170" s="145"/>
      <c r="B170" s="149" t="s">
        <v>296</v>
      </c>
      <c r="C170" s="131">
        <v>0</v>
      </c>
      <c r="D170" s="142">
        <v>0</v>
      </c>
      <c r="E170" s="142">
        <v>0</v>
      </c>
      <c r="F170" s="142">
        <v>0</v>
      </c>
      <c r="G170" s="142">
        <v>0</v>
      </c>
      <c r="H170" s="142">
        <v>0</v>
      </c>
      <c r="I170" s="142">
        <v>0</v>
      </c>
      <c r="J170" s="142">
        <v>0</v>
      </c>
      <c r="K170" s="142">
        <v>0</v>
      </c>
      <c r="L170" s="142">
        <v>0</v>
      </c>
      <c r="M170" s="142">
        <v>0</v>
      </c>
      <c r="N170" s="142">
        <v>0</v>
      </c>
      <c r="O170" s="142">
        <v>0</v>
      </c>
      <c r="P170" s="142">
        <v>0</v>
      </c>
      <c r="Q170" s="142">
        <v>0</v>
      </c>
      <c r="R170" s="142">
        <v>0</v>
      </c>
      <c r="S170" s="142">
        <v>0</v>
      </c>
      <c r="T170" s="142">
        <v>0</v>
      </c>
      <c r="U170" s="142">
        <v>0</v>
      </c>
      <c r="V170" s="142">
        <v>0</v>
      </c>
      <c r="W170" s="142">
        <v>0</v>
      </c>
      <c r="X170" s="142">
        <v>0</v>
      </c>
      <c r="Y170" s="142">
        <v>0</v>
      </c>
      <c r="Z170" s="142">
        <v>0</v>
      </c>
      <c r="AA170" s="142">
        <v>0</v>
      </c>
      <c r="AB170" s="142">
        <v>0</v>
      </c>
      <c r="AC170" s="142">
        <v>0</v>
      </c>
      <c r="AD170" s="142">
        <v>0</v>
      </c>
      <c r="AE170" s="142">
        <v>0</v>
      </c>
      <c r="AF170" s="142">
        <v>0</v>
      </c>
      <c r="AG170" s="142">
        <v>0</v>
      </c>
      <c r="AH170" s="142">
        <v>0</v>
      </c>
      <c r="AI170" s="142">
        <v>0</v>
      </c>
      <c r="AJ170" s="142">
        <v>0</v>
      </c>
      <c r="AK170" s="142">
        <v>0</v>
      </c>
      <c r="AL170" s="142">
        <v>0</v>
      </c>
      <c r="AM170" s="142">
        <v>0</v>
      </c>
      <c r="AN170" s="142">
        <v>0</v>
      </c>
      <c r="AO170" s="142">
        <v>0</v>
      </c>
      <c r="AP170" s="142">
        <v>0</v>
      </c>
      <c r="AQ170" s="142">
        <v>0</v>
      </c>
      <c r="AR170" s="142">
        <v>0</v>
      </c>
      <c r="AS170" s="142">
        <v>0</v>
      </c>
      <c r="AT170" s="142">
        <v>0</v>
      </c>
      <c r="AU170" s="142">
        <v>0</v>
      </c>
      <c r="AV170" s="142">
        <v>0</v>
      </c>
      <c r="AW170" s="142">
        <v>0</v>
      </c>
      <c r="AX170" s="142">
        <v>0</v>
      </c>
      <c r="AY170" s="142">
        <v>0</v>
      </c>
      <c r="AZ170" s="125">
        <f>SUM($D170:$AY170)</f>
        <v>0</v>
      </c>
    </row>
    <row r="172" spans="1:52" x14ac:dyDescent="0.2">
      <c r="A172" s="1" t="s">
        <v>124</v>
      </c>
      <c r="B172" s="150" t="s">
        <v>297</v>
      </c>
      <c r="C172" s="151">
        <v>0.38306341113842324</v>
      </c>
      <c r="D172" s="151">
        <v>0.30256926631890069</v>
      </c>
      <c r="E172" s="151">
        <v>0.30256926631890069</v>
      </c>
      <c r="F172" s="151">
        <v>0.30256926631890069</v>
      </c>
      <c r="G172" s="151">
        <v>0.30256926631890069</v>
      </c>
      <c r="H172" s="151">
        <v>0.30256926631890069</v>
      </c>
      <c r="I172" s="151">
        <v>0.30256926631890069</v>
      </c>
      <c r="J172" s="151">
        <v>0.30256926631890069</v>
      </c>
      <c r="K172" s="151">
        <v>0.30256926631890069</v>
      </c>
      <c r="L172" s="151">
        <v>0.30256926631890069</v>
      </c>
      <c r="M172" s="151">
        <v>0.30256926631890069</v>
      </c>
      <c r="N172" s="151">
        <v>0.30256926631890069</v>
      </c>
      <c r="O172" s="151">
        <v>0.30256926631890069</v>
      </c>
      <c r="P172" s="151">
        <v>0.30256926631890069</v>
      </c>
      <c r="Q172" s="151">
        <v>0.30256926631890069</v>
      </c>
      <c r="R172" s="151">
        <v>0.30256926631890069</v>
      </c>
      <c r="S172" s="151">
        <v>0.30256926631890069</v>
      </c>
      <c r="T172" s="151">
        <v>0.30256926631890069</v>
      </c>
      <c r="U172" s="151">
        <v>0.30256926631890069</v>
      </c>
      <c r="V172" s="151">
        <v>0.30256926631890069</v>
      </c>
      <c r="W172" s="151">
        <v>0.30256926631890069</v>
      </c>
      <c r="X172" s="151">
        <v>0.30256926631890069</v>
      </c>
      <c r="Y172" s="151">
        <v>0.30256926631890069</v>
      </c>
      <c r="Z172" s="151">
        <v>0.30256926631890069</v>
      </c>
      <c r="AA172" s="151">
        <v>0.30256926631890069</v>
      </c>
      <c r="AB172" s="151">
        <v>0.30256926631890069</v>
      </c>
      <c r="AC172" s="151">
        <v>0.30256926631890069</v>
      </c>
      <c r="AD172" s="151">
        <v>0.30256926631890069</v>
      </c>
      <c r="AE172" s="151">
        <v>0.30256926631890069</v>
      </c>
      <c r="AF172" s="151">
        <v>0.30256926631890069</v>
      </c>
      <c r="AG172" s="151">
        <v>0.30256926631890069</v>
      </c>
      <c r="AH172" s="151">
        <v>0.30256926631890069</v>
      </c>
      <c r="AI172" s="151">
        <v>0.30256926631890069</v>
      </c>
      <c r="AJ172" s="151">
        <v>0.30256926631890069</v>
      </c>
      <c r="AK172" s="151">
        <v>0.30256926631890069</v>
      </c>
      <c r="AL172" s="151">
        <v>0.30256926631890069</v>
      </c>
      <c r="AM172" s="151">
        <v>0.30256926631890069</v>
      </c>
      <c r="AN172" s="151">
        <v>0.30256926631890069</v>
      </c>
      <c r="AO172" s="151">
        <v>0.30256926631890069</v>
      </c>
      <c r="AP172" s="151">
        <v>0.30256926631890069</v>
      </c>
      <c r="AQ172" s="151">
        <v>0.30256926631890069</v>
      </c>
      <c r="AR172" s="151">
        <v>0.30256926631890069</v>
      </c>
      <c r="AS172" s="151">
        <v>0.30256926631890069</v>
      </c>
      <c r="AT172" s="151">
        <v>0.30256926631890069</v>
      </c>
      <c r="AU172" s="151">
        <v>0.30256926631890069</v>
      </c>
      <c r="AV172" s="151">
        <v>0.30256926631890069</v>
      </c>
      <c r="AW172" s="151">
        <v>0.30256926631890069</v>
      </c>
      <c r="AX172" s="151">
        <v>0.30256926631890069</v>
      </c>
      <c r="AY172" s="151">
        <v>0.30256926631890069</v>
      </c>
    </row>
    <row r="174" spans="1:52" x14ac:dyDescent="0.2">
      <c r="A174" s="1" t="s">
        <v>272</v>
      </c>
    </row>
    <row r="175" spans="1:52" x14ac:dyDescent="0.2">
      <c r="A175" s="152" t="s">
        <v>125</v>
      </c>
      <c r="B175" s="152" t="s">
        <v>298</v>
      </c>
      <c r="C175" s="141" t="s">
        <v>293</v>
      </c>
      <c r="D175" s="141">
        <f t="shared" ref="D175:AY175" si="1">SUM(D95:D98)</f>
        <v>13569.740837078274</v>
      </c>
      <c r="E175" s="141">
        <f t="shared" si="1"/>
        <v>11099.13919432792</v>
      </c>
      <c r="F175" s="141">
        <f t="shared" si="1"/>
        <v>9211.3115123549906</v>
      </c>
      <c r="G175" s="141">
        <f t="shared" si="1"/>
        <v>7039.9951623193965</v>
      </c>
      <c r="H175" s="141">
        <f t="shared" si="1"/>
        <v>6621.322032817463</v>
      </c>
      <c r="I175" s="141">
        <f t="shared" si="1"/>
        <v>6920.6073255322226</v>
      </c>
      <c r="J175" s="141">
        <f t="shared" si="1"/>
        <v>6920.6073255322226</v>
      </c>
      <c r="K175" s="141">
        <f t="shared" si="1"/>
        <v>6920.6073255322226</v>
      </c>
      <c r="L175" s="141">
        <f t="shared" si="1"/>
        <v>7639.7928393593056</v>
      </c>
      <c r="M175" s="141">
        <f t="shared" si="1"/>
        <v>7639.7928393593056</v>
      </c>
      <c r="N175" s="141">
        <f t="shared" si="1"/>
        <v>7639.7928393593056</v>
      </c>
      <c r="O175" s="141">
        <f t="shared" si="1"/>
        <v>7639.7928393593056</v>
      </c>
      <c r="P175" s="141">
        <f t="shared" si="1"/>
        <v>7639.7928393593056</v>
      </c>
      <c r="Q175" s="141">
        <f t="shared" si="1"/>
        <v>7639.7928393593056</v>
      </c>
      <c r="R175" s="141">
        <f t="shared" si="1"/>
        <v>7639.7928393593056</v>
      </c>
      <c r="S175" s="141">
        <f t="shared" si="1"/>
        <v>7639.7928393593056</v>
      </c>
      <c r="T175" s="141">
        <f t="shared" si="1"/>
        <v>7639.7928393593056</v>
      </c>
      <c r="U175" s="141">
        <f t="shared" si="1"/>
        <v>7639.7928393593056</v>
      </c>
      <c r="V175" s="141">
        <f t="shared" si="1"/>
        <v>7639.7928393593056</v>
      </c>
      <c r="W175" s="141">
        <f t="shared" si="1"/>
        <v>7639.7928393593056</v>
      </c>
      <c r="X175" s="141">
        <f t="shared" si="1"/>
        <v>7639.7928393593056</v>
      </c>
      <c r="Y175" s="141">
        <f t="shared" si="1"/>
        <v>7639.7928393593056</v>
      </c>
      <c r="Z175" s="141">
        <f t="shared" si="1"/>
        <v>7639.7928393593056</v>
      </c>
      <c r="AA175" s="141">
        <f t="shared" si="1"/>
        <v>7639.7928393593056</v>
      </c>
      <c r="AB175" s="141">
        <f t="shared" si="1"/>
        <v>7639.7928393593056</v>
      </c>
      <c r="AC175" s="141">
        <f t="shared" si="1"/>
        <v>7639.7928393593056</v>
      </c>
      <c r="AD175" s="141">
        <f t="shared" si="1"/>
        <v>7639.7928393593056</v>
      </c>
      <c r="AE175" s="141">
        <f t="shared" si="1"/>
        <v>7639.7928393593056</v>
      </c>
      <c r="AF175" s="141">
        <f t="shared" si="1"/>
        <v>7639.7928393593056</v>
      </c>
      <c r="AG175" s="141">
        <f t="shared" si="1"/>
        <v>7639.7928393593056</v>
      </c>
      <c r="AH175" s="141">
        <f t="shared" si="1"/>
        <v>7639.7928393593056</v>
      </c>
      <c r="AI175" s="141">
        <f t="shared" si="1"/>
        <v>7639.7928393593056</v>
      </c>
      <c r="AJ175" s="141">
        <f t="shared" si="1"/>
        <v>7377.6081793338017</v>
      </c>
      <c r="AK175" s="141">
        <f t="shared" si="1"/>
        <v>7116.5559970177674</v>
      </c>
      <c r="AL175" s="141">
        <f t="shared" si="1"/>
        <v>7116.5559970177674</v>
      </c>
      <c r="AM175" s="141">
        <f t="shared" si="1"/>
        <v>7116.5559970177674</v>
      </c>
      <c r="AN175" s="141">
        <f t="shared" si="1"/>
        <v>7378.7406570432704</v>
      </c>
      <c r="AO175" s="141">
        <f t="shared" si="1"/>
        <v>7639.7928393593056</v>
      </c>
      <c r="AP175" s="141">
        <f t="shared" si="1"/>
        <v>7639.7928393593056</v>
      </c>
      <c r="AQ175" s="141">
        <f t="shared" si="1"/>
        <v>7639.7928393593056</v>
      </c>
      <c r="AR175" s="141">
        <f t="shared" si="1"/>
        <v>7386.4872472088318</v>
      </c>
      <c r="AS175" s="141">
        <f t="shared" si="1"/>
        <v>7386.4872472088318</v>
      </c>
      <c r="AT175" s="141">
        <f t="shared" si="1"/>
        <v>6678.4139037919858</v>
      </c>
      <c r="AU175" s="141">
        <f t="shared" si="1"/>
        <v>6678.4139037919867</v>
      </c>
      <c r="AV175" s="141">
        <f t="shared" si="1"/>
        <v>6682.6828583408378</v>
      </c>
      <c r="AW175" s="141">
        <f t="shared" si="1"/>
        <v>6434.6938025525942</v>
      </c>
      <c r="AX175" s="141">
        <f t="shared" si="1"/>
        <v>7142.7671459694384</v>
      </c>
      <c r="AY175" s="141">
        <f t="shared" si="1"/>
        <v>7142.7671459694393</v>
      </c>
    </row>
    <row r="176" spans="1:52" x14ac:dyDescent="0.2">
      <c r="A176" s="142"/>
      <c r="B176" s="153" t="s">
        <v>299</v>
      </c>
      <c r="C176" s="142" t="s">
        <v>293</v>
      </c>
      <c r="D176" s="142">
        <v>504</v>
      </c>
      <c r="E176" s="142">
        <v>518</v>
      </c>
      <c r="F176" s="142">
        <v>549</v>
      </c>
      <c r="G176" s="142">
        <v>477</v>
      </c>
      <c r="H176" s="142">
        <v>473</v>
      </c>
      <c r="I176" s="142">
        <v>484</v>
      </c>
      <c r="J176" s="142">
        <v>459</v>
      </c>
      <c r="K176" s="142">
        <v>526</v>
      </c>
      <c r="L176" s="142">
        <v>523</v>
      </c>
      <c r="M176" s="142">
        <v>605</v>
      </c>
      <c r="N176" s="142">
        <v>520</v>
      </c>
      <c r="O176" s="142">
        <v>621</v>
      </c>
      <c r="P176" s="142">
        <v>526</v>
      </c>
      <c r="Q176" s="142">
        <v>625</v>
      </c>
      <c r="R176" s="142">
        <v>641</v>
      </c>
      <c r="S176" s="142">
        <v>517</v>
      </c>
      <c r="T176" s="142">
        <v>598</v>
      </c>
      <c r="U176" s="142">
        <v>556</v>
      </c>
      <c r="V176" s="142">
        <v>587</v>
      </c>
      <c r="W176" s="142">
        <v>511</v>
      </c>
      <c r="X176" s="142">
        <v>547</v>
      </c>
      <c r="Y176" s="142">
        <v>631</v>
      </c>
      <c r="Z176" s="142">
        <v>547</v>
      </c>
      <c r="AA176" s="142">
        <v>605</v>
      </c>
      <c r="AB176" s="142">
        <v>498</v>
      </c>
      <c r="AC176" s="142">
        <v>527</v>
      </c>
      <c r="AD176" s="142">
        <v>684</v>
      </c>
      <c r="AE176" s="142">
        <v>563</v>
      </c>
      <c r="AF176" s="142">
        <v>622</v>
      </c>
      <c r="AG176" s="142">
        <v>609</v>
      </c>
      <c r="AH176" s="142">
        <v>614</v>
      </c>
      <c r="AI176" s="142">
        <v>560</v>
      </c>
      <c r="AJ176" s="142">
        <v>481</v>
      </c>
      <c r="AK176" s="142">
        <v>627</v>
      </c>
      <c r="AL176" s="142">
        <v>575</v>
      </c>
      <c r="AM176" s="142">
        <v>579</v>
      </c>
      <c r="AN176" s="142">
        <v>707</v>
      </c>
      <c r="AO176" s="142">
        <v>477</v>
      </c>
      <c r="AP176" s="142">
        <v>620</v>
      </c>
      <c r="AQ176" s="142">
        <v>523</v>
      </c>
      <c r="AR176" s="142">
        <v>584</v>
      </c>
      <c r="AS176" s="142">
        <v>555</v>
      </c>
      <c r="AT176" s="142">
        <v>543</v>
      </c>
      <c r="AU176" s="142">
        <v>528</v>
      </c>
      <c r="AV176" s="142">
        <v>682</v>
      </c>
      <c r="AW176" s="142">
        <v>595</v>
      </c>
      <c r="AX176" s="142">
        <v>592</v>
      </c>
      <c r="AY176" s="142">
        <v>657</v>
      </c>
    </row>
    <row r="177" spans="1:51" x14ac:dyDescent="0.2">
      <c r="A177" s="152" t="s">
        <v>133</v>
      </c>
      <c r="B177" s="152" t="s">
        <v>298</v>
      </c>
      <c r="C177" s="141" t="s">
        <v>293</v>
      </c>
      <c r="D177" s="141">
        <f t="shared" ref="D177:AY177" si="2">SUM(D100:D107)</f>
        <v>171.61339991679952</v>
      </c>
      <c r="E177" s="141">
        <f t="shared" si="2"/>
        <v>115.46528190577816</v>
      </c>
      <c r="F177" s="141">
        <f t="shared" si="2"/>
        <v>0</v>
      </c>
      <c r="G177" s="141">
        <f t="shared" si="2"/>
        <v>0</v>
      </c>
      <c r="H177" s="141">
        <f t="shared" si="2"/>
        <v>367.17998847723049</v>
      </c>
      <c r="I177" s="141">
        <f t="shared" si="2"/>
        <v>122.39332949241017</v>
      </c>
      <c r="J177" s="141">
        <f t="shared" si="2"/>
        <v>122.39332949241017</v>
      </c>
      <c r="K177" s="141">
        <f t="shared" si="2"/>
        <v>122.39332949241017</v>
      </c>
      <c r="L177" s="141">
        <f t="shared" si="2"/>
        <v>122.39332949241017</v>
      </c>
      <c r="M177" s="141">
        <f t="shared" si="2"/>
        <v>122.39332949241017</v>
      </c>
      <c r="N177" s="141">
        <f t="shared" si="2"/>
        <v>122.39332949241017</v>
      </c>
      <c r="O177" s="141">
        <f t="shared" si="2"/>
        <v>122.39332949241017</v>
      </c>
      <c r="P177" s="141">
        <f t="shared" si="2"/>
        <v>122.39332949241017</v>
      </c>
      <c r="Q177" s="141">
        <f t="shared" si="2"/>
        <v>122.39332949241017</v>
      </c>
      <c r="R177" s="141">
        <f t="shared" si="2"/>
        <v>122.39332949241017</v>
      </c>
      <c r="S177" s="141">
        <f t="shared" si="2"/>
        <v>122.39332949241017</v>
      </c>
      <c r="T177" s="141">
        <f t="shared" si="2"/>
        <v>122.39332949241017</v>
      </c>
      <c r="U177" s="141">
        <f t="shared" si="2"/>
        <v>0</v>
      </c>
      <c r="V177" s="141">
        <f t="shared" si="2"/>
        <v>244.78665898482035</v>
      </c>
      <c r="W177" s="141">
        <f t="shared" si="2"/>
        <v>122.39332949241017</v>
      </c>
      <c r="X177" s="141">
        <f t="shared" si="2"/>
        <v>122.39332949241017</v>
      </c>
      <c r="Y177" s="141">
        <f t="shared" si="2"/>
        <v>122.39332949241017</v>
      </c>
      <c r="Z177" s="141">
        <f t="shared" si="2"/>
        <v>122.39332949241017</v>
      </c>
      <c r="AA177" s="141">
        <f t="shared" si="2"/>
        <v>122.39332949241017</v>
      </c>
      <c r="AB177" s="141">
        <f t="shared" si="2"/>
        <v>0</v>
      </c>
      <c r="AC177" s="141">
        <f t="shared" si="2"/>
        <v>244.78665898482035</v>
      </c>
      <c r="AD177" s="141">
        <f t="shared" si="2"/>
        <v>122.39332949241017</v>
      </c>
      <c r="AE177" s="141">
        <f t="shared" si="2"/>
        <v>122.39332949241017</v>
      </c>
      <c r="AF177" s="141">
        <f t="shared" si="2"/>
        <v>122.39332949241017</v>
      </c>
      <c r="AG177" s="141">
        <f t="shared" si="2"/>
        <v>122.39332949241017</v>
      </c>
      <c r="AH177" s="141">
        <f t="shared" si="2"/>
        <v>122.39332949241017</v>
      </c>
      <c r="AI177" s="141">
        <f t="shared" si="2"/>
        <v>122.39332949241017</v>
      </c>
      <c r="AJ177" s="141">
        <f t="shared" si="2"/>
        <v>122.39332949241017</v>
      </c>
      <c r="AK177" s="141">
        <f t="shared" si="2"/>
        <v>122.39332949241017</v>
      </c>
      <c r="AL177" s="141">
        <f t="shared" si="2"/>
        <v>122.39332949241017</v>
      </c>
      <c r="AM177" s="141">
        <f t="shared" si="2"/>
        <v>122.39332949241017</v>
      </c>
      <c r="AN177" s="141">
        <f t="shared" si="2"/>
        <v>122.39332949241017</v>
      </c>
      <c r="AO177" s="141">
        <f t="shared" si="2"/>
        <v>122.39332949241017</v>
      </c>
      <c r="AP177" s="141">
        <f t="shared" si="2"/>
        <v>122.39332949241017</v>
      </c>
      <c r="AQ177" s="141">
        <f t="shared" si="2"/>
        <v>122.39332949241017</v>
      </c>
      <c r="AR177" s="141">
        <f t="shared" si="2"/>
        <v>122.39332949241017</v>
      </c>
      <c r="AS177" s="141">
        <f t="shared" si="2"/>
        <v>122.39332949241017</v>
      </c>
      <c r="AT177" s="141">
        <f t="shared" si="2"/>
        <v>122.39332949241017</v>
      </c>
      <c r="AU177" s="141">
        <f t="shared" si="2"/>
        <v>122.39332949241017</v>
      </c>
      <c r="AV177" s="141">
        <f t="shared" si="2"/>
        <v>122.39332949241017</v>
      </c>
      <c r="AW177" s="141">
        <f t="shared" si="2"/>
        <v>122.39332949241017</v>
      </c>
      <c r="AX177" s="141">
        <f t="shared" si="2"/>
        <v>122.39332949241017</v>
      </c>
      <c r="AY177" s="141">
        <f t="shared" si="2"/>
        <v>122.39332949241017</v>
      </c>
    </row>
    <row r="178" spans="1:51" x14ac:dyDescent="0.2">
      <c r="A178" s="142"/>
      <c r="B178" s="153" t="s">
        <v>299</v>
      </c>
      <c r="C178" s="142" t="s">
        <v>293</v>
      </c>
      <c r="D178" s="142">
        <v>171.61339991679952</v>
      </c>
      <c r="E178" s="142">
        <v>115.46528190577816</v>
      </c>
      <c r="F178" s="142">
        <v>0</v>
      </c>
      <c r="G178" s="142">
        <v>0</v>
      </c>
      <c r="H178" s="142">
        <v>367.17998847723049</v>
      </c>
      <c r="I178" s="142">
        <v>122.39332949241017</v>
      </c>
      <c r="J178" s="142">
        <v>122.39332949241017</v>
      </c>
      <c r="K178" s="142">
        <v>122.39332949241017</v>
      </c>
      <c r="L178" s="142">
        <v>122.39332949241017</v>
      </c>
      <c r="M178" s="142">
        <v>122.39332949241017</v>
      </c>
      <c r="N178" s="142">
        <v>122.39332949241017</v>
      </c>
      <c r="O178" s="142">
        <v>122.39332949241017</v>
      </c>
      <c r="P178" s="142">
        <v>122.39332949241017</v>
      </c>
      <c r="Q178" s="142">
        <v>122.39332949241017</v>
      </c>
      <c r="R178" s="142">
        <v>122.39332949241017</v>
      </c>
      <c r="S178" s="142">
        <v>122.39332949241017</v>
      </c>
      <c r="T178" s="142">
        <v>122.39332949241017</v>
      </c>
      <c r="U178" s="142">
        <v>0</v>
      </c>
      <c r="V178" s="142">
        <v>244.78665898482035</v>
      </c>
      <c r="W178" s="142">
        <v>122.39332949241017</v>
      </c>
      <c r="X178" s="142">
        <v>122.39332949241017</v>
      </c>
      <c r="Y178" s="142">
        <v>122.39332949241017</v>
      </c>
      <c r="Z178" s="142">
        <v>122.39332949241017</v>
      </c>
      <c r="AA178" s="142">
        <v>122.39332949241017</v>
      </c>
      <c r="AB178" s="142">
        <v>0</v>
      </c>
      <c r="AC178" s="142">
        <v>244.78665898482035</v>
      </c>
      <c r="AD178" s="142">
        <v>122.39332949241017</v>
      </c>
      <c r="AE178" s="142">
        <v>122.39332949241017</v>
      </c>
      <c r="AF178" s="142">
        <v>122.39332949241017</v>
      </c>
      <c r="AG178" s="142">
        <v>122.39332949241017</v>
      </c>
      <c r="AH178" s="142">
        <v>122.39332949241017</v>
      </c>
      <c r="AI178" s="142">
        <v>122.39332949241017</v>
      </c>
      <c r="AJ178" s="142">
        <v>122.39332949241017</v>
      </c>
      <c r="AK178" s="142">
        <v>122.39332949241017</v>
      </c>
      <c r="AL178" s="142">
        <v>122.39332949241017</v>
      </c>
      <c r="AM178" s="142">
        <v>122.39332949241017</v>
      </c>
      <c r="AN178" s="142">
        <v>122.39332949241017</v>
      </c>
      <c r="AO178" s="142">
        <v>122.39332949241017</v>
      </c>
      <c r="AP178" s="142">
        <v>122.39332949241017</v>
      </c>
      <c r="AQ178" s="142">
        <v>122.39332949241017</v>
      </c>
      <c r="AR178" s="142">
        <v>122.39332949241017</v>
      </c>
      <c r="AS178" s="142">
        <v>122.39332949241017</v>
      </c>
      <c r="AT178" s="142">
        <v>122.39332949241017</v>
      </c>
      <c r="AU178" s="142">
        <v>122.39332949241017</v>
      </c>
      <c r="AV178" s="142">
        <v>122.39332949241017</v>
      </c>
      <c r="AW178" s="142">
        <v>122.39332949241017</v>
      </c>
      <c r="AX178" s="142">
        <v>122.39332949241017</v>
      </c>
      <c r="AY178" s="142">
        <v>122.39332949241017</v>
      </c>
    </row>
    <row r="179" spans="1:51" x14ac:dyDescent="0.2">
      <c r="A179" s="152" t="s">
        <v>134</v>
      </c>
      <c r="B179" s="152" t="s">
        <v>298</v>
      </c>
      <c r="C179" s="141" t="s">
        <v>293</v>
      </c>
      <c r="D179" s="141">
        <f t="shared" ref="D179:AY179" si="3">SUM(D109:D120)</f>
        <v>8696.985729278229</v>
      </c>
      <c r="E179" s="141">
        <f t="shared" si="3"/>
        <v>8557.1693250501394</v>
      </c>
      <c r="F179" s="141">
        <f t="shared" si="3"/>
        <v>8689.112972597306</v>
      </c>
      <c r="G179" s="141">
        <f t="shared" si="3"/>
        <v>8658.0088655693726</v>
      </c>
      <c r="H179" s="141">
        <f t="shared" si="3"/>
        <v>8700.8712121225581</v>
      </c>
      <c r="I179" s="141">
        <f t="shared" si="3"/>
        <v>8293.4022876053641</v>
      </c>
      <c r="J179" s="141">
        <f t="shared" si="3"/>
        <v>7831.5090850976449</v>
      </c>
      <c r="K179" s="141">
        <f t="shared" si="3"/>
        <v>7644.9863426019547</v>
      </c>
      <c r="L179" s="141">
        <f t="shared" si="3"/>
        <v>7226.9202090782219</v>
      </c>
      <c r="M179" s="141">
        <f t="shared" si="3"/>
        <v>6850.7331352392303</v>
      </c>
      <c r="N179" s="141">
        <f t="shared" si="3"/>
        <v>6473.697307467527</v>
      </c>
      <c r="O179" s="141">
        <f t="shared" si="3"/>
        <v>6309.3474252754459</v>
      </c>
      <c r="P179" s="141">
        <f t="shared" si="3"/>
        <v>6013.4989751713138</v>
      </c>
      <c r="Q179" s="141">
        <f t="shared" si="3"/>
        <v>5893.3624699521006</v>
      </c>
      <c r="R179" s="141">
        <f t="shared" si="3"/>
        <v>5667.490885137473</v>
      </c>
      <c r="S179" s="141">
        <f t="shared" si="3"/>
        <v>5504.8962703065954</v>
      </c>
      <c r="T179" s="141">
        <f t="shared" si="3"/>
        <v>5382.0176325753218</v>
      </c>
      <c r="U179" s="141">
        <f t="shared" si="3"/>
        <v>5333.982470691215</v>
      </c>
      <c r="V179" s="141">
        <f t="shared" si="3"/>
        <v>5201.7736889834468</v>
      </c>
      <c r="W179" s="141">
        <f t="shared" si="3"/>
        <v>5099.2739921824905</v>
      </c>
      <c r="X179" s="141">
        <f t="shared" si="3"/>
        <v>5104.2061305535535</v>
      </c>
      <c r="Y179" s="141">
        <f t="shared" si="3"/>
        <v>4952.1760455372432</v>
      </c>
      <c r="Z179" s="141">
        <f t="shared" si="3"/>
        <v>4818.8727808160074</v>
      </c>
      <c r="AA179" s="141">
        <f t="shared" si="3"/>
        <v>4617.5796319763122</v>
      </c>
      <c r="AB179" s="141">
        <f t="shared" si="3"/>
        <v>4493.4766294767032</v>
      </c>
      <c r="AC179" s="141">
        <f t="shared" si="3"/>
        <v>4297.3126090131491</v>
      </c>
      <c r="AD179" s="141">
        <f t="shared" si="3"/>
        <v>4090.5923617281328</v>
      </c>
      <c r="AE179" s="141">
        <f t="shared" si="3"/>
        <v>3782.6505425610599</v>
      </c>
      <c r="AF179" s="141">
        <f t="shared" si="3"/>
        <v>3578.3541490109192</v>
      </c>
      <c r="AG179" s="141">
        <f t="shared" si="3"/>
        <v>3440.4995817691106</v>
      </c>
      <c r="AH179" s="141">
        <f t="shared" si="3"/>
        <v>3232.4836033175529</v>
      </c>
      <c r="AI179" s="141">
        <f t="shared" si="3"/>
        <v>3004.2004771883367</v>
      </c>
      <c r="AJ179" s="141">
        <f t="shared" si="3"/>
        <v>2753.5936918966272</v>
      </c>
      <c r="AK179" s="141">
        <f t="shared" si="3"/>
        <v>2481.3822334980487</v>
      </c>
      <c r="AL179" s="141">
        <f t="shared" si="3"/>
        <v>2398.6880911853405</v>
      </c>
      <c r="AM179" s="141">
        <f t="shared" si="3"/>
        <v>2257.0906025100039</v>
      </c>
      <c r="AN179" s="141">
        <f t="shared" si="3"/>
        <v>2154.2255071009454</v>
      </c>
      <c r="AO179" s="141">
        <f t="shared" si="3"/>
        <v>1980.8752695265268</v>
      </c>
      <c r="AP179" s="141">
        <f t="shared" si="3"/>
        <v>1787.1292348600498</v>
      </c>
      <c r="AQ179" s="141">
        <f t="shared" si="3"/>
        <v>1573.7612805599983</v>
      </c>
      <c r="AR179" s="141">
        <f t="shared" si="3"/>
        <v>1365.6926752762283</v>
      </c>
      <c r="AS179" s="141">
        <f t="shared" si="3"/>
        <v>1224.2042219451903</v>
      </c>
      <c r="AT179" s="141">
        <f t="shared" si="3"/>
        <v>1090.6636325018806</v>
      </c>
      <c r="AU179" s="141">
        <f t="shared" si="3"/>
        <v>934.38345898914326</v>
      </c>
      <c r="AV179" s="141">
        <f t="shared" si="3"/>
        <v>777.75064932949999</v>
      </c>
      <c r="AW179" s="141">
        <f t="shared" si="3"/>
        <v>674.99003243710285</v>
      </c>
      <c r="AX179" s="141">
        <f t="shared" si="3"/>
        <v>480.04263813450262</v>
      </c>
      <c r="AY179" s="141">
        <f t="shared" si="3"/>
        <v>386.12338372921795</v>
      </c>
    </row>
    <row r="180" spans="1:51" x14ac:dyDescent="0.2">
      <c r="A180" s="142"/>
      <c r="B180" s="153" t="s">
        <v>299</v>
      </c>
      <c r="C180" s="142" t="s">
        <v>293</v>
      </c>
      <c r="D180" s="142">
        <v>661.52104845196823</v>
      </c>
      <c r="E180" s="142">
        <v>512.49461337829985</v>
      </c>
      <c r="F180" s="142">
        <v>620</v>
      </c>
      <c r="G180" s="142">
        <v>502</v>
      </c>
      <c r="H180" s="142">
        <v>528.25686416384121</v>
      </c>
      <c r="I180" s="142">
        <v>478.26818690570371</v>
      </c>
      <c r="J180" s="142">
        <v>516.39131880319212</v>
      </c>
      <c r="K180" s="142">
        <v>533.69580551862407</v>
      </c>
      <c r="L180" s="142">
        <v>594.88353488491214</v>
      </c>
      <c r="M180" s="142">
        <v>492.0428569296202</v>
      </c>
      <c r="N180" s="142">
        <v>470.6619047717175</v>
      </c>
      <c r="O180" s="142">
        <v>517.20473519827158</v>
      </c>
      <c r="P180" s="142">
        <v>453.61498826723607</v>
      </c>
      <c r="Q180" s="142">
        <v>595.8205152014765</v>
      </c>
      <c r="R180" s="142">
        <v>601.42634647040859</v>
      </c>
      <c r="S180" s="142">
        <v>578.68622865690293</v>
      </c>
      <c r="T180" s="142">
        <v>469.26818690570371</v>
      </c>
      <c r="U180" s="142">
        <v>532</v>
      </c>
      <c r="V180" s="142">
        <v>546.63926578050427</v>
      </c>
      <c r="W180" s="142">
        <v>468.73363412242264</v>
      </c>
      <c r="X180" s="142">
        <v>637.18270833979386</v>
      </c>
      <c r="Y180" s="142">
        <v>563.396887395965</v>
      </c>
      <c r="Z180" s="142">
        <v>607.14288381331914</v>
      </c>
      <c r="AA180" s="142">
        <v>518.56740555795</v>
      </c>
      <c r="AB180" s="142">
        <v>552</v>
      </c>
      <c r="AC180" s="142">
        <v>579.05466163061817</v>
      </c>
      <c r="AD180" s="142">
        <v>677.84802382607472</v>
      </c>
      <c r="AE180" s="142">
        <v>555.62773348094026</v>
      </c>
      <c r="AF180" s="142">
        <v>501.10855856344546</v>
      </c>
      <c r="AG180" s="142">
        <v>615.14288381331914</v>
      </c>
      <c r="AH180" s="142">
        <v>618.49458954097202</v>
      </c>
      <c r="AI180" s="142">
        <v>631.6376076666262</v>
      </c>
      <c r="AJ180" s="142">
        <v>618.65720490250305</v>
      </c>
      <c r="AK180" s="142">
        <v>470.97336451374889</v>
      </c>
      <c r="AL180" s="142">
        <v>496.62773348094021</v>
      </c>
      <c r="AM180" s="142">
        <v>462.64743134496854</v>
      </c>
      <c r="AN180" s="142">
        <v>545.8205152014765</v>
      </c>
      <c r="AO180" s="142">
        <v>545.05854555504879</v>
      </c>
      <c r="AP180" s="142">
        <v>571.33478564834718</v>
      </c>
      <c r="AQ180" s="142">
        <v>537.67660318167043</v>
      </c>
      <c r="AR180" s="142">
        <v>492.60282447435844</v>
      </c>
      <c r="AS180" s="142">
        <v>538.70792478248279</v>
      </c>
      <c r="AT180" s="142">
        <v>537.99491540912447</v>
      </c>
      <c r="AU180" s="142">
        <v>571.22294797114182</v>
      </c>
      <c r="AV180" s="142">
        <v>496.03495851819753</v>
      </c>
      <c r="AW180" s="142">
        <v>595.4998804790298</v>
      </c>
      <c r="AX180" s="142">
        <v>480.04263813450262</v>
      </c>
      <c r="AY180" s="142">
        <v>386.12338372921795</v>
      </c>
    </row>
    <row r="181" spans="1:51" x14ac:dyDescent="0.2">
      <c r="A181" s="152" t="s">
        <v>123</v>
      </c>
      <c r="B181" s="152" t="s">
        <v>298</v>
      </c>
      <c r="C181" s="141" t="s">
        <v>293</v>
      </c>
      <c r="D181" s="141">
        <f t="shared" ref="D181:AY181" si="4">(1-D172)*SUM(D122:D169)</f>
        <v>1202.5439900508766</v>
      </c>
      <c r="E181" s="141">
        <f t="shared" si="4"/>
        <v>1485.4484548199589</v>
      </c>
      <c r="F181" s="141">
        <f t="shared" si="4"/>
        <v>1357.4217226161095</v>
      </c>
      <c r="G181" s="141">
        <f t="shared" si="4"/>
        <v>1255.9231502094415</v>
      </c>
      <c r="H181" s="141">
        <f t="shared" si="4"/>
        <v>1222.7961860070543</v>
      </c>
      <c r="I181" s="141">
        <f t="shared" si="4"/>
        <v>1092.8063758433034</v>
      </c>
      <c r="J181" s="141">
        <f t="shared" si="4"/>
        <v>1093.5030164537914</v>
      </c>
      <c r="K181" s="141">
        <f t="shared" si="4"/>
        <v>1079.2569536489682</v>
      </c>
      <c r="L181" s="141">
        <f t="shared" si="4"/>
        <v>1009.1299101250188</v>
      </c>
      <c r="M181" s="141">
        <f t="shared" si="4"/>
        <v>1038.8998993855248</v>
      </c>
      <c r="N181" s="141">
        <f t="shared" si="4"/>
        <v>1013.5208603236733</v>
      </c>
      <c r="O181" s="141">
        <f t="shared" si="4"/>
        <v>1010.0350409072502</v>
      </c>
      <c r="P181" s="141">
        <f t="shared" si="4"/>
        <v>925.62594085082981</v>
      </c>
      <c r="Q181" s="141">
        <f t="shared" si="4"/>
        <v>964.8080506192714</v>
      </c>
      <c r="R181" s="141">
        <f t="shared" si="4"/>
        <v>1011.5195779247813</v>
      </c>
      <c r="S181" s="141">
        <f t="shared" si="4"/>
        <v>1050.6494146752605</v>
      </c>
      <c r="T181" s="141">
        <f t="shared" si="4"/>
        <v>1005.225719302137</v>
      </c>
      <c r="U181" s="141">
        <f t="shared" si="4"/>
        <v>921.53008825071868</v>
      </c>
      <c r="V181" s="141">
        <f t="shared" si="4"/>
        <v>1023.7542934176867</v>
      </c>
      <c r="W181" s="141">
        <f t="shared" si="4"/>
        <v>1091.8130292902138</v>
      </c>
      <c r="X181" s="141">
        <f t="shared" si="4"/>
        <v>1118.290545990825</v>
      </c>
      <c r="Y181" s="141">
        <f t="shared" si="4"/>
        <v>991.3779891228188</v>
      </c>
      <c r="Z181" s="141">
        <f t="shared" si="4"/>
        <v>935.49514089974798</v>
      </c>
      <c r="AA181" s="141">
        <f t="shared" si="4"/>
        <v>909.25162817460455</v>
      </c>
      <c r="AB181" s="141">
        <f t="shared" si="4"/>
        <v>820.21201722672572</v>
      </c>
      <c r="AC181" s="141">
        <f t="shared" si="4"/>
        <v>858.24137702764006</v>
      </c>
      <c r="AD181" s="141">
        <f t="shared" si="4"/>
        <v>852.64428488453734</v>
      </c>
      <c r="AE181" s="141">
        <f t="shared" si="4"/>
        <v>809.82869527418018</v>
      </c>
      <c r="AF181" s="141">
        <f t="shared" si="4"/>
        <v>837.31074461811977</v>
      </c>
      <c r="AG181" s="141">
        <f t="shared" si="4"/>
        <v>938.4390548394299</v>
      </c>
      <c r="AH181" s="141">
        <f t="shared" si="4"/>
        <v>899.44848176087203</v>
      </c>
      <c r="AI181" s="141">
        <f t="shared" si="4"/>
        <v>878.28684399150018</v>
      </c>
      <c r="AJ181" s="141">
        <f t="shared" si="4"/>
        <v>798.56726396746626</v>
      </c>
      <c r="AK181" s="141">
        <f t="shared" si="4"/>
        <v>894.99461101043948</v>
      </c>
      <c r="AL181" s="141">
        <f t="shared" si="4"/>
        <v>818.35477583760405</v>
      </c>
      <c r="AM181" s="141">
        <f t="shared" si="4"/>
        <v>829.30848056727086</v>
      </c>
      <c r="AN181" s="141">
        <f t="shared" si="4"/>
        <v>858.55454574176122</v>
      </c>
      <c r="AO181" s="141">
        <f t="shared" si="4"/>
        <v>809.78529379822987</v>
      </c>
      <c r="AP181" s="141">
        <f t="shared" si="4"/>
        <v>825.12369104140214</v>
      </c>
      <c r="AQ181" s="141">
        <f t="shared" si="4"/>
        <v>759.75577624861671</v>
      </c>
      <c r="AR181" s="141">
        <f t="shared" si="4"/>
        <v>809.32857607014296</v>
      </c>
      <c r="AS181" s="141">
        <f t="shared" si="4"/>
        <v>933.92219040312864</v>
      </c>
      <c r="AT181" s="141">
        <f t="shared" si="4"/>
        <v>879.86329787077545</v>
      </c>
      <c r="AU181" s="141">
        <f t="shared" si="4"/>
        <v>955.64201829666956</v>
      </c>
      <c r="AV181" s="141">
        <f t="shared" si="4"/>
        <v>906.50850284624448</v>
      </c>
      <c r="AW181" s="141">
        <f t="shared" si="4"/>
        <v>923.28483229813412</v>
      </c>
      <c r="AX181" s="141">
        <f t="shared" si="4"/>
        <v>890.0253422364035</v>
      </c>
      <c r="AY181" s="141">
        <f t="shared" si="4"/>
        <v>880.56981726192055</v>
      </c>
    </row>
    <row r="182" spans="1:51" x14ac:dyDescent="0.2">
      <c r="A182" s="142"/>
      <c r="B182" s="153" t="s">
        <v>299</v>
      </c>
      <c r="C182" s="142" t="s">
        <v>293</v>
      </c>
      <c r="D182" s="142">
        <v>618.52104845196823</v>
      </c>
      <c r="E182" s="142">
        <v>628.49461337829985</v>
      </c>
      <c r="F182" s="142">
        <v>646</v>
      </c>
      <c r="G182" s="142">
        <v>592</v>
      </c>
      <c r="H182" s="142">
        <v>745.25686416384121</v>
      </c>
      <c r="I182" s="142">
        <v>614.26818690570371</v>
      </c>
      <c r="J182" s="142">
        <v>635.39131880319212</v>
      </c>
      <c r="K182" s="142">
        <v>721.69580551862407</v>
      </c>
      <c r="L182" s="142">
        <v>608.88353488491214</v>
      </c>
      <c r="M182" s="142">
        <v>675.04285692962014</v>
      </c>
      <c r="N182" s="142">
        <v>654.66190477171756</v>
      </c>
      <c r="O182" s="142">
        <v>772.20473519827158</v>
      </c>
      <c r="P182" s="142">
        <v>631.61498826723607</v>
      </c>
      <c r="Q182" s="142">
        <v>603.8205152014765</v>
      </c>
      <c r="R182" s="142">
        <v>594.42634647040859</v>
      </c>
      <c r="S182" s="142">
        <v>698.68622865690293</v>
      </c>
      <c r="T182" s="142">
        <v>773.26818690570371</v>
      </c>
      <c r="U182" s="142">
        <v>543</v>
      </c>
      <c r="V182" s="142">
        <v>547.63926578050427</v>
      </c>
      <c r="W182" s="142">
        <v>577.73363412242259</v>
      </c>
      <c r="X182" s="142">
        <v>786.18270833979386</v>
      </c>
      <c r="Y182" s="142">
        <v>739.396887395965</v>
      </c>
      <c r="Z182" s="142">
        <v>721.14288381331914</v>
      </c>
      <c r="AA182" s="142">
        <v>822.56740555795</v>
      </c>
      <c r="AB182" s="142">
        <v>679</v>
      </c>
      <c r="AC182" s="142">
        <v>725.05466163061817</v>
      </c>
      <c r="AD182" s="142">
        <v>780.84802382607472</v>
      </c>
      <c r="AE182" s="142">
        <v>698.62773348094026</v>
      </c>
      <c r="AF182" s="142">
        <v>581.1085585634454</v>
      </c>
      <c r="AG182" s="142">
        <v>738.14288381331914</v>
      </c>
      <c r="AH182" s="142">
        <v>729.49458954097202</v>
      </c>
      <c r="AI182" s="142">
        <v>822.6376076666262</v>
      </c>
      <c r="AJ182" s="142">
        <v>604.65720490250305</v>
      </c>
      <c r="AK182" s="142">
        <v>810.97336451374895</v>
      </c>
      <c r="AL182" s="142">
        <v>718.62773348094026</v>
      </c>
      <c r="AM182" s="142">
        <v>687.6474313449686</v>
      </c>
      <c r="AN182" s="142">
        <v>786.8205152014765</v>
      </c>
      <c r="AO182" s="142">
        <v>716.05854555504879</v>
      </c>
      <c r="AP182" s="142">
        <v>825.12369104140214</v>
      </c>
      <c r="AQ182" s="142">
        <v>688.67660318167043</v>
      </c>
      <c r="AR182" s="142">
        <v>559.6028244743585</v>
      </c>
      <c r="AS182" s="142">
        <v>761.70792478248279</v>
      </c>
      <c r="AT182" s="142">
        <v>598.99491540912447</v>
      </c>
      <c r="AU182" s="142">
        <v>745.22294797114182</v>
      </c>
      <c r="AV182" s="142">
        <v>672.03495851819753</v>
      </c>
      <c r="AW182" s="142">
        <v>736.4998804790298</v>
      </c>
      <c r="AX182" s="142">
        <v>716.79804498834994</v>
      </c>
      <c r="AY182" s="142">
        <v>698.98272024988512</v>
      </c>
    </row>
    <row r="184" spans="1:51" x14ac:dyDescent="0.2">
      <c r="A184" s="1" t="s">
        <v>300</v>
      </c>
    </row>
    <row r="185" spans="1:51" x14ac:dyDescent="0.2">
      <c r="A185" s="143" t="s">
        <v>125</v>
      </c>
      <c r="B185" s="140">
        <v>1</v>
      </c>
      <c r="C185" s="141">
        <v>0</v>
      </c>
      <c r="D185" s="141">
        <v>0</v>
      </c>
      <c r="E185" s="141">
        <v>0</v>
      </c>
      <c r="F185" s="141">
        <v>0</v>
      </c>
      <c r="G185" s="141">
        <v>0</v>
      </c>
      <c r="H185" s="141">
        <v>0</v>
      </c>
      <c r="I185" s="141">
        <v>0</v>
      </c>
      <c r="J185" s="141">
        <v>0</v>
      </c>
      <c r="K185" s="141">
        <v>0</v>
      </c>
      <c r="L185" s="141">
        <v>0</v>
      </c>
      <c r="M185" s="141">
        <v>0</v>
      </c>
      <c r="N185" s="141">
        <v>0</v>
      </c>
      <c r="O185" s="141">
        <v>0</v>
      </c>
      <c r="P185" s="141">
        <v>0</v>
      </c>
      <c r="Q185" s="141">
        <v>0</v>
      </c>
      <c r="R185" s="141">
        <v>0</v>
      </c>
      <c r="S185" s="141">
        <v>0</v>
      </c>
      <c r="T185" s="141">
        <v>0</v>
      </c>
      <c r="U185" s="141">
        <v>0</v>
      </c>
      <c r="V185" s="141">
        <v>0</v>
      </c>
      <c r="W185" s="141">
        <v>0</v>
      </c>
      <c r="X185" s="141">
        <v>0</v>
      </c>
      <c r="Y185" s="141">
        <v>0</v>
      </c>
      <c r="Z185" s="141">
        <v>0</v>
      </c>
      <c r="AA185" s="141">
        <v>0</v>
      </c>
      <c r="AB185" s="141">
        <v>0</v>
      </c>
      <c r="AC185" s="141">
        <v>0</v>
      </c>
      <c r="AD185" s="141">
        <v>0</v>
      </c>
      <c r="AE185" s="141">
        <v>0</v>
      </c>
      <c r="AF185" s="141">
        <v>0</v>
      </c>
      <c r="AG185" s="141">
        <v>0</v>
      </c>
      <c r="AH185" s="141">
        <v>0</v>
      </c>
      <c r="AI185" s="141">
        <v>0</v>
      </c>
      <c r="AJ185" s="141">
        <v>0</v>
      </c>
      <c r="AK185" s="141">
        <v>0</v>
      </c>
      <c r="AL185" s="141">
        <v>0</v>
      </c>
      <c r="AM185" s="141">
        <v>0</v>
      </c>
      <c r="AN185" s="141">
        <v>0</v>
      </c>
      <c r="AO185" s="141">
        <v>0</v>
      </c>
      <c r="AP185" s="141">
        <v>0</v>
      </c>
      <c r="AQ185" s="141">
        <v>0</v>
      </c>
      <c r="AR185" s="141">
        <v>0</v>
      </c>
      <c r="AS185" s="141">
        <v>0</v>
      </c>
      <c r="AT185" s="141">
        <v>0</v>
      </c>
      <c r="AU185" s="141">
        <v>0</v>
      </c>
      <c r="AV185" s="141">
        <v>0</v>
      </c>
      <c r="AW185" s="141">
        <v>0</v>
      </c>
      <c r="AX185" s="141">
        <v>0</v>
      </c>
      <c r="AY185" s="141">
        <v>0</v>
      </c>
    </row>
    <row r="186" spans="1:51" x14ac:dyDescent="0.2">
      <c r="A186" s="127"/>
      <c r="B186" s="137">
        <v>2</v>
      </c>
      <c r="C186" s="124">
        <v>0</v>
      </c>
      <c r="D186" s="124">
        <v>0</v>
      </c>
      <c r="E186" s="124">
        <v>0</v>
      </c>
      <c r="F186" s="124">
        <v>0</v>
      </c>
      <c r="G186" s="124">
        <v>0</v>
      </c>
      <c r="H186" s="124">
        <v>0</v>
      </c>
      <c r="I186" s="124">
        <v>0</v>
      </c>
      <c r="J186" s="124">
        <v>0</v>
      </c>
      <c r="K186" s="124">
        <v>0</v>
      </c>
      <c r="L186" s="124">
        <v>0</v>
      </c>
      <c r="M186" s="124">
        <v>0</v>
      </c>
      <c r="N186" s="124">
        <v>0</v>
      </c>
      <c r="O186" s="124">
        <v>0</v>
      </c>
      <c r="P186" s="124">
        <v>0</v>
      </c>
      <c r="Q186" s="124">
        <v>0</v>
      </c>
      <c r="R186" s="124">
        <v>0</v>
      </c>
      <c r="S186" s="124">
        <v>0</v>
      </c>
      <c r="T186" s="124">
        <v>0</v>
      </c>
      <c r="U186" s="124">
        <v>0</v>
      </c>
      <c r="V186" s="124">
        <v>0</v>
      </c>
      <c r="W186" s="124">
        <v>0</v>
      </c>
      <c r="X186" s="124">
        <v>0</v>
      </c>
      <c r="Y186" s="124">
        <v>0</v>
      </c>
      <c r="Z186" s="124">
        <v>0</v>
      </c>
      <c r="AA186" s="124">
        <v>0</v>
      </c>
      <c r="AB186" s="124">
        <v>0</v>
      </c>
      <c r="AC186" s="124">
        <v>0</v>
      </c>
      <c r="AD186" s="124">
        <v>0</v>
      </c>
      <c r="AE186" s="124">
        <v>0</v>
      </c>
      <c r="AF186" s="124">
        <v>0</v>
      </c>
      <c r="AG186" s="124">
        <v>0</v>
      </c>
      <c r="AH186" s="124">
        <v>0</v>
      </c>
      <c r="AI186" s="124">
        <v>0</v>
      </c>
      <c r="AJ186" s="124">
        <v>0</v>
      </c>
      <c r="AK186" s="124">
        <v>0</v>
      </c>
      <c r="AL186" s="124">
        <v>0</v>
      </c>
      <c r="AM186" s="124">
        <v>0</v>
      </c>
      <c r="AN186" s="124">
        <v>0</v>
      </c>
      <c r="AO186" s="124">
        <v>0</v>
      </c>
      <c r="AP186" s="124">
        <v>0</v>
      </c>
      <c r="AQ186" s="124">
        <v>0</v>
      </c>
      <c r="AR186" s="124">
        <v>0</v>
      </c>
      <c r="AS186" s="124">
        <v>0</v>
      </c>
      <c r="AT186" s="124">
        <v>0</v>
      </c>
      <c r="AU186" s="124">
        <v>0</v>
      </c>
      <c r="AV186" s="124">
        <v>0</v>
      </c>
      <c r="AW186" s="124">
        <v>0</v>
      </c>
      <c r="AX186" s="124">
        <v>0</v>
      </c>
      <c r="AY186" s="124">
        <v>0</v>
      </c>
    </row>
    <row r="187" spans="1:51" x14ac:dyDescent="0.2">
      <c r="A187" s="127"/>
      <c r="B187" s="144">
        <v>3</v>
      </c>
      <c r="C187" s="124">
        <v>0</v>
      </c>
      <c r="D187" s="124">
        <v>0</v>
      </c>
      <c r="E187" s="124">
        <v>0</v>
      </c>
      <c r="F187" s="124">
        <v>0</v>
      </c>
      <c r="G187" s="124">
        <v>0</v>
      </c>
      <c r="H187" s="124">
        <v>0</v>
      </c>
      <c r="I187" s="124">
        <v>0</v>
      </c>
      <c r="J187" s="124">
        <v>0</v>
      </c>
      <c r="K187" s="124">
        <v>0</v>
      </c>
      <c r="L187" s="124">
        <v>0</v>
      </c>
      <c r="M187" s="124">
        <v>0</v>
      </c>
      <c r="N187" s="124">
        <v>0</v>
      </c>
      <c r="O187" s="124">
        <v>0</v>
      </c>
      <c r="P187" s="124">
        <v>0</v>
      </c>
      <c r="Q187" s="124">
        <v>0</v>
      </c>
      <c r="R187" s="124">
        <v>0</v>
      </c>
      <c r="S187" s="124">
        <v>0</v>
      </c>
      <c r="T187" s="124">
        <v>0</v>
      </c>
      <c r="U187" s="124">
        <v>0</v>
      </c>
      <c r="V187" s="124">
        <v>0</v>
      </c>
      <c r="W187" s="124">
        <v>0</v>
      </c>
      <c r="X187" s="124">
        <v>0</v>
      </c>
      <c r="Y187" s="124">
        <v>0</v>
      </c>
      <c r="Z187" s="124">
        <v>0</v>
      </c>
      <c r="AA187" s="124">
        <v>0</v>
      </c>
      <c r="AB187" s="124">
        <v>0</v>
      </c>
      <c r="AC187" s="124">
        <v>0</v>
      </c>
      <c r="AD187" s="124">
        <v>0</v>
      </c>
      <c r="AE187" s="124">
        <v>0</v>
      </c>
      <c r="AF187" s="124">
        <v>0</v>
      </c>
      <c r="AG187" s="124">
        <v>0</v>
      </c>
      <c r="AH187" s="124">
        <v>0</v>
      </c>
      <c r="AI187" s="124">
        <v>0</v>
      </c>
      <c r="AJ187" s="124">
        <v>0</v>
      </c>
      <c r="AK187" s="124">
        <v>0</v>
      </c>
      <c r="AL187" s="124">
        <v>0</v>
      </c>
      <c r="AM187" s="124">
        <v>0</v>
      </c>
      <c r="AN187" s="124">
        <v>0</v>
      </c>
      <c r="AO187" s="124">
        <v>0</v>
      </c>
      <c r="AP187" s="124">
        <v>0</v>
      </c>
      <c r="AQ187" s="124">
        <v>0</v>
      </c>
      <c r="AR187" s="124">
        <v>0</v>
      </c>
      <c r="AS187" s="124">
        <v>0</v>
      </c>
      <c r="AT187" s="124">
        <v>0</v>
      </c>
      <c r="AU187" s="124">
        <v>0</v>
      </c>
      <c r="AV187" s="124">
        <v>0</v>
      </c>
      <c r="AW187" s="124">
        <v>0</v>
      </c>
      <c r="AX187" s="124">
        <v>0</v>
      </c>
      <c r="AY187" s="124">
        <v>0</v>
      </c>
    </row>
    <row r="188" spans="1:51" x14ac:dyDescent="0.2">
      <c r="A188" s="145"/>
      <c r="B188" s="146">
        <v>4</v>
      </c>
      <c r="C188" s="124">
        <v>400</v>
      </c>
      <c r="D188" s="124">
        <v>504</v>
      </c>
      <c r="E188" s="124">
        <v>518</v>
      </c>
      <c r="F188" s="124">
        <v>549</v>
      </c>
      <c r="G188" s="124">
        <v>477</v>
      </c>
      <c r="H188" s="124">
        <v>473</v>
      </c>
      <c r="I188" s="124">
        <v>484</v>
      </c>
      <c r="J188" s="124">
        <v>459</v>
      </c>
      <c r="K188" s="124">
        <v>526</v>
      </c>
      <c r="L188" s="124">
        <v>523</v>
      </c>
      <c r="M188" s="124">
        <v>605</v>
      </c>
      <c r="N188" s="124">
        <v>520</v>
      </c>
      <c r="O188" s="124">
        <v>621</v>
      </c>
      <c r="P188" s="124">
        <v>526</v>
      </c>
      <c r="Q188" s="124">
        <v>625</v>
      </c>
      <c r="R188" s="124">
        <v>641</v>
      </c>
      <c r="S188" s="124">
        <v>517</v>
      </c>
      <c r="T188" s="124">
        <v>598</v>
      </c>
      <c r="U188" s="124">
        <v>556</v>
      </c>
      <c r="V188" s="124">
        <v>587</v>
      </c>
      <c r="W188" s="124">
        <v>511</v>
      </c>
      <c r="X188" s="124">
        <v>547</v>
      </c>
      <c r="Y188" s="124">
        <v>631</v>
      </c>
      <c r="Z188" s="124">
        <v>547</v>
      </c>
      <c r="AA188" s="124">
        <v>605</v>
      </c>
      <c r="AB188" s="124">
        <v>498</v>
      </c>
      <c r="AC188" s="124">
        <v>527</v>
      </c>
      <c r="AD188" s="124">
        <v>684</v>
      </c>
      <c r="AE188" s="124">
        <v>563</v>
      </c>
      <c r="AF188" s="124">
        <v>622</v>
      </c>
      <c r="AG188" s="124">
        <v>609</v>
      </c>
      <c r="AH188" s="124">
        <v>614</v>
      </c>
      <c r="AI188" s="124">
        <v>560</v>
      </c>
      <c r="AJ188" s="124">
        <v>481</v>
      </c>
      <c r="AK188" s="124">
        <v>627</v>
      </c>
      <c r="AL188" s="124">
        <v>575</v>
      </c>
      <c r="AM188" s="124">
        <v>579</v>
      </c>
      <c r="AN188" s="124">
        <v>707</v>
      </c>
      <c r="AO188" s="124">
        <v>477</v>
      </c>
      <c r="AP188" s="124">
        <v>620</v>
      </c>
      <c r="AQ188" s="124">
        <v>523</v>
      </c>
      <c r="AR188" s="124">
        <v>584</v>
      </c>
      <c r="AS188" s="124">
        <v>555</v>
      </c>
      <c r="AT188" s="124">
        <v>543</v>
      </c>
      <c r="AU188" s="124">
        <v>528</v>
      </c>
      <c r="AV188" s="124">
        <v>682</v>
      </c>
      <c r="AW188" s="124">
        <v>595</v>
      </c>
      <c r="AX188" s="124">
        <v>592</v>
      </c>
      <c r="AY188" s="124">
        <v>657</v>
      </c>
    </row>
    <row r="189" spans="1:51" x14ac:dyDescent="0.2">
      <c r="A189" s="143" t="s">
        <v>133</v>
      </c>
      <c r="B189" s="140">
        <v>1</v>
      </c>
      <c r="C189" s="141">
        <v>171.61339991679952</v>
      </c>
      <c r="D189" s="141">
        <v>171.61339991679952</v>
      </c>
      <c r="E189" s="141">
        <v>115.46528190577816</v>
      </c>
      <c r="F189" s="141">
        <v>0</v>
      </c>
      <c r="G189" s="141">
        <v>0</v>
      </c>
      <c r="H189" s="141">
        <v>367.17998847723049</v>
      </c>
      <c r="I189" s="141">
        <v>122.39332949241017</v>
      </c>
      <c r="J189" s="141">
        <v>122.39332949241017</v>
      </c>
      <c r="K189" s="141">
        <v>122.39332949241017</v>
      </c>
      <c r="L189" s="141">
        <v>122.39332949241017</v>
      </c>
      <c r="M189" s="141">
        <v>122.39332949241017</v>
      </c>
      <c r="N189" s="141">
        <v>122.39332949241017</v>
      </c>
      <c r="O189" s="141">
        <v>122.39332949241017</v>
      </c>
      <c r="P189" s="141">
        <v>122.39332949241017</v>
      </c>
      <c r="Q189" s="141">
        <v>122.39332949241017</v>
      </c>
      <c r="R189" s="141">
        <v>122.39332949241017</v>
      </c>
      <c r="S189" s="141">
        <v>122.39332949241017</v>
      </c>
      <c r="T189" s="141">
        <v>122.39332949241017</v>
      </c>
      <c r="U189" s="141">
        <v>0</v>
      </c>
      <c r="V189" s="141">
        <v>244.78665898482035</v>
      </c>
      <c r="W189" s="141">
        <v>122.39332949241017</v>
      </c>
      <c r="X189" s="141">
        <v>122.39332949241017</v>
      </c>
      <c r="Y189" s="141">
        <v>122.39332949241017</v>
      </c>
      <c r="Z189" s="141">
        <v>122.39332949241017</v>
      </c>
      <c r="AA189" s="141">
        <v>122.39332949241017</v>
      </c>
      <c r="AB189" s="141">
        <v>0</v>
      </c>
      <c r="AC189" s="141">
        <v>244.78665898482035</v>
      </c>
      <c r="AD189" s="141">
        <v>122.39332949241017</v>
      </c>
      <c r="AE189" s="141">
        <v>122.39332949241017</v>
      </c>
      <c r="AF189" s="141">
        <v>122.39332949241017</v>
      </c>
      <c r="AG189" s="141">
        <v>122.39332949241017</v>
      </c>
      <c r="AH189" s="141">
        <v>122.39332949241017</v>
      </c>
      <c r="AI189" s="141">
        <v>122.39332949241017</v>
      </c>
      <c r="AJ189" s="141">
        <v>122.39332949241017</v>
      </c>
      <c r="AK189" s="141">
        <v>122.39332949241017</v>
      </c>
      <c r="AL189" s="141">
        <v>122.39332949241017</v>
      </c>
      <c r="AM189" s="141">
        <v>122.39332949241017</v>
      </c>
      <c r="AN189" s="141">
        <v>122.39332949241017</v>
      </c>
      <c r="AO189" s="141">
        <v>122.39332949241017</v>
      </c>
      <c r="AP189" s="141">
        <v>122.39332949241017</v>
      </c>
      <c r="AQ189" s="141">
        <v>122.39332949241017</v>
      </c>
      <c r="AR189" s="141">
        <v>122.39332949241017</v>
      </c>
      <c r="AS189" s="141">
        <v>122.39332949241017</v>
      </c>
      <c r="AT189" s="141">
        <v>122.39332949241017</v>
      </c>
      <c r="AU189" s="141">
        <v>122.39332949241017</v>
      </c>
      <c r="AV189" s="141">
        <v>122.39332949241017</v>
      </c>
      <c r="AW189" s="141">
        <v>122.39332949241017</v>
      </c>
      <c r="AX189" s="141">
        <v>122.39332949241017</v>
      </c>
      <c r="AY189" s="141">
        <v>122.39332949241017</v>
      </c>
    </row>
    <row r="190" spans="1:51" x14ac:dyDescent="0.2">
      <c r="A190" s="127"/>
      <c r="B190" s="136">
        <v>2</v>
      </c>
      <c r="C190" s="124">
        <v>0</v>
      </c>
      <c r="D190" s="124">
        <v>0</v>
      </c>
      <c r="E190" s="124">
        <v>0</v>
      </c>
      <c r="F190" s="124">
        <v>0</v>
      </c>
      <c r="G190" s="124">
        <v>0</v>
      </c>
      <c r="H190" s="124">
        <v>0</v>
      </c>
      <c r="I190" s="124">
        <v>0</v>
      </c>
      <c r="J190" s="124">
        <v>0</v>
      </c>
      <c r="K190" s="124">
        <v>0</v>
      </c>
      <c r="L190" s="124">
        <v>0</v>
      </c>
      <c r="M190" s="124">
        <v>0</v>
      </c>
      <c r="N190" s="124">
        <v>0</v>
      </c>
      <c r="O190" s="124">
        <v>0</v>
      </c>
      <c r="P190" s="124">
        <v>0</v>
      </c>
      <c r="Q190" s="124">
        <v>0</v>
      </c>
      <c r="R190" s="124">
        <v>0</v>
      </c>
      <c r="S190" s="124">
        <v>0</v>
      </c>
      <c r="T190" s="124">
        <v>0</v>
      </c>
      <c r="U190" s="124">
        <v>0</v>
      </c>
      <c r="V190" s="124">
        <v>0</v>
      </c>
      <c r="W190" s="124">
        <v>0</v>
      </c>
      <c r="X190" s="124">
        <v>0</v>
      </c>
      <c r="Y190" s="124">
        <v>0</v>
      </c>
      <c r="Z190" s="124">
        <v>0</v>
      </c>
      <c r="AA190" s="124">
        <v>0</v>
      </c>
      <c r="AB190" s="124">
        <v>0</v>
      </c>
      <c r="AC190" s="124">
        <v>0</v>
      </c>
      <c r="AD190" s="124">
        <v>0</v>
      </c>
      <c r="AE190" s="124">
        <v>0</v>
      </c>
      <c r="AF190" s="124">
        <v>0</v>
      </c>
      <c r="AG190" s="124">
        <v>0</v>
      </c>
      <c r="AH190" s="124">
        <v>0</v>
      </c>
      <c r="AI190" s="124">
        <v>0</v>
      </c>
      <c r="AJ190" s="124">
        <v>0</v>
      </c>
      <c r="AK190" s="124">
        <v>0</v>
      </c>
      <c r="AL190" s="124">
        <v>0</v>
      </c>
      <c r="AM190" s="124">
        <v>0</v>
      </c>
      <c r="AN190" s="124">
        <v>0</v>
      </c>
      <c r="AO190" s="124">
        <v>0</v>
      </c>
      <c r="AP190" s="124">
        <v>0</v>
      </c>
      <c r="AQ190" s="124">
        <v>0</v>
      </c>
      <c r="AR190" s="124">
        <v>0</v>
      </c>
      <c r="AS190" s="124">
        <v>0</v>
      </c>
      <c r="AT190" s="124">
        <v>0</v>
      </c>
      <c r="AU190" s="124">
        <v>0</v>
      </c>
      <c r="AV190" s="124">
        <v>0</v>
      </c>
      <c r="AW190" s="124">
        <v>0</v>
      </c>
      <c r="AX190" s="124">
        <v>0</v>
      </c>
      <c r="AY190" s="124">
        <v>0</v>
      </c>
    </row>
    <row r="191" spans="1:51" x14ac:dyDescent="0.2">
      <c r="A191" s="127"/>
      <c r="B191" s="137">
        <v>3</v>
      </c>
      <c r="C191" s="124">
        <v>0</v>
      </c>
      <c r="D191" s="124">
        <v>0</v>
      </c>
      <c r="E191" s="124">
        <v>0</v>
      </c>
      <c r="F191" s="124">
        <v>0</v>
      </c>
      <c r="G191" s="124">
        <v>0</v>
      </c>
      <c r="H191" s="124">
        <v>0</v>
      </c>
      <c r="I191" s="124">
        <v>0</v>
      </c>
      <c r="J191" s="124">
        <v>0</v>
      </c>
      <c r="K191" s="124">
        <v>0</v>
      </c>
      <c r="L191" s="124">
        <v>0</v>
      </c>
      <c r="M191" s="124">
        <v>0</v>
      </c>
      <c r="N191" s="124">
        <v>0</v>
      </c>
      <c r="O191" s="124">
        <v>0</v>
      </c>
      <c r="P191" s="124">
        <v>0</v>
      </c>
      <c r="Q191" s="124">
        <v>0</v>
      </c>
      <c r="R191" s="124">
        <v>0</v>
      </c>
      <c r="S191" s="124">
        <v>0</v>
      </c>
      <c r="T191" s="124">
        <v>0</v>
      </c>
      <c r="U191" s="124">
        <v>0</v>
      </c>
      <c r="V191" s="124">
        <v>0</v>
      </c>
      <c r="W191" s="124">
        <v>0</v>
      </c>
      <c r="X191" s="124">
        <v>0</v>
      </c>
      <c r="Y191" s="124">
        <v>0</v>
      </c>
      <c r="Z191" s="124">
        <v>0</v>
      </c>
      <c r="AA191" s="124">
        <v>0</v>
      </c>
      <c r="AB191" s="124">
        <v>0</v>
      </c>
      <c r="AC191" s="124">
        <v>0</v>
      </c>
      <c r="AD191" s="124">
        <v>0</v>
      </c>
      <c r="AE191" s="124">
        <v>0</v>
      </c>
      <c r="AF191" s="124">
        <v>0</v>
      </c>
      <c r="AG191" s="124">
        <v>0</v>
      </c>
      <c r="AH191" s="124">
        <v>0</v>
      </c>
      <c r="AI191" s="124">
        <v>0</v>
      </c>
      <c r="AJ191" s="124">
        <v>0</v>
      </c>
      <c r="AK191" s="124">
        <v>0</v>
      </c>
      <c r="AL191" s="124">
        <v>0</v>
      </c>
      <c r="AM191" s="124">
        <v>0</v>
      </c>
      <c r="AN191" s="124">
        <v>0</v>
      </c>
      <c r="AO191" s="124">
        <v>0</v>
      </c>
      <c r="AP191" s="124">
        <v>0</v>
      </c>
      <c r="AQ191" s="124">
        <v>0</v>
      </c>
      <c r="AR191" s="124">
        <v>0</v>
      </c>
      <c r="AS191" s="124">
        <v>0</v>
      </c>
      <c r="AT191" s="124">
        <v>0</v>
      </c>
      <c r="AU191" s="124">
        <v>0</v>
      </c>
      <c r="AV191" s="124">
        <v>0</v>
      </c>
      <c r="AW191" s="124">
        <v>0</v>
      </c>
      <c r="AX191" s="124">
        <v>0</v>
      </c>
      <c r="AY191" s="124">
        <v>0</v>
      </c>
    </row>
    <row r="192" spans="1:51" x14ac:dyDescent="0.2">
      <c r="A192" s="127"/>
      <c r="B192" s="137">
        <v>4</v>
      </c>
      <c r="C192" s="124">
        <v>0</v>
      </c>
      <c r="D192" s="124">
        <v>0</v>
      </c>
      <c r="E192" s="124">
        <v>0</v>
      </c>
      <c r="F192" s="124">
        <v>0</v>
      </c>
      <c r="G192" s="124">
        <v>0</v>
      </c>
      <c r="H192" s="124">
        <v>0</v>
      </c>
      <c r="I192" s="124">
        <v>0</v>
      </c>
      <c r="J192" s="124">
        <v>0</v>
      </c>
      <c r="K192" s="124">
        <v>0</v>
      </c>
      <c r="L192" s="124">
        <v>0</v>
      </c>
      <c r="M192" s="124">
        <v>0</v>
      </c>
      <c r="N192" s="124">
        <v>0</v>
      </c>
      <c r="O192" s="124">
        <v>0</v>
      </c>
      <c r="P192" s="124">
        <v>0</v>
      </c>
      <c r="Q192" s="124">
        <v>0</v>
      </c>
      <c r="R192" s="124">
        <v>0</v>
      </c>
      <c r="S192" s="124">
        <v>0</v>
      </c>
      <c r="T192" s="124">
        <v>0</v>
      </c>
      <c r="U192" s="124">
        <v>0</v>
      </c>
      <c r="V192" s="124">
        <v>0</v>
      </c>
      <c r="W192" s="124">
        <v>0</v>
      </c>
      <c r="X192" s="124">
        <v>0</v>
      </c>
      <c r="Y192" s="124">
        <v>0</v>
      </c>
      <c r="Z192" s="124">
        <v>0</v>
      </c>
      <c r="AA192" s="124">
        <v>0</v>
      </c>
      <c r="AB192" s="124">
        <v>0</v>
      </c>
      <c r="AC192" s="124">
        <v>0</v>
      </c>
      <c r="AD192" s="124">
        <v>0</v>
      </c>
      <c r="AE192" s="124">
        <v>0</v>
      </c>
      <c r="AF192" s="124">
        <v>0</v>
      </c>
      <c r="AG192" s="124">
        <v>0</v>
      </c>
      <c r="AH192" s="124">
        <v>0</v>
      </c>
      <c r="AI192" s="124">
        <v>0</v>
      </c>
      <c r="AJ192" s="124">
        <v>0</v>
      </c>
      <c r="AK192" s="124">
        <v>0</v>
      </c>
      <c r="AL192" s="124">
        <v>0</v>
      </c>
      <c r="AM192" s="124">
        <v>0</v>
      </c>
      <c r="AN192" s="124">
        <v>0</v>
      </c>
      <c r="AO192" s="124">
        <v>0</v>
      </c>
      <c r="AP192" s="124">
        <v>0</v>
      </c>
      <c r="AQ192" s="124">
        <v>0</v>
      </c>
      <c r="AR192" s="124">
        <v>0</v>
      </c>
      <c r="AS192" s="124">
        <v>0</v>
      </c>
      <c r="AT192" s="124">
        <v>0</v>
      </c>
      <c r="AU192" s="124">
        <v>0</v>
      </c>
      <c r="AV192" s="124">
        <v>0</v>
      </c>
      <c r="AW192" s="124">
        <v>0</v>
      </c>
      <c r="AX192" s="124">
        <v>0</v>
      </c>
      <c r="AY192" s="124">
        <v>0</v>
      </c>
    </row>
    <row r="193" spans="1:51" x14ac:dyDescent="0.2">
      <c r="A193" s="127"/>
      <c r="B193" s="144">
        <v>5</v>
      </c>
      <c r="C193" s="124">
        <v>0</v>
      </c>
      <c r="D193" s="124">
        <v>0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0</v>
      </c>
      <c r="K193" s="124">
        <v>0</v>
      </c>
      <c r="L193" s="124">
        <v>0</v>
      </c>
      <c r="M193" s="124">
        <v>0</v>
      </c>
      <c r="N193" s="124">
        <v>0</v>
      </c>
      <c r="O193" s="124">
        <v>0</v>
      </c>
      <c r="P193" s="124">
        <v>0</v>
      </c>
      <c r="Q193" s="124">
        <v>0</v>
      </c>
      <c r="R193" s="124">
        <v>0</v>
      </c>
      <c r="S193" s="124">
        <v>0</v>
      </c>
      <c r="T193" s="124">
        <v>0</v>
      </c>
      <c r="U193" s="124">
        <v>0</v>
      </c>
      <c r="V193" s="124">
        <v>0</v>
      </c>
      <c r="W193" s="124">
        <v>0</v>
      </c>
      <c r="X193" s="124">
        <v>0</v>
      </c>
      <c r="Y193" s="124">
        <v>0</v>
      </c>
      <c r="Z193" s="124">
        <v>0</v>
      </c>
      <c r="AA193" s="124">
        <v>0</v>
      </c>
      <c r="AB193" s="124">
        <v>0</v>
      </c>
      <c r="AC193" s="124">
        <v>0</v>
      </c>
      <c r="AD193" s="124">
        <v>0</v>
      </c>
      <c r="AE193" s="124">
        <v>0</v>
      </c>
      <c r="AF193" s="124">
        <v>0</v>
      </c>
      <c r="AG193" s="124">
        <v>0</v>
      </c>
      <c r="AH193" s="124">
        <v>0</v>
      </c>
      <c r="AI193" s="124">
        <v>0</v>
      </c>
      <c r="AJ193" s="124">
        <v>0</v>
      </c>
      <c r="AK193" s="124">
        <v>0</v>
      </c>
      <c r="AL193" s="124">
        <v>0</v>
      </c>
      <c r="AM193" s="124">
        <v>0</v>
      </c>
      <c r="AN193" s="124">
        <v>0</v>
      </c>
      <c r="AO193" s="124">
        <v>0</v>
      </c>
      <c r="AP193" s="124">
        <v>0</v>
      </c>
      <c r="AQ193" s="124">
        <v>0</v>
      </c>
      <c r="AR193" s="124">
        <v>0</v>
      </c>
      <c r="AS193" s="124">
        <v>0</v>
      </c>
      <c r="AT193" s="124">
        <v>0</v>
      </c>
      <c r="AU193" s="124">
        <v>0</v>
      </c>
      <c r="AV193" s="124">
        <v>0</v>
      </c>
      <c r="AW193" s="124">
        <v>0</v>
      </c>
      <c r="AX193" s="124">
        <v>0</v>
      </c>
      <c r="AY193" s="124">
        <v>0</v>
      </c>
    </row>
    <row r="194" spans="1:51" x14ac:dyDescent="0.2">
      <c r="A194" s="127"/>
      <c r="B194" s="144">
        <v>6</v>
      </c>
      <c r="C194" s="124">
        <v>0</v>
      </c>
      <c r="D194" s="124">
        <v>0</v>
      </c>
      <c r="E194" s="124">
        <v>0</v>
      </c>
      <c r="F194" s="124">
        <v>0</v>
      </c>
      <c r="G194" s="124">
        <v>0</v>
      </c>
      <c r="H194" s="124">
        <v>0</v>
      </c>
      <c r="I194" s="124">
        <v>0</v>
      </c>
      <c r="J194" s="124">
        <v>0</v>
      </c>
      <c r="K194" s="124">
        <v>0</v>
      </c>
      <c r="L194" s="124">
        <v>0</v>
      </c>
      <c r="M194" s="124">
        <v>0</v>
      </c>
      <c r="N194" s="124">
        <v>0</v>
      </c>
      <c r="O194" s="124">
        <v>0</v>
      </c>
      <c r="P194" s="124">
        <v>0</v>
      </c>
      <c r="Q194" s="124">
        <v>0</v>
      </c>
      <c r="R194" s="124">
        <v>0</v>
      </c>
      <c r="S194" s="124">
        <v>0</v>
      </c>
      <c r="T194" s="124">
        <v>0</v>
      </c>
      <c r="U194" s="124">
        <v>0</v>
      </c>
      <c r="V194" s="124">
        <v>0</v>
      </c>
      <c r="W194" s="124">
        <v>0</v>
      </c>
      <c r="X194" s="124">
        <v>0</v>
      </c>
      <c r="Y194" s="124">
        <v>0</v>
      </c>
      <c r="Z194" s="124">
        <v>0</v>
      </c>
      <c r="AA194" s="124">
        <v>0</v>
      </c>
      <c r="AB194" s="124">
        <v>0</v>
      </c>
      <c r="AC194" s="124">
        <v>0</v>
      </c>
      <c r="AD194" s="124">
        <v>0</v>
      </c>
      <c r="AE194" s="124">
        <v>0</v>
      </c>
      <c r="AF194" s="124">
        <v>0</v>
      </c>
      <c r="AG194" s="124">
        <v>0</v>
      </c>
      <c r="AH194" s="124">
        <v>0</v>
      </c>
      <c r="AI194" s="124">
        <v>0</v>
      </c>
      <c r="AJ194" s="124">
        <v>0</v>
      </c>
      <c r="AK194" s="124">
        <v>0</v>
      </c>
      <c r="AL194" s="124">
        <v>0</v>
      </c>
      <c r="AM194" s="124">
        <v>0</v>
      </c>
      <c r="AN194" s="124">
        <v>0</v>
      </c>
      <c r="AO194" s="124">
        <v>0</v>
      </c>
      <c r="AP194" s="124">
        <v>0</v>
      </c>
      <c r="AQ194" s="124">
        <v>0</v>
      </c>
      <c r="AR194" s="124">
        <v>0</v>
      </c>
      <c r="AS194" s="124">
        <v>0</v>
      </c>
      <c r="AT194" s="124">
        <v>0</v>
      </c>
      <c r="AU194" s="124">
        <v>0</v>
      </c>
      <c r="AV194" s="124">
        <v>0</v>
      </c>
      <c r="AW194" s="124">
        <v>0</v>
      </c>
      <c r="AX194" s="124">
        <v>0</v>
      </c>
      <c r="AY194" s="124">
        <v>0</v>
      </c>
    </row>
    <row r="195" spans="1:51" x14ac:dyDescent="0.2">
      <c r="A195" s="127"/>
      <c r="B195" s="147">
        <v>7</v>
      </c>
      <c r="C195" s="124">
        <v>0</v>
      </c>
      <c r="D195" s="124">
        <v>0</v>
      </c>
      <c r="E195" s="124">
        <v>0</v>
      </c>
      <c r="F195" s="124">
        <v>0</v>
      </c>
      <c r="G195" s="124">
        <v>0</v>
      </c>
      <c r="H195" s="124">
        <v>0</v>
      </c>
      <c r="I195" s="124">
        <v>0</v>
      </c>
      <c r="J195" s="124">
        <v>0</v>
      </c>
      <c r="K195" s="124">
        <v>0</v>
      </c>
      <c r="L195" s="124">
        <v>0</v>
      </c>
      <c r="M195" s="124">
        <v>0</v>
      </c>
      <c r="N195" s="124">
        <v>0</v>
      </c>
      <c r="O195" s="124">
        <v>0</v>
      </c>
      <c r="P195" s="124">
        <v>0</v>
      </c>
      <c r="Q195" s="124">
        <v>0</v>
      </c>
      <c r="R195" s="124">
        <v>0</v>
      </c>
      <c r="S195" s="124">
        <v>0</v>
      </c>
      <c r="T195" s="124">
        <v>0</v>
      </c>
      <c r="U195" s="124">
        <v>0</v>
      </c>
      <c r="V195" s="124">
        <v>0</v>
      </c>
      <c r="W195" s="124">
        <v>0</v>
      </c>
      <c r="X195" s="124">
        <v>0</v>
      </c>
      <c r="Y195" s="124">
        <v>0</v>
      </c>
      <c r="Z195" s="124">
        <v>0</v>
      </c>
      <c r="AA195" s="124">
        <v>0</v>
      </c>
      <c r="AB195" s="124">
        <v>0</v>
      </c>
      <c r="AC195" s="124">
        <v>0</v>
      </c>
      <c r="AD195" s="124">
        <v>0</v>
      </c>
      <c r="AE195" s="124">
        <v>0</v>
      </c>
      <c r="AF195" s="124">
        <v>0</v>
      </c>
      <c r="AG195" s="124">
        <v>0</v>
      </c>
      <c r="AH195" s="124">
        <v>0</v>
      </c>
      <c r="AI195" s="124">
        <v>0</v>
      </c>
      <c r="AJ195" s="124">
        <v>0</v>
      </c>
      <c r="AK195" s="124">
        <v>0</v>
      </c>
      <c r="AL195" s="124">
        <v>0</v>
      </c>
      <c r="AM195" s="124">
        <v>0</v>
      </c>
      <c r="AN195" s="124">
        <v>0</v>
      </c>
      <c r="AO195" s="124">
        <v>0</v>
      </c>
      <c r="AP195" s="124">
        <v>0</v>
      </c>
      <c r="AQ195" s="124">
        <v>0</v>
      </c>
      <c r="AR195" s="124">
        <v>0</v>
      </c>
      <c r="AS195" s="124">
        <v>0</v>
      </c>
      <c r="AT195" s="124">
        <v>0</v>
      </c>
      <c r="AU195" s="124">
        <v>0</v>
      </c>
      <c r="AV195" s="124">
        <v>0</v>
      </c>
      <c r="AW195" s="124">
        <v>0</v>
      </c>
      <c r="AX195" s="124">
        <v>0</v>
      </c>
      <c r="AY195" s="124">
        <v>0</v>
      </c>
    </row>
    <row r="196" spans="1:51" x14ac:dyDescent="0.2">
      <c r="A196" s="145"/>
      <c r="B196" s="146">
        <v>8</v>
      </c>
      <c r="C196" s="131">
        <v>0</v>
      </c>
      <c r="D196" s="131">
        <v>0</v>
      </c>
      <c r="E196" s="131">
        <v>0</v>
      </c>
      <c r="F196" s="131">
        <v>0</v>
      </c>
      <c r="G196" s="131">
        <v>0</v>
      </c>
      <c r="H196" s="131">
        <v>0</v>
      </c>
      <c r="I196" s="131">
        <v>0</v>
      </c>
      <c r="J196" s="131">
        <v>0</v>
      </c>
      <c r="K196" s="131">
        <v>0</v>
      </c>
      <c r="L196" s="131">
        <v>0</v>
      </c>
      <c r="M196" s="131">
        <v>0</v>
      </c>
      <c r="N196" s="131">
        <v>0</v>
      </c>
      <c r="O196" s="131">
        <v>0</v>
      </c>
      <c r="P196" s="131">
        <v>0</v>
      </c>
      <c r="Q196" s="131">
        <v>0</v>
      </c>
      <c r="R196" s="131">
        <v>0</v>
      </c>
      <c r="S196" s="131">
        <v>0</v>
      </c>
      <c r="T196" s="131">
        <v>0</v>
      </c>
      <c r="U196" s="131">
        <v>0</v>
      </c>
      <c r="V196" s="131">
        <v>0</v>
      </c>
      <c r="W196" s="131">
        <v>0</v>
      </c>
      <c r="X196" s="131">
        <v>0</v>
      </c>
      <c r="Y196" s="131">
        <v>0</v>
      </c>
      <c r="Z196" s="131">
        <v>0</v>
      </c>
      <c r="AA196" s="131">
        <v>0</v>
      </c>
      <c r="AB196" s="131">
        <v>0</v>
      </c>
      <c r="AC196" s="131">
        <v>0</v>
      </c>
      <c r="AD196" s="131">
        <v>0</v>
      </c>
      <c r="AE196" s="131">
        <v>0</v>
      </c>
      <c r="AF196" s="131">
        <v>0</v>
      </c>
      <c r="AG196" s="131">
        <v>0</v>
      </c>
      <c r="AH196" s="131">
        <v>0</v>
      </c>
      <c r="AI196" s="131">
        <v>0</v>
      </c>
      <c r="AJ196" s="131">
        <v>0</v>
      </c>
      <c r="AK196" s="131">
        <v>0</v>
      </c>
      <c r="AL196" s="131">
        <v>0</v>
      </c>
      <c r="AM196" s="131">
        <v>0</v>
      </c>
      <c r="AN196" s="131">
        <v>0</v>
      </c>
      <c r="AO196" s="131">
        <v>0</v>
      </c>
      <c r="AP196" s="131">
        <v>0</v>
      </c>
      <c r="AQ196" s="131">
        <v>0</v>
      </c>
      <c r="AR196" s="131">
        <v>0</v>
      </c>
      <c r="AS196" s="131">
        <v>0</v>
      </c>
      <c r="AT196" s="131">
        <v>0</v>
      </c>
      <c r="AU196" s="131">
        <v>0</v>
      </c>
      <c r="AV196" s="131">
        <v>0</v>
      </c>
      <c r="AW196" s="131">
        <v>0</v>
      </c>
      <c r="AX196" s="131">
        <v>0</v>
      </c>
      <c r="AY196" s="131">
        <v>0</v>
      </c>
    </row>
    <row r="197" spans="1:51" x14ac:dyDescent="0.2">
      <c r="A197" s="148" t="s">
        <v>134</v>
      </c>
      <c r="B197" s="136">
        <v>1</v>
      </c>
      <c r="C197" s="124">
        <v>0</v>
      </c>
      <c r="D197" s="124">
        <v>0</v>
      </c>
      <c r="E197" s="124">
        <v>0</v>
      </c>
      <c r="F197" s="124">
        <v>0</v>
      </c>
      <c r="G197" s="124">
        <v>0</v>
      </c>
      <c r="H197" s="124">
        <v>0</v>
      </c>
      <c r="I197" s="124">
        <v>0</v>
      </c>
      <c r="J197" s="124">
        <v>0</v>
      </c>
      <c r="K197" s="124">
        <v>0</v>
      </c>
      <c r="L197" s="124">
        <v>0</v>
      </c>
      <c r="M197" s="124">
        <v>0</v>
      </c>
      <c r="N197" s="124">
        <v>0</v>
      </c>
      <c r="O197" s="124">
        <v>0</v>
      </c>
      <c r="P197" s="124">
        <v>0</v>
      </c>
      <c r="Q197" s="124">
        <v>0</v>
      </c>
      <c r="R197" s="124">
        <v>0</v>
      </c>
      <c r="S197" s="124">
        <v>0</v>
      </c>
      <c r="T197" s="124">
        <v>0</v>
      </c>
      <c r="U197" s="124">
        <v>0</v>
      </c>
      <c r="V197" s="124">
        <v>0</v>
      </c>
      <c r="W197" s="124">
        <v>0</v>
      </c>
      <c r="X197" s="124">
        <v>0</v>
      </c>
      <c r="Y197" s="124">
        <v>0</v>
      </c>
      <c r="Z197" s="124">
        <v>0</v>
      </c>
      <c r="AA197" s="124">
        <v>0</v>
      </c>
      <c r="AB197" s="124">
        <v>0</v>
      </c>
      <c r="AC197" s="124">
        <v>0</v>
      </c>
      <c r="AD197" s="124">
        <v>0</v>
      </c>
      <c r="AE197" s="124">
        <v>0</v>
      </c>
      <c r="AF197" s="124">
        <v>0</v>
      </c>
      <c r="AG197" s="124">
        <v>0</v>
      </c>
      <c r="AH197" s="124">
        <v>0</v>
      </c>
      <c r="AI197" s="124">
        <v>0</v>
      </c>
      <c r="AJ197" s="124">
        <v>0</v>
      </c>
      <c r="AK197" s="124">
        <v>0</v>
      </c>
      <c r="AL197" s="124">
        <v>0</v>
      </c>
      <c r="AM197" s="124">
        <v>0</v>
      </c>
      <c r="AN197" s="124">
        <v>0</v>
      </c>
      <c r="AO197" s="124">
        <v>0</v>
      </c>
      <c r="AP197" s="124">
        <v>0</v>
      </c>
      <c r="AQ197" s="124">
        <v>0</v>
      </c>
      <c r="AR197" s="124">
        <v>0</v>
      </c>
      <c r="AS197" s="124">
        <v>0</v>
      </c>
      <c r="AT197" s="124">
        <v>0</v>
      </c>
      <c r="AU197" s="124">
        <v>18.554230878385908</v>
      </c>
      <c r="AV197" s="124">
        <v>132.87444750019603</v>
      </c>
      <c r="AW197" s="124">
        <v>313.78418966772739</v>
      </c>
      <c r="AX197" s="124">
        <v>400.55248617642962</v>
      </c>
      <c r="AY197" s="124">
        <v>386.12338372921795</v>
      </c>
    </row>
    <row r="198" spans="1:51" x14ac:dyDescent="0.2">
      <c r="A198" s="127"/>
      <c r="B198" s="136">
        <v>2</v>
      </c>
      <c r="C198" s="124">
        <v>0</v>
      </c>
      <c r="D198" s="124">
        <v>0</v>
      </c>
      <c r="E198" s="124">
        <v>0</v>
      </c>
      <c r="F198" s="124">
        <v>0</v>
      </c>
      <c r="G198" s="124">
        <v>0</v>
      </c>
      <c r="H198" s="124">
        <v>0</v>
      </c>
      <c r="I198" s="124">
        <v>0</v>
      </c>
      <c r="J198" s="124">
        <v>0</v>
      </c>
      <c r="K198" s="124">
        <v>0</v>
      </c>
      <c r="L198" s="124">
        <v>0</v>
      </c>
      <c r="M198" s="124">
        <v>0</v>
      </c>
      <c r="N198" s="124">
        <v>0</v>
      </c>
      <c r="O198" s="124">
        <v>0</v>
      </c>
      <c r="P198" s="124">
        <v>0</v>
      </c>
      <c r="Q198" s="124">
        <v>0</v>
      </c>
      <c r="R198" s="124">
        <v>0</v>
      </c>
      <c r="S198" s="124">
        <v>0</v>
      </c>
      <c r="T198" s="124">
        <v>0</v>
      </c>
      <c r="U198" s="124">
        <v>0</v>
      </c>
      <c r="V198" s="124">
        <v>0</v>
      </c>
      <c r="W198" s="124">
        <v>0</v>
      </c>
      <c r="X198" s="124">
        <v>0</v>
      </c>
      <c r="Y198" s="124">
        <v>0</v>
      </c>
      <c r="Z198" s="124">
        <v>0</v>
      </c>
      <c r="AA198" s="124">
        <v>0</v>
      </c>
      <c r="AB198" s="124">
        <v>0</v>
      </c>
      <c r="AC198" s="124">
        <v>0</v>
      </c>
      <c r="AD198" s="124">
        <v>0</v>
      </c>
      <c r="AE198" s="124">
        <v>0</v>
      </c>
      <c r="AF198" s="124">
        <v>0</v>
      </c>
      <c r="AG198" s="124">
        <v>0</v>
      </c>
      <c r="AH198" s="124">
        <v>0</v>
      </c>
      <c r="AI198" s="124">
        <v>0</v>
      </c>
      <c r="AJ198" s="124">
        <v>0</v>
      </c>
      <c r="AK198" s="124">
        <v>0</v>
      </c>
      <c r="AL198" s="124">
        <v>0</v>
      </c>
      <c r="AM198" s="124">
        <v>0</v>
      </c>
      <c r="AN198" s="124">
        <v>0</v>
      </c>
      <c r="AO198" s="124">
        <v>0</v>
      </c>
      <c r="AP198" s="124">
        <v>0</v>
      </c>
      <c r="AQ198" s="124">
        <v>0</v>
      </c>
      <c r="AR198" s="124">
        <v>0</v>
      </c>
      <c r="AS198" s="124">
        <v>0</v>
      </c>
      <c r="AT198" s="124">
        <v>203.61298938973732</v>
      </c>
      <c r="AU198" s="124">
        <v>405.16733533917284</v>
      </c>
      <c r="AV198" s="124">
        <v>363.1605110180015</v>
      </c>
      <c r="AW198" s="124">
        <v>281.71569081130241</v>
      </c>
      <c r="AX198" s="124">
        <v>79.490151958073</v>
      </c>
      <c r="AY198" s="124">
        <v>0</v>
      </c>
    </row>
    <row r="199" spans="1:51" x14ac:dyDescent="0.2">
      <c r="A199" s="127"/>
      <c r="B199" s="136">
        <v>3</v>
      </c>
      <c r="C199" s="124">
        <v>0</v>
      </c>
      <c r="D199" s="124">
        <v>0</v>
      </c>
      <c r="E199" s="124">
        <v>0</v>
      </c>
      <c r="F199" s="124">
        <v>0</v>
      </c>
      <c r="G199" s="124">
        <v>0</v>
      </c>
      <c r="H199" s="124">
        <v>0</v>
      </c>
      <c r="I199" s="124">
        <v>0</v>
      </c>
      <c r="J199" s="124">
        <v>0</v>
      </c>
      <c r="K199" s="124">
        <v>0</v>
      </c>
      <c r="L199" s="124">
        <v>0</v>
      </c>
      <c r="M199" s="124">
        <v>0</v>
      </c>
      <c r="N199" s="124">
        <v>0</v>
      </c>
      <c r="O199" s="124">
        <v>0</v>
      </c>
      <c r="P199" s="124">
        <v>0</v>
      </c>
      <c r="Q199" s="124">
        <v>0</v>
      </c>
      <c r="R199" s="124">
        <v>0</v>
      </c>
      <c r="S199" s="124">
        <v>0</v>
      </c>
      <c r="T199" s="124">
        <v>0</v>
      </c>
      <c r="U199" s="124">
        <v>0</v>
      </c>
      <c r="V199" s="124">
        <v>0</v>
      </c>
      <c r="W199" s="124">
        <v>0</v>
      </c>
      <c r="X199" s="124">
        <v>0</v>
      </c>
      <c r="Y199" s="124">
        <v>0</v>
      </c>
      <c r="Z199" s="124">
        <v>0</v>
      </c>
      <c r="AA199" s="124">
        <v>0</v>
      </c>
      <c r="AB199" s="124">
        <v>0</v>
      </c>
      <c r="AC199" s="124">
        <v>0</v>
      </c>
      <c r="AD199" s="124">
        <v>0</v>
      </c>
      <c r="AE199" s="124">
        <v>0</v>
      </c>
      <c r="AF199" s="124">
        <v>0</v>
      </c>
      <c r="AG199" s="124">
        <v>0</v>
      </c>
      <c r="AH199" s="124">
        <v>0</v>
      </c>
      <c r="AI199" s="124">
        <v>0</v>
      </c>
      <c r="AJ199" s="124">
        <v>0</v>
      </c>
      <c r="AK199" s="124">
        <v>0</v>
      </c>
      <c r="AL199" s="124">
        <v>0</v>
      </c>
      <c r="AM199" s="124">
        <v>0</v>
      </c>
      <c r="AN199" s="124">
        <v>0</v>
      </c>
      <c r="AO199" s="124">
        <v>0</v>
      </c>
      <c r="AP199" s="124">
        <v>0</v>
      </c>
      <c r="AQ199" s="124">
        <v>45.664942485597521</v>
      </c>
      <c r="AR199" s="124">
        <v>165.79748933289801</v>
      </c>
      <c r="AS199" s="124">
        <v>353.19290322680894</v>
      </c>
      <c r="AT199" s="124">
        <v>329.6079978979003</v>
      </c>
      <c r="AU199" s="124">
        <v>147.50138175358308</v>
      </c>
      <c r="AV199" s="124">
        <v>0</v>
      </c>
      <c r="AW199" s="124">
        <v>0</v>
      </c>
      <c r="AX199" s="124">
        <v>0</v>
      </c>
      <c r="AY199" s="124">
        <v>0</v>
      </c>
    </row>
    <row r="200" spans="1:51" x14ac:dyDescent="0.2">
      <c r="A200" s="127"/>
      <c r="B200" s="137">
        <v>4</v>
      </c>
      <c r="C200" s="124">
        <v>0</v>
      </c>
      <c r="D200" s="124">
        <v>0</v>
      </c>
      <c r="E200" s="124">
        <v>0</v>
      </c>
      <c r="F200" s="124">
        <v>0</v>
      </c>
      <c r="G200" s="124">
        <v>0</v>
      </c>
      <c r="H200" s="124">
        <v>0</v>
      </c>
      <c r="I200" s="124">
        <v>0</v>
      </c>
      <c r="J200" s="124">
        <v>0</v>
      </c>
      <c r="K200" s="124">
        <v>0</v>
      </c>
      <c r="L200" s="124">
        <v>0</v>
      </c>
      <c r="M200" s="124">
        <v>0</v>
      </c>
      <c r="N200" s="124">
        <v>0</v>
      </c>
      <c r="O200" s="124">
        <v>0</v>
      </c>
      <c r="P200" s="124">
        <v>0</v>
      </c>
      <c r="Q200" s="124">
        <v>0</v>
      </c>
      <c r="R200" s="124">
        <v>0</v>
      </c>
      <c r="S200" s="124">
        <v>0</v>
      </c>
      <c r="T200" s="124">
        <v>0</v>
      </c>
      <c r="U200" s="124">
        <v>0</v>
      </c>
      <c r="V200" s="124">
        <v>0</v>
      </c>
      <c r="W200" s="124">
        <v>0</v>
      </c>
      <c r="X200" s="124">
        <v>0</v>
      </c>
      <c r="Y200" s="124">
        <v>0</v>
      </c>
      <c r="Z200" s="124">
        <v>0</v>
      </c>
      <c r="AA200" s="124">
        <v>0</v>
      </c>
      <c r="AB200" s="124">
        <v>0</v>
      </c>
      <c r="AC200" s="124">
        <v>0</v>
      </c>
      <c r="AD200" s="124">
        <v>0</v>
      </c>
      <c r="AE200" s="124">
        <v>0</v>
      </c>
      <c r="AF200" s="124">
        <v>0</v>
      </c>
      <c r="AG200" s="124">
        <v>0</v>
      </c>
      <c r="AH200" s="124">
        <v>0</v>
      </c>
      <c r="AI200" s="124">
        <v>0</v>
      </c>
      <c r="AJ200" s="124">
        <v>0</v>
      </c>
      <c r="AK200" s="124">
        <v>0</v>
      </c>
      <c r="AL200" s="124">
        <v>0</v>
      </c>
      <c r="AM200" s="124">
        <v>0</v>
      </c>
      <c r="AN200" s="124">
        <v>0</v>
      </c>
      <c r="AO200" s="124">
        <v>39.745356598134322</v>
      </c>
      <c r="AP200" s="124">
        <v>222.80092004544053</v>
      </c>
      <c r="AQ200" s="124">
        <v>359.78233593591</v>
      </c>
      <c r="AR200" s="124">
        <v>326.80533514146043</v>
      </c>
      <c r="AS200" s="124">
        <v>185.51502155567385</v>
      </c>
      <c r="AT200" s="124">
        <v>4.7739281214869038</v>
      </c>
      <c r="AU200" s="124">
        <v>0</v>
      </c>
      <c r="AV200" s="124">
        <v>0</v>
      </c>
      <c r="AW200" s="124">
        <v>0</v>
      </c>
      <c r="AX200" s="124">
        <v>0</v>
      </c>
      <c r="AY200" s="124">
        <v>0</v>
      </c>
    </row>
    <row r="201" spans="1:51" x14ac:dyDescent="0.2">
      <c r="A201" s="127"/>
      <c r="B201" s="137">
        <v>5</v>
      </c>
      <c r="C201" s="124">
        <v>0</v>
      </c>
      <c r="D201" s="124">
        <v>0</v>
      </c>
      <c r="E201" s="124">
        <v>0</v>
      </c>
      <c r="F201" s="124">
        <v>0</v>
      </c>
      <c r="G201" s="124">
        <v>0</v>
      </c>
      <c r="H201" s="124">
        <v>0</v>
      </c>
      <c r="I201" s="124">
        <v>0</v>
      </c>
      <c r="J201" s="124">
        <v>0</v>
      </c>
      <c r="K201" s="124">
        <v>0</v>
      </c>
      <c r="L201" s="124">
        <v>0</v>
      </c>
      <c r="M201" s="124">
        <v>0</v>
      </c>
      <c r="N201" s="124">
        <v>0</v>
      </c>
      <c r="O201" s="124">
        <v>0</v>
      </c>
      <c r="P201" s="124">
        <v>0</v>
      </c>
      <c r="Q201" s="124">
        <v>0</v>
      </c>
      <c r="R201" s="124">
        <v>0</v>
      </c>
      <c r="S201" s="124">
        <v>0</v>
      </c>
      <c r="T201" s="124">
        <v>0</v>
      </c>
      <c r="U201" s="124">
        <v>0</v>
      </c>
      <c r="V201" s="124">
        <v>0</v>
      </c>
      <c r="W201" s="124">
        <v>0</v>
      </c>
      <c r="X201" s="124">
        <v>0</v>
      </c>
      <c r="Y201" s="124">
        <v>0</v>
      </c>
      <c r="Z201" s="124">
        <v>0</v>
      </c>
      <c r="AA201" s="124">
        <v>0</v>
      </c>
      <c r="AB201" s="124">
        <v>0</v>
      </c>
      <c r="AC201" s="124">
        <v>0</v>
      </c>
      <c r="AD201" s="124">
        <v>0</v>
      </c>
      <c r="AE201" s="124">
        <v>0</v>
      </c>
      <c r="AF201" s="124">
        <v>0</v>
      </c>
      <c r="AG201" s="124">
        <v>0</v>
      </c>
      <c r="AH201" s="124">
        <v>0</v>
      </c>
      <c r="AI201" s="124">
        <v>0</v>
      </c>
      <c r="AJ201" s="124">
        <v>0</v>
      </c>
      <c r="AK201" s="124">
        <v>0</v>
      </c>
      <c r="AL201" s="124">
        <v>11.0338021489992</v>
      </c>
      <c r="AM201" s="124">
        <v>66.554328132206081</v>
      </c>
      <c r="AN201" s="124">
        <v>222.16337992192695</v>
      </c>
      <c r="AO201" s="124">
        <v>346.44574650392445</v>
      </c>
      <c r="AP201" s="124">
        <v>348.53386560290664</v>
      </c>
      <c r="AQ201" s="124">
        <v>132.22932476016291</v>
      </c>
      <c r="AR201" s="124">
        <v>0</v>
      </c>
      <c r="AS201" s="124">
        <v>0</v>
      </c>
      <c r="AT201" s="124">
        <v>0</v>
      </c>
      <c r="AU201" s="124">
        <v>0</v>
      </c>
      <c r="AV201" s="124">
        <v>0</v>
      </c>
      <c r="AW201" s="124">
        <v>0</v>
      </c>
      <c r="AX201" s="124">
        <v>0</v>
      </c>
      <c r="AY201" s="124">
        <v>0</v>
      </c>
    </row>
    <row r="202" spans="1:51" x14ac:dyDescent="0.2">
      <c r="A202" s="127"/>
      <c r="B202" s="137">
        <v>6</v>
      </c>
      <c r="C202" s="124">
        <v>0</v>
      </c>
      <c r="D202" s="124">
        <v>0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0</v>
      </c>
      <c r="L202" s="124">
        <v>0</v>
      </c>
      <c r="M202" s="124">
        <v>0</v>
      </c>
      <c r="N202" s="124">
        <v>0</v>
      </c>
      <c r="O202" s="124">
        <v>0</v>
      </c>
      <c r="P202" s="124">
        <v>0</v>
      </c>
      <c r="Q202" s="124">
        <v>0</v>
      </c>
      <c r="R202" s="124">
        <v>0</v>
      </c>
      <c r="S202" s="124">
        <v>0</v>
      </c>
      <c r="T202" s="124">
        <v>0</v>
      </c>
      <c r="U202" s="124">
        <v>0</v>
      </c>
      <c r="V202" s="124">
        <v>0</v>
      </c>
      <c r="W202" s="124">
        <v>0</v>
      </c>
      <c r="X202" s="124">
        <v>0</v>
      </c>
      <c r="Y202" s="124">
        <v>0</v>
      </c>
      <c r="Z202" s="124">
        <v>0</v>
      </c>
      <c r="AA202" s="124">
        <v>0</v>
      </c>
      <c r="AB202" s="124">
        <v>0</v>
      </c>
      <c r="AC202" s="124">
        <v>0</v>
      </c>
      <c r="AD202" s="124">
        <v>0</v>
      </c>
      <c r="AE202" s="124">
        <v>0</v>
      </c>
      <c r="AF202" s="124">
        <v>0</v>
      </c>
      <c r="AG202" s="124">
        <v>0</v>
      </c>
      <c r="AH202" s="124">
        <v>0</v>
      </c>
      <c r="AI202" s="124">
        <v>0</v>
      </c>
      <c r="AJ202" s="124">
        <v>127.92424006574805</v>
      </c>
      <c r="AK202" s="124">
        <v>228.99139992049555</v>
      </c>
      <c r="AL202" s="124">
        <v>363.25399132163693</v>
      </c>
      <c r="AM202" s="124">
        <v>396.09310321276246</v>
      </c>
      <c r="AN202" s="124">
        <v>323.65713527954955</v>
      </c>
      <c r="AO202" s="124">
        <v>158.86744245299002</v>
      </c>
      <c r="AP202" s="124">
        <v>0</v>
      </c>
      <c r="AQ202" s="124">
        <v>0</v>
      </c>
      <c r="AR202" s="124">
        <v>0</v>
      </c>
      <c r="AS202" s="124">
        <v>0</v>
      </c>
      <c r="AT202" s="124">
        <v>0</v>
      </c>
      <c r="AU202" s="124">
        <v>0</v>
      </c>
      <c r="AV202" s="124">
        <v>0</v>
      </c>
      <c r="AW202" s="124">
        <v>0</v>
      </c>
      <c r="AX202" s="124">
        <v>0</v>
      </c>
      <c r="AY202" s="124">
        <v>0</v>
      </c>
    </row>
    <row r="203" spans="1:51" x14ac:dyDescent="0.2">
      <c r="A203" s="127"/>
      <c r="B203" s="144">
        <v>7</v>
      </c>
      <c r="C203" s="124">
        <v>0</v>
      </c>
      <c r="D203" s="124">
        <v>0</v>
      </c>
      <c r="E203" s="124">
        <v>0</v>
      </c>
      <c r="F203" s="124">
        <v>0</v>
      </c>
      <c r="G203" s="124">
        <v>0</v>
      </c>
      <c r="H203" s="124">
        <v>0</v>
      </c>
      <c r="I203" s="124">
        <v>0</v>
      </c>
      <c r="J203" s="124">
        <v>0</v>
      </c>
      <c r="K203" s="124">
        <v>0</v>
      </c>
      <c r="L203" s="124">
        <v>0</v>
      </c>
      <c r="M203" s="124">
        <v>0</v>
      </c>
      <c r="N203" s="124">
        <v>0</v>
      </c>
      <c r="O203" s="124">
        <v>0</v>
      </c>
      <c r="P203" s="124">
        <v>0</v>
      </c>
      <c r="Q203" s="124">
        <v>0</v>
      </c>
      <c r="R203" s="124">
        <v>0</v>
      </c>
      <c r="S203" s="124">
        <v>0</v>
      </c>
      <c r="T203" s="124">
        <v>0</v>
      </c>
      <c r="U203" s="124">
        <v>0</v>
      </c>
      <c r="V203" s="124">
        <v>0</v>
      </c>
      <c r="W203" s="124">
        <v>0</v>
      </c>
      <c r="X203" s="124">
        <v>0</v>
      </c>
      <c r="Y203" s="124">
        <v>0</v>
      </c>
      <c r="Z203" s="124">
        <v>0</v>
      </c>
      <c r="AA203" s="124">
        <v>0</v>
      </c>
      <c r="AB203" s="124">
        <v>0</v>
      </c>
      <c r="AC203" s="124">
        <v>0</v>
      </c>
      <c r="AD203" s="124">
        <v>0</v>
      </c>
      <c r="AE203" s="124">
        <v>0</v>
      </c>
      <c r="AF203" s="124">
        <v>0</v>
      </c>
      <c r="AG203" s="124">
        <v>0</v>
      </c>
      <c r="AH203" s="124">
        <v>0.26422443700857912</v>
      </c>
      <c r="AI203" s="124">
        <v>237.43742904529324</v>
      </c>
      <c r="AJ203" s="124">
        <v>372.33441434560262</v>
      </c>
      <c r="AK203" s="124">
        <v>241.98196459325334</v>
      </c>
      <c r="AL203" s="124">
        <v>122.33994001030408</v>
      </c>
      <c r="AM203" s="124">
        <v>0</v>
      </c>
      <c r="AN203" s="124">
        <v>0</v>
      </c>
      <c r="AO203" s="124">
        <v>0</v>
      </c>
      <c r="AP203" s="124">
        <v>0</v>
      </c>
      <c r="AQ203" s="124">
        <v>0</v>
      </c>
      <c r="AR203" s="124">
        <v>0</v>
      </c>
      <c r="AS203" s="124">
        <v>0</v>
      </c>
      <c r="AT203" s="124">
        <v>0</v>
      </c>
      <c r="AU203" s="124">
        <v>0</v>
      </c>
      <c r="AV203" s="124">
        <v>0</v>
      </c>
      <c r="AW203" s="124">
        <v>0</v>
      </c>
      <c r="AX203" s="124">
        <v>0</v>
      </c>
      <c r="AY203" s="124">
        <v>0</v>
      </c>
    </row>
    <row r="204" spans="1:51" x14ac:dyDescent="0.2">
      <c r="A204" s="127"/>
      <c r="B204" s="144">
        <v>8</v>
      </c>
      <c r="C204" s="124">
        <v>0</v>
      </c>
      <c r="D204" s="124">
        <v>0</v>
      </c>
      <c r="E204" s="124">
        <v>0</v>
      </c>
      <c r="F204" s="124">
        <v>0</v>
      </c>
      <c r="G204" s="124">
        <v>0</v>
      </c>
      <c r="H204" s="124">
        <v>0</v>
      </c>
      <c r="I204" s="124">
        <v>0</v>
      </c>
      <c r="J204" s="124">
        <v>0</v>
      </c>
      <c r="K204" s="124">
        <v>0</v>
      </c>
      <c r="L204" s="124">
        <v>0</v>
      </c>
      <c r="M204" s="124">
        <v>0</v>
      </c>
      <c r="N204" s="124">
        <v>0</v>
      </c>
      <c r="O204" s="124">
        <v>0</v>
      </c>
      <c r="P204" s="124">
        <v>0</v>
      </c>
      <c r="Q204" s="124">
        <v>0</v>
      </c>
      <c r="R204" s="124">
        <v>0</v>
      </c>
      <c r="S204" s="124">
        <v>0</v>
      </c>
      <c r="T204" s="124">
        <v>0</v>
      </c>
      <c r="U204" s="124">
        <v>0</v>
      </c>
      <c r="V204" s="124">
        <v>0</v>
      </c>
      <c r="W204" s="124">
        <v>0</v>
      </c>
      <c r="X204" s="124">
        <v>0</v>
      </c>
      <c r="Y204" s="124">
        <v>0</v>
      </c>
      <c r="Z204" s="124">
        <v>0</v>
      </c>
      <c r="AA204" s="124">
        <v>0</v>
      </c>
      <c r="AB204" s="124">
        <v>0</v>
      </c>
      <c r="AC204" s="124">
        <v>0</v>
      </c>
      <c r="AD204" s="124">
        <v>0</v>
      </c>
      <c r="AE204" s="124">
        <v>60.279945984592757</v>
      </c>
      <c r="AF204" s="124">
        <v>87.722732054552523</v>
      </c>
      <c r="AG204" s="124">
        <v>217.71299254438861</v>
      </c>
      <c r="AH204" s="124">
        <v>405.84973497362267</v>
      </c>
      <c r="AI204" s="124">
        <v>394.20017862133295</v>
      </c>
      <c r="AJ204" s="124">
        <v>118.39855049115238</v>
      </c>
      <c r="AK204" s="124">
        <v>0</v>
      </c>
      <c r="AL204" s="124">
        <v>0</v>
      </c>
      <c r="AM204" s="124">
        <v>0</v>
      </c>
      <c r="AN204" s="124">
        <v>0</v>
      </c>
      <c r="AO204" s="124">
        <v>0</v>
      </c>
      <c r="AP204" s="124">
        <v>0</v>
      </c>
      <c r="AQ204" s="124">
        <v>0</v>
      </c>
      <c r="AR204" s="124">
        <v>0</v>
      </c>
      <c r="AS204" s="124">
        <v>0</v>
      </c>
      <c r="AT204" s="124">
        <v>0</v>
      </c>
      <c r="AU204" s="124">
        <v>0</v>
      </c>
      <c r="AV204" s="124">
        <v>0</v>
      </c>
      <c r="AW204" s="124">
        <v>0</v>
      </c>
      <c r="AX204" s="124">
        <v>0</v>
      </c>
      <c r="AY204" s="124">
        <v>0</v>
      </c>
    </row>
    <row r="205" spans="1:51" x14ac:dyDescent="0.2">
      <c r="A205" s="127"/>
      <c r="B205" s="144">
        <v>9</v>
      </c>
      <c r="C205" s="124">
        <v>0</v>
      </c>
      <c r="D205" s="124">
        <v>0</v>
      </c>
      <c r="E205" s="124">
        <v>0</v>
      </c>
      <c r="F205" s="124">
        <v>0</v>
      </c>
      <c r="G205" s="124">
        <v>0</v>
      </c>
      <c r="H205" s="124">
        <v>0</v>
      </c>
      <c r="I205" s="124">
        <v>0</v>
      </c>
      <c r="J205" s="124">
        <v>0</v>
      </c>
      <c r="K205" s="124">
        <v>0</v>
      </c>
      <c r="L205" s="124">
        <v>0</v>
      </c>
      <c r="M205" s="124">
        <v>0</v>
      </c>
      <c r="N205" s="124">
        <v>0</v>
      </c>
      <c r="O205" s="124">
        <v>0</v>
      </c>
      <c r="P205" s="124">
        <v>0</v>
      </c>
      <c r="Q205" s="124">
        <v>0</v>
      </c>
      <c r="R205" s="124">
        <v>0</v>
      </c>
      <c r="S205" s="124">
        <v>0</v>
      </c>
      <c r="T205" s="124">
        <v>0</v>
      </c>
      <c r="U205" s="124">
        <v>0</v>
      </c>
      <c r="V205" s="124">
        <v>0</v>
      </c>
      <c r="W205" s="124">
        <v>0</v>
      </c>
      <c r="X205" s="124">
        <v>0</v>
      </c>
      <c r="Y205" s="124">
        <v>0</v>
      </c>
      <c r="Z205" s="124">
        <v>0</v>
      </c>
      <c r="AA205" s="124">
        <v>0</v>
      </c>
      <c r="AB205" s="124">
        <v>0</v>
      </c>
      <c r="AC205" s="124">
        <v>106.83621681209593</v>
      </c>
      <c r="AD205" s="124">
        <v>348.58299977543322</v>
      </c>
      <c r="AE205" s="124">
        <v>444.13956897954893</v>
      </c>
      <c r="AF205" s="124">
        <v>413.38582650889293</v>
      </c>
      <c r="AG205" s="124">
        <v>397.42989126893053</v>
      </c>
      <c r="AH205" s="124">
        <v>212.38063013034076</v>
      </c>
      <c r="AI205" s="124">
        <v>0</v>
      </c>
      <c r="AJ205" s="124">
        <v>0</v>
      </c>
      <c r="AK205" s="124">
        <v>0</v>
      </c>
      <c r="AL205" s="124">
        <v>0</v>
      </c>
      <c r="AM205" s="124">
        <v>0</v>
      </c>
      <c r="AN205" s="124">
        <v>0</v>
      </c>
      <c r="AO205" s="124">
        <v>0</v>
      </c>
      <c r="AP205" s="124">
        <v>0</v>
      </c>
      <c r="AQ205" s="124">
        <v>0</v>
      </c>
      <c r="AR205" s="124">
        <v>0</v>
      </c>
      <c r="AS205" s="124">
        <v>0</v>
      </c>
      <c r="AT205" s="124">
        <v>0</v>
      </c>
      <c r="AU205" s="124">
        <v>0</v>
      </c>
      <c r="AV205" s="124">
        <v>0</v>
      </c>
      <c r="AW205" s="124">
        <v>0</v>
      </c>
      <c r="AX205" s="124">
        <v>0</v>
      </c>
      <c r="AY205" s="124">
        <v>0</v>
      </c>
    </row>
    <row r="206" spans="1:51" x14ac:dyDescent="0.2">
      <c r="A206" s="127"/>
      <c r="B206" s="147">
        <v>10</v>
      </c>
      <c r="C206" s="124">
        <v>585.95861738424037</v>
      </c>
      <c r="D206" s="124">
        <v>371.16414299084647</v>
      </c>
      <c r="E206" s="124">
        <v>105.10263868038521</v>
      </c>
      <c r="F206" s="124">
        <v>0</v>
      </c>
      <c r="G206" s="124">
        <v>0</v>
      </c>
      <c r="H206" s="124">
        <v>0</v>
      </c>
      <c r="I206" s="124">
        <v>0</v>
      </c>
      <c r="J206" s="124">
        <v>0</v>
      </c>
      <c r="K206" s="124">
        <v>0</v>
      </c>
      <c r="L206" s="124">
        <v>0</v>
      </c>
      <c r="M206" s="124">
        <v>0</v>
      </c>
      <c r="N206" s="124">
        <v>0</v>
      </c>
      <c r="O206" s="124">
        <v>0</v>
      </c>
      <c r="P206" s="124">
        <v>0</v>
      </c>
      <c r="Q206" s="124">
        <v>0</v>
      </c>
      <c r="R206" s="124">
        <v>0</v>
      </c>
      <c r="S206" s="124">
        <v>0</v>
      </c>
      <c r="T206" s="124">
        <v>0</v>
      </c>
      <c r="U206" s="124">
        <v>0</v>
      </c>
      <c r="V206" s="124">
        <v>0</v>
      </c>
      <c r="W206" s="124">
        <v>0</v>
      </c>
      <c r="X206" s="124">
        <v>0</v>
      </c>
      <c r="Y206" s="124">
        <v>3.0330922820962201</v>
      </c>
      <c r="Z206" s="124">
        <v>171.98828730419285</v>
      </c>
      <c r="AA206" s="124">
        <v>288.98755385747705</v>
      </c>
      <c r="AB206" s="124">
        <v>422.4208777466377</v>
      </c>
      <c r="AC206" s="124">
        <v>455.80759092562926</v>
      </c>
      <c r="AD206" s="124">
        <v>329.2650240506415</v>
      </c>
      <c r="AE206" s="124">
        <v>51.208218516798581</v>
      </c>
      <c r="AF206" s="124">
        <v>0</v>
      </c>
      <c r="AG206" s="124">
        <v>0</v>
      </c>
      <c r="AH206" s="124">
        <v>0</v>
      </c>
      <c r="AI206" s="124">
        <v>0</v>
      </c>
      <c r="AJ206" s="124">
        <v>0</v>
      </c>
      <c r="AK206" s="124">
        <v>0</v>
      </c>
      <c r="AL206" s="124">
        <v>0</v>
      </c>
      <c r="AM206" s="124">
        <v>0</v>
      </c>
      <c r="AN206" s="124">
        <v>0</v>
      </c>
      <c r="AO206" s="124">
        <v>0</v>
      </c>
      <c r="AP206" s="124">
        <v>0</v>
      </c>
      <c r="AQ206" s="124">
        <v>0</v>
      </c>
      <c r="AR206" s="124">
        <v>0</v>
      </c>
      <c r="AS206" s="124">
        <v>0</v>
      </c>
      <c r="AT206" s="124">
        <v>0</v>
      </c>
      <c r="AU206" s="124">
        <v>0</v>
      </c>
      <c r="AV206" s="124">
        <v>0</v>
      </c>
      <c r="AW206" s="124">
        <v>0</v>
      </c>
      <c r="AX206" s="124">
        <v>0</v>
      </c>
      <c r="AY206" s="124">
        <v>0</v>
      </c>
    </row>
    <row r="207" spans="1:51" x14ac:dyDescent="0.2">
      <c r="A207" s="127"/>
      <c r="B207" s="147">
        <v>11</v>
      </c>
      <c r="C207" s="124">
        <v>337.38078695935587</v>
      </c>
      <c r="D207" s="124">
        <v>290.35690546112176</v>
      </c>
      <c r="E207" s="124">
        <v>407.39197469791463</v>
      </c>
      <c r="F207" s="124">
        <v>620</v>
      </c>
      <c r="G207" s="124">
        <v>149.50129302993366</v>
      </c>
      <c r="H207" s="124">
        <v>0</v>
      </c>
      <c r="I207" s="124">
        <v>0</v>
      </c>
      <c r="J207" s="124">
        <v>0</v>
      </c>
      <c r="K207" s="124">
        <v>0</v>
      </c>
      <c r="L207" s="124">
        <v>0</v>
      </c>
      <c r="M207" s="124">
        <v>0</v>
      </c>
      <c r="N207" s="124">
        <v>0</v>
      </c>
      <c r="O207" s="124">
        <v>0</v>
      </c>
      <c r="P207" s="124">
        <v>0</v>
      </c>
      <c r="Q207" s="124">
        <v>0</v>
      </c>
      <c r="R207" s="124">
        <v>12.530453498342013</v>
      </c>
      <c r="S207" s="124">
        <v>46.354335602059905</v>
      </c>
      <c r="T207" s="124">
        <v>0</v>
      </c>
      <c r="U207" s="124">
        <v>57.903279853573395</v>
      </c>
      <c r="V207" s="124">
        <v>130.1435990037524</v>
      </c>
      <c r="W207" s="124">
        <v>130.65871497802686</v>
      </c>
      <c r="X207" s="124">
        <v>330.0464111659785</v>
      </c>
      <c r="Y207" s="124">
        <v>439.69995627874852</v>
      </c>
      <c r="Z207" s="124">
        <v>435.15459650912629</v>
      </c>
      <c r="AA207" s="124">
        <v>229.57985170047294</v>
      </c>
      <c r="AB207" s="124">
        <v>129.5791222533623</v>
      </c>
      <c r="AC207" s="124">
        <v>16.410853892892987</v>
      </c>
      <c r="AD207" s="124">
        <v>0</v>
      </c>
      <c r="AE207" s="124">
        <v>0</v>
      </c>
      <c r="AF207" s="124">
        <v>0</v>
      </c>
      <c r="AG207" s="124">
        <v>0</v>
      </c>
      <c r="AH207" s="124">
        <v>0</v>
      </c>
      <c r="AI207" s="124">
        <v>0</v>
      </c>
      <c r="AJ207" s="124">
        <v>0</v>
      </c>
      <c r="AK207" s="124">
        <v>0</v>
      </c>
      <c r="AL207" s="124">
        <v>0</v>
      </c>
      <c r="AM207" s="124">
        <v>0</v>
      </c>
      <c r="AN207" s="124">
        <v>0</v>
      </c>
      <c r="AO207" s="124">
        <v>0</v>
      </c>
      <c r="AP207" s="124">
        <v>0</v>
      </c>
      <c r="AQ207" s="124">
        <v>0</v>
      </c>
      <c r="AR207" s="124">
        <v>0</v>
      </c>
      <c r="AS207" s="124">
        <v>0</v>
      </c>
      <c r="AT207" s="124">
        <v>0</v>
      </c>
      <c r="AU207" s="124">
        <v>0</v>
      </c>
      <c r="AV207" s="124">
        <v>0</v>
      </c>
      <c r="AW207" s="124">
        <v>0</v>
      </c>
      <c r="AX207" s="124">
        <v>0</v>
      </c>
      <c r="AY207" s="124">
        <v>0</v>
      </c>
    </row>
    <row r="208" spans="1:51" x14ac:dyDescent="0.2">
      <c r="A208" s="127"/>
      <c r="B208" s="147">
        <v>12</v>
      </c>
      <c r="C208" s="124">
        <v>0</v>
      </c>
      <c r="D208" s="124">
        <v>0</v>
      </c>
      <c r="E208" s="124">
        <v>0</v>
      </c>
      <c r="F208" s="124">
        <v>0</v>
      </c>
      <c r="G208" s="124">
        <v>352.49870697006634</v>
      </c>
      <c r="H208" s="124">
        <v>528.25686416384121</v>
      </c>
      <c r="I208" s="124">
        <v>478.26818690570371</v>
      </c>
      <c r="J208" s="124">
        <v>516.39131880319212</v>
      </c>
      <c r="K208" s="124">
        <v>533.69580551862407</v>
      </c>
      <c r="L208" s="124">
        <v>594.88353488491214</v>
      </c>
      <c r="M208" s="124">
        <v>492.0428569296202</v>
      </c>
      <c r="N208" s="124">
        <v>470.6619047717175</v>
      </c>
      <c r="O208" s="124">
        <v>517.20473519827158</v>
      </c>
      <c r="P208" s="124">
        <v>453.61498826723607</v>
      </c>
      <c r="Q208" s="124">
        <v>595.8205152014765</v>
      </c>
      <c r="R208" s="124">
        <v>588.89589297206658</v>
      </c>
      <c r="S208" s="124">
        <v>532.33189305484302</v>
      </c>
      <c r="T208" s="124">
        <v>469.26818690570371</v>
      </c>
      <c r="U208" s="124">
        <v>474.09672014642661</v>
      </c>
      <c r="V208" s="124">
        <v>416.49566677675188</v>
      </c>
      <c r="W208" s="124">
        <v>338.07491914439578</v>
      </c>
      <c r="X208" s="124">
        <v>307.13629717381536</v>
      </c>
      <c r="Y208" s="124">
        <v>120.66383883512026</v>
      </c>
      <c r="Z208" s="124">
        <v>0</v>
      </c>
      <c r="AA208" s="124">
        <v>0</v>
      </c>
      <c r="AB208" s="124">
        <v>0</v>
      </c>
      <c r="AC208" s="124">
        <v>0</v>
      </c>
      <c r="AD208" s="124">
        <v>0</v>
      </c>
      <c r="AE208" s="124">
        <v>0</v>
      </c>
      <c r="AF208" s="124">
        <v>0</v>
      </c>
      <c r="AG208" s="124">
        <v>0</v>
      </c>
      <c r="AH208" s="124">
        <v>0</v>
      </c>
      <c r="AI208" s="124">
        <v>0</v>
      </c>
      <c r="AJ208" s="124">
        <v>0</v>
      </c>
      <c r="AK208" s="124">
        <v>0</v>
      </c>
      <c r="AL208" s="124">
        <v>0</v>
      </c>
      <c r="AM208" s="124">
        <v>0</v>
      </c>
      <c r="AN208" s="124">
        <v>0</v>
      </c>
      <c r="AO208" s="124">
        <v>0</v>
      </c>
      <c r="AP208" s="124">
        <v>0</v>
      </c>
      <c r="AQ208" s="124">
        <v>0</v>
      </c>
      <c r="AR208" s="124">
        <v>0</v>
      </c>
      <c r="AS208" s="124">
        <v>0</v>
      </c>
      <c r="AT208" s="124">
        <v>0</v>
      </c>
      <c r="AU208" s="124">
        <v>0</v>
      </c>
      <c r="AV208" s="124">
        <v>0</v>
      </c>
      <c r="AW208" s="124">
        <v>0</v>
      </c>
      <c r="AX208" s="124">
        <v>0</v>
      </c>
      <c r="AY208" s="124">
        <v>0</v>
      </c>
    </row>
    <row r="209" spans="1:51" x14ac:dyDescent="0.2">
      <c r="A209" s="143" t="s">
        <v>123</v>
      </c>
      <c r="B209" s="140">
        <v>1</v>
      </c>
      <c r="C209" s="141">
        <v>595.83745185786961</v>
      </c>
      <c r="D209" s="141">
        <v>418.81131035772819</v>
      </c>
      <c r="E209" s="141">
        <v>0</v>
      </c>
      <c r="F209" s="141">
        <v>48.334053632507221</v>
      </c>
      <c r="G209" s="141">
        <v>95.832626039175238</v>
      </c>
      <c r="H209" s="141">
        <v>282.21645440540374</v>
      </c>
      <c r="I209" s="141">
        <v>281.2175873110171</v>
      </c>
      <c r="J209" s="141">
        <v>301.64407859801747</v>
      </c>
      <c r="K209" s="141">
        <v>402.1946281182727</v>
      </c>
      <c r="L209" s="141">
        <v>359.50940100851005</v>
      </c>
      <c r="M209" s="141">
        <v>395.89873379271199</v>
      </c>
      <c r="N209" s="141">
        <v>400.89682069666105</v>
      </c>
      <c r="O209" s="141">
        <v>521.92547053963813</v>
      </c>
      <c r="P209" s="141">
        <v>465.74482366502298</v>
      </c>
      <c r="Q209" s="141">
        <v>398.76824083082181</v>
      </c>
      <c r="R209" s="141">
        <v>342.66254479424407</v>
      </c>
      <c r="S209" s="141">
        <v>407.79259023025924</v>
      </c>
      <c r="T209" s="141">
        <v>527.79824385218342</v>
      </c>
      <c r="U209" s="141">
        <v>381.22568799789815</v>
      </c>
      <c r="V209" s="141">
        <v>283.64074861143433</v>
      </c>
      <c r="W209" s="141">
        <v>245.67638108082559</v>
      </c>
      <c r="X209" s="141">
        <v>427.64793859758555</v>
      </c>
      <c r="Y209" s="141">
        <v>507.7746745217629</v>
      </c>
      <c r="Z209" s="141">
        <v>545.40351916218776</v>
      </c>
      <c r="AA209" s="141">
        <v>673.07155363196227</v>
      </c>
      <c r="AB209" s="141">
        <v>618.54375902189099</v>
      </c>
      <c r="AC209" s="141">
        <v>626.56906085159483</v>
      </c>
      <c r="AD209" s="141">
        <v>687.95951519015398</v>
      </c>
      <c r="AE209" s="141">
        <v>648.55481445537691</v>
      </c>
      <c r="AF209" s="141">
        <v>503.55359019394228</v>
      </c>
      <c r="AG209" s="141">
        <v>559.45960522250607</v>
      </c>
      <c r="AH209" s="141">
        <v>589.8018840287167</v>
      </c>
      <c r="AI209" s="141">
        <v>704.10653992374284</v>
      </c>
      <c r="AJ209" s="141">
        <v>565.84571718365339</v>
      </c>
      <c r="AK209" s="141">
        <v>675.73452975192629</v>
      </c>
      <c r="AL209" s="141">
        <v>660.02873389195292</v>
      </c>
      <c r="AM209" s="141">
        <v>618.09472702631456</v>
      </c>
      <c r="AN209" s="141">
        <v>688.02174570833199</v>
      </c>
      <c r="AO209" s="141">
        <v>666.02902800543563</v>
      </c>
      <c r="AP209" s="141">
        <v>759.75577624861671</v>
      </c>
      <c r="AQ209" s="141">
        <v>688.67660318167043</v>
      </c>
      <c r="AR209" s="141">
        <v>510.03002465283231</v>
      </c>
      <c r="AS209" s="141">
        <v>587.54151062797087</v>
      </c>
      <c r="AT209" s="141">
        <v>478.88739378696573</v>
      </c>
      <c r="AU209" s="141">
        <v>549.33670592308897</v>
      </c>
      <c r="AV209" s="141">
        <v>525.28223192056987</v>
      </c>
      <c r="AW209" s="141">
        <v>572.97082442951228</v>
      </c>
      <c r="AX209" s="141">
        <v>586.52847900056315</v>
      </c>
      <c r="AY209" s="141">
        <v>578.16867923658128</v>
      </c>
    </row>
    <row r="210" spans="1:51" x14ac:dyDescent="0.2">
      <c r="A210" s="127"/>
      <c r="B210" s="136">
        <v>2</v>
      </c>
      <c r="C210" s="124">
        <v>306.50195248572663</v>
      </c>
      <c r="D210" s="128">
        <v>199.70973809424004</v>
      </c>
      <c r="E210" s="128">
        <v>628.49461337829985</v>
      </c>
      <c r="F210" s="128">
        <v>529.87702844752584</v>
      </c>
      <c r="G210" s="128">
        <v>496.16737396082476</v>
      </c>
      <c r="H210" s="128">
        <v>463.04040975843748</v>
      </c>
      <c r="I210" s="128">
        <v>333.05059959468662</v>
      </c>
      <c r="J210" s="128">
        <v>333.74724020517465</v>
      </c>
      <c r="K210" s="128">
        <v>319.50117740035137</v>
      </c>
      <c r="L210" s="128">
        <v>249.37413387640206</v>
      </c>
      <c r="M210" s="128">
        <v>279.14412313690815</v>
      </c>
      <c r="N210" s="128">
        <v>253.76508407505654</v>
      </c>
      <c r="O210" s="128">
        <v>250.27926465863345</v>
      </c>
      <c r="P210" s="128">
        <v>165.87016460221307</v>
      </c>
      <c r="Q210" s="128">
        <v>205.05227437065469</v>
      </c>
      <c r="R210" s="128">
        <v>251.76380167616452</v>
      </c>
      <c r="S210" s="128">
        <v>290.89363842664369</v>
      </c>
      <c r="T210" s="128">
        <v>245.4699430535203</v>
      </c>
      <c r="U210" s="128">
        <v>161.77431200210182</v>
      </c>
      <c r="V210" s="128">
        <v>263.99851716906994</v>
      </c>
      <c r="W210" s="128">
        <v>332.05725304159699</v>
      </c>
      <c r="X210" s="128">
        <v>358.53476974220831</v>
      </c>
      <c r="Y210" s="128">
        <v>231.62221287420209</v>
      </c>
      <c r="Z210" s="128">
        <v>175.73936465113138</v>
      </c>
      <c r="AA210" s="128">
        <v>149.49585192598775</v>
      </c>
      <c r="AB210" s="128">
        <v>60.456240978109044</v>
      </c>
      <c r="AC210" s="128">
        <v>98.485600779023358</v>
      </c>
      <c r="AD210" s="128">
        <v>92.888508635920743</v>
      </c>
      <c r="AE210" s="128">
        <v>50.072919025563401</v>
      </c>
      <c r="AF210" s="128">
        <v>77.554968369503129</v>
      </c>
      <c r="AG210" s="128">
        <v>178.6832785908131</v>
      </c>
      <c r="AH210" s="128">
        <v>139.69270551225529</v>
      </c>
      <c r="AI210" s="128">
        <v>118.53106774288334</v>
      </c>
      <c r="AJ210" s="128">
        <v>38.811487718849662</v>
      </c>
      <c r="AK210" s="128">
        <v>135.23883476182266</v>
      </c>
      <c r="AL210" s="128">
        <v>58.598999588987297</v>
      </c>
      <c r="AM210" s="128">
        <v>69.552704318654094</v>
      </c>
      <c r="AN210" s="128">
        <v>98.798769493144519</v>
      </c>
      <c r="AO210" s="128">
        <v>50.029517549613161</v>
      </c>
      <c r="AP210" s="128">
        <v>65.36791479278547</v>
      </c>
      <c r="AQ210" s="128">
        <v>0</v>
      </c>
      <c r="AR210" s="128">
        <v>49.572799821526182</v>
      </c>
      <c r="AS210" s="128">
        <v>174.16641415451187</v>
      </c>
      <c r="AT210" s="128">
        <v>120.10752162215876</v>
      </c>
      <c r="AU210" s="128">
        <v>195.88624204805285</v>
      </c>
      <c r="AV210" s="128">
        <v>146.75272659762766</v>
      </c>
      <c r="AW210" s="128">
        <v>163.52905604951746</v>
      </c>
      <c r="AX210" s="128">
        <v>130.26956598778679</v>
      </c>
      <c r="AY210" s="128">
        <v>120.81404101330386</v>
      </c>
    </row>
    <row r="211" spans="1:51" x14ac:dyDescent="0.2">
      <c r="A211" s="127"/>
      <c r="B211" s="136">
        <v>3</v>
      </c>
      <c r="C211" s="124">
        <v>0</v>
      </c>
      <c r="D211" s="128">
        <v>0</v>
      </c>
      <c r="E211" s="128">
        <v>0</v>
      </c>
      <c r="F211" s="128">
        <v>67.78891791996692</v>
      </c>
      <c r="G211" s="128">
        <v>0</v>
      </c>
      <c r="H211" s="128">
        <v>0</v>
      </c>
      <c r="I211" s="128">
        <v>0</v>
      </c>
      <c r="J211" s="128">
        <v>0</v>
      </c>
      <c r="K211" s="128">
        <v>0</v>
      </c>
      <c r="L211" s="128">
        <v>0</v>
      </c>
      <c r="M211" s="128">
        <v>0</v>
      </c>
      <c r="N211" s="128">
        <v>0</v>
      </c>
      <c r="O211" s="128">
        <v>0</v>
      </c>
      <c r="P211" s="128">
        <v>0</v>
      </c>
      <c r="Q211" s="128">
        <v>0</v>
      </c>
      <c r="R211" s="128">
        <v>0</v>
      </c>
      <c r="S211" s="128">
        <v>0</v>
      </c>
      <c r="T211" s="128">
        <v>0</v>
      </c>
      <c r="U211" s="128">
        <v>0</v>
      </c>
      <c r="V211" s="128">
        <v>0</v>
      </c>
      <c r="W211" s="128">
        <v>0</v>
      </c>
      <c r="X211" s="128">
        <v>0</v>
      </c>
      <c r="Y211" s="128">
        <v>0</v>
      </c>
      <c r="Z211" s="128">
        <v>0</v>
      </c>
      <c r="AA211" s="128">
        <v>0</v>
      </c>
      <c r="AB211" s="128">
        <v>0</v>
      </c>
      <c r="AC211" s="128">
        <v>0</v>
      </c>
      <c r="AD211" s="128">
        <v>0</v>
      </c>
      <c r="AE211" s="128">
        <v>0</v>
      </c>
      <c r="AF211" s="128">
        <v>0</v>
      </c>
      <c r="AG211" s="128">
        <v>0</v>
      </c>
      <c r="AH211" s="128">
        <v>0</v>
      </c>
      <c r="AI211" s="128">
        <v>0</v>
      </c>
      <c r="AJ211" s="128">
        <v>0</v>
      </c>
      <c r="AK211" s="128">
        <v>0</v>
      </c>
      <c r="AL211" s="128">
        <v>0</v>
      </c>
      <c r="AM211" s="128">
        <v>0</v>
      </c>
      <c r="AN211" s="128">
        <v>0</v>
      </c>
      <c r="AO211" s="128">
        <v>0</v>
      </c>
      <c r="AP211" s="128">
        <v>0</v>
      </c>
      <c r="AQ211" s="128">
        <v>0</v>
      </c>
      <c r="AR211" s="128">
        <v>0</v>
      </c>
      <c r="AS211" s="128">
        <v>0</v>
      </c>
      <c r="AT211" s="128">
        <v>0</v>
      </c>
      <c r="AU211" s="128">
        <v>0</v>
      </c>
      <c r="AV211" s="128">
        <v>0</v>
      </c>
      <c r="AW211" s="128">
        <v>0</v>
      </c>
      <c r="AX211" s="128">
        <v>0</v>
      </c>
      <c r="AY211" s="128">
        <v>0</v>
      </c>
    </row>
    <row r="212" spans="1:51" x14ac:dyDescent="0.2">
      <c r="A212" s="127"/>
      <c r="B212" s="136">
        <v>4</v>
      </c>
      <c r="C212" s="124">
        <v>0</v>
      </c>
      <c r="D212" s="128">
        <v>0</v>
      </c>
      <c r="E212" s="128">
        <v>0</v>
      </c>
      <c r="F212" s="128">
        <v>0</v>
      </c>
      <c r="G212" s="128">
        <v>0</v>
      </c>
      <c r="H212" s="128">
        <v>0</v>
      </c>
      <c r="I212" s="128">
        <v>0</v>
      </c>
      <c r="J212" s="128">
        <v>0</v>
      </c>
      <c r="K212" s="128">
        <v>0</v>
      </c>
      <c r="L212" s="128">
        <v>0</v>
      </c>
      <c r="M212" s="128">
        <v>0</v>
      </c>
      <c r="N212" s="128">
        <v>0</v>
      </c>
      <c r="O212" s="128">
        <v>0</v>
      </c>
      <c r="P212" s="128">
        <v>0</v>
      </c>
      <c r="Q212" s="128">
        <v>0</v>
      </c>
      <c r="R212" s="128">
        <v>0</v>
      </c>
      <c r="S212" s="128">
        <v>0</v>
      </c>
      <c r="T212" s="128">
        <v>0</v>
      </c>
      <c r="U212" s="128">
        <v>0</v>
      </c>
      <c r="V212" s="128">
        <v>0</v>
      </c>
      <c r="W212" s="128">
        <v>0</v>
      </c>
      <c r="X212" s="128">
        <v>0</v>
      </c>
      <c r="Y212" s="128">
        <v>0</v>
      </c>
      <c r="Z212" s="128">
        <v>0</v>
      </c>
      <c r="AA212" s="128">
        <v>0</v>
      </c>
      <c r="AB212" s="128">
        <v>0</v>
      </c>
      <c r="AC212" s="128">
        <v>0</v>
      </c>
      <c r="AD212" s="128">
        <v>0</v>
      </c>
      <c r="AE212" s="128">
        <v>0</v>
      </c>
      <c r="AF212" s="128">
        <v>0</v>
      </c>
      <c r="AG212" s="128">
        <v>0</v>
      </c>
      <c r="AH212" s="128">
        <v>0</v>
      </c>
      <c r="AI212" s="128">
        <v>0</v>
      </c>
      <c r="AJ212" s="128">
        <v>0</v>
      </c>
      <c r="AK212" s="128">
        <v>0</v>
      </c>
      <c r="AL212" s="128">
        <v>0</v>
      </c>
      <c r="AM212" s="128">
        <v>0</v>
      </c>
      <c r="AN212" s="128">
        <v>0</v>
      </c>
      <c r="AO212" s="128">
        <v>0</v>
      </c>
      <c r="AP212" s="128">
        <v>0</v>
      </c>
      <c r="AQ212" s="128">
        <v>0</v>
      </c>
      <c r="AR212" s="128">
        <v>0</v>
      </c>
      <c r="AS212" s="128">
        <v>0</v>
      </c>
      <c r="AT212" s="128">
        <v>0</v>
      </c>
      <c r="AU212" s="128">
        <v>0</v>
      </c>
      <c r="AV212" s="128">
        <v>0</v>
      </c>
      <c r="AW212" s="128">
        <v>0</v>
      </c>
      <c r="AX212" s="128">
        <v>0</v>
      </c>
      <c r="AY212" s="128">
        <v>0</v>
      </c>
    </row>
    <row r="213" spans="1:51" x14ac:dyDescent="0.2">
      <c r="A213" s="127"/>
      <c r="B213" s="136">
        <v>5</v>
      </c>
      <c r="C213" s="124">
        <v>0</v>
      </c>
      <c r="D213" s="128">
        <v>0</v>
      </c>
      <c r="E213" s="128">
        <v>0</v>
      </c>
      <c r="F213" s="128">
        <v>0</v>
      </c>
      <c r="G213" s="128">
        <v>0</v>
      </c>
      <c r="H213" s="128">
        <v>0</v>
      </c>
      <c r="I213" s="128">
        <v>0</v>
      </c>
      <c r="J213" s="128">
        <v>0</v>
      </c>
      <c r="K213" s="128">
        <v>0</v>
      </c>
      <c r="L213" s="128">
        <v>0</v>
      </c>
      <c r="M213" s="128">
        <v>0</v>
      </c>
      <c r="N213" s="128">
        <v>0</v>
      </c>
      <c r="O213" s="128">
        <v>0</v>
      </c>
      <c r="P213" s="128">
        <v>0</v>
      </c>
      <c r="Q213" s="128">
        <v>0</v>
      </c>
      <c r="R213" s="128">
        <v>0</v>
      </c>
      <c r="S213" s="128">
        <v>0</v>
      </c>
      <c r="T213" s="128">
        <v>0</v>
      </c>
      <c r="U213" s="128">
        <v>0</v>
      </c>
      <c r="V213" s="128">
        <v>0</v>
      </c>
      <c r="W213" s="128">
        <v>0</v>
      </c>
      <c r="X213" s="128">
        <v>0</v>
      </c>
      <c r="Y213" s="128">
        <v>0</v>
      </c>
      <c r="Z213" s="128">
        <v>0</v>
      </c>
      <c r="AA213" s="128">
        <v>0</v>
      </c>
      <c r="AB213" s="128">
        <v>0</v>
      </c>
      <c r="AC213" s="128">
        <v>0</v>
      </c>
      <c r="AD213" s="128">
        <v>0</v>
      </c>
      <c r="AE213" s="128">
        <v>0</v>
      </c>
      <c r="AF213" s="128">
        <v>0</v>
      </c>
      <c r="AG213" s="128">
        <v>0</v>
      </c>
      <c r="AH213" s="128">
        <v>0</v>
      </c>
      <c r="AI213" s="128">
        <v>0</v>
      </c>
      <c r="AJ213" s="128">
        <v>0</v>
      </c>
      <c r="AK213" s="128">
        <v>0</v>
      </c>
      <c r="AL213" s="128">
        <v>0</v>
      </c>
      <c r="AM213" s="128">
        <v>0</v>
      </c>
      <c r="AN213" s="128">
        <v>0</v>
      </c>
      <c r="AO213" s="128">
        <v>0</v>
      </c>
      <c r="AP213" s="128">
        <v>0</v>
      </c>
      <c r="AQ213" s="128">
        <v>0</v>
      </c>
      <c r="AR213" s="128">
        <v>0</v>
      </c>
      <c r="AS213" s="128">
        <v>0</v>
      </c>
      <c r="AT213" s="128">
        <v>0</v>
      </c>
      <c r="AU213" s="128">
        <v>0</v>
      </c>
      <c r="AV213" s="128">
        <v>0</v>
      </c>
      <c r="AW213" s="128">
        <v>0</v>
      </c>
      <c r="AX213" s="128">
        <v>0</v>
      </c>
      <c r="AY213" s="128">
        <v>0</v>
      </c>
    </row>
    <row r="214" spans="1:51" x14ac:dyDescent="0.2">
      <c r="A214" s="127"/>
      <c r="B214" s="136">
        <v>6</v>
      </c>
      <c r="C214" s="124">
        <v>0</v>
      </c>
      <c r="D214" s="128">
        <v>0</v>
      </c>
      <c r="E214" s="128">
        <v>0</v>
      </c>
      <c r="F214" s="128">
        <v>0</v>
      </c>
      <c r="G214" s="128">
        <v>0</v>
      </c>
      <c r="H214" s="128">
        <v>0</v>
      </c>
      <c r="I214" s="128">
        <v>0</v>
      </c>
      <c r="J214" s="128">
        <v>0</v>
      </c>
      <c r="K214" s="128">
        <v>0</v>
      </c>
      <c r="L214" s="128">
        <v>0</v>
      </c>
      <c r="M214" s="128">
        <v>0</v>
      </c>
      <c r="N214" s="128">
        <v>0</v>
      </c>
      <c r="O214" s="128">
        <v>0</v>
      </c>
      <c r="P214" s="128">
        <v>0</v>
      </c>
      <c r="Q214" s="128">
        <v>0</v>
      </c>
      <c r="R214" s="128">
        <v>0</v>
      </c>
      <c r="S214" s="128">
        <v>0</v>
      </c>
      <c r="T214" s="128">
        <v>0</v>
      </c>
      <c r="U214" s="128">
        <v>0</v>
      </c>
      <c r="V214" s="128">
        <v>0</v>
      </c>
      <c r="W214" s="128">
        <v>0</v>
      </c>
      <c r="X214" s="128">
        <v>0</v>
      </c>
      <c r="Y214" s="128">
        <v>0</v>
      </c>
      <c r="Z214" s="128">
        <v>0</v>
      </c>
      <c r="AA214" s="128">
        <v>0</v>
      </c>
      <c r="AB214" s="128">
        <v>0</v>
      </c>
      <c r="AC214" s="128">
        <v>0</v>
      </c>
      <c r="AD214" s="128">
        <v>0</v>
      </c>
      <c r="AE214" s="128">
        <v>0</v>
      </c>
      <c r="AF214" s="128">
        <v>0</v>
      </c>
      <c r="AG214" s="128">
        <v>0</v>
      </c>
      <c r="AH214" s="128">
        <v>0</v>
      </c>
      <c r="AI214" s="128">
        <v>0</v>
      </c>
      <c r="AJ214" s="128">
        <v>0</v>
      </c>
      <c r="AK214" s="128">
        <v>0</v>
      </c>
      <c r="AL214" s="128">
        <v>0</v>
      </c>
      <c r="AM214" s="128">
        <v>0</v>
      </c>
      <c r="AN214" s="128">
        <v>0</v>
      </c>
      <c r="AO214" s="128">
        <v>0</v>
      </c>
      <c r="AP214" s="128">
        <v>0</v>
      </c>
      <c r="AQ214" s="128">
        <v>0</v>
      </c>
      <c r="AR214" s="128">
        <v>0</v>
      </c>
      <c r="AS214" s="128">
        <v>0</v>
      </c>
      <c r="AT214" s="128">
        <v>0</v>
      </c>
      <c r="AU214" s="128">
        <v>0</v>
      </c>
      <c r="AV214" s="128">
        <v>0</v>
      </c>
      <c r="AW214" s="128">
        <v>0</v>
      </c>
      <c r="AX214" s="128">
        <v>0</v>
      </c>
      <c r="AY214" s="128">
        <v>0</v>
      </c>
    </row>
    <row r="215" spans="1:51" x14ac:dyDescent="0.2">
      <c r="A215" s="127"/>
      <c r="B215" s="136">
        <v>7</v>
      </c>
      <c r="C215" s="124">
        <v>0</v>
      </c>
      <c r="D215" s="128">
        <v>0</v>
      </c>
      <c r="E215" s="128">
        <v>0</v>
      </c>
      <c r="F215" s="128">
        <v>0</v>
      </c>
      <c r="G215" s="128">
        <v>0</v>
      </c>
      <c r="H215" s="128">
        <v>0</v>
      </c>
      <c r="I215" s="128">
        <v>0</v>
      </c>
      <c r="J215" s="128">
        <v>0</v>
      </c>
      <c r="K215" s="128">
        <v>0</v>
      </c>
      <c r="L215" s="128">
        <v>0</v>
      </c>
      <c r="M215" s="128">
        <v>0</v>
      </c>
      <c r="N215" s="128">
        <v>0</v>
      </c>
      <c r="O215" s="128">
        <v>0</v>
      </c>
      <c r="P215" s="128">
        <v>0</v>
      </c>
      <c r="Q215" s="128">
        <v>0</v>
      </c>
      <c r="R215" s="128">
        <v>0</v>
      </c>
      <c r="S215" s="128">
        <v>0</v>
      </c>
      <c r="T215" s="128">
        <v>0</v>
      </c>
      <c r="U215" s="128">
        <v>0</v>
      </c>
      <c r="V215" s="128">
        <v>0</v>
      </c>
      <c r="W215" s="128">
        <v>0</v>
      </c>
      <c r="X215" s="128">
        <v>0</v>
      </c>
      <c r="Y215" s="128">
        <v>0</v>
      </c>
      <c r="Z215" s="128">
        <v>0</v>
      </c>
      <c r="AA215" s="128">
        <v>0</v>
      </c>
      <c r="AB215" s="128">
        <v>0</v>
      </c>
      <c r="AC215" s="128">
        <v>0</v>
      </c>
      <c r="AD215" s="128">
        <v>0</v>
      </c>
      <c r="AE215" s="128">
        <v>0</v>
      </c>
      <c r="AF215" s="128">
        <v>0</v>
      </c>
      <c r="AG215" s="128">
        <v>0</v>
      </c>
      <c r="AH215" s="128">
        <v>0</v>
      </c>
      <c r="AI215" s="128">
        <v>0</v>
      </c>
      <c r="AJ215" s="128">
        <v>0</v>
      </c>
      <c r="AK215" s="128">
        <v>0</v>
      </c>
      <c r="AL215" s="128">
        <v>0</v>
      </c>
      <c r="AM215" s="128">
        <v>0</v>
      </c>
      <c r="AN215" s="128">
        <v>0</v>
      </c>
      <c r="AO215" s="128">
        <v>0</v>
      </c>
      <c r="AP215" s="128">
        <v>0</v>
      </c>
      <c r="AQ215" s="128">
        <v>0</v>
      </c>
      <c r="AR215" s="128">
        <v>0</v>
      </c>
      <c r="AS215" s="128">
        <v>0</v>
      </c>
      <c r="AT215" s="128">
        <v>0</v>
      </c>
      <c r="AU215" s="128">
        <v>0</v>
      </c>
      <c r="AV215" s="128">
        <v>0</v>
      </c>
      <c r="AW215" s="128">
        <v>0</v>
      </c>
      <c r="AX215" s="128">
        <v>0</v>
      </c>
      <c r="AY215" s="128">
        <v>0</v>
      </c>
    </row>
    <row r="216" spans="1:51" x14ac:dyDescent="0.2">
      <c r="A216" s="127"/>
      <c r="B216" s="136">
        <v>8</v>
      </c>
      <c r="C216" s="124">
        <v>0</v>
      </c>
      <c r="D216" s="128">
        <v>0</v>
      </c>
      <c r="E216" s="128">
        <v>0</v>
      </c>
      <c r="F216" s="128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8">
        <v>0</v>
      </c>
      <c r="M216" s="128">
        <v>0</v>
      </c>
      <c r="N216" s="128">
        <v>0</v>
      </c>
      <c r="O216" s="128">
        <v>0</v>
      </c>
      <c r="P216" s="128">
        <v>0</v>
      </c>
      <c r="Q216" s="128">
        <v>0</v>
      </c>
      <c r="R216" s="128">
        <v>0</v>
      </c>
      <c r="S216" s="128">
        <v>0</v>
      </c>
      <c r="T216" s="128">
        <v>0</v>
      </c>
      <c r="U216" s="128">
        <v>0</v>
      </c>
      <c r="V216" s="128">
        <v>0</v>
      </c>
      <c r="W216" s="128">
        <v>0</v>
      </c>
      <c r="X216" s="128">
        <v>0</v>
      </c>
      <c r="Y216" s="128">
        <v>0</v>
      </c>
      <c r="Z216" s="128">
        <v>0</v>
      </c>
      <c r="AA216" s="128">
        <v>0</v>
      </c>
      <c r="AB216" s="128">
        <v>0</v>
      </c>
      <c r="AC216" s="128">
        <v>0</v>
      </c>
      <c r="AD216" s="128">
        <v>0</v>
      </c>
      <c r="AE216" s="128">
        <v>0</v>
      </c>
      <c r="AF216" s="128">
        <v>0</v>
      </c>
      <c r="AG216" s="128">
        <v>0</v>
      </c>
      <c r="AH216" s="128">
        <v>0</v>
      </c>
      <c r="AI216" s="128">
        <v>0</v>
      </c>
      <c r="AJ216" s="128">
        <v>0</v>
      </c>
      <c r="AK216" s="128">
        <v>0</v>
      </c>
      <c r="AL216" s="128">
        <v>0</v>
      </c>
      <c r="AM216" s="128">
        <v>0</v>
      </c>
      <c r="AN216" s="128">
        <v>0</v>
      </c>
      <c r="AO216" s="128">
        <v>0</v>
      </c>
      <c r="AP216" s="128">
        <v>0</v>
      </c>
      <c r="AQ216" s="128">
        <v>0</v>
      </c>
      <c r="AR216" s="128">
        <v>0</v>
      </c>
      <c r="AS216" s="128">
        <v>0</v>
      </c>
      <c r="AT216" s="128">
        <v>0</v>
      </c>
      <c r="AU216" s="128">
        <v>0</v>
      </c>
      <c r="AV216" s="128">
        <v>0</v>
      </c>
      <c r="AW216" s="128">
        <v>0</v>
      </c>
      <c r="AX216" s="128">
        <v>0</v>
      </c>
      <c r="AY216" s="128">
        <v>0</v>
      </c>
    </row>
    <row r="217" spans="1:51" x14ac:dyDescent="0.2">
      <c r="A217" s="127"/>
      <c r="B217" s="136">
        <v>9</v>
      </c>
      <c r="C217" s="124">
        <v>0</v>
      </c>
      <c r="D217" s="128">
        <v>0</v>
      </c>
      <c r="E217" s="128">
        <v>0</v>
      </c>
      <c r="F217" s="128">
        <v>0</v>
      </c>
      <c r="G217" s="128">
        <v>0</v>
      </c>
      <c r="H217" s="128">
        <v>0</v>
      </c>
      <c r="I217" s="128">
        <v>0</v>
      </c>
      <c r="J217" s="128">
        <v>0</v>
      </c>
      <c r="K217" s="128">
        <v>0</v>
      </c>
      <c r="L217" s="128">
        <v>0</v>
      </c>
      <c r="M217" s="128">
        <v>0</v>
      </c>
      <c r="N217" s="128">
        <v>0</v>
      </c>
      <c r="O217" s="128">
        <v>0</v>
      </c>
      <c r="P217" s="128">
        <v>0</v>
      </c>
      <c r="Q217" s="128">
        <v>0</v>
      </c>
      <c r="R217" s="128">
        <v>0</v>
      </c>
      <c r="S217" s="128">
        <v>0</v>
      </c>
      <c r="T217" s="128">
        <v>0</v>
      </c>
      <c r="U217" s="128">
        <v>0</v>
      </c>
      <c r="V217" s="128">
        <v>0</v>
      </c>
      <c r="W217" s="128">
        <v>0</v>
      </c>
      <c r="X217" s="128">
        <v>0</v>
      </c>
      <c r="Y217" s="128">
        <v>0</v>
      </c>
      <c r="Z217" s="128">
        <v>0</v>
      </c>
      <c r="AA217" s="128">
        <v>0</v>
      </c>
      <c r="AB217" s="128">
        <v>0</v>
      </c>
      <c r="AC217" s="128">
        <v>0</v>
      </c>
      <c r="AD217" s="128">
        <v>0</v>
      </c>
      <c r="AE217" s="128">
        <v>0</v>
      </c>
      <c r="AF217" s="128">
        <v>0</v>
      </c>
      <c r="AG217" s="128">
        <v>0</v>
      </c>
      <c r="AH217" s="128">
        <v>0</v>
      </c>
      <c r="AI217" s="128">
        <v>0</v>
      </c>
      <c r="AJ217" s="128">
        <v>0</v>
      </c>
      <c r="AK217" s="128">
        <v>0</v>
      </c>
      <c r="AL217" s="128">
        <v>0</v>
      </c>
      <c r="AM217" s="128">
        <v>0</v>
      </c>
      <c r="AN217" s="128">
        <v>0</v>
      </c>
      <c r="AO217" s="128">
        <v>0</v>
      </c>
      <c r="AP217" s="128">
        <v>0</v>
      </c>
      <c r="AQ217" s="128">
        <v>0</v>
      </c>
      <c r="AR217" s="128">
        <v>0</v>
      </c>
      <c r="AS217" s="128">
        <v>0</v>
      </c>
      <c r="AT217" s="128">
        <v>0</v>
      </c>
      <c r="AU217" s="128">
        <v>0</v>
      </c>
      <c r="AV217" s="128">
        <v>0</v>
      </c>
      <c r="AW217" s="128">
        <v>0</v>
      </c>
      <c r="AX217" s="128">
        <v>0</v>
      </c>
      <c r="AY217" s="128">
        <v>0</v>
      </c>
    </row>
    <row r="218" spans="1:51" x14ac:dyDescent="0.2">
      <c r="A218" s="127"/>
      <c r="B218" s="136">
        <v>10</v>
      </c>
      <c r="C218" s="124">
        <v>0</v>
      </c>
      <c r="D218" s="128">
        <v>0</v>
      </c>
      <c r="E218" s="128">
        <v>0</v>
      </c>
      <c r="F218" s="128">
        <v>0</v>
      </c>
      <c r="G218" s="128">
        <v>0</v>
      </c>
      <c r="H218" s="128">
        <v>0</v>
      </c>
      <c r="I218" s="128">
        <v>0</v>
      </c>
      <c r="J218" s="128">
        <v>0</v>
      </c>
      <c r="K218" s="128">
        <v>0</v>
      </c>
      <c r="L218" s="128">
        <v>0</v>
      </c>
      <c r="M218" s="128">
        <v>0</v>
      </c>
      <c r="N218" s="128">
        <v>0</v>
      </c>
      <c r="O218" s="128">
        <v>0</v>
      </c>
      <c r="P218" s="128">
        <v>0</v>
      </c>
      <c r="Q218" s="128">
        <v>0</v>
      </c>
      <c r="R218" s="128">
        <v>0</v>
      </c>
      <c r="S218" s="128">
        <v>0</v>
      </c>
      <c r="T218" s="128">
        <v>0</v>
      </c>
      <c r="U218" s="128">
        <v>0</v>
      </c>
      <c r="V218" s="128">
        <v>0</v>
      </c>
      <c r="W218" s="128">
        <v>0</v>
      </c>
      <c r="X218" s="128">
        <v>0</v>
      </c>
      <c r="Y218" s="128">
        <v>0</v>
      </c>
      <c r="Z218" s="128">
        <v>0</v>
      </c>
      <c r="AA218" s="128">
        <v>0</v>
      </c>
      <c r="AB218" s="128">
        <v>0</v>
      </c>
      <c r="AC218" s="128">
        <v>0</v>
      </c>
      <c r="AD218" s="128">
        <v>0</v>
      </c>
      <c r="AE218" s="128">
        <v>0</v>
      </c>
      <c r="AF218" s="128">
        <v>0</v>
      </c>
      <c r="AG218" s="128">
        <v>0</v>
      </c>
      <c r="AH218" s="128">
        <v>0</v>
      </c>
      <c r="AI218" s="128">
        <v>0</v>
      </c>
      <c r="AJ218" s="128">
        <v>0</v>
      </c>
      <c r="AK218" s="128">
        <v>0</v>
      </c>
      <c r="AL218" s="128">
        <v>0</v>
      </c>
      <c r="AM218" s="128">
        <v>0</v>
      </c>
      <c r="AN218" s="128">
        <v>0</v>
      </c>
      <c r="AO218" s="128">
        <v>0</v>
      </c>
      <c r="AP218" s="128">
        <v>0</v>
      </c>
      <c r="AQ218" s="128">
        <v>0</v>
      </c>
      <c r="AR218" s="128">
        <v>0</v>
      </c>
      <c r="AS218" s="128">
        <v>0</v>
      </c>
      <c r="AT218" s="128">
        <v>0</v>
      </c>
      <c r="AU218" s="128">
        <v>0</v>
      </c>
      <c r="AV218" s="128">
        <v>0</v>
      </c>
      <c r="AW218" s="128">
        <v>0</v>
      </c>
      <c r="AX218" s="128">
        <v>0</v>
      </c>
      <c r="AY218" s="128">
        <v>0</v>
      </c>
    </row>
    <row r="219" spans="1:51" x14ac:dyDescent="0.2">
      <c r="A219" s="127"/>
      <c r="B219" s="136">
        <v>11</v>
      </c>
      <c r="C219" s="124">
        <v>0</v>
      </c>
      <c r="D219" s="128">
        <v>0</v>
      </c>
      <c r="E219" s="128">
        <v>0</v>
      </c>
      <c r="F219" s="128">
        <v>0</v>
      </c>
      <c r="G219" s="128">
        <v>0</v>
      </c>
      <c r="H219" s="128">
        <v>0</v>
      </c>
      <c r="I219" s="128">
        <v>0</v>
      </c>
      <c r="J219" s="128">
        <v>0</v>
      </c>
      <c r="K219" s="128">
        <v>0</v>
      </c>
      <c r="L219" s="128">
        <v>0</v>
      </c>
      <c r="M219" s="128">
        <v>0</v>
      </c>
      <c r="N219" s="128">
        <v>0</v>
      </c>
      <c r="O219" s="128">
        <v>0</v>
      </c>
      <c r="P219" s="128">
        <v>0</v>
      </c>
      <c r="Q219" s="128">
        <v>0</v>
      </c>
      <c r="R219" s="128">
        <v>0</v>
      </c>
      <c r="S219" s="128">
        <v>0</v>
      </c>
      <c r="T219" s="128">
        <v>0</v>
      </c>
      <c r="U219" s="128">
        <v>0</v>
      </c>
      <c r="V219" s="128">
        <v>0</v>
      </c>
      <c r="W219" s="128">
        <v>0</v>
      </c>
      <c r="X219" s="128">
        <v>0</v>
      </c>
      <c r="Y219" s="128">
        <v>0</v>
      </c>
      <c r="Z219" s="128">
        <v>0</v>
      </c>
      <c r="AA219" s="128">
        <v>0</v>
      </c>
      <c r="AB219" s="128">
        <v>0</v>
      </c>
      <c r="AC219" s="128">
        <v>0</v>
      </c>
      <c r="AD219" s="128">
        <v>0</v>
      </c>
      <c r="AE219" s="128">
        <v>0</v>
      </c>
      <c r="AF219" s="128">
        <v>0</v>
      </c>
      <c r="AG219" s="128">
        <v>0</v>
      </c>
      <c r="AH219" s="128">
        <v>0</v>
      </c>
      <c r="AI219" s="128">
        <v>0</v>
      </c>
      <c r="AJ219" s="128">
        <v>0</v>
      </c>
      <c r="AK219" s="128">
        <v>0</v>
      </c>
      <c r="AL219" s="128">
        <v>0</v>
      </c>
      <c r="AM219" s="128">
        <v>0</v>
      </c>
      <c r="AN219" s="128">
        <v>0</v>
      </c>
      <c r="AO219" s="128">
        <v>0</v>
      </c>
      <c r="AP219" s="128">
        <v>0</v>
      </c>
      <c r="AQ219" s="128">
        <v>0</v>
      </c>
      <c r="AR219" s="128">
        <v>0</v>
      </c>
      <c r="AS219" s="128">
        <v>0</v>
      </c>
      <c r="AT219" s="128">
        <v>0</v>
      </c>
      <c r="AU219" s="128">
        <v>0</v>
      </c>
      <c r="AV219" s="128">
        <v>0</v>
      </c>
      <c r="AW219" s="128">
        <v>0</v>
      </c>
      <c r="AX219" s="128">
        <v>0</v>
      </c>
      <c r="AY219" s="128">
        <v>0</v>
      </c>
    </row>
    <row r="220" spans="1:51" x14ac:dyDescent="0.2">
      <c r="A220" s="127"/>
      <c r="B220" s="136">
        <v>12</v>
      </c>
      <c r="C220" s="124">
        <v>0</v>
      </c>
      <c r="D220" s="128">
        <v>0</v>
      </c>
      <c r="E220" s="128">
        <v>0</v>
      </c>
      <c r="F220" s="128">
        <v>0</v>
      </c>
      <c r="G220" s="128">
        <v>0</v>
      </c>
      <c r="H220" s="128">
        <v>0</v>
      </c>
      <c r="I220" s="128">
        <v>0</v>
      </c>
      <c r="J220" s="128">
        <v>0</v>
      </c>
      <c r="K220" s="128">
        <v>0</v>
      </c>
      <c r="L220" s="128">
        <v>0</v>
      </c>
      <c r="M220" s="128">
        <v>0</v>
      </c>
      <c r="N220" s="128">
        <v>0</v>
      </c>
      <c r="O220" s="128">
        <v>0</v>
      </c>
      <c r="P220" s="128">
        <v>0</v>
      </c>
      <c r="Q220" s="128">
        <v>0</v>
      </c>
      <c r="R220" s="128">
        <v>0</v>
      </c>
      <c r="S220" s="128">
        <v>0</v>
      </c>
      <c r="T220" s="128">
        <v>0</v>
      </c>
      <c r="U220" s="128">
        <v>0</v>
      </c>
      <c r="V220" s="128">
        <v>0</v>
      </c>
      <c r="W220" s="128">
        <v>0</v>
      </c>
      <c r="X220" s="128">
        <v>0</v>
      </c>
      <c r="Y220" s="128">
        <v>0</v>
      </c>
      <c r="Z220" s="128">
        <v>0</v>
      </c>
      <c r="AA220" s="128">
        <v>0</v>
      </c>
      <c r="AB220" s="128">
        <v>0</v>
      </c>
      <c r="AC220" s="128">
        <v>0</v>
      </c>
      <c r="AD220" s="128">
        <v>0</v>
      </c>
      <c r="AE220" s="128">
        <v>0</v>
      </c>
      <c r="AF220" s="128">
        <v>0</v>
      </c>
      <c r="AG220" s="128">
        <v>0</v>
      </c>
      <c r="AH220" s="128">
        <v>0</v>
      </c>
      <c r="AI220" s="128">
        <v>0</v>
      </c>
      <c r="AJ220" s="128">
        <v>0</v>
      </c>
      <c r="AK220" s="128">
        <v>0</v>
      </c>
      <c r="AL220" s="128">
        <v>0</v>
      </c>
      <c r="AM220" s="128">
        <v>0</v>
      </c>
      <c r="AN220" s="128">
        <v>0</v>
      </c>
      <c r="AO220" s="128">
        <v>0</v>
      </c>
      <c r="AP220" s="128">
        <v>0</v>
      </c>
      <c r="AQ220" s="128">
        <v>0</v>
      </c>
      <c r="AR220" s="128">
        <v>0</v>
      </c>
      <c r="AS220" s="128">
        <v>0</v>
      </c>
      <c r="AT220" s="128">
        <v>0</v>
      </c>
      <c r="AU220" s="128">
        <v>0</v>
      </c>
      <c r="AV220" s="128">
        <v>0</v>
      </c>
      <c r="AW220" s="128">
        <v>0</v>
      </c>
      <c r="AX220" s="128">
        <v>0</v>
      </c>
      <c r="AY220" s="128">
        <v>0</v>
      </c>
    </row>
    <row r="221" spans="1:51" x14ac:dyDescent="0.2">
      <c r="A221" s="127"/>
      <c r="B221" s="137">
        <v>13</v>
      </c>
      <c r="C221" s="124">
        <v>0</v>
      </c>
      <c r="D221" s="128">
        <v>0</v>
      </c>
      <c r="E221" s="128">
        <v>0</v>
      </c>
      <c r="F221" s="128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8">
        <v>0</v>
      </c>
      <c r="M221" s="128">
        <v>0</v>
      </c>
      <c r="N221" s="128">
        <v>0</v>
      </c>
      <c r="O221" s="128">
        <v>0</v>
      </c>
      <c r="P221" s="128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8">
        <v>0</v>
      </c>
      <c r="W221" s="128">
        <v>0</v>
      </c>
      <c r="X221" s="128">
        <v>0</v>
      </c>
      <c r="Y221" s="128">
        <v>0</v>
      </c>
      <c r="Z221" s="128">
        <v>0</v>
      </c>
      <c r="AA221" s="128">
        <v>0</v>
      </c>
      <c r="AB221" s="128">
        <v>0</v>
      </c>
      <c r="AC221" s="128">
        <v>0</v>
      </c>
      <c r="AD221" s="128">
        <v>0</v>
      </c>
      <c r="AE221" s="128">
        <v>0</v>
      </c>
      <c r="AF221" s="128">
        <v>0</v>
      </c>
      <c r="AG221" s="128">
        <v>0</v>
      </c>
      <c r="AH221" s="128">
        <v>0</v>
      </c>
      <c r="AI221" s="128">
        <v>0</v>
      </c>
      <c r="AJ221" s="128">
        <v>0</v>
      </c>
      <c r="AK221" s="128">
        <v>0</v>
      </c>
      <c r="AL221" s="128">
        <v>0</v>
      </c>
      <c r="AM221" s="128">
        <v>0</v>
      </c>
      <c r="AN221" s="128">
        <v>0</v>
      </c>
      <c r="AO221" s="128">
        <v>0</v>
      </c>
      <c r="AP221" s="128">
        <v>0</v>
      </c>
      <c r="AQ221" s="128">
        <v>0</v>
      </c>
      <c r="AR221" s="128">
        <v>0</v>
      </c>
      <c r="AS221" s="128">
        <v>0</v>
      </c>
      <c r="AT221" s="128">
        <v>0</v>
      </c>
      <c r="AU221" s="128">
        <v>0</v>
      </c>
      <c r="AV221" s="128">
        <v>0</v>
      </c>
      <c r="AW221" s="128">
        <v>0</v>
      </c>
      <c r="AX221" s="128">
        <v>0</v>
      </c>
      <c r="AY221" s="128">
        <v>0</v>
      </c>
    </row>
    <row r="222" spans="1:51" x14ac:dyDescent="0.2">
      <c r="A222" s="127"/>
      <c r="B222" s="137">
        <v>14</v>
      </c>
      <c r="C222" s="124">
        <v>0</v>
      </c>
      <c r="D222" s="128">
        <v>0</v>
      </c>
      <c r="E222" s="128">
        <v>0</v>
      </c>
      <c r="F222" s="128">
        <v>0</v>
      </c>
      <c r="G222" s="128">
        <v>0</v>
      </c>
      <c r="H222" s="128">
        <v>0</v>
      </c>
      <c r="I222" s="128">
        <v>0</v>
      </c>
      <c r="J222" s="128">
        <v>0</v>
      </c>
      <c r="K222" s="128">
        <v>0</v>
      </c>
      <c r="L222" s="128">
        <v>0</v>
      </c>
      <c r="M222" s="128">
        <v>0</v>
      </c>
      <c r="N222" s="128">
        <v>0</v>
      </c>
      <c r="O222" s="128">
        <v>0</v>
      </c>
      <c r="P222" s="128">
        <v>0</v>
      </c>
      <c r="Q222" s="128">
        <v>0</v>
      </c>
      <c r="R222" s="128">
        <v>0</v>
      </c>
      <c r="S222" s="128">
        <v>0</v>
      </c>
      <c r="T222" s="128">
        <v>0</v>
      </c>
      <c r="U222" s="128">
        <v>0</v>
      </c>
      <c r="V222" s="128">
        <v>0</v>
      </c>
      <c r="W222" s="128">
        <v>0</v>
      </c>
      <c r="X222" s="128">
        <v>0</v>
      </c>
      <c r="Y222" s="128">
        <v>0</v>
      </c>
      <c r="Z222" s="128">
        <v>0</v>
      </c>
      <c r="AA222" s="128">
        <v>0</v>
      </c>
      <c r="AB222" s="128">
        <v>0</v>
      </c>
      <c r="AC222" s="128">
        <v>0</v>
      </c>
      <c r="AD222" s="128">
        <v>0</v>
      </c>
      <c r="AE222" s="128">
        <v>0</v>
      </c>
      <c r="AF222" s="128">
        <v>0</v>
      </c>
      <c r="AG222" s="128">
        <v>0</v>
      </c>
      <c r="AH222" s="128">
        <v>0</v>
      </c>
      <c r="AI222" s="128">
        <v>0</v>
      </c>
      <c r="AJ222" s="128">
        <v>0</v>
      </c>
      <c r="AK222" s="128">
        <v>0</v>
      </c>
      <c r="AL222" s="128">
        <v>0</v>
      </c>
      <c r="AM222" s="128">
        <v>0</v>
      </c>
      <c r="AN222" s="128">
        <v>0</v>
      </c>
      <c r="AO222" s="128">
        <v>0</v>
      </c>
      <c r="AP222" s="128">
        <v>0</v>
      </c>
      <c r="AQ222" s="128">
        <v>0</v>
      </c>
      <c r="AR222" s="128">
        <v>0</v>
      </c>
      <c r="AS222" s="128">
        <v>0</v>
      </c>
      <c r="AT222" s="128">
        <v>0</v>
      </c>
      <c r="AU222" s="128">
        <v>0</v>
      </c>
      <c r="AV222" s="128">
        <v>0</v>
      </c>
      <c r="AW222" s="128">
        <v>0</v>
      </c>
      <c r="AX222" s="128">
        <v>0</v>
      </c>
      <c r="AY222" s="128">
        <v>0</v>
      </c>
    </row>
    <row r="223" spans="1:51" x14ac:dyDescent="0.2">
      <c r="A223" s="127"/>
      <c r="B223" s="137">
        <v>15</v>
      </c>
      <c r="C223" s="124">
        <v>0</v>
      </c>
      <c r="D223" s="128">
        <v>0</v>
      </c>
      <c r="E223" s="128">
        <v>0</v>
      </c>
      <c r="F223" s="128">
        <v>0</v>
      </c>
      <c r="G223" s="128">
        <v>0</v>
      </c>
      <c r="H223" s="128">
        <v>0</v>
      </c>
      <c r="I223" s="128">
        <v>0</v>
      </c>
      <c r="J223" s="128">
        <v>0</v>
      </c>
      <c r="K223" s="128">
        <v>0</v>
      </c>
      <c r="L223" s="128">
        <v>0</v>
      </c>
      <c r="M223" s="128">
        <v>0</v>
      </c>
      <c r="N223" s="128">
        <v>0</v>
      </c>
      <c r="O223" s="128">
        <v>0</v>
      </c>
      <c r="P223" s="128">
        <v>0</v>
      </c>
      <c r="Q223" s="128">
        <v>0</v>
      </c>
      <c r="R223" s="128">
        <v>0</v>
      </c>
      <c r="S223" s="128">
        <v>0</v>
      </c>
      <c r="T223" s="128">
        <v>0</v>
      </c>
      <c r="U223" s="128">
        <v>0</v>
      </c>
      <c r="V223" s="128">
        <v>0</v>
      </c>
      <c r="W223" s="128">
        <v>0</v>
      </c>
      <c r="X223" s="128">
        <v>0</v>
      </c>
      <c r="Y223" s="128">
        <v>0</v>
      </c>
      <c r="Z223" s="128">
        <v>0</v>
      </c>
      <c r="AA223" s="128">
        <v>0</v>
      </c>
      <c r="AB223" s="128">
        <v>0</v>
      </c>
      <c r="AC223" s="128">
        <v>0</v>
      </c>
      <c r="AD223" s="128">
        <v>0</v>
      </c>
      <c r="AE223" s="128">
        <v>0</v>
      </c>
      <c r="AF223" s="128">
        <v>0</v>
      </c>
      <c r="AG223" s="128">
        <v>0</v>
      </c>
      <c r="AH223" s="128">
        <v>0</v>
      </c>
      <c r="AI223" s="128">
        <v>0</v>
      </c>
      <c r="AJ223" s="128">
        <v>0</v>
      </c>
      <c r="AK223" s="128">
        <v>0</v>
      </c>
      <c r="AL223" s="128">
        <v>0</v>
      </c>
      <c r="AM223" s="128">
        <v>0</v>
      </c>
      <c r="AN223" s="128">
        <v>0</v>
      </c>
      <c r="AO223" s="128">
        <v>0</v>
      </c>
      <c r="AP223" s="128">
        <v>0</v>
      </c>
      <c r="AQ223" s="128">
        <v>0</v>
      </c>
      <c r="AR223" s="128">
        <v>0</v>
      </c>
      <c r="AS223" s="128">
        <v>0</v>
      </c>
      <c r="AT223" s="128">
        <v>0</v>
      </c>
      <c r="AU223" s="128">
        <v>0</v>
      </c>
      <c r="AV223" s="128">
        <v>0</v>
      </c>
      <c r="AW223" s="128">
        <v>0</v>
      </c>
      <c r="AX223" s="128">
        <v>0</v>
      </c>
      <c r="AY223" s="128">
        <v>0</v>
      </c>
    </row>
    <row r="224" spans="1:51" x14ac:dyDescent="0.2">
      <c r="A224" s="127"/>
      <c r="B224" s="137">
        <v>16</v>
      </c>
      <c r="C224" s="124">
        <v>0</v>
      </c>
      <c r="D224" s="128">
        <v>0</v>
      </c>
      <c r="E224" s="128">
        <v>0</v>
      </c>
      <c r="F224" s="128">
        <v>0</v>
      </c>
      <c r="G224" s="128">
        <v>0</v>
      </c>
      <c r="H224" s="128">
        <v>0</v>
      </c>
      <c r="I224" s="128">
        <v>0</v>
      </c>
      <c r="J224" s="128">
        <v>0</v>
      </c>
      <c r="K224" s="128">
        <v>0</v>
      </c>
      <c r="L224" s="128">
        <v>0</v>
      </c>
      <c r="M224" s="128">
        <v>0</v>
      </c>
      <c r="N224" s="128">
        <v>0</v>
      </c>
      <c r="O224" s="128">
        <v>0</v>
      </c>
      <c r="P224" s="128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8">
        <v>0</v>
      </c>
      <c r="W224" s="128">
        <v>0</v>
      </c>
      <c r="X224" s="128">
        <v>0</v>
      </c>
      <c r="Y224" s="128">
        <v>0</v>
      </c>
      <c r="Z224" s="128">
        <v>0</v>
      </c>
      <c r="AA224" s="128">
        <v>0</v>
      </c>
      <c r="AB224" s="128">
        <v>0</v>
      </c>
      <c r="AC224" s="128">
        <v>0</v>
      </c>
      <c r="AD224" s="128">
        <v>0</v>
      </c>
      <c r="AE224" s="128">
        <v>0</v>
      </c>
      <c r="AF224" s="128">
        <v>0</v>
      </c>
      <c r="AG224" s="128">
        <v>0</v>
      </c>
      <c r="AH224" s="128">
        <v>0</v>
      </c>
      <c r="AI224" s="128">
        <v>0</v>
      </c>
      <c r="AJ224" s="128">
        <v>0</v>
      </c>
      <c r="AK224" s="128">
        <v>0</v>
      </c>
      <c r="AL224" s="128">
        <v>0</v>
      </c>
      <c r="AM224" s="128">
        <v>0</v>
      </c>
      <c r="AN224" s="128">
        <v>0</v>
      </c>
      <c r="AO224" s="128">
        <v>0</v>
      </c>
      <c r="AP224" s="128">
        <v>0</v>
      </c>
      <c r="AQ224" s="128">
        <v>0</v>
      </c>
      <c r="AR224" s="128">
        <v>0</v>
      </c>
      <c r="AS224" s="128">
        <v>0</v>
      </c>
      <c r="AT224" s="128">
        <v>0</v>
      </c>
      <c r="AU224" s="128">
        <v>0</v>
      </c>
      <c r="AV224" s="128">
        <v>0</v>
      </c>
      <c r="AW224" s="128">
        <v>0</v>
      </c>
      <c r="AX224" s="128">
        <v>0</v>
      </c>
      <c r="AY224" s="128">
        <v>0</v>
      </c>
    </row>
    <row r="225" spans="1:51" x14ac:dyDescent="0.2">
      <c r="A225" s="127"/>
      <c r="B225" s="137">
        <v>17</v>
      </c>
      <c r="C225" s="124">
        <v>0</v>
      </c>
      <c r="D225" s="128">
        <v>0</v>
      </c>
      <c r="E225" s="128">
        <v>0</v>
      </c>
      <c r="F225" s="128">
        <v>0</v>
      </c>
      <c r="G225" s="128">
        <v>0</v>
      </c>
      <c r="H225" s="128">
        <v>0</v>
      </c>
      <c r="I225" s="128">
        <v>0</v>
      </c>
      <c r="J225" s="128">
        <v>0</v>
      </c>
      <c r="K225" s="128">
        <v>0</v>
      </c>
      <c r="L225" s="128">
        <v>0</v>
      </c>
      <c r="M225" s="128">
        <v>0</v>
      </c>
      <c r="N225" s="128">
        <v>0</v>
      </c>
      <c r="O225" s="128">
        <v>0</v>
      </c>
      <c r="P225" s="128">
        <v>0</v>
      </c>
      <c r="Q225" s="128">
        <v>0</v>
      </c>
      <c r="R225" s="128">
        <v>0</v>
      </c>
      <c r="S225" s="128">
        <v>0</v>
      </c>
      <c r="T225" s="128">
        <v>0</v>
      </c>
      <c r="U225" s="128">
        <v>0</v>
      </c>
      <c r="V225" s="128">
        <v>0</v>
      </c>
      <c r="W225" s="128">
        <v>0</v>
      </c>
      <c r="X225" s="128">
        <v>0</v>
      </c>
      <c r="Y225" s="128">
        <v>0</v>
      </c>
      <c r="Z225" s="128">
        <v>0</v>
      </c>
      <c r="AA225" s="128">
        <v>0</v>
      </c>
      <c r="AB225" s="128">
        <v>0</v>
      </c>
      <c r="AC225" s="128">
        <v>0</v>
      </c>
      <c r="AD225" s="128">
        <v>0</v>
      </c>
      <c r="AE225" s="128">
        <v>0</v>
      </c>
      <c r="AF225" s="128">
        <v>0</v>
      </c>
      <c r="AG225" s="128">
        <v>0</v>
      </c>
      <c r="AH225" s="128">
        <v>0</v>
      </c>
      <c r="AI225" s="128">
        <v>0</v>
      </c>
      <c r="AJ225" s="128">
        <v>0</v>
      </c>
      <c r="AK225" s="128">
        <v>0</v>
      </c>
      <c r="AL225" s="128">
        <v>0</v>
      </c>
      <c r="AM225" s="128">
        <v>0</v>
      </c>
      <c r="AN225" s="128">
        <v>0</v>
      </c>
      <c r="AO225" s="128">
        <v>0</v>
      </c>
      <c r="AP225" s="128">
        <v>0</v>
      </c>
      <c r="AQ225" s="128">
        <v>0</v>
      </c>
      <c r="AR225" s="128">
        <v>0</v>
      </c>
      <c r="AS225" s="128">
        <v>0</v>
      </c>
      <c r="AT225" s="128">
        <v>0</v>
      </c>
      <c r="AU225" s="128">
        <v>0</v>
      </c>
      <c r="AV225" s="128">
        <v>0</v>
      </c>
      <c r="AW225" s="128">
        <v>0</v>
      </c>
      <c r="AX225" s="128">
        <v>0</v>
      </c>
      <c r="AY225" s="128">
        <v>0</v>
      </c>
    </row>
    <row r="226" spans="1:51" x14ac:dyDescent="0.2">
      <c r="A226" s="127"/>
      <c r="B226" s="137">
        <v>18</v>
      </c>
      <c r="C226" s="124">
        <v>0</v>
      </c>
      <c r="D226" s="128">
        <v>0</v>
      </c>
      <c r="E226" s="128">
        <v>0</v>
      </c>
      <c r="F226" s="128">
        <v>0</v>
      </c>
      <c r="G226" s="128">
        <v>0</v>
      </c>
      <c r="H226" s="128">
        <v>0</v>
      </c>
      <c r="I226" s="128">
        <v>0</v>
      </c>
      <c r="J226" s="128">
        <v>0</v>
      </c>
      <c r="K226" s="128">
        <v>0</v>
      </c>
      <c r="L226" s="128">
        <v>0</v>
      </c>
      <c r="M226" s="128">
        <v>0</v>
      </c>
      <c r="N226" s="128">
        <v>0</v>
      </c>
      <c r="O226" s="128">
        <v>0</v>
      </c>
      <c r="P226" s="128">
        <v>0</v>
      </c>
      <c r="Q226" s="128">
        <v>0</v>
      </c>
      <c r="R226" s="128">
        <v>0</v>
      </c>
      <c r="S226" s="128">
        <v>0</v>
      </c>
      <c r="T226" s="128">
        <v>0</v>
      </c>
      <c r="U226" s="128">
        <v>0</v>
      </c>
      <c r="V226" s="128">
        <v>0</v>
      </c>
      <c r="W226" s="128">
        <v>0</v>
      </c>
      <c r="X226" s="128">
        <v>0</v>
      </c>
      <c r="Y226" s="128">
        <v>0</v>
      </c>
      <c r="Z226" s="128">
        <v>0</v>
      </c>
      <c r="AA226" s="128">
        <v>0</v>
      </c>
      <c r="AB226" s="128">
        <v>0</v>
      </c>
      <c r="AC226" s="128">
        <v>0</v>
      </c>
      <c r="AD226" s="128">
        <v>0</v>
      </c>
      <c r="AE226" s="128">
        <v>0</v>
      </c>
      <c r="AF226" s="128">
        <v>0</v>
      </c>
      <c r="AG226" s="128">
        <v>0</v>
      </c>
      <c r="AH226" s="128">
        <v>0</v>
      </c>
      <c r="AI226" s="128">
        <v>0</v>
      </c>
      <c r="AJ226" s="128">
        <v>0</v>
      </c>
      <c r="AK226" s="128">
        <v>0</v>
      </c>
      <c r="AL226" s="128">
        <v>0</v>
      </c>
      <c r="AM226" s="128">
        <v>0</v>
      </c>
      <c r="AN226" s="128">
        <v>0</v>
      </c>
      <c r="AO226" s="128">
        <v>0</v>
      </c>
      <c r="AP226" s="128">
        <v>0</v>
      </c>
      <c r="AQ226" s="128">
        <v>0</v>
      </c>
      <c r="AR226" s="128">
        <v>0</v>
      </c>
      <c r="AS226" s="128">
        <v>0</v>
      </c>
      <c r="AT226" s="128">
        <v>0</v>
      </c>
      <c r="AU226" s="128">
        <v>0</v>
      </c>
      <c r="AV226" s="128">
        <v>0</v>
      </c>
      <c r="AW226" s="128">
        <v>0</v>
      </c>
      <c r="AX226" s="128">
        <v>0</v>
      </c>
      <c r="AY226" s="128">
        <v>0</v>
      </c>
    </row>
    <row r="227" spans="1:51" x14ac:dyDescent="0.2">
      <c r="A227" s="127"/>
      <c r="B227" s="137">
        <v>19</v>
      </c>
      <c r="C227" s="124">
        <v>0</v>
      </c>
      <c r="D227" s="128">
        <v>0</v>
      </c>
      <c r="E227" s="128">
        <v>0</v>
      </c>
      <c r="F227" s="128">
        <v>0</v>
      </c>
      <c r="G227" s="128">
        <v>0</v>
      </c>
      <c r="H227" s="128">
        <v>0</v>
      </c>
      <c r="I227" s="128">
        <v>0</v>
      </c>
      <c r="J227" s="128">
        <v>0</v>
      </c>
      <c r="K227" s="128">
        <v>0</v>
      </c>
      <c r="L227" s="128">
        <v>0</v>
      </c>
      <c r="M227" s="128">
        <v>0</v>
      </c>
      <c r="N227" s="128">
        <v>0</v>
      </c>
      <c r="O227" s="128">
        <v>0</v>
      </c>
      <c r="P227" s="128">
        <v>0</v>
      </c>
      <c r="Q227" s="128">
        <v>0</v>
      </c>
      <c r="R227" s="128">
        <v>0</v>
      </c>
      <c r="S227" s="128">
        <v>0</v>
      </c>
      <c r="T227" s="128">
        <v>0</v>
      </c>
      <c r="U227" s="128">
        <v>0</v>
      </c>
      <c r="V227" s="128">
        <v>0</v>
      </c>
      <c r="W227" s="128">
        <v>0</v>
      </c>
      <c r="X227" s="128">
        <v>0</v>
      </c>
      <c r="Y227" s="128">
        <v>0</v>
      </c>
      <c r="Z227" s="128">
        <v>0</v>
      </c>
      <c r="AA227" s="128">
        <v>0</v>
      </c>
      <c r="AB227" s="128">
        <v>0</v>
      </c>
      <c r="AC227" s="128">
        <v>0</v>
      </c>
      <c r="AD227" s="128">
        <v>0</v>
      </c>
      <c r="AE227" s="128">
        <v>0</v>
      </c>
      <c r="AF227" s="128">
        <v>0</v>
      </c>
      <c r="AG227" s="128">
        <v>0</v>
      </c>
      <c r="AH227" s="128">
        <v>0</v>
      </c>
      <c r="AI227" s="128">
        <v>0</v>
      </c>
      <c r="AJ227" s="128">
        <v>0</v>
      </c>
      <c r="AK227" s="128">
        <v>0</v>
      </c>
      <c r="AL227" s="128">
        <v>0</v>
      </c>
      <c r="AM227" s="128">
        <v>0</v>
      </c>
      <c r="AN227" s="128">
        <v>0</v>
      </c>
      <c r="AO227" s="128">
        <v>0</v>
      </c>
      <c r="AP227" s="128">
        <v>0</v>
      </c>
      <c r="AQ227" s="128">
        <v>0</v>
      </c>
      <c r="AR227" s="128">
        <v>0</v>
      </c>
      <c r="AS227" s="128">
        <v>0</v>
      </c>
      <c r="AT227" s="128">
        <v>0</v>
      </c>
      <c r="AU227" s="128">
        <v>0</v>
      </c>
      <c r="AV227" s="128">
        <v>0</v>
      </c>
      <c r="AW227" s="128">
        <v>0</v>
      </c>
      <c r="AX227" s="128">
        <v>0</v>
      </c>
      <c r="AY227" s="128">
        <v>0</v>
      </c>
    </row>
    <row r="228" spans="1:51" x14ac:dyDescent="0.2">
      <c r="A228" s="127"/>
      <c r="B228" s="137">
        <v>20</v>
      </c>
      <c r="C228" s="124">
        <v>0</v>
      </c>
      <c r="D228" s="128">
        <v>0</v>
      </c>
      <c r="E228" s="128">
        <v>0</v>
      </c>
      <c r="F228" s="128">
        <v>0</v>
      </c>
      <c r="G228" s="128">
        <v>0</v>
      </c>
      <c r="H228" s="128">
        <v>0</v>
      </c>
      <c r="I228" s="128">
        <v>0</v>
      </c>
      <c r="J228" s="128">
        <v>0</v>
      </c>
      <c r="K228" s="128">
        <v>0</v>
      </c>
      <c r="L228" s="128">
        <v>0</v>
      </c>
      <c r="M228" s="128">
        <v>0</v>
      </c>
      <c r="N228" s="128">
        <v>0</v>
      </c>
      <c r="O228" s="128">
        <v>0</v>
      </c>
      <c r="P228" s="128">
        <v>0</v>
      </c>
      <c r="Q228" s="128">
        <v>0</v>
      </c>
      <c r="R228" s="128">
        <v>0</v>
      </c>
      <c r="S228" s="128">
        <v>0</v>
      </c>
      <c r="T228" s="128">
        <v>0</v>
      </c>
      <c r="U228" s="128">
        <v>0</v>
      </c>
      <c r="V228" s="128">
        <v>0</v>
      </c>
      <c r="W228" s="128">
        <v>0</v>
      </c>
      <c r="X228" s="128">
        <v>0</v>
      </c>
      <c r="Y228" s="128">
        <v>0</v>
      </c>
      <c r="Z228" s="128">
        <v>0</v>
      </c>
      <c r="AA228" s="128">
        <v>0</v>
      </c>
      <c r="AB228" s="128">
        <v>0</v>
      </c>
      <c r="AC228" s="128">
        <v>0</v>
      </c>
      <c r="AD228" s="128">
        <v>0</v>
      </c>
      <c r="AE228" s="128">
        <v>0</v>
      </c>
      <c r="AF228" s="128">
        <v>0</v>
      </c>
      <c r="AG228" s="128">
        <v>0</v>
      </c>
      <c r="AH228" s="128">
        <v>0</v>
      </c>
      <c r="AI228" s="128">
        <v>0</v>
      </c>
      <c r="AJ228" s="128">
        <v>0</v>
      </c>
      <c r="AK228" s="128">
        <v>0</v>
      </c>
      <c r="AL228" s="128">
        <v>0</v>
      </c>
      <c r="AM228" s="128">
        <v>0</v>
      </c>
      <c r="AN228" s="128">
        <v>0</v>
      </c>
      <c r="AO228" s="128">
        <v>0</v>
      </c>
      <c r="AP228" s="128">
        <v>0</v>
      </c>
      <c r="AQ228" s="128">
        <v>0</v>
      </c>
      <c r="AR228" s="128">
        <v>0</v>
      </c>
      <c r="AS228" s="128">
        <v>0</v>
      </c>
      <c r="AT228" s="128">
        <v>0</v>
      </c>
      <c r="AU228" s="128">
        <v>0</v>
      </c>
      <c r="AV228" s="128">
        <v>0</v>
      </c>
      <c r="AW228" s="128">
        <v>0</v>
      </c>
      <c r="AX228" s="128">
        <v>0</v>
      </c>
      <c r="AY228" s="128">
        <v>0</v>
      </c>
    </row>
    <row r="229" spans="1:51" x14ac:dyDescent="0.2">
      <c r="A229" s="127"/>
      <c r="B229" s="137">
        <v>21</v>
      </c>
      <c r="C229" s="124">
        <v>0</v>
      </c>
      <c r="D229" s="128">
        <v>0</v>
      </c>
      <c r="E229" s="128">
        <v>0</v>
      </c>
      <c r="F229" s="128">
        <v>0</v>
      </c>
      <c r="G229" s="128">
        <v>0</v>
      </c>
      <c r="H229" s="128">
        <v>0</v>
      </c>
      <c r="I229" s="128">
        <v>0</v>
      </c>
      <c r="J229" s="128">
        <v>0</v>
      </c>
      <c r="K229" s="128">
        <v>0</v>
      </c>
      <c r="L229" s="128">
        <v>0</v>
      </c>
      <c r="M229" s="128">
        <v>0</v>
      </c>
      <c r="N229" s="128">
        <v>0</v>
      </c>
      <c r="O229" s="128">
        <v>0</v>
      </c>
      <c r="P229" s="128">
        <v>0</v>
      </c>
      <c r="Q229" s="128">
        <v>0</v>
      </c>
      <c r="R229" s="128">
        <v>0</v>
      </c>
      <c r="S229" s="128">
        <v>0</v>
      </c>
      <c r="T229" s="128">
        <v>0</v>
      </c>
      <c r="U229" s="128">
        <v>0</v>
      </c>
      <c r="V229" s="128">
        <v>0</v>
      </c>
      <c r="W229" s="128">
        <v>0</v>
      </c>
      <c r="X229" s="128">
        <v>0</v>
      </c>
      <c r="Y229" s="128">
        <v>0</v>
      </c>
      <c r="Z229" s="128">
        <v>0</v>
      </c>
      <c r="AA229" s="128">
        <v>0</v>
      </c>
      <c r="AB229" s="128">
        <v>0</v>
      </c>
      <c r="AC229" s="128">
        <v>0</v>
      </c>
      <c r="AD229" s="128">
        <v>0</v>
      </c>
      <c r="AE229" s="128">
        <v>0</v>
      </c>
      <c r="AF229" s="128">
        <v>0</v>
      </c>
      <c r="AG229" s="128">
        <v>0</v>
      </c>
      <c r="AH229" s="128">
        <v>0</v>
      </c>
      <c r="AI229" s="128">
        <v>0</v>
      </c>
      <c r="AJ229" s="128">
        <v>0</v>
      </c>
      <c r="AK229" s="128">
        <v>0</v>
      </c>
      <c r="AL229" s="128">
        <v>0</v>
      </c>
      <c r="AM229" s="128">
        <v>0</v>
      </c>
      <c r="AN229" s="128">
        <v>0</v>
      </c>
      <c r="AO229" s="128">
        <v>0</v>
      </c>
      <c r="AP229" s="128">
        <v>0</v>
      </c>
      <c r="AQ229" s="128">
        <v>0</v>
      </c>
      <c r="AR229" s="128">
        <v>0</v>
      </c>
      <c r="AS229" s="128">
        <v>0</v>
      </c>
      <c r="AT229" s="128">
        <v>0</v>
      </c>
      <c r="AU229" s="128">
        <v>0</v>
      </c>
      <c r="AV229" s="128">
        <v>0</v>
      </c>
      <c r="AW229" s="128">
        <v>0</v>
      </c>
      <c r="AX229" s="128">
        <v>0</v>
      </c>
      <c r="AY229" s="128">
        <v>0</v>
      </c>
    </row>
    <row r="230" spans="1:51" x14ac:dyDescent="0.2">
      <c r="A230" s="127"/>
      <c r="B230" s="137">
        <v>22</v>
      </c>
      <c r="C230" s="124">
        <v>0</v>
      </c>
      <c r="D230" s="128">
        <v>0</v>
      </c>
      <c r="E230" s="128">
        <v>0</v>
      </c>
      <c r="F230" s="128">
        <v>0</v>
      </c>
      <c r="G230" s="128">
        <v>0</v>
      </c>
      <c r="H230" s="128">
        <v>0</v>
      </c>
      <c r="I230" s="128">
        <v>0</v>
      </c>
      <c r="J230" s="128">
        <v>0</v>
      </c>
      <c r="K230" s="128">
        <v>0</v>
      </c>
      <c r="L230" s="128">
        <v>0</v>
      </c>
      <c r="M230" s="128">
        <v>0</v>
      </c>
      <c r="N230" s="128">
        <v>0</v>
      </c>
      <c r="O230" s="128">
        <v>0</v>
      </c>
      <c r="P230" s="128">
        <v>0</v>
      </c>
      <c r="Q230" s="128">
        <v>0</v>
      </c>
      <c r="R230" s="128">
        <v>0</v>
      </c>
      <c r="S230" s="128">
        <v>0</v>
      </c>
      <c r="T230" s="128">
        <v>0</v>
      </c>
      <c r="U230" s="128">
        <v>0</v>
      </c>
      <c r="V230" s="128">
        <v>0</v>
      </c>
      <c r="W230" s="128">
        <v>0</v>
      </c>
      <c r="X230" s="128">
        <v>0</v>
      </c>
      <c r="Y230" s="128">
        <v>0</v>
      </c>
      <c r="Z230" s="128">
        <v>0</v>
      </c>
      <c r="AA230" s="128">
        <v>0</v>
      </c>
      <c r="AB230" s="128">
        <v>0</v>
      </c>
      <c r="AC230" s="128">
        <v>0</v>
      </c>
      <c r="AD230" s="128">
        <v>0</v>
      </c>
      <c r="AE230" s="128">
        <v>0</v>
      </c>
      <c r="AF230" s="128">
        <v>0</v>
      </c>
      <c r="AG230" s="128">
        <v>0</v>
      </c>
      <c r="AH230" s="128">
        <v>0</v>
      </c>
      <c r="AI230" s="128">
        <v>0</v>
      </c>
      <c r="AJ230" s="128">
        <v>0</v>
      </c>
      <c r="AK230" s="128">
        <v>0</v>
      </c>
      <c r="AL230" s="128">
        <v>0</v>
      </c>
      <c r="AM230" s="128">
        <v>0</v>
      </c>
      <c r="AN230" s="128">
        <v>0</v>
      </c>
      <c r="AO230" s="128">
        <v>0</v>
      </c>
      <c r="AP230" s="128">
        <v>0</v>
      </c>
      <c r="AQ230" s="128">
        <v>0</v>
      </c>
      <c r="AR230" s="128">
        <v>0</v>
      </c>
      <c r="AS230" s="128">
        <v>0</v>
      </c>
      <c r="AT230" s="128">
        <v>0</v>
      </c>
      <c r="AU230" s="128">
        <v>0</v>
      </c>
      <c r="AV230" s="128">
        <v>0</v>
      </c>
      <c r="AW230" s="128">
        <v>0</v>
      </c>
      <c r="AX230" s="128">
        <v>0</v>
      </c>
      <c r="AY230" s="128">
        <v>0</v>
      </c>
    </row>
    <row r="231" spans="1:51" x14ac:dyDescent="0.2">
      <c r="A231" s="127"/>
      <c r="B231" s="137">
        <v>23</v>
      </c>
      <c r="C231" s="124">
        <v>0</v>
      </c>
      <c r="D231" s="128">
        <v>0</v>
      </c>
      <c r="E231" s="128">
        <v>0</v>
      </c>
      <c r="F231" s="128">
        <v>0</v>
      </c>
      <c r="G231" s="128">
        <v>0</v>
      </c>
      <c r="H231" s="128">
        <v>0</v>
      </c>
      <c r="I231" s="128">
        <v>0</v>
      </c>
      <c r="J231" s="128">
        <v>0</v>
      </c>
      <c r="K231" s="128">
        <v>0</v>
      </c>
      <c r="L231" s="128">
        <v>0</v>
      </c>
      <c r="M231" s="128">
        <v>0</v>
      </c>
      <c r="N231" s="128">
        <v>0</v>
      </c>
      <c r="O231" s="128">
        <v>0</v>
      </c>
      <c r="P231" s="128">
        <v>0</v>
      </c>
      <c r="Q231" s="128">
        <v>0</v>
      </c>
      <c r="R231" s="128">
        <v>0</v>
      </c>
      <c r="S231" s="128">
        <v>0</v>
      </c>
      <c r="T231" s="128">
        <v>0</v>
      </c>
      <c r="U231" s="128">
        <v>0</v>
      </c>
      <c r="V231" s="128">
        <v>0</v>
      </c>
      <c r="W231" s="128">
        <v>0</v>
      </c>
      <c r="X231" s="128">
        <v>0</v>
      </c>
      <c r="Y231" s="128">
        <v>0</v>
      </c>
      <c r="Z231" s="128">
        <v>0</v>
      </c>
      <c r="AA231" s="128">
        <v>0</v>
      </c>
      <c r="AB231" s="128">
        <v>0</v>
      </c>
      <c r="AC231" s="128">
        <v>0</v>
      </c>
      <c r="AD231" s="128">
        <v>0</v>
      </c>
      <c r="AE231" s="128">
        <v>0</v>
      </c>
      <c r="AF231" s="128">
        <v>0</v>
      </c>
      <c r="AG231" s="128">
        <v>0</v>
      </c>
      <c r="AH231" s="128">
        <v>0</v>
      </c>
      <c r="AI231" s="128">
        <v>0</v>
      </c>
      <c r="AJ231" s="128">
        <v>0</v>
      </c>
      <c r="AK231" s="128">
        <v>0</v>
      </c>
      <c r="AL231" s="128">
        <v>0</v>
      </c>
      <c r="AM231" s="128">
        <v>0</v>
      </c>
      <c r="AN231" s="128">
        <v>0</v>
      </c>
      <c r="AO231" s="128">
        <v>0</v>
      </c>
      <c r="AP231" s="128">
        <v>0</v>
      </c>
      <c r="AQ231" s="128">
        <v>0</v>
      </c>
      <c r="AR231" s="128">
        <v>0</v>
      </c>
      <c r="AS231" s="128">
        <v>0</v>
      </c>
      <c r="AT231" s="128">
        <v>0</v>
      </c>
      <c r="AU231" s="128">
        <v>0</v>
      </c>
      <c r="AV231" s="128">
        <v>0</v>
      </c>
      <c r="AW231" s="128">
        <v>0</v>
      </c>
      <c r="AX231" s="128">
        <v>0</v>
      </c>
      <c r="AY231" s="128">
        <v>0</v>
      </c>
    </row>
    <row r="232" spans="1:51" x14ac:dyDescent="0.2">
      <c r="A232" s="127"/>
      <c r="B232" s="137">
        <v>24</v>
      </c>
      <c r="C232" s="124">
        <v>0</v>
      </c>
      <c r="D232" s="128">
        <v>0</v>
      </c>
      <c r="E232" s="128">
        <v>0</v>
      </c>
      <c r="F232" s="128">
        <v>0</v>
      </c>
      <c r="G232" s="128">
        <v>0</v>
      </c>
      <c r="H232" s="128">
        <v>0</v>
      </c>
      <c r="I232" s="128">
        <v>0</v>
      </c>
      <c r="J232" s="128">
        <v>0</v>
      </c>
      <c r="K232" s="128">
        <v>0</v>
      </c>
      <c r="L232" s="128">
        <v>0</v>
      </c>
      <c r="M232" s="128">
        <v>0</v>
      </c>
      <c r="N232" s="128">
        <v>0</v>
      </c>
      <c r="O232" s="128">
        <v>0</v>
      </c>
      <c r="P232" s="128">
        <v>0</v>
      </c>
      <c r="Q232" s="128">
        <v>0</v>
      </c>
      <c r="R232" s="128">
        <v>0</v>
      </c>
      <c r="S232" s="128">
        <v>0</v>
      </c>
      <c r="T232" s="128">
        <v>0</v>
      </c>
      <c r="U232" s="128">
        <v>0</v>
      </c>
      <c r="V232" s="128">
        <v>0</v>
      </c>
      <c r="W232" s="128">
        <v>0</v>
      </c>
      <c r="X232" s="128">
        <v>0</v>
      </c>
      <c r="Y232" s="128">
        <v>0</v>
      </c>
      <c r="Z232" s="128">
        <v>0</v>
      </c>
      <c r="AA232" s="128">
        <v>0</v>
      </c>
      <c r="AB232" s="128">
        <v>0</v>
      </c>
      <c r="AC232" s="128">
        <v>0</v>
      </c>
      <c r="AD232" s="128">
        <v>0</v>
      </c>
      <c r="AE232" s="128">
        <v>0</v>
      </c>
      <c r="AF232" s="128">
        <v>0</v>
      </c>
      <c r="AG232" s="128">
        <v>0</v>
      </c>
      <c r="AH232" s="128">
        <v>0</v>
      </c>
      <c r="AI232" s="128">
        <v>0</v>
      </c>
      <c r="AJ232" s="128">
        <v>0</v>
      </c>
      <c r="AK232" s="128">
        <v>0</v>
      </c>
      <c r="AL232" s="128">
        <v>0</v>
      </c>
      <c r="AM232" s="128">
        <v>0</v>
      </c>
      <c r="AN232" s="128">
        <v>0</v>
      </c>
      <c r="AO232" s="128">
        <v>0</v>
      </c>
      <c r="AP232" s="128">
        <v>0</v>
      </c>
      <c r="AQ232" s="128">
        <v>0</v>
      </c>
      <c r="AR232" s="128">
        <v>0</v>
      </c>
      <c r="AS232" s="128">
        <v>0</v>
      </c>
      <c r="AT232" s="128">
        <v>0</v>
      </c>
      <c r="AU232" s="128">
        <v>0</v>
      </c>
      <c r="AV232" s="128">
        <v>0</v>
      </c>
      <c r="AW232" s="128">
        <v>0</v>
      </c>
      <c r="AX232" s="128">
        <v>0</v>
      </c>
      <c r="AY232" s="128">
        <v>0</v>
      </c>
    </row>
    <row r="233" spans="1:51" x14ac:dyDescent="0.2">
      <c r="A233" s="127"/>
      <c r="B233" s="144">
        <v>25</v>
      </c>
      <c r="C233" s="124">
        <v>0</v>
      </c>
      <c r="D233" s="128">
        <v>0</v>
      </c>
      <c r="E233" s="128">
        <v>0</v>
      </c>
      <c r="F233" s="128">
        <v>0</v>
      </c>
      <c r="G233" s="128">
        <v>0</v>
      </c>
      <c r="H233" s="128">
        <v>0</v>
      </c>
      <c r="I233" s="128">
        <v>0</v>
      </c>
      <c r="J233" s="128">
        <v>0</v>
      </c>
      <c r="K233" s="128">
        <v>0</v>
      </c>
      <c r="L233" s="128">
        <v>0</v>
      </c>
      <c r="M233" s="128">
        <v>0</v>
      </c>
      <c r="N233" s="128">
        <v>0</v>
      </c>
      <c r="O233" s="128">
        <v>0</v>
      </c>
      <c r="P233" s="128">
        <v>0</v>
      </c>
      <c r="Q233" s="128">
        <v>0</v>
      </c>
      <c r="R233" s="128">
        <v>0</v>
      </c>
      <c r="S233" s="128">
        <v>0</v>
      </c>
      <c r="T233" s="128">
        <v>0</v>
      </c>
      <c r="U233" s="128">
        <v>0</v>
      </c>
      <c r="V233" s="128">
        <v>0</v>
      </c>
      <c r="W233" s="128">
        <v>0</v>
      </c>
      <c r="X233" s="128">
        <v>0</v>
      </c>
      <c r="Y233" s="128">
        <v>0</v>
      </c>
      <c r="Z233" s="128">
        <v>0</v>
      </c>
      <c r="AA233" s="128">
        <v>0</v>
      </c>
      <c r="AB233" s="128">
        <v>0</v>
      </c>
      <c r="AC233" s="128">
        <v>0</v>
      </c>
      <c r="AD233" s="128">
        <v>0</v>
      </c>
      <c r="AE233" s="128">
        <v>0</v>
      </c>
      <c r="AF233" s="128">
        <v>0</v>
      </c>
      <c r="AG233" s="128">
        <v>0</v>
      </c>
      <c r="AH233" s="128">
        <v>0</v>
      </c>
      <c r="AI233" s="128">
        <v>0</v>
      </c>
      <c r="AJ233" s="128">
        <v>0</v>
      </c>
      <c r="AK233" s="128">
        <v>0</v>
      </c>
      <c r="AL233" s="128">
        <v>0</v>
      </c>
      <c r="AM233" s="128">
        <v>0</v>
      </c>
      <c r="AN233" s="128">
        <v>0</v>
      </c>
      <c r="AO233" s="128">
        <v>0</v>
      </c>
      <c r="AP233" s="128">
        <v>0</v>
      </c>
      <c r="AQ233" s="128">
        <v>0</v>
      </c>
      <c r="AR233" s="128">
        <v>0</v>
      </c>
      <c r="AS233" s="128">
        <v>0</v>
      </c>
      <c r="AT233" s="128">
        <v>0</v>
      </c>
      <c r="AU233" s="128">
        <v>0</v>
      </c>
      <c r="AV233" s="128">
        <v>0</v>
      </c>
      <c r="AW233" s="128">
        <v>0</v>
      </c>
      <c r="AX233" s="128">
        <v>0</v>
      </c>
      <c r="AY233" s="128">
        <v>0</v>
      </c>
    </row>
    <row r="234" spans="1:51" x14ac:dyDescent="0.2">
      <c r="A234" s="127"/>
      <c r="B234" s="144">
        <v>26</v>
      </c>
      <c r="C234" s="124">
        <v>0</v>
      </c>
      <c r="D234" s="128">
        <v>0</v>
      </c>
      <c r="E234" s="128">
        <v>0</v>
      </c>
      <c r="F234" s="128">
        <v>0</v>
      </c>
      <c r="G234" s="128">
        <v>0</v>
      </c>
      <c r="H234" s="128">
        <v>0</v>
      </c>
      <c r="I234" s="128">
        <v>0</v>
      </c>
      <c r="J234" s="128">
        <v>0</v>
      </c>
      <c r="K234" s="128">
        <v>0</v>
      </c>
      <c r="L234" s="128">
        <v>0</v>
      </c>
      <c r="M234" s="128">
        <v>0</v>
      </c>
      <c r="N234" s="128">
        <v>0</v>
      </c>
      <c r="O234" s="128">
        <v>0</v>
      </c>
      <c r="P234" s="128">
        <v>0</v>
      </c>
      <c r="Q234" s="128">
        <v>0</v>
      </c>
      <c r="R234" s="128">
        <v>0</v>
      </c>
      <c r="S234" s="128">
        <v>0</v>
      </c>
      <c r="T234" s="128">
        <v>0</v>
      </c>
      <c r="U234" s="128">
        <v>0</v>
      </c>
      <c r="V234" s="128">
        <v>0</v>
      </c>
      <c r="W234" s="128">
        <v>0</v>
      </c>
      <c r="X234" s="128">
        <v>0</v>
      </c>
      <c r="Y234" s="128">
        <v>0</v>
      </c>
      <c r="Z234" s="128">
        <v>0</v>
      </c>
      <c r="AA234" s="128">
        <v>0</v>
      </c>
      <c r="AB234" s="128">
        <v>0</v>
      </c>
      <c r="AC234" s="128">
        <v>0</v>
      </c>
      <c r="AD234" s="128">
        <v>0</v>
      </c>
      <c r="AE234" s="128">
        <v>0</v>
      </c>
      <c r="AF234" s="128">
        <v>0</v>
      </c>
      <c r="AG234" s="128">
        <v>0</v>
      </c>
      <c r="AH234" s="128">
        <v>0</v>
      </c>
      <c r="AI234" s="128">
        <v>0</v>
      </c>
      <c r="AJ234" s="128">
        <v>0</v>
      </c>
      <c r="AK234" s="128">
        <v>0</v>
      </c>
      <c r="AL234" s="128">
        <v>0</v>
      </c>
      <c r="AM234" s="128">
        <v>0</v>
      </c>
      <c r="AN234" s="128">
        <v>0</v>
      </c>
      <c r="AO234" s="128">
        <v>0</v>
      </c>
      <c r="AP234" s="128">
        <v>0</v>
      </c>
      <c r="AQ234" s="128">
        <v>0</v>
      </c>
      <c r="AR234" s="128">
        <v>0</v>
      </c>
      <c r="AS234" s="128">
        <v>0</v>
      </c>
      <c r="AT234" s="128">
        <v>0</v>
      </c>
      <c r="AU234" s="128">
        <v>0</v>
      </c>
      <c r="AV234" s="128">
        <v>0</v>
      </c>
      <c r="AW234" s="128">
        <v>0</v>
      </c>
      <c r="AX234" s="128">
        <v>0</v>
      </c>
      <c r="AY234" s="128">
        <v>0</v>
      </c>
    </row>
    <row r="235" spans="1:51" x14ac:dyDescent="0.2">
      <c r="A235" s="127"/>
      <c r="B235" s="144">
        <v>27</v>
      </c>
      <c r="C235" s="124">
        <v>0</v>
      </c>
      <c r="D235" s="128">
        <v>0</v>
      </c>
      <c r="E235" s="128">
        <v>0</v>
      </c>
      <c r="F235" s="128">
        <v>0</v>
      </c>
      <c r="G235" s="128">
        <v>0</v>
      </c>
      <c r="H235" s="128">
        <v>0</v>
      </c>
      <c r="I235" s="128">
        <v>0</v>
      </c>
      <c r="J235" s="128">
        <v>0</v>
      </c>
      <c r="K235" s="128">
        <v>0</v>
      </c>
      <c r="L235" s="128">
        <v>0</v>
      </c>
      <c r="M235" s="128">
        <v>0</v>
      </c>
      <c r="N235" s="128">
        <v>0</v>
      </c>
      <c r="O235" s="128">
        <v>0</v>
      </c>
      <c r="P235" s="128">
        <v>0</v>
      </c>
      <c r="Q235" s="128">
        <v>0</v>
      </c>
      <c r="R235" s="128">
        <v>0</v>
      </c>
      <c r="S235" s="128">
        <v>0</v>
      </c>
      <c r="T235" s="128">
        <v>0</v>
      </c>
      <c r="U235" s="128">
        <v>0</v>
      </c>
      <c r="V235" s="128">
        <v>0</v>
      </c>
      <c r="W235" s="128">
        <v>0</v>
      </c>
      <c r="X235" s="128">
        <v>0</v>
      </c>
      <c r="Y235" s="128">
        <v>0</v>
      </c>
      <c r="Z235" s="128">
        <v>0</v>
      </c>
      <c r="AA235" s="128">
        <v>0</v>
      </c>
      <c r="AB235" s="128">
        <v>0</v>
      </c>
      <c r="AC235" s="128">
        <v>0</v>
      </c>
      <c r="AD235" s="128">
        <v>0</v>
      </c>
      <c r="AE235" s="128">
        <v>0</v>
      </c>
      <c r="AF235" s="128">
        <v>0</v>
      </c>
      <c r="AG235" s="128">
        <v>0</v>
      </c>
      <c r="AH235" s="128">
        <v>0</v>
      </c>
      <c r="AI235" s="128">
        <v>0</v>
      </c>
      <c r="AJ235" s="128">
        <v>0</v>
      </c>
      <c r="AK235" s="128">
        <v>0</v>
      </c>
      <c r="AL235" s="128">
        <v>0</v>
      </c>
      <c r="AM235" s="128">
        <v>0</v>
      </c>
      <c r="AN235" s="128">
        <v>0</v>
      </c>
      <c r="AO235" s="128">
        <v>0</v>
      </c>
      <c r="AP235" s="128">
        <v>0</v>
      </c>
      <c r="AQ235" s="128">
        <v>0</v>
      </c>
      <c r="AR235" s="128">
        <v>0</v>
      </c>
      <c r="AS235" s="128">
        <v>0</v>
      </c>
      <c r="AT235" s="128">
        <v>0</v>
      </c>
      <c r="AU235" s="128">
        <v>0</v>
      </c>
      <c r="AV235" s="128">
        <v>0</v>
      </c>
      <c r="AW235" s="128">
        <v>0</v>
      </c>
      <c r="AX235" s="128">
        <v>0</v>
      </c>
      <c r="AY235" s="128">
        <v>0</v>
      </c>
    </row>
    <row r="236" spans="1:51" x14ac:dyDescent="0.2">
      <c r="A236" s="127"/>
      <c r="B236" s="144">
        <v>28</v>
      </c>
      <c r="C236" s="124">
        <v>0</v>
      </c>
      <c r="D236" s="128">
        <v>0</v>
      </c>
      <c r="E236" s="128">
        <v>0</v>
      </c>
      <c r="F236" s="128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8">
        <v>0</v>
      </c>
      <c r="M236" s="128">
        <v>0</v>
      </c>
      <c r="N236" s="128">
        <v>0</v>
      </c>
      <c r="O236" s="128">
        <v>0</v>
      </c>
      <c r="P236" s="128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8">
        <v>0</v>
      </c>
      <c r="W236" s="128">
        <v>0</v>
      </c>
      <c r="X236" s="128">
        <v>0</v>
      </c>
      <c r="Y236" s="128">
        <v>0</v>
      </c>
      <c r="Z236" s="128">
        <v>0</v>
      </c>
      <c r="AA236" s="128">
        <v>0</v>
      </c>
      <c r="AB236" s="128">
        <v>0</v>
      </c>
      <c r="AC236" s="128">
        <v>0</v>
      </c>
      <c r="AD236" s="128">
        <v>0</v>
      </c>
      <c r="AE236" s="128">
        <v>0</v>
      </c>
      <c r="AF236" s="128">
        <v>0</v>
      </c>
      <c r="AG236" s="128">
        <v>0</v>
      </c>
      <c r="AH236" s="128">
        <v>0</v>
      </c>
      <c r="AI236" s="128">
        <v>0</v>
      </c>
      <c r="AJ236" s="128">
        <v>0</v>
      </c>
      <c r="AK236" s="128">
        <v>0</v>
      </c>
      <c r="AL236" s="128">
        <v>0</v>
      </c>
      <c r="AM236" s="128">
        <v>0</v>
      </c>
      <c r="AN236" s="128">
        <v>0</v>
      </c>
      <c r="AO236" s="128">
        <v>0</v>
      </c>
      <c r="AP236" s="128">
        <v>0</v>
      </c>
      <c r="AQ236" s="128">
        <v>0</v>
      </c>
      <c r="AR236" s="128">
        <v>0</v>
      </c>
      <c r="AS236" s="128">
        <v>0</v>
      </c>
      <c r="AT236" s="128">
        <v>0</v>
      </c>
      <c r="AU236" s="128">
        <v>0</v>
      </c>
      <c r="AV236" s="128">
        <v>0</v>
      </c>
      <c r="AW236" s="128">
        <v>0</v>
      </c>
      <c r="AX236" s="128">
        <v>0</v>
      </c>
      <c r="AY236" s="128">
        <v>0</v>
      </c>
    </row>
    <row r="237" spans="1:51" x14ac:dyDescent="0.2">
      <c r="A237" s="127"/>
      <c r="B237" s="144">
        <v>29</v>
      </c>
      <c r="C237" s="124">
        <v>0</v>
      </c>
      <c r="D237" s="128">
        <v>0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8">
        <v>0</v>
      </c>
      <c r="M237" s="128">
        <v>0</v>
      </c>
      <c r="N237" s="128">
        <v>0</v>
      </c>
      <c r="O237" s="128">
        <v>0</v>
      </c>
      <c r="P237" s="128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8">
        <v>0</v>
      </c>
      <c r="W237" s="128">
        <v>0</v>
      </c>
      <c r="X237" s="128">
        <v>0</v>
      </c>
      <c r="Y237" s="128">
        <v>0</v>
      </c>
      <c r="Z237" s="128">
        <v>0</v>
      </c>
      <c r="AA237" s="128">
        <v>0</v>
      </c>
      <c r="AB237" s="128">
        <v>0</v>
      </c>
      <c r="AC237" s="128">
        <v>0</v>
      </c>
      <c r="AD237" s="128">
        <v>0</v>
      </c>
      <c r="AE237" s="128">
        <v>0</v>
      </c>
      <c r="AF237" s="128">
        <v>0</v>
      </c>
      <c r="AG237" s="128">
        <v>0</v>
      </c>
      <c r="AH237" s="128">
        <v>0</v>
      </c>
      <c r="AI237" s="128">
        <v>0</v>
      </c>
      <c r="AJ237" s="128">
        <v>0</v>
      </c>
      <c r="AK237" s="128">
        <v>0</v>
      </c>
      <c r="AL237" s="128">
        <v>0</v>
      </c>
      <c r="AM237" s="128">
        <v>0</v>
      </c>
      <c r="AN237" s="128">
        <v>0</v>
      </c>
      <c r="AO237" s="128">
        <v>0</v>
      </c>
      <c r="AP237" s="128">
        <v>0</v>
      </c>
      <c r="AQ237" s="128">
        <v>0</v>
      </c>
      <c r="AR237" s="128">
        <v>0</v>
      </c>
      <c r="AS237" s="128">
        <v>0</v>
      </c>
      <c r="AT237" s="128">
        <v>0</v>
      </c>
      <c r="AU237" s="128">
        <v>0</v>
      </c>
      <c r="AV237" s="128">
        <v>0</v>
      </c>
      <c r="AW237" s="128">
        <v>0</v>
      </c>
      <c r="AX237" s="128">
        <v>0</v>
      </c>
      <c r="AY237" s="128">
        <v>0</v>
      </c>
    </row>
    <row r="238" spans="1:51" x14ac:dyDescent="0.2">
      <c r="A238" s="127"/>
      <c r="B238" s="144">
        <v>30</v>
      </c>
      <c r="C238" s="124">
        <v>0</v>
      </c>
      <c r="D238" s="128">
        <v>0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>
        <v>0</v>
      </c>
      <c r="L238" s="128">
        <v>0</v>
      </c>
      <c r="M238" s="128">
        <v>0</v>
      </c>
      <c r="N238" s="128">
        <v>0</v>
      </c>
      <c r="O238" s="128">
        <v>0</v>
      </c>
      <c r="P238" s="128">
        <v>0</v>
      </c>
      <c r="Q238" s="128">
        <v>0</v>
      </c>
      <c r="R238" s="128">
        <v>0</v>
      </c>
      <c r="S238" s="128">
        <v>0</v>
      </c>
      <c r="T238" s="128">
        <v>0</v>
      </c>
      <c r="U238" s="128">
        <v>0</v>
      </c>
      <c r="V238" s="128">
        <v>0</v>
      </c>
      <c r="W238" s="128">
        <v>0</v>
      </c>
      <c r="X238" s="128">
        <v>0</v>
      </c>
      <c r="Y238" s="128">
        <v>0</v>
      </c>
      <c r="Z238" s="128">
        <v>0</v>
      </c>
      <c r="AA238" s="128">
        <v>0</v>
      </c>
      <c r="AB238" s="128">
        <v>0</v>
      </c>
      <c r="AC238" s="128">
        <v>0</v>
      </c>
      <c r="AD238" s="128">
        <v>0</v>
      </c>
      <c r="AE238" s="128">
        <v>0</v>
      </c>
      <c r="AF238" s="128">
        <v>0</v>
      </c>
      <c r="AG238" s="128">
        <v>0</v>
      </c>
      <c r="AH238" s="128">
        <v>0</v>
      </c>
      <c r="AI238" s="128">
        <v>0</v>
      </c>
      <c r="AJ238" s="128">
        <v>0</v>
      </c>
      <c r="AK238" s="128">
        <v>0</v>
      </c>
      <c r="AL238" s="128">
        <v>0</v>
      </c>
      <c r="AM238" s="128">
        <v>0</v>
      </c>
      <c r="AN238" s="128">
        <v>0</v>
      </c>
      <c r="AO238" s="128">
        <v>0</v>
      </c>
      <c r="AP238" s="128">
        <v>0</v>
      </c>
      <c r="AQ238" s="128">
        <v>0</v>
      </c>
      <c r="AR238" s="128">
        <v>0</v>
      </c>
      <c r="AS238" s="128">
        <v>0</v>
      </c>
      <c r="AT238" s="128">
        <v>0</v>
      </c>
      <c r="AU238" s="128">
        <v>0</v>
      </c>
      <c r="AV238" s="128">
        <v>0</v>
      </c>
      <c r="AW238" s="128">
        <v>0</v>
      </c>
      <c r="AX238" s="128">
        <v>0</v>
      </c>
      <c r="AY238" s="128">
        <v>0</v>
      </c>
    </row>
    <row r="239" spans="1:51" x14ac:dyDescent="0.2">
      <c r="A239" s="127"/>
      <c r="B239" s="144">
        <v>31</v>
      </c>
      <c r="C239" s="124">
        <v>0</v>
      </c>
      <c r="D239" s="128">
        <v>0</v>
      </c>
      <c r="E239" s="128">
        <v>0</v>
      </c>
      <c r="F239" s="128">
        <v>0</v>
      </c>
      <c r="G239" s="128">
        <v>0</v>
      </c>
      <c r="H239" s="128">
        <v>0</v>
      </c>
      <c r="I239" s="128">
        <v>0</v>
      </c>
      <c r="J239" s="128">
        <v>0</v>
      </c>
      <c r="K239" s="128">
        <v>0</v>
      </c>
      <c r="L239" s="128">
        <v>0</v>
      </c>
      <c r="M239" s="128">
        <v>0</v>
      </c>
      <c r="N239" s="128">
        <v>0</v>
      </c>
      <c r="O239" s="128">
        <v>0</v>
      </c>
      <c r="P239" s="128">
        <v>0</v>
      </c>
      <c r="Q239" s="128">
        <v>0</v>
      </c>
      <c r="R239" s="128">
        <v>0</v>
      </c>
      <c r="S239" s="128">
        <v>0</v>
      </c>
      <c r="T239" s="128">
        <v>0</v>
      </c>
      <c r="U239" s="128">
        <v>0</v>
      </c>
      <c r="V239" s="128">
        <v>0</v>
      </c>
      <c r="W239" s="128">
        <v>0</v>
      </c>
      <c r="X239" s="128">
        <v>0</v>
      </c>
      <c r="Y239" s="128">
        <v>0</v>
      </c>
      <c r="Z239" s="128">
        <v>0</v>
      </c>
      <c r="AA239" s="128">
        <v>0</v>
      </c>
      <c r="AB239" s="128">
        <v>0</v>
      </c>
      <c r="AC239" s="128">
        <v>0</v>
      </c>
      <c r="AD239" s="128">
        <v>0</v>
      </c>
      <c r="AE239" s="128">
        <v>0</v>
      </c>
      <c r="AF239" s="128">
        <v>0</v>
      </c>
      <c r="AG239" s="128">
        <v>0</v>
      </c>
      <c r="AH239" s="128">
        <v>0</v>
      </c>
      <c r="AI239" s="128">
        <v>0</v>
      </c>
      <c r="AJ239" s="128">
        <v>0</v>
      </c>
      <c r="AK239" s="128">
        <v>0</v>
      </c>
      <c r="AL239" s="128">
        <v>0</v>
      </c>
      <c r="AM239" s="128">
        <v>0</v>
      </c>
      <c r="AN239" s="128">
        <v>0</v>
      </c>
      <c r="AO239" s="128">
        <v>0</v>
      </c>
      <c r="AP239" s="128">
        <v>0</v>
      </c>
      <c r="AQ239" s="128">
        <v>0</v>
      </c>
      <c r="AR239" s="128">
        <v>0</v>
      </c>
      <c r="AS239" s="128">
        <v>0</v>
      </c>
      <c r="AT239" s="128">
        <v>0</v>
      </c>
      <c r="AU239" s="128">
        <v>0</v>
      </c>
      <c r="AV239" s="128">
        <v>0</v>
      </c>
      <c r="AW239" s="128">
        <v>0</v>
      </c>
      <c r="AX239" s="128">
        <v>0</v>
      </c>
      <c r="AY239" s="128">
        <v>0</v>
      </c>
    </row>
    <row r="240" spans="1:51" x14ac:dyDescent="0.2">
      <c r="A240" s="127"/>
      <c r="B240" s="144">
        <v>32</v>
      </c>
      <c r="C240" s="124">
        <v>0</v>
      </c>
      <c r="D240" s="128">
        <v>0</v>
      </c>
      <c r="E240" s="128">
        <v>0</v>
      </c>
      <c r="F240" s="128">
        <v>0</v>
      </c>
      <c r="G240" s="128">
        <v>0</v>
      </c>
      <c r="H240" s="128">
        <v>0</v>
      </c>
      <c r="I240" s="128">
        <v>0</v>
      </c>
      <c r="J240" s="128">
        <v>0</v>
      </c>
      <c r="K240" s="128">
        <v>0</v>
      </c>
      <c r="L240" s="128">
        <v>0</v>
      </c>
      <c r="M240" s="128">
        <v>0</v>
      </c>
      <c r="N240" s="128">
        <v>0</v>
      </c>
      <c r="O240" s="128">
        <v>0</v>
      </c>
      <c r="P240" s="128">
        <v>0</v>
      </c>
      <c r="Q240" s="128">
        <v>0</v>
      </c>
      <c r="R240" s="128">
        <v>0</v>
      </c>
      <c r="S240" s="128">
        <v>0</v>
      </c>
      <c r="T240" s="128">
        <v>0</v>
      </c>
      <c r="U240" s="128">
        <v>0</v>
      </c>
      <c r="V240" s="128">
        <v>0</v>
      </c>
      <c r="W240" s="128">
        <v>0</v>
      </c>
      <c r="X240" s="128">
        <v>0</v>
      </c>
      <c r="Y240" s="128">
        <v>0</v>
      </c>
      <c r="Z240" s="128">
        <v>0</v>
      </c>
      <c r="AA240" s="128">
        <v>0</v>
      </c>
      <c r="AB240" s="128">
        <v>0</v>
      </c>
      <c r="AC240" s="128">
        <v>0</v>
      </c>
      <c r="AD240" s="128">
        <v>0</v>
      </c>
      <c r="AE240" s="128">
        <v>0</v>
      </c>
      <c r="AF240" s="128">
        <v>0</v>
      </c>
      <c r="AG240" s="128">
        <v>0</v>
      </c>
      <c r="AH240" s="128">
        <v>0</v>
      </c>
      <c r="AI240" s="128">
        <v>0</v>
      </c>
      <c r="AJ240" s="128">
        <v>0</v>
      </c>
      <c r="AK240" s="128">
        <v>0</v>
      </c>
      <c r="AL240" s="128">
        <v>0</v>
      </c>
      <c r="AM240" s="128">
        <v>0</v>
      </c>
      <c r="AN240" s="128">
        <v>0</v>
      </c>
      <c r="AO240" s="128">
        <v>0</v>
      </c>
      <c r="AP240" s="128">
        <v>0</v>
      </c>
      <c r="AQ240" s="128">
        <v>0</v>
      </c>
      <c r="AR240" s="128">
        <v>0</v>
      </c>
      <c r="AS240" s="128">
        <v>0</v>
      </c>
      <c r="AT240" s="128">
        <v>0</v>
      </c>
      <c r="AU240" s="128">
        <v>0</v>
      </c>
      <c r="AV240" s="128">
        <v>0</v>
      </c>
      <c r="AW240" s="128">
        <v>0</v>
      </c>
      <c r="AX240" s="128">
        <v>0</v>
      </c>
      <c r="AY240" s="128">
        <v>0</v>
      </c>
    </row>
    <row r="241" spans="1:51" x14ac:dyDescent="0.2">
      <c r="A241" s="127"/>
      <c r="B241" s="144">
        <v>33</v>
      </c>
      <c r="C241" s="124">
        <v>0</v>
      </c>
      <c r="D241" s="128">
        <v>0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>
        <v>0</v>
      </c>
      <c r="L241" s="128">
        <v>0</v>
      </c>
      <c r="M241" s="128">
        <v>0</v>
      </c>
      <c r="N241" s="128">
        <v>0</v>
      </c>
      <c r="O241" s="128">
        <v>0</v>
      </c>
      <c r="P241" s="128">
        <v>0</v>
      </c>
      <c r="Q241" s="128">
        <v>0</v>
      </c>
      <c r="R241" s="128">
        <v>0</v>
      </c>
      <c r="S241" s="128">
        <v>0</v>
      </c>
      <c r="T241" s="128">
        <v>0</v>
      </c>
      <c r="U241" s="128">
        <v>0</v>
      </c>
      <c r="V241" s="128">
        <v>0</v>
      </c>
      <c r="W241" s="128">
        <v>0</v>
      </c>
      <c r="X241" s="128">
        <v>0</v>
      </c>
      <c r="Y241" s="128">
        <v>0</v>
      </c>
      <c r="Z241" s="128">
        <v>0</v>
      </c>
      <c r="AA241" s="128">
        <v>0</v>
      </c>
      <c r="AB241" s="128">
        <v>0</v>
      </c>
      <c r="AC241" s="128">
        <v>0</v>
      </c>
      <c r="AD241" s="128">
        <v>0</v>
      </c>
      <c r="AE241" s="128">
        <v>0</v>
      </c>
      <c r="AF241" s="128">
        <v>0</v>
      </c>
      <c r="AG241" s="128">
        <v>0</v>
      </c>
      <c r="AH241" s="128">
        <v>0</v>
      </c>
      <c r="AI241" s="128">
        <v>0</v>
      </c>
      <c r="AJ241" s="128">
        <v>0</v>
      </c>
      <c r="AK241" s="128">
        <v>0</v>
      </c>
      <c r="AL241" s="128">
        <v>0</v>
      </c>
      <c r="AM241" s="128">
        <v>0</v>
      </c>
      <c r="AN241" s="128">
        <v>0</v>
      </c>
      <c r="AO241" s="128">
        <v>0</v>
      </c>
      <c r="AP241" s="128">
        <v>0</v>
      </c>
      <c r="AQ241" s="128">
        <v>0</v>
      </c>
      <c r="AR241" s="128">
        <v>0</v>
      </c>
      <c r="AS241" s="128">
        <v>0</v>
      </c>
      <c r="AT241" s="128">
        <v>0</v>
      </c>
      <c r="AU241" s="128">
        <v>0</v>
      </c>
      <c r="AV241" s="128">
        <v>0</v>
      </c>
      <c r="AW241" s="128">
        <v>0</v>
      </c>
      <c r="AX241" s="128">
        <v>0</v>
      </c>
      <c r="AY241" s="128">
        <v>0</v>
      </c>
    </row>
    <row r="242" spans="1:51" x14ac:dyDescent="0.2">
      <c r="A242" s="127"/>
      <c r="B242" s="144">
        <v>34</v>
      </c>
      <c r="C242" s="124">
        <v>0</v>
      </c>
      <c r="D242" s="128">
        <v>0</v>
      </c>
      <c r="E242" s="128">
        <v>0</v>
      </c>
      <c r="F242" s="128">
        <v>0</v>
      </c>
      <c r="G242" s="128">
        <v>0</v>
      </c>
      <c r="H242" s="128">
        <v>0</v>
      </c>
      <c r="I242" s="128">
        <v>0</v>
      </c>
      <c r="J242" s="128">
        <v>0</v>
      </c>
      <c r="K242" s="128">
        <v>0</v>
      </c>
      <c r="L242" s="128">
        <v>0</v>
      </c>
      <c r="M242" s="128">
        <v>0</v>
      </c>
      <c r="N242" s="128">
        <v>0</v>
      </c>
      <c r="O242" s="128">
        <v>0</v>
      </c>
      <c r="P242" s="128">
        <v>0</v>
      </c>
      <c r="Q242" s="128">
        <v>0</v>
      </c>
      <c r="R242" s="128">
        <v>0</v>
      </c>
      <c r="S242" s="128">
        <v>0</v>
      </c>
      <c r="T242" s="128">
        <v>0</v>
      </c>
      <c r="U242" s="128">
        <v>0</v>
      </c>
      <c r="V242" s="128">
        <v>0</v>
      </c>
      <c r="W242" s="128">
        <v>0</v>
      </c>
      <c r="X242" s="128">
        <v>0</v>
      </c>
      <c r="Y242" s="128">
        <v>0</v>
      </c>
      <c r="Z242" s="128">
        <v>0</v>
      </c>
      <c r="AA242" s="128">
        <v>0</v>
      </c>
      <c r="AB242" s="128">
        <v>0</v>
      </c>
      <c r="AC242" s="128">
        <v>0</v>
      </c>
      <c r="AD242" s="128">
        <v>0</v>
      </c>
      <c r="AE242" s="128">
        <v>0</v>
      </c>
      <c r="AF242" s="128">
        <v>0</v>
      </c>
      <c r="AG242" s="128">
        <v>0</v>
      </c>
      <c r="AH242" s="128">
        <v>0</v>
      </c>
      <c r="AI242" s="128">
        <v>0</v>
      </c>
      <c r="AJ242" s="128">
        <v>0</v>
      </c>
      <c r="AK242" s="128">
        <v>0</v>
      </c>
      <c r="AL242" s="128">
        <v>0</v>
      </c>
      <c r="AM242" s="128">
        <v>0</v>
      </c>
      <c r="AN242" s="128">
        <v>0</v>
      </c>
      <c r="AO242" s="128">
        <v>0</v>
      </c>
      <c r="AP242" s="128">
        <v>0</v>
      </c>
      <c r="AQ242" s="128">
        <v>0</v>
      </c>
      <c r="AR242" s="128">
        <v>0</v>
      </c>
      <c r="AS242" s="128">
        <v>0</v>
      </c>
      <c r="AT242" s="128">
        <v>0</v>
      </c>
      <c r="AU242" s="128">
        <v>0</v>
      </c>
      <c r="AV242" s="128">
        <v>0</v>
      </c>
      <c r="AW242" s="128">
        <v>0</v>
      </c>
      <c r="AX242" s="128">
        <v>0</v>
      </c>
      <c r="AY242" s="128">
        <v>0</v>
      </c>
    </row>
    <row r="243" spans="1:51" x14ac:dyDescent="0.2">
      <c r="A243" s="127"/>
      <c r="B243" s="144">
        <v>35</v>
      </c>
      <c r="C243" s="124">
        <v>0</v>
      </c>
      <c r="D243" s="128">
        <v>0</v>
      </c>
      <c r="E243" s="128">
        <v>0</v>
      </c>
      <c r="F243" s="128">
        <v>0</v>
      </c>
      <c r="G243" s="128">
        <v>0</v>
      </c>
      <c r="H243" s="128">
        <v>0</v>
      </c>
      <c r="I243" s="128">
        <v>0</v>
      </c>
      <c r="J243" s="128">
        <v>0</v>
      </c>
      <c r="K243" s="128">
        <v>0</v>
      </c>
      <c r="L243" s="128">
        <v>0</v>
      </c>
      <c r="M243" s="128">
        <v>0</v>
      </c>
      <c r="N243" s="128">
        <v>0</v>
      </c>
      <c r="O243" s="128">
        <v>0</v>
      </c>
      <c r="P243" s="128">
        <v>0</v>
      </c>
      <c r="Q243" s="128">
        <v>0</v>
      </c>
      <c r="R243" s="128">
        <v>0</v>
      </c>
      <c r="S243" s="128">
        <v>0</v>
      </c>
      <c r="T243" s="128">
        <v>0</v>
      </c>
      <c r="U243" s="128">
        <v>0</v>
      </c>
      <c r="V243" s="128">
        <v>0</v>
      </c>
      <c r="W243" s="128">
        <v>0</v>
      </c>
      <c r="X243" s="128">
        <v>0</v>
      </c>
      <c r="Y243" s="128">
        <v>0</v>
      </c>
      <c r="Z243" s="128">
        <v>0</v>
      </c>
      <c r="AA243" s="128">
        <v>0</v>
      </c>
      <c r="AB243" s="128">
        <v>0</v>
      </c>
      <c r="AC243" s="128">
        <v>0</v>
      </c>
      <c r="AD243" s="128">
        <v>0</v>
      </c>
      <c r="AE243" s="128">
        <v>0</v>
      </c>
      <c r="AF243" s="128">
        <v>0</v>
      </c>
      <c r="AG243" s="128">
        <v>0</v>
      </c>
      <c r="AH243" s="128">
        <v>0</v>
      </c>
      <c r="AI243" s="128">
        <v>0</v>
      </c>
      <c r="AJ243" s="128">
        <v>0</v>
      </c>
      <c r="AK243" s="128">
        <v>0</v>
      </c>
      <c r="AL243" s="128">
        <v>0</v>
      </c>
      <c r="AM243" s="128">
        <v>0</v>
      </c>
      <c r="AN243" s="128">
        <v>0</v>
      </c>
      <c r="AO243" s="128">
        <v>0</v>
      </c>
      <c r="AP243" s="128">
        <v>0</v>
      </c>
      <c r="AQ243" s="128">
        <v>0</v>
      </c>
      <c r="AR243" s="128">
        <v>0</v>
      </c>
      <c r="AS243" s="128">
        <v>0</v>
      </c>
      <c r="AT243" s="128">
        <v>0</v>
      </c>
      <c r="AU243" s="128">
        <v>0</v>
      </c>
      <c r="AV243" s="128">
        <v>0</v>
      </c>
      <c r="AW243" s="128">
        <v>0</v>
      </c>
      <c r="AX243" s="128">
        <v>0</v>
      </c>
      <c r="AY243" s="128">
        <v>0</v>
      </c>
    </row>
    <row r="244" spans="1:51" x14ac:dyDescent="0.2">
      <c r="A244" s="127"/>
      <c r="B244" s="144">
        <v>36</v>
      </c>
      <c r="C244" s="124">
        <v>0</v>
      </c>
      <c r="D244" s="128">
        <v>0</v>
      </c>
      <c r="E244" s="128">
        <v>0</v>
      </c>
      <c r="F244" s="128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8">
        <v>0</v>
      </c>
      <c r="M244" s="128">
        <v>0</v>
      </c>
      <c r="N244" s="128">
        <v>0</v>
      </c>
      <c r="O244" s="128">
        <v>0</v>
      </c>
      <c r="P244" s="128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8">
        <v>0</v>
      </c>
      <c r="W244" s="128">
        <v>0</v>
      </c>
      <c r="X244" s="128">
        <v>0</v>
      </c>
      <c r="Y244" s="128">
        <v>0</v>
      </c>
      <c r="Z244" s="128">
        <v>0</v>
      </c>
      <c r="AA244" s="128">
        <v>0</v>
      </c>
      <c r="AB244" s="128">
        <v>0</v>
      </c>
      <c r="AC244" s="128">
        <v>0</v>
      </c>
      <c r="AD244" s="128">
        <v>0</v>
      </c>
      <c r="AE244" s="128">
        <v>0</v>
      </c>
      <c r="AF244" s="128">
        <v>0</v>
      </c>
      <c r="AG244" s="128">
        <v>0</v>
      </c>
      <c r="AH244" s="128">
        <v>0</v>
      </c>
      <c r="AI244" s="128">
        <v>0</v>
      </c>
      <c r="AJ244" s="128">
        <v>0</v>
      </c>
      <c r="AK244" s="128">
        <v>0</v>
      </c>
      <c r="AL244" s="128">
        <v>0</v>
      </c>
      <c r="AM244" s="128">
        <v>0</v>
      </c>
      <c r="AN244" s="128">
        <v>0</v>
      </c>
      <c r="AO244" s="128">
        <v>0</v>
      </c>
      <c r="AP244" s="128">
        <v>0</v>
      </c>
      <c r="AQ244" s="128">
        <v>0</v>
      </c>
      <c r="AR244" s="128">
        <v>0</v>
      </c>
      <c r="AS244" s="128">
        <v>0</v>
      </c>
      <c r="AT244" s="128">
        <v>0</v>
      </c>
      <c r="AU244" s="128">
        <v>0</v>
      </c>
      <c r="AV244" s="128">
        <v>0</v>
      </c>
      <c r="AW244" s="128">
        <v>0</v>
      </c>
      <c r="AX244" s="128">
        <v>0</v>
      </c>
      <c r="AY244" s="128">
        <v>0</v>
      </c>
    </row>
    <row r="245" spans="1:51" x14ac:dyDescent="0.2">
      <c r="A245" s="127"/>
      <c r="B245" s="147">
        <v>37</v>
      </c>
      <c r="C245" s="124">
        <v>0</v>
      </c>
      <c r="D245" s="128">
        <v>0</v>
      </c>
      <c r="E245" s="128">
        <v>0</v>
      </c>
      <c r="F245" s="128">
        <v>0</v>
      </c>
      <c r="G245" s="128">
        <v>0</v>
      </c>
      <c r="H245" s="128">
        <v>0</v>
      </c>
      <c r="I245" s="128">
        <v>0</v>
      </c>
      <c r="J245" s="128">
        <v>0</v>
      </c>
      <c r="K245" s="128">
        <v>0</v>
      </c>
      <c r="L245" s="128">
        <v>0</v>
      </c>
      <c r="M245" s="128">
        <v>0</v>
      </c>
      <c r="N245" s="128">
        <v>0</v>
      </c>
      <c r="O245" s="128">
        <v>0</v>
      </c>
      <c r="P245" s="128">
        <v>0</v>
      </c>
      <c r="Q245" s="128">
        <v>0</v>
      </c>
      <c r="R245" s="128">
        <v>0</v>
      </c>
      <c r="S245" s="128">
        <v>0</v>
      </c>
      <c r="T245" s="128">
        <v>0</v>
      </c>
      <c r="U245" s="128">
        <v>0</v>
      </c>
      <c r="V245" s="128">
        <v>0</v>
      </c>
      <c r="W245" s="128">
        <v>0</v>
      </c>
      <c r="X245" s="128">
        <v>0</v>
      </c>
      <c r="Y245" s="128">
        <v>0</v>
      </c>
      <c r="Z245" s="128">
        <v>0</v>
      </c>
      <c r="AA245" s="128">
        <v>0</v>
      </c>
      <c r="AB245" s="128">
        <v>0</v>
      </c>
      <c r="AC245" s="128">
        <v>0</v>
      </c>
      <c r="AD245" s="128">
        <v>0</v>
      </c>
      <c r="AE245" s="128">
        <v>0</v>
      </c>
      <c r="AF245" s="128">
        <v>0</v>
      </c>
      <c r="AG245" s="128">
        <v>0</v>
      </c>
      <c r="AH245" s="128">
        <v>0</v>
      </c>
      <c r="AI245" s="128">
        <v>0</v>
      </c>
      <c r="AJ245" s="128">
        <v>0</v>
      </c>
      <c r="AK245" s="128">
        <v>0</v>
      </c>
      <c r="AL245" s="128">
        <v>0</v>
      </c>
      <c r="AM245" s="128">
        <v>0</v>
      </c>
      <c r="AN245" s="128">
        <v>0</v>
      </c>
      <c r="AO245" s="128">
        <v>0</v>
      </c>
      <c r="AP245" s="128">
        <v>0</v>
      </c>
      <c r="AQ245" s="128">
        <v>0</v>
      </c>
      <c r="AR245" s="128">
        <v>0</v>
      </c>
      <c r="AS245" s="128">
        <v>0</v>
      </c>
      <c r="AT245" s="128">
        <v>0</v>
      </c>
      <c r="AU245" s="128">
        <v>0</v>
      </c>
      <c r="AV245" s="128">
        <v>0</v>
      </c>
      <c r="AW245" s="128">
        <v>0</v>
      </c>
      <c r="AX245" s="128">
        <v>0</v>
      </c>
      <c r="AY245" s="128">
        <v>0</v>
      </c>
    </row>
    <row r="246" spans="1:51" x14ac:dyDescent="0.2">
      <c r="A246" s="127"/>
      <c r="B246" s="147">
        <v>38</v>
      </c>
      <c r="C246" s="124">
        <v>0</v>
      </c>
      <c r="D246" s="128">
        <v>0</v>
      </c>
      <c r="E246" s="128">
        <v>0</v>
      </c>
      <c r="F246" s="128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8">
        <v>0</v>
      </c>
      <c r="M246" s="128">
        <v>0</v>
      </c>
      <c r="N246" s="128">
        <v>0</v>
      </c>
      <c r="O246" s="128">
        <v>0</v>
      </c>
      <c r="P246" s="128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8">
        <v>0</v>
      </c>
      <c r="W246" s="128">
        <v>0</v>
      </c>
      <c r="X246" s="128">
        <v>0</v>
      </c>
      <c r="Y246" s="128">
        <v>0</v>
      </c>
      <c r="Z246" s="128">
        <v>0</v>
      </c>
      <c r="AA246" s="128">
        <v>0</v>
      </c>
      <c r="AB246" s="128">
        <v>0</v>
      </c>
      <c r="AC246" s="128">
        <v>0</v>
      </c>
      <c r="AD246" s="128">
        <v>0</v>
      </c>
      <c r="AE246" s="128">
        <v>0</v>
      </c>
      <c r="AF246" s="128">
        <v>0</v>
      </c>
      <c r="AG246" s="128">
        <v>0</v>
      </c>
      <c r="AH246" s="128">
        <v>0</v>
      </c>
      <c r="AI246" s="128">
        <v>0</v>
      </c>
      <c r="AJ246" s="128">
        <v>0</v>
      </c>
      <c r="AK246" s="128">
        <v>0</v>
      </c>
      <c r="AL246" s="128">
        <v>0</v>
      </c>
      <c r="AM246" s="128">
        <v>0</v>
      </c>
      <c r="AN246" s="128">
        <v>0</v>
      </c>
      <c r="AO246" s="128">
        <v>0</v>
      </c>
      <c r="AP246" s="128">
        <v>0</v>
      </c>
      <c r="AQ246" s="128">
        <v>0</v>
      </c>
      <c r="AR246" s="128">
        <v>0</v>
      </c>
      <c r="AS246" s="128">
        <v>0</v>
      </c>
      <c r="AT246" s="128">
        <v>0</v>
      </c>
      <c r="AU246" s="128">
        <v>0</v>
      </c>
      <c r="AV246" s="128">
        <v>0</v>
      </c>
      <c r="AW246" s="128">
        <v>0</v>
      </c>
      <c r="AX246" s="128">
        <v>0</v>
      </c>
      <c r="AY246" s="128">
        <v>0</v>
      </c>
    </row>
    <row r="247" spans="1:51" x14ac:dyDescent="0.2">
      <c r="A247" s="127"/>
      <c r="B247" s="147">
        <v>39</v>
      </c>
      <c r="C247" s="124">
        <v>0</v>
      </c>
      <c r="D247" s="128">
        <v>0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>
        <v>0</v>
      </c>
      <c r="L247" s="128">
        <v>0</v>
      </c>
      <c r="M247" s="128">
        <v>0</v>
      </c>
      <c r="N247" s="128">
        <v>0</v>
      </c>
      <c r="O247" s="128">
        <v>0</v>
      </c>
      <c r="P247" s="128">
        <v>0</v>
      </c>
      <c r="Q247" s="128">
        <v>0</v>
      </c>
      <c r="R247" s="128">
        <v>0</v>
      </c>
      <c r="S247" s="128">
        <v>0</v>
      </c>
      <c r="T247" s="128">
        <v>0</v>
      </c>
      <c r="U247" s="128">
        <v>0</v>
      </c>
      <c r="V247" s="128">
        <v>0</v>
      </c>
      <c r="W247" s="128">
        <v>0</v>
      </c>
      <c r="X247" s="128">
        <v>0</v>
      </c>
      <c r="Y247" s="128">
        <v>0</v>
      </c>
      <c r="Z247" s="128">
        <v>0</v>
      </c>
      <c r="AA247" s="128">
        <v>0</v>
      </c>
      <c r="AB247" s="128">
        <v>0</v>
      </c>
      <c r="AC247" s="128">
        <v>0</v>
      </c>
      <c r="AD247" s="128">
        <v>0</v>
      </c>
      <c r="AE247" s="128">
        <v>0</v>
      </c>
      <c r="AF247" s="128">
        <v>0</v>
      </c>
      <c r="AG247" s="128">
        <v>0</v>
      </c>
      <c r="AH247" s="128">
        <v>0</v>
      </c>
      <c r="AI247" s="128">
        <v>0</v>
      </c>
      <c r="AJ247" s="128">
        <v>0</v>
      </c>
      <c r="AK247" s="128">
        <v>0</v>
      </c>
      <c r="AL247" s="128">
        <v>0</v>
      </c>
      <c r="AM247" s="128">
        <v>0</v>
      </c>
      <c r="AN247" s="128">
        <v>0</v>
      </c>
      <c r="AO247" s="128">
        <v>0</v>
      </c>
      <c r="AP247" s="128">
        <v>0</v>
      </c>
      <c r="AQ247" s="128">
        <v>0</v>
      </c>
      <c r="AR247" s="128">
        <v>0</v>
      </c>
      <c r="AS247" s="128">
        <v>0</v>
      </c>
      <c r="AT247" s="128">
        <v>0</v>
      </c>
      <c r="AU247" s="128">
        <v>0</v>
      </c>
      <c r="AV247" s="128">
        <v>0</v>
      </c>
      <c r="AW247" s="128">
        <v>0</v>
      </c>
      <c r="AX247" s="128">
        <v>0</v>
      </c>
      <c r="AY247" s="128">
        <v>0</v>
      </c>
    </row>
    <row r="248" spans="1:51" x14ac:dyDescent="0.2">
      <c r="A248" s="127"/>
      <c r="B248" s="147">
        <v>40</v>
      </c>
      <c r="C248" s="124">
        <v>0</v>
      </c>
      <c r="D248" s="128">
        <v>0</v>
      </c>
      <c r="E248" s="128">
        <v>0</v>
      </c>
      <c r="F248" s="128">
        <v>0</v>
      </c>
      <c r="G248" s="128">
        <v>0</v>
      </c>
      <c r="H248" s="128">
        <v>0</v>
      </c>
      <c r="I248" s="128">
        <v>0</v>
      </c>
      <c r="J248" s="128">
        <v>0</v>
      </c>
      <c r="K248" s="128">
        <v>0</v>
      </c>
      <c r="L248" s="128">
        <v>0</v>
      </c>
      <c r="M248" s="128">
        <v>0</v>
      </c>
      <c r="N248" s="128">
        <v>0</v>
      </c>
      <c r="O248" s="128">
        <v>0</v>
      </c>
      <c r="P248" s="128">
        <v>0</v>
      </c>
      <c r="Q248" s="128">
        <v>0</v>
      </c>
      <c r="R248" s="128">
        <v>0</v>
      </c>
      <c r="S248" s="128">
        <v>0</v>
      </c>
      <c r="T248" s="128">
        <v>0</v>
      </c>
      <c r="U248" s="128">
        <v>0</v>
      </c>
      <c r="V248" s="128">
        <v>0</v>
      </c>
      <c r="W248" s="128">
        <v>0</v>
      </c>
      <c r="X248" s="128">
        <v>0</v>
      </c>
      <c r="Y248" s="128">
        <v>0</v>
      </c>
      <c r="Z248" s="128">
        <v>0</v>
      </c>
      <c r="AA248" s="128">
        <v>0</v>
      </c>
      <c r="AB248" s="128">
        <v>0</v>
      </c>
      <c r="AC248" s="128">
        <v>0</v>
      </c>
      <c r="AD248" s="128">
        <v>0</v>
      </c>
      <c r="AE248" s="128">
        <v>0</v>
      </c>
      <c r="AF248" s="128">
        <v>0</v>
      </c>
      <c r="AG248" s="128">
        <v>0</v>
      </c>
      <c r="AH248" s="128">
        <v>0</v>
      </c>
      <c r="AI248" s="128">
        <v>0</v>
      </c>
      <c r="AJ248" s="128">
        <v>0</v>
      </c>
      <c r="AK248" s="128">
        <v>0</v>
      </c>
      <c r="AL248" s="128">
        <v>0</v>
      </c>
      <c r="AM248" s="128">
        <v>0</v>
      </c>
      <c r="AN248" s="128">
        <v>0</v>
      </c>
      <c r="AO248" s="128">
        <v>0</v>
      </c>
      <c r="AP248" s="128">
        <v>0</v>
      </c>
      <c r="AQ248" s="128">
        <v>0</v>
      </c>
      <c r="AR248" s="128">
        <v>0</v>
      </c>
      <c r="AS248" s="128">
        <v>0</v>
      </c>
      <c r="AT248" s="128">
        <v>0</v>
      </c>
      <c r="AU248" s="128">
        <v>0</v>
      </c>
      <c r="AV248" s="128">
        <v>0</v>
      </c>
      <c r="AW248" s="128">
        <v>0</v>
      </c>
      <c r="AX248" s="128">
        <v>0</v>
      </c>
      <c r="AY248" s="128">
        <v>0</v>
      </c>
    </row>
    <row r="249" spans="1:51" x14ac:dyDescent="0.2">
      <c r="A249" s="127"/>
      <c r="B249" s="147">
        <v>41</v>
      </c>
      <c r="C249" s="124">
        <v>0</v>
      </c>
      <c r="D249" s="128">
        <v>0</v>
      </c>
      <c r="E249" s="128">
        <v>0</v>
      </c>
      <c r="F249" s="128">
        <v>0</v>
      </c>
      <c r="G249" s="128">
        <v>0</v>
      </c>
      <c r="H249" s="128">
        <v>0</v>
      </c>
      <c r="I249" s="128">
        <v>0</v>
      </c>
      <c r="J249" s="128">
        <v>0</v>
      </c>
      <c r="K249" s="128">
        <v>0</v>
      </c>
      <c r="L249" s="128">
        <v>0</v>
      </c>
      <c r="M249" s="128">
        <v>0</v>
      </c>
      <c r="N249" s="128">
        <v>0</v>
      </c>
      <c r="O249" s="128">
        <v>0</v>
      </c>
      <c r="P249" s="128">
        <v>0</v>
      </c>
      <c r="Q249" s="128">
        <v>0</v>
      </c>
      <c r="R249" s="128">
        <v>0</v>
      </c>
      <c r="S249" s="128">
        <v>0</v>
      </c>
      <c r="T249" s="128">
        <v>0</v>
      </c>
      <c r="U249" s="128">
        <v>0</v>
      </c>
      <c r="V249" s="128">
        <v>0</v>
      </c>
      <c r="W249" s="128">
        <v>0</v>
      </c>
      <c r="X249" s="128">
        <v>0</v>
      </c>
      <c r="Y249" s="128">
        <v>0</v>
      </c>
      <c r="Z249" s="128">
        <v>0</v>
      </c>
      <c r="AA249" s="128">
        <v>0</v>
      </c>
      <c r="AB249" s="128">
        <v>0</v>
      </c>
      <c r="AC249" s="128">
        <v>0</v>
      </c>
      <c r="AD249" s="128">
        <v>0</v>
      </c>
      <c r="AE249" s="128">
        <v>0</v>
      </c>
      <c r="AF249" s="128">
        <v>0</v>
      </c>
      <c r="AG249" s="128">
        <v>0</v>
      </c>
      <c r="AH249" s="128">
        <v>0</v>
      </c>
      <c r="AI249" s="128">
        <v>0</v>
      </c>
      <c r="AJ249" s="128">
        <v>0</v>
      </c>
      <c r="AK249" s="128">
        <v>0</v>
      </c>
      <c r="AL249" s="128">
        <v>0</v>
      </c>
      <c r="AM249" s="128">
        <v>0</v>
      </c>
      <c r="AN249" s="128">
        <v>0</v>
      </c>
      <c r="AO249" s="128">
        <v>0</v>
      </c>
      <c r="AP249" s="128">
        <v>0</v>
      </c>
      <c r="AQ249" s="128">
        <v>0</v>
      </c>
      <c r="AR249" s="128">
        <v>0</v>
      </c>
      <c r="AS249" s="128">
        <v>0</v>
      </c>
      <c r="AT249" s="128">
        <v>0</v>
      </c>
      <c r="AU249" s="128">
        <v>0</v>
      </c>
      <c r="AV249" s="128">
        <v>0</v>
      </c>
      <c r="AW249" s="128">
        <v>0</v>
      </c>
      <c r="AX249" s="128">
        <v>0</v>
      </c>
      <c r="AY249" s="128">
        <v>0</v>
      </c>
    </row>
    <row r="250" spans="1:51" x14ac:dyDescent="0.2">
      <c r="A250" s="127"/>
      <c r="B250" s="147">
        <v>42</v>
      </c>
      <c r="C250" s="124">
        <v>0</v>
      </c>
      <c r="D250" s="128">
        <v>0</v>
      </c>
      <c r="E250" s="128">
        <v>0</v>
      </c>
      <c r="F250" s="128">
        <v>0</v>
      </c>
      <c r="G250" s="128">
        <v>0</v>
      </c>
      <c r="H250" s="128">
        <v>0</v>
      </c>
      <c r="I250" s="128">
        <v>0</v>
      </c>
      <c r="J250" s="128">
        <v>0</v>
      </c>
      <c r="K250" s="128">
        <v>0</v>
      </c>
      <c r="L250" s="128">
        <v>0</v>
      </c>
      <c r="M250" s="128">
        <v>0</v>
      </c>
      <c r="N250" s="128">
        <v>0</v>
      </c>
      <c r="O250" s="128">
        <v>0</v>
      </c>
      <c r="P250" s="128">
        <v>0</v>
      </c>
      <c r="Q250" s="128">
        <v>0</v>
      </c>
      <c r="R250" s="128">
        <v>0</v>
      </c>
      <c r="S250" s="128">
        <v>0</v>
      </c>
      <c r="T250" s="128">
        <v>0</v>
      </c>
      <c r="U250" s="128">
        <v>0</v>
      </c>
      <c r="V250" s="128">
        <v>0</v>
      </c>
      <c r="W250" s="128">
        <v>0</v>
      </c>
      <c r="X250" s="128">
        <v>0</v>
      </c>
      <c r="Y250" s="128">
        <v>0</v>
      </c>
      <c r="Z250" s="128">
        <v>0</v>
      </c>
      <c r="AA250" s="128">
        <v>0</v>
      </c>
      <c r="AB250" s="128">
        <v>0</v>
      </c>
      <c r="AC250" s="128">
        <v>0</v>
      </c>
      <c r="AD250" s="128">
        <v>0</v>
      </c>
      <c r="AE250" s="128">
        <v>0</v>
      </c>
      <c r="AF250" s="128">
        <v>0</v>
      </c>
      <c r="AG250" s="128">
        <v>0</v>
      </c>
      <c r="AH250" s="128">
        <v>0</v>
      </c>
      <c r="AI250" s="128">
        <v>0</v>
      </c>
      <c r="AJ250" s="128">
        <v>0</v>
      </c>
      <c r="AK250" s="128">
        <v>0</v>
      </c>
      <c r="AL250" s="128">
        <v>0</v>
      </c>
      <c r="AM250" s="128">
        <v>0</v>
      </c>
      <c r="AN250" s="128">
        <v>0</v>
      </c>
      <c r="AO250" s="128">
        <v>0</v>
      </c>
      <c r="AP250" s="128">
        <v>0</v>
      </c>
      <c r="AQ250" s="128">
        <v>0</v>
      </c>
      <c r="AR250" s="128">
        <v>0</v>
      </c>
      <c r="AS250" s="128">
        <v>0</v>
      </c>
      <c r="AT250" s="128">
        <v>0</v>
      </c>
      <c r="AU250" s="128">
        <v>0</v>
      </c>
      <c r="AV250" s="128">
        <v>0</v>
      </c>
      <c r="AW250" s="128">
        <v>0</v>
      </c>
      <c r="AX250" s="128">
        <v>0</v>
      </c>
      <c r="AY250" s="128">
        <v>0</v>
      </c>
    </row>
    <row r="251" spans="1:51" x14ac:dyDescent="0.2">
      <c r="A251" s="127"/>
      <c r="B251" s="147">
        <v>43</v>
      </c>
      <c r="C251" s="124">
        <v>0</v>
      </c>
      <c r="D251" s="128">
        <v>0</v>
      </c>
      <c r="E251" s="128">
        <v>0</v>
      </c>
      <c r="F251" s="128">
        <v>0</v>
      </c>
      <c r="G251" s="128">
        <v>0</v>
      </c>
      <c r="H251" s="128">
        <v>0</v>
      </c>
      <c r="I251" s="128">
        <v>0</v>
      </c>
      <c r="J251" s="128">
        <v>0</v>
      </c>
      <c r="K251" s="128">
        <v>0</v>
      </c>
      <c r="L251" s="128">
        <v>0</v>
      </c>
      <c r="M251" s="128">
        <v>0</v>
      </c>
      <c r="N251" s="128">
        <v>0</v>
      </c>
      <c r="O251" s="128">
        <v>0</v>
      </c>
      <c r="P251" s="128">
        <v>0</v>
      </c>
      <c r="Q251" s="128">
        <v>0</v>
      </c>
      <c r="R251" s="128">
        <v>0</v>
      </c>
      <c r="S251" s="128">
        <v>0</v>
      </c>
      <c r="T251" s="128">
        <v>0</v>
      </c>
      <c r="U251" s="128">
        <v>0</v>
      </c>
      <c r="V251" s="128">
        <v>0</v>
      </c>
      <c r="W251" s="128">
        <v>0</v>
      </c>
      <c r="X251" s="128">
        <v>0</v>
      </c>
      <c r="Y251" s="128">
        <v>0</v>
      </c>
      <c r="Z251" s="128">
        <v>0</v>
      </c>
      <c r="AA251" s="128">
        <v>0</v>
      </c>
      <c r="AB251" s="128">
        <v>0</v>
      </c>
      <c r="AC251" s="128">
        <v>0</v>
      </c>
      <c r="AD251" s="128">
        <v>0</v>
      </c>
      <c r="AE251" s="128">
        <v>0</v>
      </c>
      <c r="AF251" s="128">
        <v>0</v>
      </c>
      <c r="AG251" s="128">
        <v>0</v>
      </c>
      <c r="AH251" s="128">
        <v>0</v>
      </c>
      <c r="AI251" s="128">
        <v>0</v>
      </c>
      <c r="AJ251" s="128">
        <v>0</v>
      </c>
      <c r="AK251" s="128">
        <v>0</v>
      </c>
      <c r="AL251" s="128">
        <v>0</v>
      </c>
      <c r="AM251" s="128">
        <v>0</v>
      </c>
      <c r="AN251" s="128">
        <v>0</v>
      </c>
      <c r="AO251" s="128">
        <v>0</v>
      </c>
      <c r="AP251" s="128">
        <v>0</v>
      </c>
      <c r="AQ251" s="128">
        <v>0</v>
      </c>
      <c r="AR251" s="128">
        <v>0</v>
      </c>
      <c r="AS251" s="128">
        <v>0</v>
      </c>
      <c r="AT251" s="128">
        <v>0</v>
      </c>
      <c r="AU251" s="128">
        <v>0</v>
      </c>
      <c r="AV251" s="128">
        <v>0</v>
      </c>
      <c r="AW251" s="128">
        <v>0</v>
      </c>
      <c r="AX251" s="128">
        <v>0</v>
      </c>
      <c r="AY251" s="128">
        <v>0</v>
      </c>
    </row>
    <row r="252" spans="1:51" x14ac:dyDescent="0.2">
      <c r="A252" s="127"/>
      <c r="B252" s="147">
        <v>44</v>
      </c>
      <c r="C252" s="124">
        <v>0</v>
      </c>
      <c r="D252" s="128">
        <v>0</v>
      </c>
      <c r="E252" s="128">
        <v>0</v>
      </c>
      <c r="F252" s="128">
        <v>0</v>
      </c>
      <c r="G252" s="128">
        <v>0</v>
      </c>
      <c r="H252" s="128">
        <v>0</v>
      </c>
      <c r="I252" s="128">
        <v>0</v>
      </c>
      <c r="J252" s="128">
        <v>0</v>
      </c>
      <c r="K252" s="128">
        <v>0</v>
      </c>
      <c r="L252" s="128">
        <v>0</v>
      </c>
      <c r="M252" s="128">
        <v>0</v>
      </c>
      <c r="N252" s="128">
        <v>0</v>
      </c>
      <c r="O252" s="128">
        <v>0</v>
      </c>
      <c r="P252" s="128">
        <v>0</v>
      </c>
      <c r="Q252" s="128">
        <v>0</v>
      </c>
      <c r="R252" s="128">
        <v>0</v>
      </c>
      <c r="S252" s="128">
        <v>0</v>
      </c>
      <c r="T252" s="128">
        <v>0</v>
      </c>
      <c r="U252" s="128">
        <v>0</v>
      </c>
      <c r="V252" s="128">
        <v>0</v>
      </c>
      <c r="W252" s="128">
        <v>0</v>
      </c>
      <c r="X252" s="128">
        <v>0</v>
      </c>
      <c r="Y252" s="128">
        <v>0</v>
      </c>
      <c r="Z252" s="128">
        <v>0</v>
      </c>
      <c r="AA252" s="128">
        <v>0</v>
      </c>
      <c r="AB252" s="128">
        <v>0</v>
      </c>
      <c r="AC252" s="128">
        <v>0</v>
      </c>
      <c r="AD252" s="128">
        <v>0</v>
      </c>
      <c r="AE252" s="128">
        <v>0</v>
      </c>
      <c r="AF252" s="128">
        <v>0</v>
      </c>
      <c r="AG252" s="128">
        <v>0</v>
      </c>
      <c r="AH252" s="128">
        <v>0</v>
      </c>
      <c r="AI252" s="128">
        <v>0</v>
      </c>
      <c r="AJ252" s="128">
        <v>0</v>
      </c>
      <c r="AK252" s="128">
        <v>0</v>
      </c>
      <c r="AL252" s="128">
        <v>0</v>
      </c>
      <c r="AM252" s="128">
        <v>0</v>
      </c>
      <c r="AN252" s="128">
        <v>0</v>
      </c>
      <c r="AO252" s="128">
        <v>0</v>
      </c>
      <c r="AP252" s="128">
        <v>0</v>
      </c>
      <c r="AQ252" s="128">
        <v>0</v>
      </c>
      <c r="AR252" s="128">
        <v>0</v>
      </c>
      <c r="AS252" s="128">
        <v>0</v>
      </c>
      <c r="AT252" s="128">
        <v>0</v>
      </c>
      <c r="AU252" s="128">
        <v>0</v>
      </c>
      <c r="AV252" s="128">
        <v>0</v>
      </c>
      <c r="AW252" s="128">
        <v>0</v>
      </c>
      <c r="AX252" s="128">
        <v>0</v>
      </c>
      <c r="AY252" s="128">
        <v>0</v>
      </c>
    </row>
    <row r="253" spans="1:51" x14ac:dyDescent="0.2">
      <c r="A253" s="127"/>
      <c r="B253" s="147">
        <v>45</v>
      </c>
      <c r="C253" s="124">
        <v>0</v>
      </c>
      <c r="D253" s="128">
        <v>0</v>
      </c>
      <c r="E253" s="128">
        <v>0</v>
      </c>
      <c r="F253" s="128">
        <v>0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8">
        <v>0</v>
      </c>
      <c r="M253" s="128">
        <v>0</v>
      </c>
      <c r="N253" s="128">
        <v>0</v>
      </c>
      <c r="O253" s="128">
        <v>0</v>
      </c>
      <c r="P253" s="128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8">
        <v>0</v>
      </c>
      <c r="W253" s="128">
        <v>0</v>
      </c>
      <c r="X253" s="128">
        <v>0</v>
      </c>
      <c r="Y253" s="128">
        <v>0</v>
      </c>
      <c r="Z253" s="128">
        <v>0</v>
      </c>
      <c r="AA253" s="128">
        <v>0</v>
      </c>
      <c r="AB253" s="128">
        <v>0</v>
      </c>
      <c r="AC253" s="128">
        <v>0</v>
      </c>
      <c r="AD253" s="128">
        <v>0</v>
      </c>
      <c r="AE253" s="128">
        <v>0</v>
      </c>
      <c r="AF253" s="128">
        <v>0</v>
      </c>
      <c r="AG253" s="128">
        <v>0</v>
      </c>
      <c r="AH253" s="128">
        <v>0</v>
      </c>
      <c r="AI253" s="128">
        <v>0</v>
      </c>
      <c r="AJ253" s="128">
        <v>0</v>
      </c>
      <c r="AK253" s="128">
        <v>0</v>
      </c>
      <c r="AL253" s="128">
        <v>0</v>
      </c>
      <c r="AM253" s="128">
        <v>0</v>
      </c>
      <c r="AN253" s="128">
        <v>0</v>
      </c>
      <c r="AO253" s="128">
        <v>0</v>
      </c>
      <c r="AP253" s="128">
        <v>0</v>
      </c>
      <c r="AQ253" s="128">
        <v>0</v>
      </c>
      <c r="AR253" s="128">
        <v>0</v>
      </c>
      <c r="AS253" s="128">
        <v>0</v>
      </c>
      <c r="AT253" s="128">
        <v>0</v>
      </c>
      <c r="AU253" s="128">
        <v>0</v>
      </c>
      <c r="AV253" s="128">
        <v>0</v>
      </c>
      <c r="AW253" s="128">
        <v>0</v>
      </c>
      <c r="AX253" s="128">
        <v>0</v>
      </c>
      <c r="AY253" s="128">
        <v>0</v>
      </c>
    </row>
    <row r="254" spans="1:51" x14ac:dyDescent="0.2">
      <c r="A254" s="127"/>
      <c r="B254" s="147">
        <v>46</v>
      </c>
      <c r="C254" s="124">
        <v>0</v>
      </c>
      <c r="D254" s="128">
        <v>0</v>
      </c>
      <c r="E254" s="128">
        <v>0</v>
      </c>
      <c r="F254" s="128">
        <v>0</v>
      </c>
      <c r="G254" s="128">
        <v>0</v>
      </c>
      <c r="H254" s="128">
        <v>0</v>
      </c>
      <c r="I254" s="128">
        <v>0</v>
      </c>
      <c r="J254" s="128">
        <v>0</v>
      </c>
      <c r="K254" s="128">
        <v>0</v>
      </c>
      <c r="L254" s="128">
        <v>0</v>
      </c>
      <c r="M254" s="128">
        <v>0</v>
      </c>
      <c r="N254" s="128">
        <v>0</v>
      </c>
      <c r="O254" s="128">
        <v>0</v>
      </c>
      <c r="P254" s="128">
        <v>0</v>
      </c>
      <c r="Q254" s="128">
        <v>0</v>
      </c>
      <c r="R254" s="128">
        <v>0</v>
      </c>
      <c r="S254" s="128">
        <v>0</v>
      </c>
      <c r="T254" s="128">
        <v>0</v>
      </c>
      <c r="U254" s="128">
        <v>0</v>
      </c>
      <c r="V254" s="128">
        <v>0</v>
      </c>
      <c r="W254" s="128">
        <v>0</v>
      </c>
      <c r="X254" s="128">
        <v>0</v>
      </c>
      <c r="Y254" s="128">
        <v>0</v>
      </c>
      <c r="Z254" s="128">
        <v>0</v>
      </c>
      <c r="AA254" s="128">
        <v>0</v>
      </c>
      <c r="AB254" s="128">
        <v>0</v>
      </c>
      <c r="AC254" s="128">
        <v>0</v>
      </c>
      <c r="AD254" s="128">
        <v>0</v>
      </c>
      <c r="AE254" s="128">
        <v>0</v>
      </c>
      <c r="AF254" s="128">
        <v>0</v>
      </c>
      <c r="AG254" s="128">
        <v>0</v>
      </c>
      <c r="AH254" s="128">
        <v>0</v>
      </c>
      <c r="AI254" s="128">
        <v>0</v>
      </c>
      <c r="AJ254" s="128">
        <v>0</v>
      </c>
      <c r="AK254" s="128">
        <v>0</v>
      </c>
      <c r="AL254" s="128">
        <v>0</v>
      </c>
      <c r="AM254" s="128">
        <v>0</v>
      </c>
      <c r="AN254" s="128">
        <v>0</v>
      </c>
      <c r="AO254" s="128">
        <v>0</v>
      </c>
      <c r="AP254" s="128">
        <v>0</v>
      </c>
      <c r="AQ254" s="128">
        <v>0</v>
      </c>
      <c r="AR254" s="128">
        <v>0</v>
      </c>
      <c r="AS254" s="128">
        <v>0</v>
      </c>
      <c r="AT254" s="128">
        <v>0</v>
      </c>
      <c r="AU254" s="128">
        <v>0</v>
      </c>
      <c r="AV254" s="128">
        <v>0</v>
      </c>
      <c r="AW254" s="128">
        <v>0</v>
      </c>
      <c r="AX254" s="128">
        <v>0</v>
      </c>
      <c r="AY254" s="128">
        <v>0</v>
      </c>
    </row>
    <row r="255" spans="1:51" x14ac:dyDescent="0.2">
      <c r="A255" s="127"/>
      <c r="B255" s="147">
        <v>47</v>
      </c>
      <c r="C255" s="124">
        <v>0</v>
      </c>
      <c r="D255" s="128">
        <v>0</v>
      </c>
      <c r="E255" s="128">
        <v>0</v>
      </c>
      <c r="F255" s="128">
        <v>0</v>
      </c>
      <c r="G255" s="128">
        <v>0</v>
      </c>
      <c r="H255" s="128">
        <v>0</v>
      </c>
      <c r="I255" s="128">
        <v>0</v>
      </c>
      <c r="J255" s="128">
        <v>0</v>
      </c>
      <c r="K255" s="128">
        <v>0</v>
      </c>
      <c r="L255" s="128">
        <v>0</v>
      </c>
      <c r="M255" s="128">
        <v>0</v>
      </c>
      <c r="N255" s="128">
        <v>0</v>
      </c>
      <c r="O255" s="128">
        <v>0</v>
      </c>
      <c r="P255" s="128">
        <v>0</v>
      </c>
      <c r="Q255" s="128">
        <v>0</v>
      </c>
      <c r="R255" s="128">
        <v>0</v>
      </c>
      <c r="S255" s="128">
        <v>0</v>
      </c>
      <c r="T255" s="128">
        <v>0</v>
      </c>
      <c r="U255" s="128">
        <v>0</v>
      </c>
      <c r="V255" s="128">
        <v>0</v>
      </c>
      <c r="W255" s="128">
        <v>0</v>
      </c>
      <c r="X255" s="128">
        <v>0</v>
      </c>
      <c r="Y255" s="128">
        <v>0</v>
      </c>
      <c r="Z255" s="128">
        <v>0</v>
      </c>
      <c r="AA255" s="128">
        <v>0</v>
      </c>
      <c r="AB255" s="128">
        <v>0</v>
      </c>
      <c r="AC255" s="128">
        <v>0</v>
      </c>
      <c r="AD255" s="128">
        <v>0</v>
      </c>
      <c r="AE255" s="128">
        <v>0</v>
      </c>
      <c r="AF255" s="128">
        <v>0</v>
      </c>
      <c r="AG255" s="128">
        <v>0</v>
      </c>
      <c r="AH255" s="128">
        <v>0</v>
      </c>
      <c r="AI255" s="128">
        <v>0</v>
      </c>
      <c r="AJ255" s="128">
        <v>0</v>
      </c>
      <c r="AK255" s="128">
        <v>0</v>
      </c>
      <c r="AL255" s="128">
        <v>0</v>
      </c>
      <c r="AM255" s="128">
        <v>0</v>
      </c>
      <c r="AN255" s="128">
        <v>0</v>
      </c>
      <c r="AO255" s="128">
        <v>0</v>
      </c>
      <c r="AP255" s="128">
        <v>0</v>
      </c>
      <c r="AQ255" s="128">
        <v>0</v>
      </c>
      <c r="AR255" s="128">
        <v>0</v>
      </c>
      <c r="AS255" s="128">
        <v>0</v>
      </c>
      <c r="AT255" s="128">
        <v>0</v>
      </c>
      <c r="AU255" s="128">
        <v>0</v>
      </c>
      <c r="AV255" s="128">
        <v>0</v>
      </c>
      <c r="AW255" s="128">
        <v>0</v>
      </c>
      <c r="AX255" s="128">
        <v>0</v>
      </c>
      <c r="AY255" s="128">
        <v>0</v>
      </c>
    </row>
    <row r="256" spans="1:51" x14ac:dyDescent="0.2">
      <c r="A256" s="145"/>
      <c r="B256" s="146">
        <v>48</v>
      </c>
      <c r="C256" s="131">
        <v>0</v>
      </c>
      <c r="D256" s="142">
        <v>0</v>
      </c>
      <c r="E256" s="142">
        <v>0</v>
      </c>
      <c r="F256" s="142">
        <v>0</v>
      </c>
      <c r="G256" s="142">
        <v>0</v>
      </c>
      <c r="H256" s="142">
        <v>0</v>
      </c>
      <c r="I256" s="142">
        <v>0</v>
      </c>
      <c r="J256" s="142">
        <v>0</v>
      </c>
      <c r="K256" s="142">
        <v>0</v>
      </c>
      <c r="L256" s="142">
        <v>0</v>
      </c>
      <c r="M256" s="142">
        <v>0</v>
      </c>
      <c r="N256" s="142">
        <v>0</v>
      </c>
      <c r="O256" s="142">
        <v>0</v>
      </c>
      <c r="P256" s="142">
        <v>0</v>
      </c>
      <c r="Q256" s="142">
        <v>0</v>
      </c>
      <c r="R256" s="142">
        <v>0</v>
      </c>
      <c r="S256" s="142">
        <v>0</v>
      </c>
      <c r="T256" s="142">
        <v>0</v>
      </c>
      <c r="U256" s="142">
        <v>0</v>
      </c>
      <c r="V256" s="142">
        <v>0</v>
      </c>
      <c r="W256" s="142">
        <v>0</v>
      </c>
      <c r="X256" s="142">
        <v>0</v>
      </c>
      <c r="Y256" s="142">
        <v>0</v>
      </c>
      <c r="Z256" s="142">
        <v>0</v>
      </c>
      <c r="AA256" s="142">
        <v>0</v>
      </c>
      <c r="AB256" s="142">
        <v>0</v>
      </c>
      <c r="AC256" s="142">
        <v>0</v>
      </c>
      <c r="AD256" s="142">
        <v>0</v>
      </c>
      <c r="AE256" s="142">
        <v>0</v>
      </c>
      <c r="AF256" s="142">
        <v>0</v>
      </c>
      <c r="AG256" s="142">
        <v>0</v>
      </c>
      <c r="AH256" s="142">
        <v>0</v>
      </c>
      <c r="AI256" s="142">
        <v>0</v>
      </c>
      <c r="AJ256" s="142">
        <v>0</v>
      </c>
      <c r="AK256" s="142">
        <v>0</v>
      </c>
      <c r="AL256" s="142">
        <v>0</v>
      </c>
      <c r="AM256" s="142">
        <v>0</v>
      </c>
      <c r="AN256" s="142">
        <v>0</v>
      </c>
      <c r="AO256" s="142">
        <v>0</v>
      </c>
      <c r="AP256" s="142">
        <v>0</v>
      </c>
      <c r="AQ256" s="142">
        <v>0</v>
      </c>
      <c r="AR256" s="142">
        <v>0</v>
      </c>
      <c r="AS256" s="142">
        <v>0</v>
      </c>
      <c r="AT256" s="142">
        <v>0</v>
      </c>
      <c r="AU256" s="142">
        <v>0</v>
      </c>
      <c r="AV256" s="142">
        <v>0</v>
      </c>
      <c r="AW256" s="142">
        <v>0</v>
      </c>
      <c r="AX256" s="142">
        <v>0</v>
      </c>
      <c r="AY256" s="142">
        <v>0</v>
      </c>
    </row>
    <row r="258" spans="1:52" x14ac:dyDescent="0.2">
      <c r="A258" s="1" t="s">
        <v>301</v>
      </c>
    </row>
    <row r="259" spans="1:52" x14ac:dyDescent="0.2">
      <c r="A259" s="154" t="s">
        <v>124</v>
      </c>
      <c r="B259" s="155">
        <v>650</v>
      </c>
      <c r="C259" s="141" t="s">
        <v>293</v>
      </c>
      <c r="D259" s="141">
        <f>E$14*$B$259</f>
        <v>339108.01874552161</v>
      </c>
      <c r="E259" s="141">
        <f t="shared" ref="E259:AX259" si="5">F$14*$B$259</f>
        <v>418884.86960155307</v>
      </c>
      <c r="F259" s="141">
        <f t="shared" si="5"/>
        <v>382782.33043184329</v>
      </c>
      <c r="G259" s="141">
        <f t="shared" si="5"/>
        <v>354160.52525957028</v>
      </c>
      <c r="H259" s="141">
        <f t="shared" si="5"/>
        <v>344818.97992678778</v>
      </c>
      <c r="I259" s="141">
        <f t="shared" si="5"/>
        <v>308162.86809517728</v>
      </c>
      <c r="J259" s="141">
        <f t="shared" si="5"/>
        <v>308359.31530971144</v>
      </c>
      <c r="K259" s="141">
        <f t="shared" si="5"/>
        <v>304342.03679629631</v>
      </c>
      <c r="L259" s="141">
        <f t="shared" si="5"/>
        <v>284566.75789869745</v>
      </c>
      <c r="M259" s="141">
        <f t="shared" si="5"/>
        <v>292961.66250071418</v>
      </c>
      <c r="N259" s="141">
        <f t="shared" si="5"/>
        <v>285804.97158118652</v>
      </c>
      <c r="O259" s="141">
        <f t="shared" si="5"/>
        <v>284821.99771429464</v>
      </c>
      <c r="P259" s="141">
        <f t="shared" si="5"/>
        <v>261019.29035303276</v>
      </c>
      <c r="Q259" s="141">
        <f t="shared" si="5"/>
        <v>272068.3394720456</v>
      </c>
      <c r="R259" s="141">
        <f t="shared" si="5"/>
        <v>285240.62556569494</v>
      </c>
      <c r="S259" s="141">
        <f t="shared" si="5"/>
        <v>296274.93410165899</v>
      </c>
      <c r="T259" s="141">
        <f t="shared" si="5"/>
        <v>283465.80656077934</v>
      </c>
      <c r="U259" s="141">
        <f t="shared" si="5"/>
        <v>259864.29188995066</v>
      </c>
      <c r="V259" s="141">
        <f t="shared" si="5"/>
        <v>288690.71983670682</v>
      </c>
      <c r="W259" s="141">
        <f t="shared" si="5"/>
        <v>307882.75212076568</v>
      </c>
      <c r="X259" s="141">
        <f t="shared" si="5"/>
        <v>315349.20516026398</v>
      </c>
      <c r="Y259" s="141">
        <f t="shared" si="5"/>
        <v>279560.85473857407</v>
      </c>
      <c r="Z259" s="141">
        <f t="shared" si="5"/>
        <v>263802.32773285476</v>
      </c>
      <c r="AA259" s="141">
        <f t="shared" si="5"/>
        <v>256401.86198792199</v>
      </c>
      <c r="AB259" s="141">
        <f t="shared" si="5"/>
        <v>231293.38669868966</v>
      </c>
      <c r="AC259" s="141">
        <f t="shared" si="5"/>
        <v>242017.36932464171</v>
      </c>
      <c r="AD259" s="141">
        <f t="shared" si="5"/>
        <v>240439.03302835091</v>
      </c>
      <c r="AE259" s="141">
        <f t="shared" si="5"/>
        <v>228365.37095501975</v>
      </c>
      <c r="AF259" s="141">
        <f t="shared" si="5"/>
        <v>236115.09435906401</v>
      </c>
      <c r="AG259" s="141">
        <f t="shared" si="5"/>
        <v>264632.48848514509</v>
      </c>
      <c r="AH259" s="141">
        <f t="shared" si="5"/>
        <v>253637.45121764115</v>
      </c>
      <c r="AI259" s="141">
        <f t="shared" si="5"/>
        <v>247670.03454369603</v>
      </c>
      <c r="AJ259" s="141">
        <f t="shared" si="5"/>
        <v>225189.7352275509</v>
      </c>
      <c r="AK259" s="141">
        <f t="shared" si="5"/>
        <v>252381.49443067663</v>
      </c>
      <c r="AL259" s="141">
        <f t="shared" si="5"/>
        <v>230769.65912364225</v>
      </c>
      <c r="AM259" s="141">
        <f t="shared" si="5"/>
        <v>233858.51835834151</v>
      </c>
      <c r="AN259" s="141">
        <f t="shared" si="5"/>
        <v>242105.68045758767</v>
      </c>
      <c r="AO259" s="141">
        <f t="shared" si="5"/>
        <v>228353.1320775717</v>
      </c>
      <c r="AP259" s="141">
        <f t="shared" si="5"/>
        <v>232678.4403763923</v>
      </c>
      <c r="AQ259" s="141">
        <f t="shared" si="5"/>
        <v>214245.19863363518</v>
      </c>
      <c r="AR259" s="141">
        <f t="shared" si="5"/>
        <v>228224.34124315827</v>
      </c>
      <c r="AS259" s="141">
        <f t="shared" si="5"/>
        <v>263358.76797046233</v>
      </c>
      <c r="AT259" s="141">
        <f t="shared" si="5"/>
        <v>248114.58223265182</v>
      </c>
      <c r="AU259" s="141">
        <f t="shared" si="5"/>
        <v>269483.58990247396</v>
      </c>
      <c r="AV259" s="141">
        <f t="shared" si="5"/>
        <v>255628.32205677027</v>
      </c>
      <c r="AW259" s="141">
        <f t="shared" si="5"/>
        <v>260359.11601467925</v>
      </c>
      <c r="AX259" s="141">
        <f t="shared" si="5"/>
        <v>250980.19942399167</v>
      </c>
      <c r="AY259" s="141">
        <f>AZ$14*$B$259</f>
        <v>248313.81518622243</v>
      </c>
      <c r="AZ259" s="156">
        <f>SUM($D259:$AY259)</f>
        <v>13106610.164709661</v>
      </c>
    </row>
    <row r="260" spans="1:52" x14ac:dyDescent="0.2">
      <c r="A260" s="157" t="s">
        <v>302</v>
      </c>
      <c r="B260" s="131">
        <v>60</v>
      </c>
      <c r="C260" s="142" t="s">
        <v>293</v>
      </c>
      <c r="D260" s="142">
        <f>(D$175-D$176+D$177-D$178+D$179-D$180+D$181-D$182)*$B$260</f>
        <v>1301113.7075702068</v>
      </c>
      <c r="E260" s="142">
        <f t="shared" ref="E260:AY260" si="6">(E$175-E$176+E$177-E$178+E$179-E$180+E$181-E$182)*$B$260</f>
        <v>1168966.0648464847</v>
      </c>
      <c r="F260" s="142">
        <f t="shared" si="6"/>
        <v>1046570.7724541043</v>
      </c>
      <c r="G260" s="142">
        <f t="shared" si="6"/>
        <v>922975.63068589254</v>
      </c>
      <c r="H260" s="142">
        <f t="shared" si="6"/>
        <v>887908.54215716361</v>
      </c>
      <c r="I260" s="142">
        <f t="shared" si="6"/>
        <v>883816.77691016905</v>
      </c>
      <c r="J260" s="142">
        <f t="shared" si="6"/>
        <v>854090.20736863639</v>
      </c>
      <c r="K260" s="142">
        <f t="shared" si="6"/>
        <v>831807.54064475384</v>
      </c>
      <c r="L260" s="142">
        <f t="shared" si="6"/>
        <v>848944.55332756334</v>
      </c>
      <c r="M260" s="142">
        <f t="shared" si="6"/>
        <v>825440.40960748913</v>
      </c>
      <c r="N260" s="142">
        <f t="shared" si="6"/>
        <v>808901.23185642425</v>
      </c>
      <c r="O260" s="142">
        <f t="shared" si="6"/>
        <v>782925.95010872767</v>
      </c>
      <c r="P260" s="142">
        <f t="shared" si="6"/>
        <v>778061.26673081866</v>
      </c>
      <c r="Q260" s="142">
        <f t="shared" si="6"/>
        <v>760399.33977166342</v>
      </c>
      <c r="R260" s="142">
        <f t="shared" si="6"/>
        <v>748917.03656884446</v>
      </c>
      <c r="S260" s="142">
        <f t="shared" si="6"/>
        <v>744057.96402164141</v>
      </c>
      <c r="T260" s="142">
        <f t="shared" si="6"/>
        <v>731189.98904552148</v>
      </c>
      <c r="U260" s="142">
        <f t="shared" si="6"/>
        <v>735858.32389807433</v>
      </c>
      <c r="V260" s="142">
        <f t="shared" si="6"/>
        <v>731042.53741196578</v>
      </c>
      <c r="W260" s="142">
        <f t="shared" si="6"/>
        <v>736404.75555522996</v>
      </c>
      <c r="X260" s="142">
        <f t="shared" si="6"/>
        <v>713515.44595344574</v>
      </c>
      <c r="Y260" s="142">
        <f t="shared" si="6"/>
        <v>698973.1859536462</v>
      </c>
      <c r="Z260" s="142">
        <f t="shared" si="6"/>
        <v>691132.49960690527</v>
      </c>
      <c r="AA260" s="142">
        <f t="shared" si="6"/>
        <v>673229.35730365943</v>
      </c>
      <c r="AB260" s="142">
        <f t="shared" si="6"/>
        <v>673468.88916376419</v>
      </c>
      <c r="AC260" s="142">
        <f t="shared" si="6"/>
        <v>657854.25012833148</v>
      </c>
      <c r="AD260" s="142">
        <f t="shared" si="6"/>
        <v>626420.00629918964</v>
      </c>
      <c r="AE260" s="142">
        <f t="shared" si="6"/>
        <v>624900.9966139599</v>
      </c>
      <c r="AF260" s="142">
        <f t="shared" si="6"/>
        <v>621074.43695168733</v>
      </c>
      <c r="AG260" s="142">
        <f t="shared" si="6"/>
        <v>603386.74250047235</v>
      </c>
      <c r="AH260" s="142">
        <f t="shared" si="6"/>
        <v>588584.14472134714</v>
      </c>
      <c r="AI260" s="142">
        <f t="shared" si="6"/>
        <v>570480.29671235348</v>
      </c>
      <c r="AJ260" s="142">
        <f t="shared" si="6"/>
        <v>553527.28352357331</v>
      </c>
      <c r="AK260" s="142">
        <f t="shared" si="6"/>
        <v>515039.16674992541</v>
      </c>
      <c r="AL260" s="142">
        <f t="shared" si="6"/>
        <v>512600.60382472991</v>
      </c>
      <c r="AM260" s="142">
        <f t="shared" si="6"/>
        <v>508419.61304430634</v>
      </c>
      <c r="AN260" s="142">
        <f t="shared" si="6"/>
        <v>501112.78076898149</v>
      </c>
      <c r="AO260" s="142">
        <f t="shared" si="6"/>
        <v>521540.17869443801</v>
      </c>
      <c r="AP260" s="142">
        <f t="shared" si="6"/>
        <v>494135.23731426051</v>
      </c>
      <c r="AQ260" s="142">
        <f t="shared" si="6"/>
        <v>493437.4013882748</v>
      </c>
      <c r="AR260" s="142">
        <f t="shared" si="6"/>
        <v>475518.1709763892</v>
      </c>
      <c r="AS260" s="142">
        <f t="shared" si="6"/>
        <v>461351.86859953107</v>
      </c>
      <c r="AT260" s="142">
        <f t="shared" si="6"/>
        <v>418137.0602007836</v>
      </c>
      <c r="AU260" s="142">
        <f t="shared" si="6"/>
        <v>403439.60910813091</v>
      </c>
      <c r="AV260" s="142">
        <f t="shared" si="6"/>
        <v>391012.32560881122</v>
      </c>
      <c r="AW260" s="142">
        <f t="shared" si="6"/>
        <v>366358.13437978632</v>
      </c>
      <c r="AX260" s="142">
        <f t="shared" si="6"/>
        <v>403439.66659304948</v>
      </c>
      <c r="AY260" s="142">
        <f t="shared" si="6"/>
        <v>400041.25457888847</v>
      </c>
      <c r="AZ260" s="158">
        <f>SUM($D260:$AY260)</f>
        <v>32291523.207804009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25" t="s">
        <v>59</v>
      </c>
    </row>
    <row r="3" spans="1:53" x14ac:dyDescent="0.2">
      <c r="A3" t="s">
        <v>286</v>
      </c>
      <c r="B3" s="126">
        <v>43000</v>
      </c>
      <c r="C3" s="127"/>
    </row>
    <row r="4" spans="1:53" x14ac:dyDescent="0.2">
      <c r="B4" s="128"/>
      <c r="C4" s="128"/>
    </row>
    <row r="5" spans="1:53" x14ac:dyDescent="0.2">
      <c r="C5" s="9" t="s">
        <v>287</v>
      </c>
    </row>
    <row r="6" spans="1:53" x14ac:dyDescent="0.2">
      <c r="C6" s="129">
        <v>0</v>
      </c>
      <c r="D6" s="129">
        <v>1</v>
      </c>
      <c r="E6" s="129">
        <v>2</v>
      </c>
      <c r="F6" s="129">
        <v>3</v>
      </c>
      <c r="G6" s="129">
        <v>4</v>
      </c>
      <c r="H6" s="129">
        <v>5</v>
      </c>
      <c r="I6" s="129">
        <v>6</v>
      </c>
      <c r="J6" s="129">
        <v>7</v>
      </c>
      <c r="K6" s="129">
        <v>8</v>
      </c>
      <c r="L6" s="129">
        <v>9</v>
      </c>
      <c r="M6" s="129">
        <v>10</v>
      </c>
      <c r="N6" s="129">
        <v>11</v>
      </c>
      <c r="O6" s="129">
        <v>12</v>
      </c>
      <c r="P6" s="129">
        <v>13</v>
      </c>
      <c r="Q6" s="129">
        <v>14</v>
      </c>
      <c r="R6" s="129">
        <v>15</v>
      </c>
      <c r="S6" s="129">
        <v>16</v>
      </c>
      <c r="T6" s="129">
        <v>17</v>
      </c>
      <c r="U6" s="129">
        <v>18</v>
      </c>
      <c r="V6" s="129">
        <v>19</v>
      </c>
      <c r="W6" s="129">
        <v>20</v>
      </c>
      <c r="X6" s="129">
        <v>21</v>
      </c>
      <c r="Y6" s="129">
        <v>22</v>
      </c>
      <c r="Z6" s="129">
        <v>23</v>
      </c>
      <c r="AA6" s="129">
        <v>24</v>
      </c>
      <c r="AB6" s="129">
        <v>25</v>
      </c>
      <c r="AC6" s="129">
        <v>26</v>
      </c>
      <c r="AD6" s="129">
        <v>27</v>
      </c>
      <c r="AE6" s="129">
        <v>28</v>
      </c>
      <c r="AF6" s="129">
        <v>29</v>
      </c>
      <c r="AG6" s="129">
        <v>30</v>
      </c>
      <c r="AH6" s="129">
        <v>31</v>
      </c>
      <c r="AI6" s="129">
        <v>32</v>
      </c>
      <c r="AJ6" s="129">
        <v>33</v>
      </c>
      <c r="AK6" s="129">
        <v>34</v>
      </c>
      <c r="AL6" s="129">
        <v>35</v>
      </c>
      <c r="AM6" s="129">
        <v>36</v>
      </c>
      <c r="AN6" s="129">
        <v>37</v>
      </c>
      <c r="AO6" s="129">
        <v>38</v>
      </c>
      <c r="AP6" s="129">
        <v>39</v>
      </c>
      <c r="AQ6" s="129">
        <v>40</v>
      </c>
      <c r="AR6" s="129">
        <v>41</v>
      </c>
      <c r="AS6" s="129">
        <v>42</v>
      </c>
      <c r="AT6" s="129">
        <v>43</v>
      </c>
      <c r="AU6" s="129">
        <v>44</v>
      </c>
      <c r="AV6" s="129">
        <v>45</v>
      </c>
      <c r="AW6" s="129">
        <v>46</v>
      </c>
      <c r="AX6" s="129">
        <v>47</v>
      </c>
      <c r="AY6" s="129">
        <v>48</v>
      </c>
    </row>
    <row r="7" spans="1:53" x14ac:dyDescent="0.2">
      <c r="B7" s="128"/>
      <c r="C7" s="130" t="s">
        <v>288</v>
      </c>
      <c r="D7" s="129" t="s">
        <v>289</v>
      </c>
      <c r="E7" s="129" t="s">
        <v>289</v>
      </c>
      <c r="F7" s="129" t="s">
        <v>289</v>
      </c>
      <c r="G7" s="129" t="s">
        <v>289</v>
      </c>
      <c r="H7" s="129" t="s">
        <v>289</v>
      </c>
      <c r="I7" s="129" t="s">
        <v>289</v>
      </c>
      <c r="J7" s="129" t="s">
        <v>289</v>
      </c>
      <c r="K7" s="129" t="s">
        <v>289</v>
      </c>
      <c r="L7" s="129" t="s">
        <v>289</v>
      </c>
      <c r="M7" s="129" t="s">
        <v>289</v>
      </c>
      <c r="N7" s="129" t="s">
        <v>289</v>
      </c>
      <c r="O7" s="129" t="s">
        <v>289</v>
      </c>
      <c r="P7" s="129" t="s">
        <v>289</v>
      </c>
      <c r="Q7" s="129" t="s">
        <v>289</v>
      </c>
      <c r="R7" s="129" t="s">
        <v>289</v>
      </c>
      <c r="S7" s="129" t="s">
        <v>289</v>
      </c>
      <c r="T7" s="129" t="s">
        <v>289</v>
      </c>
      <c r="U7" s="129" t="s">
        <v>289</v>
      </c>
      <c r="V7" s="129" t="s">
        <v>289</v>
      </c>
      <c r="W7" s="129" t="s">
        <v>289</v>
      </c>
      <c r="X7" s="129" t="s">
        <v>289</v>
      </c>
      <c r="Y7" s="129" t="s">
        <v>289</v>
      </c>
      <c r="Z7" s="129" t="s">
        <v>289</v>
      </c>
      <c r="AA7" s="129" t="s">
        <v>289</v>
      </c>
      <c r="AB7" s="129" t="s">
        <v>289</v>
      </c>
      <c r="AC7" s="129" t="s">
        <v>289</v>
      </c>
      <c r="AD7" s="129" t="s">
        <v>289</v>
      </c>
      <c r="AE7" s="129" t="s">
        <v>289</v>
      </c>
      <c r="AF7" s="129" t="s">
        <v>289</v>
      </c>
      <c r="AG7" s="129" t="s">
        <v>289</v>
      </c>
      <c r="AH7" s="129" t="s">
        <v>289</v>
      </c>
      <c r="AI7" s="129" t="s">
        <v>289</v>
      </c>
      <c r="AJ7" s="129" t="s">
        <v>289</v>
      </c>
      <c r="AK7" s="129" t="s">
        <v>289</v>
      </c>
      <c r="AL7" s="129" t="s">
        <v>289</v>
      </c>
      <c r="AM7" s="129" t="s">
        <v>289</v>
      </c>
      <c r="AN7" s="129" t="s">
        <v>289</v>
      </c>
      <c r="AO7" s="129" t="s">
        <v>289</v>
      </c>
      <c r="AP7" s="129" t="s">
        <v>289</v>
      </c>
      <c r="AQ7" s="129" t="s">
        <v>289</v>
      </c>
      <c r="AR7" s="129" t="s">
        <v>289</v>
      </c>
      <c r="AS7" s="129" t="s">
        <v>289</v>
      </c>
      <c r="AT7" s="129" t="s">
        <v>289</v>
      </c>
      <c r="AU7" s="129" t="s">
        <v>289</v>
      </c>
      <c r="AV7" s="129" t="s">
        <v>289</v>
      </c>
      <c r="AW7" s="129" t="s">
        <v>289</v>
      </c>
      <c r="AX7" s="129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31"/>
      <c r="AY8" s="128"/>
    </row>
    <row r="9" spans="1:53" x14ac:dyDescent="0.2">
      <c r="A9" s="132" t="s">
        <v>125</v>
      </c>
      <c r="B9" s="133">
        <v>1</v>
      </c>
      <c r="C9" s="134" t="s">
        <v>293</v>
      </c>
      <c r="D9" s="134">
        <v>2336.8442039992569</v>
      </c>
      <c r="E9" s="134">
        <v>2339.4804754533302</v>
      </c>
      <c r="F9" s="134">
        <v>2982.4620321094917</v>
      </c>
      <c r="G9" s="134">
        <v>2982.4620321094917</v>
      </c>
      <c r="H9" s="134">
        <v>1437.3710020406625</v>
      </c>
      <c r="I9" s="134">
        <v>2982.4620321094917</v>
      </c>
      <c r="J9" s="134">
        <v>2982.4620321094917</v>
      </c>
      <c r="K9" s="134">
        <v>2982.4620321094917</v>
      </c>
      <c r="L9" s="134">
        <v>2982.4620321094917</v>
      </c>
      <c r="M9" s="134">
        <v>2982.4620321094917</v>
      </c>
      <c r="N9" s="134">
        <v>2982.4620321094917</v>
      </c>
      <c r="O9" s="134">
        <v>2982.4620321094917</v>
      </c>
      <c r="P9" s="134">
        <v>2982.4620321094917</v>
      </c>
      <c r="Q9" s="134">
        <v>2982.4620321094917</v>
      </c>
      <c r="R9" s="134">
        <v>2982.4620321094917</v>
      </c>
      <c r="S9" s="134">
        <v>2982.4620321094917</v>
      </c>
      <c r="T9" s="134">
        <v>2982.4620321094917</v>
      </c>
      <c r="U9" s="134">
        <v>2982.4620321094917</v>
      </c>
      <c r="V9" s="134">
        <v>2982.4620321094917</v>
      </c>
      <c r="W9" s="134">
        <v>2982.4620321094917</v>
      </c>
      <c r="X9" s="134">
        <v>2982.4620321094917</v>
      </c>
      <c r="Y9" s="134">
        <v>2982.4620321094917</v>
      </c>
      <c r="Z9" s="134">
        <v>2982.4620321094917</v>
      </c>
      <c r="AA9" s="134">
        <v>2982.4620321094917</v>
      </c>
      <c r="AB9" s="134">
        <v>2982.4620321094917</v>
      </c>
      <c r="AC9" s="134">
        <v>2982.4620321094917</v>
      </c>
      <c r="AD9" s="134">
        <v>2982.4620321094917</v>
      </c>
      <c r="AE9" s="134">
        <v>2982.4620321094917</v>
      </c>
      <c r="AF9" s="134">
        <v>2982.4620321094917</v>
      </c>
      <c r="AG9" s="134">
        <v>2982.4620321094917</v>
      </c>
      <c r="AH9" s="134">
        <v>2982.4620321094917</v>
      </c>
      <c r="AI9" s="134">
        <v>2982.4620321094917</v>
      </c>
      <c r="AJ9" s="134">
        <v>2419.1871070190909</v>
      </c>
      <c r="AK9" s="134">
        <v>2421.6201109061435</v>
      </c>
      <c r="AL9" s="134">
        <v>2982.4620321094917</v>
      </c>
      <c r="AM9" s="134">
        <v>2982.4620321094917</v>
      </c>
      <c r="AN9" s="134">
        <v>2982.4620321094917</v>
      </c>
      <c r="AO9" s="134">
        <v>2982.4620321094917</v>
      </c>
      <c r="AP9" s="134">
        <v>2982.4620321094917</v>
      </c>
      <c r="AQ9" s="134">
        <v>2982.4620321094917</v>
      </c>
      <c r="AR9" s="134">
        <v>2438.262808441491</v>
      </c>
      <c r="AS9" s="134">
        <v>2982.4620321094917</v>
      </c>
      <c r="AT9" s="134">
        <v>1461.244278817456</v>
      </c>
      <c r="AU9" s="134">
        <v>2982.4620321094917</v>
      </c>
      <c r="AV9" s="134">
        <v>2447.4341880846955</v>
      </c>
      <c r="AW9" s="134">
        <v>2449.6848024699912</v>
      </c>
      <c r="AX9" s="134">
        <v>2982.4620321094917</v>
      </c>
      <c r="AY9" s="134">
        <v>2982.4620321094917</v>
      </c>
    </row>
    <row r="10" spans="1:53" x14ac:dyDescent="0.2">
      <c r="A10" s="135" t="s">
        <v>133</v>
      </c>
      <c r="B10" s="136">
        <v>1</v>
      </c>
      <c r="C10" s="124" t="s">
        <v>293</v>
      </c>
      <c r="D10">
        <v>116.17807282692708</v>
      </c>
      <c r="E10">
        <v>1147.7885711154283</v>
      </c>
      <c r="F10">
        <v>117</v>
      </c>
      <c r="G10">
        <v>296.24279961126308</v>
      </c>
      <c r="H10">
        <v>1303.5034998170149</v>
      </c>
      <c r="I10">
        <v>915.83727127866814</v>
      </c>
      <c r="J10">
        <v>605.34110349234106</v>
      </c>
      <c r="K10">
        <v>697.13727127866809</v>
      </c>
      <c r="L10">
        <v>915.83727127866814</v>
      </c>
      <c r="M10">
        <v>697.13727127866809</v>
      </c>
      <c r="N10">
        <v>915.83727127866814</v>
      </c>
      <c r="O10">
        <v>915.83727127866814</v>
      </c>
      <c r="P10">
        <v>915.83727127866814</v>
      </c>
      <c r="Q10">
        <v>915.83727127866814</v>
      </c>
      <c r="R10">
        <v>760.13727127866809</v>
      </c>
      <c r="S10">
        <v>697.13727127866809</v>
      </c>
      <c r="T10">
        <v>915.83727127866814</v>
      </c>
      <c r="U10">
        <v>644.15415700949461</v>
      </c>
      <c r="V10">
        <v>1187.5203855478417</v>
      </c>
      <c r="W10">
        <v>915.83727127866814</v>
      </c>
      <c r="X10">
        <v>915.83727127866814</v>
      </c>
      <c r="Y10">
        <v>697.13727127866809</v>
      </c>
      <c r="Z10">
        <v>915.83727127866814</v>
      </c>
      <c r="AA10">
        <v>915.83727127866814</v>
      </c>
      <c r="AB10">
        <v>644.15415700949461</v>
      </c>
      <c r="AC10">
        <v>1187.5203855478417</v>
      </c>
      <c r="AD10">
        <v>760.13727127866809</v>
      </c>
      <c r="AE10">
        <v>915.83727127866814</v>
      </c>
      <c r="AF10">
        <v>643.13727127866809</v>
      </c>
      <c r="AG10">
        <v>915.83727127866814</v>
      </c>
      <c r="AH10">
        <v>915.83727127866814</v>
      </c>
      <c r="AI10">
        <v>544.38311426917357</v>
      </c>
      <c r="AJ10">
        <v>983.68311426917353</v>
      </c>
      <c r="AK10">
        <v>664.38311426917357</v>
      </c>
      <c r="AL10">
        <v>529.94348382725252</v>
      </c>
      <c r="AM10">
        <v>701.43241190232231</v>
      </c>
      <c r="AN10">
        <v>915.83727127866814</v>
      </c>
      <c r="AO10">
        <v>814.13727127866809</v>
      </c>
      <c r="AP10">
        <v>915.83727127866814</v>
      </c>
      <c r="AQ10">
        <v>915.83727127866814</v>
      </c>
      <c r="AR10">
        <v>915.83727127866814</v>
      </c>
      <c r="AS10">
        <v>915.83727127866814</v>
      </c>
      <c r="AT10">
        <v>271.68311426917353</v>
      </c>
      <c r="AU10">
        <v>1177.9310280445079</v>
      </c>
      <c r="AV10">
        <v>337.43859490704858</v>
      </c>
      <c r="AW10">
        <v>422.5392585807316</v>
      </c>
      <c r="AX10">
        <v>1058.1002866932763</v>
      </c>
      <c r="AY10">
        <v>724.38311426917357</v>
      </c>
      <c r="AZ10">
        <v>915.83727127866814</v>
      </c>
    </row>
    <row r="11" spans="1:53" x14ac:dyDescent="0.2">
      <c r="B11" s="136">
        <v>2</v>
      </c>
      <c r="C11" s="124" t="s">
        <v>293</v>
      </c>
      <c r="D11">
        <v>36.5</v>
      </c>
      <c r="E11">
        <v>456.5</v>
      </c>
      <c r="F11">
        <v>73</v>
      </c>
      <c r="G11">
        <v>397.41302358654707</v>
      </c>
      <c r="H11">
        <v>218.7</v>
      </c>
      <c r="I11">
        <v>155.69999999999999</v>
      </c>
      <c r="J11">
        <v>0</v>
      </c>
      <c r="L11">
        <v>218.7</v>
      </c>
      <c r="M11">
        <v>0</v>
      </c>
      <c r="N11">
        <v>218.7</v>
      </c>
      <c r="O11">
        <v>0</v>
      </c>
      <c r="S11">
        <v>155.69999999999999</v>
      </c>
      <c r="T11">
        <v>218.7</v>
      </c>
      <c r="U11">
        <v>0</v>
      </c>
      <c r="V11">
        <v>0</v>
      </c>
      <c r="X11">
        <v>0</v>
      </c>
      <c r="Z11">
        <v>218.7</v>
      </c>
      <c r="AB11">
        <v>0</v>
      </c>
      <c r="AC11">
        <v>0</v>
      </c>
      <c r="AE11">
        <v>0</v>
      </c>
      <c r="AF11">
        <v>0</v>
      </c>
      <c r="AG11">
        <v>0</v>
      </c>
      <c r="AK11">
        <v>0</v>
      </c>
      <c r="AL11">
        <v>251.45415700949457</v>
      </c>
      <c r="AN11">
        <v>0</v>
      </c>
      <c r="AO11">
        <v>0</v>
      </c>
      <c r="AP11">
        <v>101.69999999999999</v>
      </c>
      <c r="AQ11">
        <v>0</v>
      </c>
      <c r="AS11">
        <v>0</v>
      </c>
      <c r="AT11">
        <v>0</v>
      </c>
      <c r="AU11">
        <v>272.7</v>
      </c>
      <c r="AV11">
        <v>0</v>
      </c>
      <c r="AW11">
        <v>272.7</v>
      </c>
      <c r="AY11">
        <v>0</v>
      </c>
      <c r="AZ11">
        <v>84.389081316503507</v>
      </c>
      <c r="BA11">
        <v>0</v>
      </c>
    </row>
    <row r="12" spans="1:53" x14ac:dyDescent="0.2">
      <c r="B12" s="137">
        <v>3</v>
      </c>
      <c r="C12" s="124" t="s">
        <v>293</v>
      </c>
      <c r="D12">
        <v>456.5</v>
      </c>
      <c r="L12">
        <v>0</v>
      </c>
      <c r="O12">
        <v>0</v>
      </c>
      <c r="Q12">
        <v>0</v>
      </c>
      <c r="R12">
        <v>0</v>
      </c>
      <c r="T12">
        <v>0</v>
      </c>
      <c r="X12">
        <v>0</v>
      </c>
      <c r="Z12">
        <v>0</v>
      </c>
      <c r="AA12">
        <v>0</v>
      </c>
      <c r="AE12">
        <v>0</v>
      </c>
      <c r="AF12">
        <v>155.69999999999999</v>
      </c>
      <c r="AJ12">
        <v>0</v>
      </c>
      <c r="AK12">
        <v>0</v>
      </c>
      <c r="AL12">
        <v>0</v>
      </c>
      <c r="AN12">
        <v>0</v>
      </c>
      <c r="AO12">
        <v>101.69999999999999</v>
      </c>
      <c r="AS12">
        <v>0</v>
      </c>
      <c r="AV12">
        <v>0</v>
      </c>
      <c r="AY12">
        <v>0</v>
      </c>
    </row>
    <row r="13" spans="1:53" x14ac:dyDescent="0.2">
      <c r="B13" s="137">
        <v>4</v>
      </c>
      <c r="C13" s="124" t="s">
        <v>293</v>
      </c>
      <c r="T13">
        <v>0</v>
      </c>
      <c r="AC13">
        <v>0</v>
      </c>
      <c r="AJ13">
        <v>0</v>
      </c>
      <c r="AU13">
        <v>0</v>
      </c>
    </row>
    <row r="14" spans="1:53" x14ac:dyDescent="0.2">
      <c r="A14" s="132" t="s">
        <v>134</v>
      </c>
      <c r="B14" s="138">
        <v>1</v>
      </c>
      <c r="C14" s="134" t="s">
        <v>293</v>
      </c>
      <c r="D14" s="134">
        <v>3660.9002311822528</v>
      </c>
      <c r="E14" s="134">
        <f t="shared" ref="E14:AZ14" si="0">D$172*SUM(D$122:D$169)</f>
        <v>3475.2348576920313</v>
      </c>
      <c r="F14" s="134">
        <f t="shared" si="0"/>
        <v>3801.9666773097456</v>
      </c>
      <c r="G14" s="134">
        <f t="shared" si="0"/>
        <v>4077.1097724432034</v>
      </c>
      <c r="H14" s="134">
        <f t="shared" si="0"/>
        <v>4228.4429272390089</v>
      </c>
      <c r="I14" s="134">
        <f t="shared" si="0"/>
        <v>4635.1033204936048</v>
      </c>
      <c r="J14" s="134">
        <f t="shared" si="0"/>
        <v>4882.5370782761947</v>
      </c>
      <c r="K14" s="134">
        <f t="shared" si="0"/>
        <v>4795.0680529802967</v>
      </c>
      <c r="L14" s="134">
        <f t="shared" si="0"/>
        <v>4562.2380079006825</v>
      </c>
      <c r="M14" s="134">
        <f t="shared" si="0"/>
        <v>4905.7039084049375</v>
      </c>
      <c r="N14" s="134">
        <f t="shared" si="0"/>
        <v>4629.3146574354505</v>
      </c>
      <c r="O14" s="134">
        <f t="shared" si="0"/>
        <v>4838.5670357141116</v>
      </c>
      <c r="P14" s="134">
        <f t="shared" si="0"/>
        <v>4769.6971560523452</v>
      </c>
      <c r="Q14" s="134">
        <f t="shared" si="0"/>
        <v>4741.4578985261105</v>
      </c>
      <c r="R14" s="134">
        <f t="shared" si="0"/>
        <v>4730.2029542979408</v>
      </c>
      <c r="S14" s="134">
        <f t="shared" si="0"/>
        <v>4599.4647168786023</v>
      </c>
      <c r="T14" s="134">
        <f t="shared" si="0"/>
        <v>4547.08703817279</v>
      </c>
      <c r="U14" s="134">
        <f t="shared" si="0"/>
        <v>4840.4088648728184</v>
      </c>
      <c r="V14" s="134">
        <f t="shared" si="0"/>
        <v>4792.1590674855761</v>
      </c>
      <c r="W14" s="134">
        <f t="shared" si="0"/>
        <v>4753.5564124222819</v>
      </c>
      <c r="X14" s="134">
        <f t="shared" si="0"/>
        <v>4725.8109141674295</v>
      </c>
      <c r="Y14" s="134">
        <f t="shared" si="0"/>
        <v>4696.6567379519474</v>
      </c>
      <c r="Z14" s="134">
        <f t="shared" si="0"/>
        <v>4513.7813060877515</v>
      </c>
      <c r="AA14" s="134">
        <f t="shared" si="0"/>
        <v>4790.7875525202144</v>
      </c>
      <c r="AB14" s="134">
        <f t="shared" si="0"/>
        <v>4684.5979995904981</v>
      </c>
      <c r="AC14" s="134">
        <f t="shared" si="0"/>
        <v>4666.5651248035701</v>
      </c>
      <c r="AD14" s="134">
        <f t="shared" si="0"/>
        <v>4738.5937067532786</v>
      </c>
      <c r="AE14" s="134">
        <f t="shared" si="0"/>
        <v>4596.865340525138</v>
      </c>
      <c r="AF14" s="134">
        <f t="shared" si="0"/>
        <v>4566.8219267677932</v>
      </c>
      <c r="AG14" s="134">
        <f t="shared" si="0"/>
        <v>4578.3499272600666</v>
      </c>
      <c r="AH14" s="134">
        <f t="shared" si="0"/>
        <v>4600.0375438741476</v>
      </c>
      <c r="AI14" s="134">
        <f t="shared" si="0"/>
        <v>4550.0089617731537</v>
      </c>
      <c r="AJ14" s="134">
        <f t="shared" si="0"/>
        <v>4570.1128025347689</v>
      </c>
      <c r="AK14" s="134">
        <f t="shared" si="0"/>
        <v>4268.441856145042</v>
      </c>
      <c r="AL14" s="134">
        <f t="shared" si="0"/>
        <v>4526.8530656774692</v>
      </c>
      <c r="AM14" s="134">
        <f t="shared" si="0"/>
        <v>4334.8030190637965</v>
      </c>
      <c r="AN14" s="134">
        <f t="shared" si="0"/>
        <v>4395.5530914840929</v>
      </c>
      <c r="AO14" s="134">
        <f t="shared" si="0"/>
        <v>4510.2133325626728</v>
      </c>
      <c r="AP14" s="134">
        <f t="shared" si="0"/>
        <v>4548.4079860907123</v>
      </c>
      <c r="AQ14" s="134">
        <f t="shared" si="0"/>
        <v>4682.7386785622302</v>
      </c>
      <c r="AR14" s="134">
        <f t="shared" si="0"/>
        <v>4744.9449715310875</v>
      </c>
      <c r="AS14" s="134">
        <f t="shared" si="0"/>
        <v>4699.2848566607327</v>
      </c>
      <c r="AT14" s="134">
        <f t="shared" si="0"/>
        <v>4717.5379198343244</v>
      </c>
      <c r="AU14" s="134">
        <f t="shared" si="0"/>
        <v>4398.3693728116677</v>
      </c>
      <c r="AV14" s="134">
        <f t="shared" si="0"/>
        <v>4735.7186558234271</v>
      </c>
      <c r="AW14" s="134">
        <f t="shared" si="0"/>
        <v>4381.4118533716346</v>
      </c>
      <c r="AX14" s="134">
        <f t="shared" si="0"/>
        <v>4791.761818822486</v>
      </c>
      <c r="AY14" s="134">
        <f t="shared" si="0"/>
        <v>4694.7139395939421</v>
      </c>
      <c r="AZ14" s="128">
        <f t="shared" si="0"/>
        <v>4595.0488466212591</v>
      </c>
      <c r="BA14" s="125">
        <f>SUM($E14:$AZ14)</f>
        <v>219910.11351386408</v>
      </c>
    </row>
    <row r="15" spans="1:53" x14ac:dyDescent="0.2">
      <c r="A15" s="139" t="s">
        <v>123</v>
      </c>
      <c r="B15" s="140">
        <v>1</v>
      </c>
      <c r="C15" s="141" t="s">
        <v>293</v>
      </c>
      <c r="D15" s="141">
        <v>5160.6362258534818</v>
      </c>
      <c r="E15" s="141">
        <v>5373.7080640567838</v>
      </c>
      <c r="F15" s="141">
        <v>5433.6362258534818</v>
      </c>
      <c r="G15" s="141">
        <v>5286.6362258534818</v>
      </c>
      <c r="H15" s="141">
        <v>5729.1935586746695</v>
      </c>
      <c r="I15" s="141">
        <v>5895.4553367938779</v>
      </c>
      <c r="J15" s="141">
        <v>5895.4553367938779</v>
      </c>
      <c r="K15" s="141">
        <v>5385.1553367938777</v>
      </c>
      <c r="L15" s="141">
        <v>5895.4553367938779</v>
      </c>
      <c r="M15" s="141">
        <v>5385.1553367938777</v>
      </c>
      <c r="N15" s="141">
        <v>5895.4553367938779</v>
      </c>
      <c r="O15" s="141">
        <v>5895.4553367938779</v>
      </c>
      <c r="P15" s="141">
        <v>5895.4553367938779</v>
      </c>
      <c r="Q15" s="141">
        <v>5895.4553367938779</v>
      </c>
      <c r="R15" s="141">
        <v>5532.1553367938777</v>
      </c>
      <c r="S15" s="141">
        <v>5385.1553367938777</v>
      </c>
      <c r="T15" s="141">
        <v>5895.4553367938779</v>
      </c>
      <c r="U15" s="141">
        <v>5796.936225853482</v>
      </c>
      <c r="V15" s="141">
        <v>5993.9744477342738</v>
      </c>
      <c r="W15" s="141">
        <v>5895.4553367938779</v>
      </c>
      <c r="X15" s="141">
        <v>5895.4553367938779</v>
      </c>
      <c r="Y15" s="141">
        <v>5385.1553367938777</v>
      </c>
      <c r="Z15" s="141">
        <v>5895.4553367938779</v>
      </c>
      <c r="AA15" s="141">
        <v>5895.4553367938779</v>
      </c>
      <c r="AB15" s="141">
        <v>5796.936225853482</v>
      </c>
      <c r="AC15" s="141">
        <v>5993.9744477342738</v>
      </c>
      <c r="AD15" s="141">
        <v>5532.1553367938777</v>
      </c>
      <c r="AE15" s="141">
        <v>5895.4553367938779</v>
      </c>
      <c r="AF15" s="141">
        <v>5259.1553367938777</v>
      </c>
      <c r="AG15" s="141">
        <v>5895.4553367938779</v>
      </c>
      <c r="AH15" s="141">
        <v>5895.4553367938779</v>
      </c>
      <c r="AI15" s="141">
        <v>5895.4553367938779</v>
      </c>
      <c r="AJ15" s="141">
        <v>5259.1553367938777</v>
      </c>
      <c r="AK15" s="141">
        <v>5895.4553367938779</v>
      </c>
      <c r="AL15" s="141">
        <v>5259.1553367938777</v>
      </c>
      <c r="AM15" s="141">
        <v>5658.1553367938777</v>
      </c>
      <c r="AN15" s="141">
        <v>5895.4553367938779</v>
      </c>
      <c r="AO15" s="141">
        <v>5658.1553367938777</v>
      </c>
      <c r="AP15" s="141">
        <v>5895.4553367938779</v>
      </c>
      <c r="AQ15" s="141">
        <v>5895.4553367938779</v>
      </c>
      <c r="AR15" s="141">
        <v>5895.4553367938779</v>
      </c>
      <c r="AS15" s="141">
        <v>5895.4553367938779</v>
      </c>
      <c r="AT15" s="141">
        <v>5259.1553367938777</v>
      </c>
      <c r="AU15" s="141">
        <v>5895.4553367938779</v>
      </c>
      <c r="AV15" s="141">
        <v>5259.1553367938777</v>
      </c>
      <c r="AW15" s="141">
        <v>5611.1530068541797</v>
      </c>
      <c r="AX15" s="141">
        <v>5611.5498263448526</v>
      </c>
      <c r="AY15" s="141">
        <v>5895.4553367938779</v>
      </c>
      <c r="AZ15">
        <v>734.81911094039583</v>
      </c>
    </row>
    <row r="16" spans="1:53" x14ac:dyDescent="0.2">
      <c r="A16" s="128"/>
      <c r="B16" s="136">
        <v>2</v>
      </c>
      <c r="C16" s="127" t="s">
        <v>293</v>
      </c>
      <c r="D16" s="124">
        <v>0</v>
      </c>
      <c r="E16" s="128">
        <v>0</v>
      </c>
      <c r="F16" s="128">
        <v>0</v>
      </c>
      <c r="G16" s="128">
        <v>363.29999999999995</v>
      </c>
      <c r="H16" s="128">
        <v>510.29999999999995</v>
      </c>
      <c r="I16" s="128">
        <v>363.29999999999995</v>
      </c>
      <c r="J16" s="128">
        <v>0</v>
      </c>
      <c r="K16" s="128"/>
      <c r="L16" s="128">
        <v>510.29999999999995</v>
      </c>
      <c r="M16" s="128">
        <v>0</v>
      </c>
      <c r="N16" s="128">
        <v>510.29999999999995</v>
      </c>
      <c r="O16" s="128">
        <v>0</v>
      </c>
      <c r="P16" s="128"/>
      <c r="Q16" s="128"/>
      <c r="R16" s="128"/>
      <c r="S16" s="128">
        <v>363.29999999999995</v>
      </c>
      <c r="T16" s="128">
        <v>510.29999999999995</v>
      </c>
      <c r="U16" s="128">
        <v>0</v>
      </c>
      <c r="V16" s="128">
        <v>0</v>
      </c>
      <c r="W16" s="128"/>
      <c r="X16" s="128">
        <v>0</v>
      </c>
      <c r="Y16" s="128"/>
      <c r="Z16" s="128">
        <v>510.29999999999995</v>
      </c>
      <c r="AA16" s="128"/>
      <c r="AB16" s="128">
        <v>0</v>
      </c>
      <c r="AC16" s="128">
        <v>0</v>
      </c>
      <c r="AD16" s="128"/>
      <c r="AE16" s="128">
        <v>0</v>
      </c>
      <c r="AF16" s="128">
        <v>0</v>
      </c>
      <c r="AG16" s="128">
        <v>0</v>
      </c>
      <c r="AH16" s="128"/>
      <c r="AI16" s="128"/>
      <c r="AJ16" s="128"/>
      <c r="AK16" s="128">
        <v>0</v>
      </c>
      <c r="AL16" s="128">
        <v>0</v>
      </c>
      <c r="AM16" s="128"/>
      <c r="AN16" s="128">
        <v>0</v>
      </c>
      <c r="AO16" s="128">
        <v>0</v>
      </c>
      <c r="AP16" s="128">
        <v>237.29999999999995</v>
      </c>
      <c r="AQ16" s="128">
        <v>0</v>
      </c>
      <c r="AR16" s="128"/>
      <c r="AS16" s="128">
        <v>0</v>
      </c>
      <c r="AT16" s="128">
        <v>0</v>
      </c>
      <c r="AU16" s="128">
        <v>636.29999999999995</v>
      </c>
      <c r="AV16" s="128">
        <v>0</v>
      </c>
      <c r="AW16" s="128">
        <v>636.29999999999995</v>
      </c>
      <c r="AX16" s="128"/>
      <c r="AY16" s="128">
        <v>0</v>
      </c>
      <c r="AZ16">
        <v>0</v>
      </c>
      <c r="BA16">
        <v>0</v>
      </c>
    </row>
    <row r="17" spans="1:51" x14ac:dyDescent="0.2">
      <c r="A17" s="128"/>
      <c r="B17" s="136">
        <v>3</v>
      </c>
      <c r="C17" s="127" t="s">
        <v>293</v>
      </c>
      <c r="D17" s="124">
        <v>0</v>
      </c>
      <c r="E17" s="128"/>
      <c r="F17" s="128"/>
      <c r="G17" s="128"/>
      <c r="H17" s="128"/>
      <c r="I17" s="128"/>
      <c r="J17" s="128"/>
      <c r="K17" s="128"/>
      <c r="L17" s="128">
        <v>0</v>
      </c>
      <c r="M17" s="128"/>
      <c r="N17" s="128"/>
      <c r="O17" s="128">
        <v>0</v>
      </c>
      <c r="P17" s="128"/>
      <c r="Q17" s="128">
        <v>0</v>
      </c>
      <c r="R17" s="128">
        <v>0</v>
      </c>
      <c r="S17" s="128"/>
      <c r="T17" s="128">
        <v>0</v>
      </c>
      <c r="U17" s="128"/>
      <c r="V17" s="128"/>
      <c r="W17" s="128"/>
      <c r="X17" s="128">
        <v>0</v>
      </c>
      <c r="Y17" s="128"/>
      <c r="Z17" s="128">
        <v>0</v>
      </c>
      <c r="AA17" s="128">
        <v>0</v>
      </c>
      <c r="AB17" s="128"/>
      <c r="AC17" s="128"/>
      <c r="AD17" s="128"/>
      <c r="AE17" s="128">
        <v>0</v>
      </c>
      <c r="AF17" s="128">
        <v>363.29999999999995</v>
      </c>
      <c r="AG17" s="128"/>
      <c r="AH17" s="128"/>
      <c r="AI17" s="128"/>
      <c r="AJ17" s="128">
        <v>0</v>
      </c>
      <c r="AK17" s="128">
        <v>0</v>
      </c>
      <c r="AL17" s="128">
        <v>0</v>
      </c>
      <c r="AM17" s="128"/>
      <c r="AN17" s="128">
        <v>0</v>
      </c>
      <c r="AO17" s="128">
        <v>237.29999999999995</v>
      </c>
      <c r="AP17" s="128"/>
      <c r="AQ17" s="128"/>
      <c r="AR17" s="128"/>
      <c r="AS17" s="128">
        <v>0</v>
      </c>
      <c r="AT17" s="128"/>
      <c r="AU17" s="128"/>
      <c r="AV17" s="128">
        <v>0</v>
      </c>
      <c r="AW17" s="128"/>
      <c r="AX17" s="128"/>
      <c r="AY17" s="128">
        <v>0</v>
      </c>
    </row>
    <row r="18" spans="1:51" x14ac:dyDescent="0.2">
      <c r="A18" s="142"/>
      <c r="B18" s="133">
        <v>4</v>
      </c>
      <c r="C18" s="142" t="s">
        <v>293</v>
      </c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>
        <v>0</v>
      </c>
      <c r="U18" s="142"/>
      <c r="V18" s="142"/>
      <c r="W18" s="142"/>
      <c r="X18" s="142"/>
      <c r="Y18" s="142"/>
      <c r="Z18" s="142"/>
      <c r="AA18" s="142"/>
      <c r="AB18" s="142"/>
      <c r="AC18" s="142">
        <v>0</v>
      </c>
      <c r="AD18" s="142"/>
      <c r="AE18" s="142"/>
      <c r="AF18" s="142"/>
      <c r="AG18" s="142"/>
      <c r="AH18" s="142"/>
      <c r="AI18" s="142"/>
      <c r="AJ18" s="142">
        <v>0</v>
      </c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>
        <v>0</v>
      </c>
      <c r="AV18" s="142"/>
      <c r="AW18" s="142"/>
      <c r="AX18" s="142"/>
      <c r="AY18" s="142"/>
    </row>
    <row r="20" spans="1:51" x14ac:dyDescent="0.2">
      <c r="A20" s="1" t="s">
        <v>294</v>
      </c>
    </row>
    <row r="21" spans="1:51" x14ac:dyDescent="0.2">
      <c r="A21" s="143" t="s">
        <v>125</v>
      </c>
      <c r="B21" s="140">
        <v>1</v>
      </c>
      <c r="C21" s="141" t="s">
        <v>293</v>
      </c>
      <c r="D21" s="141">
        <v>317.65009129035013</v>
      </c>
      <c r="E21" s="141">
        <v>634.95746402471298</v>
      </c>
      <c r="F21" s="141">
        <v>646.6506562634994</v>
      </c>
      <c r="G21" s="141">
        <v>1174.3853187393752</v>
      </c>
      <c r="H21" s="141">
        <v>1146.8696772275109</v>
      </c>
      <c r="I21" s="141">
        <v>2982.4620321094917</v>
      </c>
      <c r="J21" s="141">
        <v>2982.4620321094917</v>
      </c>
      <c r="K21" s="141">
        <v>2982.4620321094917</v>
      </c>
      <c r="L21" s="141">
        <v>2982.4620321094917</v>
      </c>
      <c r="M21" s="141">
        <v>2982.4620321094917</v>
      </c>
      <c r="N21" s="141">
        <v>2982.4620321094917</v>
      </c>
      <c r="O21" s="141">
        <v>2982.4620321094917</v>
      </c>
      <c r="P21" s="141">
        <v>2982.4620321094917</v>
      </c>
      <c r="Q21" s="141">
        <v>2982.4620321094917</v>
      </c>
      <c r="R21" s="141">
        <v>2982.4620321094917</v>
      </c>
      <c r="S21" s="141">
        <v>2982.4620321094917</v>
      </c>
      <c r="T21" s="141">
        <v>2982.4620321094917</v>
      </c>
      <c r="U21" s="141">
        <v>2982.4620321094917</v>
      </c>
      <c r="V21" s="141">
        <v>2982.4620321094917</v>
      </c>
      <c r="W21" s="141">
        <v>2982.4620321094917</v>
      </c>
      <c r="X21" s="141">
        <v>2982.4620321094917</v>
      </c>
      <c r="Y21" s="141">
        <v>2982.4620321094917</v>
      </c>
      <c r="Z21" s="141">
        <v>2982.4620321094917</v>
      </c>
      <c r="AA21" s="141">
        <v>2982.4620321094917</v>
      </c>
      <c r="AB21" s="141">
        <v>2982.4620321094917</v>
      </c>
      <c r="AC21" s="141">
        <v>2982.4620321094917</v>
      </c>
      <c r="AD21" s="141">
        <v>2982.4620321094917</v>
      </c>
      <c r="AE21" s="141">
        <v>2982.4620321094917</v>
      </c>
      <c r="AF21" s="141">
        <v>2982.4620321094917</v>
      </c>
      <c r="AG21" s="141">
        <v>2982.4620321094917</v>
      </c>
      <c r="AH21" s="141">
        <v>2982.4620321094917</v>
      </c>
      <c r="AI21" s="141">
        <v>2982.4620321094917</v>
      </c>
      <c r="AJ21" s="141">
        <v>2419.1871070190909</v>
      </c>
      <c r="AK21" s="141">
        <v>2421.6201109061435</v>
      </c>
      <c r="AL21" s="141">
        <v>2982.4620321094917</v>
      </c>
      <c r="AM21" s="141">
        <v>2982.4620321094917</v>
      </c>
      <c r="AN21" s="141">
        <v>2982.4620321094917</v>
      </c>
      <c r="AO21" s="141">
        <v>2982.4620321094917</v>
      </c>
      <c r="AP21" s="141">
        <v>2982.4620321094917</v>
      </c>
      <c r="AQ21" s="141">
        <v>2982.4620321094917</v>
      </c>
      <c r="AR21" s="141">
        <v>2438.262808441491</v>
      </c>
      <c r="AS21" s="141">
        <v>2982.4620321094917</v>
      </c>
      <c r="AT21" s="141">
        <v>1461.244278817456</v>
      </c>
      <c r="AU21" s="141">
        <v>2982.4620321094917</v>
      </c>
      <c r="AV21" s="141">
        <v>2447.4341880846955</v>
      </c>
      <c r="AW21" s="141">
        <v>2449.6848024699912</v>
      </c>
      <c r="AX21" s="141">
        <v>2982.4620321094917</v>
      </c>
      <c r="AY21" s="141">
        <v>2982.4620321094917</v>
      </c>
    </row>
    <row r="22" spans="1:51" x14ac:dyDescent="0.2">
      <c r="A22" s="127"/>
      <c r="B22" s="137">
        <v>2</v>
      </c>
      <c r="C22" s="128" t="s">
        <v>293</v>
      </c>
      <c r="D22" s="128">
        <v>802.26055460719181</v>
      </c>
      <c r="E22" s="128">
        <v>1046.1941127089067</v>
      </c>
      <c r="F22" s="128">
        <v>697.52301142861734</v>
      </c>
      <c r="G22" s="128">
        <v>1359.8113758459922</v>
      </c>
      <c r="H22" s="128">
        <v>927.07671337011652</v>
      </c>
      <c r="I22" s="128">
        <v>0</v>
      </c>
      <c r="J22" s="128">
        <v>0</v>
      </c>
      <c r="K22" s="128">
        <v>0</v>
      </c>
      <c r="L22" s="128">
        <v>0</v>
      </c>
      <c r="M22" s="128">
        <v>0</v>
      </c>
      <c r="N22" s="128">
        <v>0</v>
      </c>
      <c r="O22" s="128">
        <v>0</v>
      </c>
      <c r="P22" s="128">
        <v>0</v>
      </c>
      <c r="Q22" s="128">
        <v>0</v>
      </c>
      <c r="R22" s="128">
        <v>0</v>
      </c>
      <c r="S22" s="128">
        <v>0</v>
      </c>
      <c r="T22" s="128">
        <v>0</v>
      </c>
      <c r="U22" s="128">
        <v>0</v>
      </c>
      <c r="V22" s="128">
        <v>0</v>
      </c>
      <c r="W22" s="128">
        <v>0</v>
      </c>
      <c r="X22" s="128">
        <v>0</v>
      </c>
      <c r="Y22" s="128">
        <v>0</v>
      </c>
      <c r="Z22" s="128">
        <v>0</v>
      </c>
      <c r="AA22" s="128">
        <v>0</v>
      </c>
      <c r="AB22" s="128">
        <v>0</v>
      </c>
      <c r="AC22" s="128">
        <v>0</v>
      </c>
      <c r="AD22" s="128">
        <v>0</v>
      </c>
      <c r="AE22" s="128">
        <v>0</v>
      </c>
      <c r="AF22" s="128">
        <v>0</v>
      </c>
      <c r="AG22" s="128">
        <v>0</v>
      </c>
      <c r="AH22" s="128">
        <v>0</v>
      </c>
      <c r="AI22" s="128">
        <v>0</v>
      </c>
      <c r="AJ22" s="128">
        <v>0</v>
      </c>
      <c r="AK22" s="128">
        <v>0</v>
      </c>
      <c r="AL22" s="128">
        <v>0</v>
      </c>
      <c r="AM22" s="128">
        <v>0</v>
      </c>
      <c r="AN22" s="128">
        <v>0</v>
      </c>
      <c r="AO22" s="128">
        <v>0</v>
      </c>
      <c r="AP22" s="128">
        <v>0</v>
      </c>
      <c r="AQ22" s="128">
        <v>0</v>
      </c>
      <c r="AR22" s="128">
        <v>0</v>
      </c>
      <c r="AS22" s="128">
        <v>0</v>
      </c>
      <c r="AT22" s="128">
        <v>0</v>
      </c>
      <c r="AU22" s="128">
        <v>0</v>
      </c>
      <c r="AV22" s="128">
        <v>0</v>
      </c>
      <c r="AW22" s="128">
        <v>0</v>
      </c>
      <c r="AX22" s="128">
        <v>0</v>
      </c>
      <c r="AY22" s="128">
        <v>0</v>
      </c>
    </row>
    <row r="23" spans="1:51" x14ac:dyDescent="0.2">
      <c r="A23" s="127"/>
      <c r="B23" s="144">
        <v>3</v>
      </c>
      <c r="C23" s="128" t="s">
        <v>293</v>
      </c>
      <c r="D23" s="128">
        <v>0</v>
      </c>
      <c r="E23" s="128">
        <v>0</v>
      </c>
      <c r="F23" s="128">
        <v>0</v>
      </c>
      <c r="G23" s="128">
        <v>0</v>
      </c>
      <c r="H23" s="128">
        <v>0</v>
      </c>
      <c r="I23" s="128">
        <v>0</v>
      </c>
      <c r="J23" s="128">
        <v>0</v>
      </c>
      <c r="K23" s="128">
        <v>0</v>
      </c>
      <c r="L23" s="128">
        <v>0</v>
      </c>
      <c r="M23" s="128">
        <v>0</v>
      </c>
      <c r="N23" s="128">
        <v>0</v>
      </c>
      <c r="O23" s="128">
        <v>0</v>
      </c>
      <c r="P23" s="128">
        <v>0</v>
      </c>
      <c r="Q23" s="128">
        <v>0</v>
      </c>
      <c r="R23" s="128">
        <v>0</v>
      </c>
      <c r="S23" s="128">
        <v>0</v>
      </c>
      <c r="T23" s="128">
        <v>0</v>
      </c>
      <c r="U23" s="128">
        <v>0</v>
      </c>
      <c r="V23" s="128">
        <v>0</v>
      </c>
      <c r="W23" s="128">
        <v>0</v>
      </c>
      <c r="X23" s="128">
        <v>0</v>
      </c>
      <c r="Y23" s="128">
        <v>0</v>
      </c>
      <c r="Z23" s="128">
        <v>0</v>
      </c>
      <c r="AA23" s="128">
        <v>0</v>
      </c>
      <c r="AB23" s="128">
        <v>0</v>
      </c>
      <c r="AC23" s="128">
        <v>0</v>
      </c>
      <c r="AD23" s="128">
        <v>0</v>
      </c>
      <c r="AE23" s="128">
        <v>0</v>
      </c>
      <c r="AF23" s="128">
        <v>0</v>
      </c>
      <c r="AG23" s="128">
        <v>0</v>
      </c>
      <c r="AH23" s="128">
        <v>0</v>
      </c>
      <c r="AI23" s="128">
        <v>0</v>
      </c>
      <c r="AJ23" s="128">
        <v>0</v>
      </c>
      <c r="AK23" s="128">
        <v>0</v>
      </c>
      <c r="AL23" s="128">
        <v>0</v>
      </c>
      <c r="AM23" s="128">
        <v>0</v>
      </c>
      <c r="AN23" s="128">
        <v>0</v>
      </c>
      <c r="AO23" s="128">
        <v>0</v>
      </c>
      <c r="AP23" s="128">
        <v>0</v>
      </c>
      <c r="AQ23" s="128">
        <v>0</v>
      </c>
      <c r="AR23" s="128">
        <v>0</v>
      </c>
      <c r="AS23" s="128">
        <v>0</v>
      </c>
      <c r="AT23" s="128">
        <v>0</v>
      </c>
      <c r="AU23" s="128">
        <v>0</v>
      </c>
      <c r="AV23" s="128">
        <v>0</v>
      </c>
      <c r="AW23" s="128">
        <v>0</v>
      </c>
      <c r="AX23" s="128">
        <v>0</v>
      </c>
      <c r="AY23" s="128">
        <v>0</v>
      </c>
    </row>
    <row r="24" spans="1:51" x14ac:dyDescent="0.2">
      <c r="A24" s="145"/>
      <c r="B24" s="146">
        <v>4</v>
      </c>
      <c r="C24" s="145" t="s">
        <v>293</v>
      </c>
      <c r="D24" s="142">
        <v>0</v>
      </c>
      <c r="E24" s="142">
        <v>0</v>
      </c>
      <c r="F24" s="142">
        <v>0</v>
      </c>
      <c r="G24" s="142">
        <v>0</v>
      </c>
      <c r="H24" s="142">
        <v>0</v>
      </c>
      <c r="I24" s="142">
        <v>0</v>
      </c>
      <c r="J24" s="142">
        <v>0</v>
      </c>
      <c r="K24" s="142">
        <v>0</v>
      </c>
      <c r="L24" s="142">
        <v>0</v>
      </c>
      <c r="M24" s="142">
        <v>0</v>
      </c>
      <c r="N24" s="142">
        <v>0</v>
      </c>
      <c r="O24" s="142">
        <v>0</v>
      </c>
      <c r="P24" s="142">
        <v>0</v>
      </c>
      <c r="Q24" s="142">
        <v>0</v>
      </c>
      <c r="R24" s="142">
        <v>0</v>
      </c>
      <c r="S24" s="142">
        <v>0</v>
      </c>
      <c r="T24" s="142">
        <v>0</v>
      </c>
      <c r="U24" s="142">
        <v>0</v>
      </c>
      <c r="V24" s="142">
        <v>0</v>
      </c>
      <c r="W24" s="142">
        <v>0</v>
      </c>
      <c r="X24" s="142">
        <v>0</v>
      </c>
      <c r="Y24" s="142">
        <v>0</v>
      </c>
      <c r="Z24" s="142">
        <v>0</v>
      </c>
      <c r="AA24" s="142">
        <v>0</v>
      </c>
      <c r="AB24" s="142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142">
        <v>0</v>
      </c>
      <c r="AJ24" s="142">
        <v>0</v>
      </c>
      <c r="AK24" s="142">
        <v>0</v>
      </c>
      <c r="AL24" s="142">
        <v>0</v>
      </c>
      <c r="AM24" s="142">
        <v>0</v>
      </c>
      <c r="AN24" s="142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  <c r="AT24" s="142">
        <v>0</v>
      </c>
      <c r="AU24" s="142">
        <v>0</v>
      </c>
      <c r="AV24" s="142">
        <v>0</v>
      </c>
      <c r="AW24" s="142">
        <v>0</v>
      </c>
      <c r="AX24" s="142">
        <v>0</v>
      </c>
      <c r="AY24" s="142">
        <v>0</v>
      </c>
    </row>
    <row r="25" spans="1:51" x14ac:dyDescent="0.2">
      <c r="A25" s="143" t="s">
        <v>133</v>
      </c>
      <c r="B25" s="140">
        <v>1</v>
      </c>
      <c r="C25" s="127" t="s">
        <v>293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</row>
    <row r="26" spans="1:51" x14ac:dyDescent="0.2">
      <c r="A26" s="127"/>
      <c r="B26" s="136">
        <v>2</v>
      </c>
      <c r="C26" s="127" t="s">
        <v>293</v>
      </c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</row>
    <row r="27" spans="1:51" x14ac:dyDescent="0.2">
      <c r="A27" s="127"/>
      <c r="B27" s="137">
        <v>3</v>
      </c>
      <c r="C27" s="127" t="s">
        <v>293</v>
      </c>
      <c r="D27" s="128"/>
      <c r="E27" s="128"/>
      <c r="F27" s="128"/>
      <c r="G27" s="128"/>
      <c r="H27" s="128"/>
      <c r="I27" s="128"/>
      <c r="J27" s="128"/>
      <c r="K27" s="128"/>
      <c r="L27" s="128">
        <v>0</v>
      </c>
      <c r="M27" s="128">
        <v>0</v>
      </c>
      <c r="N27" s="128">
        <v>0</v>
      </c>
      <c r="O27" s="128">
        <v>0</v>
      </c>
      <c r="P27" s="128">
        <v>0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8">
        <v>0</v>
      </c>
      <c r="W27" s="128">
        <v>0</v>
      </c>
      <c r="X27" s="128">
        <v>0</v>
      </c>
      <c r="Y27" s="128">
        <v>0</v>
      </c>
      <c r="Z27" s="128">
        <v>0</v>
      </c>
      <c r="AA27" s="128">
        <v>0</v>
      </c>
      <c r="AB27" s="128">
        <v>0</v>
      </c>
      <c r="AC27" s="128">
        <v>0</v>
      </c>
      <c r="AD27" s="128">
        <v>0</v>
      </c>
      <c r="AE27" s="128">
        <v>0</v>
      </c>
      <c r="AF27" s="128">
        <v>32.037563723503986</v>
      </c>
      <c r="AG27" s="128">
        <v>0</v>
      </c>
      <c r="AH27" s="128">
        <v>0</v>
      </c>
      <c r="AI27" s="128">
        <v>0</v>
      </c>
      <c r="AJ27" s="128">
        <v>0</v>
      </c>
      <c r="AK27" s="128"/>
      <c r="AL27" s="128"/>
      <c r="AM27" s="128"/>
      <c r="AN27" s="128"/>
      <c r="AO27" s="128"/>
      <c r="AP27" s="128"/>
      <c r="AQ27" s="128">
        <v>0</v>
      </c>
      <c r="AR27" s="128">
        <v>0</v>
      </c>
      <c r="AS27" s="128">
        <v>0</v>
      </c>
      <c r="AT27" s="128"/>
      <c r="AU27" s="128">
        <v>0</v>
      </c>
      <c r="AV27" s="128">
        <v>0</v>
      </c>
      <c r="AW27" s="128">
        <v>0</v>
      </c>
      <c r="AX27" s="128">
        <v>0</v>
      </c>
      <c r="AY27" s="128">
        <v>0</v>
      </c>
    </row>
    <row r="28" spans="1:51" x14ac:dyDescent="0.2">
      <c r="A28" s="127"/>
      <c r="B28" s="137">
        <v>4</v>
      </c>
      <c r="C28" s="127" t="s">
        <v>293</v>
      </c>
      <c r="D28" s="128"/>
      <c r="E28" s="128"/>
      <c r="F28" s="128"/>
      <c r="G28" s="128"/>
      <c r="H28" s="128"/>
      <c r="I28" s="128">
        <v>0</v>
      </c>
      <c r="J28" s="128">
        <v>0</v>
      </c>
      <c r="K28" s="128">
        <v>0</v>
      </c>
      <c r="L28" s="128">
        <v>0</v>
      </c>
      <c r="M28" s="128">
        <v>0</v>
      </c>
      <c r="N28" s="128">
        <v>0</v>
      </c>
      <c r="O28" s="128">
        <v>0</v>
      </c>
      <c r="P28" s="128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8">
        <v>0</v>
      </c>
      <c r="W28" s="128">
        <v>0</v>
      </c>
      <c r="X28" s="128">
        <v>0</v>
      </c>
      <c r="Y28" s="128">
        <v>0</v>
      </c>
      <c r="Z28" s="128">
        <v>0</v>
      </c>
      <c r="AA28" s="128">
        <v>0</v>
      </c>
      <c r="AB28" s="128">
        <v>0</v>
      </c>
      <c r="AC28" s="128">
        <v>0</v>
      </c>
      <c r="AD28" s="128">
        <v>0</v>
      </c>
      <c r="AE28" s="128">
        <v>0</v>
      </c>
      <c r="AF28" s="128">
        <v>0</v>
      </c>
      <c r="AG28" s="128">
        <v>0</v>
      </c>
      <c r="AH28" s="128">
        <v>0</v>
      </c>
      <c r="AI28" s="128">
        <v>0</v>
      </c>
      <c r="AJ28" s="128">
        <v>0</v>
      </c>
      <c r="AK28" s="128">
        <v>0</v>
      </c>
      <c r="AL28" s="128">
        <v>0</v>
      </c>
      <c r="AM28" s="128">
        <v>0</v>
      </c>
      <c r="AN28" s="128">
        <v>0</v>
      </c>
      <c r="AO28" s="128">
        <v>0</v>
      </c>
      <c r="AP28" s="128">
        <v>0</v>
      </c>
      <c r="AQ28" s="128">
        <v>0</v>
      </c>
      <c r="AR28" s="128">
        <v>0</v>
      </c>
      <c r="AS28" s="128">
        <v>0</v>
      </c>
      <c r="AT28" s="128">
        <v>0</v>
      </c>
      <c r="AU28" s="128">
        <v>0</v>
      </c>
      <c r="AV28" s="128">
        <v>0</v>
      </c>
      <c r="AW28" s="128">
        <v>0</v>
      </c>
      <c r="AX28" s="128">
        <v>0</v>
      </c>
      <c r="AY28" s="128">
        <v>0</v>
      </c>
    </row>
    <row r="29" spans="1:51" x14ac:dyDescent="0.2">
      <c r="A29" s="127"/>
      <c r="B29" s="144">
        <v>5</v>
      </c>
      <c r="C29" s="127" t="s">
        <v>293</v>
      </c>
      <c r="D29" s="128">
        <v>0</v>
      </c>
      <c r="E29" s="128">
        <v>0</v>
      </c>
      <c r="F29" s="128">
        <v>0</v>
      </c>
      <c r="G29" s="128">
        <v>0</v>
      </c>
      <c r="H29" s="128">
        <v>0</v>
      </c>
      <c r="I29" s="128">
        <v>0</v>
      </c>
      <c r="J29" s="128">
        <v>0</v>
      </c>
      <c r="K29" s="128">
        <v>0</v>
      </c>
      <c r="L29" s="128">
        <v>0</v>
      </c>
      <c r="M29" s="128">
        <v>0</v>
      </c>
      <c r="N29" s="128">
        <v>0</v>
      </c>
      <c r="O29" s="128">
        <v>0</v>
      </c>
      <c r="P29" s="128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8">
        <v>0</v>
      </c>
      <c r="W29" s="128">
        <v>0</v>
      </c>
      <c r="X29" s="128">
        <v>0</v>
      </c>
      <c r="Y29" s="128">
        <v>0</v>
      </c>
      <c r="Z29" s="128">
        <v>0</v>
      </c>
      <c r="AA29" s="128">
        <v>0</v>
      </c>
      <c r="AB29" s="128">
        <v>0</v>
      </c>
      <c r="AC29" s="128">
        <v>0</v>
      </c>
      <c r="AD29" s="128">
        <v>0</v>
      </c>
      <c r="AE29" s="128">
        <v>0</v>
      </c>
      <c r="AF29" s="128">
        <v>0</v>
      </c>
      <c r="AG29" s="128">
        <v>0</v>
      </c>
      <c r="AH29" s="128">
        <v>0</v>
      </c>
      <c r="AI29" s="128">
        <v>0</v>
      </c>
      <c r="AJ29" s="128">
        <v>0</v>
      </c>
      <c r="AK29" s="128">
        <v>0</v>
      </c>
      <c r="AL29" s="128">
        <v>0</v>
      </c>
      <c r="AM29" s="128">
        <v>0</v>
      </c>
      <c r="AN29" s="128">
        <v>0</v>
      </c>
      <c r="AO29" s="128">
        <v>0</v>
      </c>
      <c r="AP29" s="128">
        <v>0</v>
      </c>
      <c r="AQ29" s="128">
        <v>0</v>
      </c>
      <c r="AR29" s="128">
        <v>0</v>
      </c>
      <c r="AS29" s="128">
        <v>0</v>
      </c>
      <c r="AT29" s="128">
        <v>0</v>
      </c>
      <c r="AU29" s="128">
        <v>0</v>
      </c>
      <c r="AV29" s="128">
        <v>0</v>
      </c>
      <c r="AW29" s="128">
        <v>0</v>
      </c>
      <c r="AX29" s="128">
        <v>0</v>
      </c>
      <c r="AY29" s="128">
        <v>0</v>
      </c>
    </row>
    <row r="30" spans="1:51" x14ac:dyDescent="0.2">
      <c r="A30" s="127"/>
      <c r="B30" s="144">
        <v>6</v>
      </c>
      <c r="C30" s="127" t="s">
        <v>293</v>
      </c>
      <c r="D30" s="128">
        <v>0</v>
      </c>
      <c r="E30" s="128">
        <v>0</v>
      </c>
      <c r="F30" s="128">
        <v>0</v>
      </c>
      <c r="G30" s="128">
        <v>0</v>
      </c>
      <c r="H30" s="128">
        <v>0</v>
      </c>
      <c r="I30" s="128">
        <v>0</v>
      </c>
      <c r="J30" s="128">
        <v>0</v>
      </c>
      <c r="K30" s="128">
        <v>0</v>
      </c>
      <c r="L30" s="128">
        <v>0</v>
      </c>
      <c r="M30" s="128">
        <v>0</v>
      </c>
      <c r="N30" s="128">
        <v>0</v>
      </c>
      <c r="O30" s="128">
        <v>0</v>
      </c>
      <c r="P30" s="128">
        <v>0</v>
      </c>
      <c r="Q30" s="128">
        <v>0</v>
      </c>
      <c r="R30" s="128">
        <v>0</v>
      </c>
      <c r="S30" s="128">
        <v>0</v>
      </c>
      <c r="T30" s="128">
        <v>0</v>
      </c>
      <c r="U30" s="128">
        <v>0</v>
      </c>
      <c r="V30" s="128">
        <v>0</v>
      </c>
      <c r="W30" s="128">
        <v>0</v>
      </c>
      <c r="X30" s="128">
        <v>0</v>
      </c>
      <c r="Y30" s="128">
        <v>0</v>
      </c>
      <c r="Z30" s="128">
        <v>0</v>
      </c>
      <c r="AA30" s="128">
        <v>0</v>
      </c>
      <c r="AB30" s="128">
        <v>0</v>
      </c>
      <c r="AC30" s="128">
        <v>0</v>
      </c>
      <c r="AD30" s="128">
        <v>0</v>
      </c>
      <c r="AE30" s="128">
        <v>0</v>
      </c>
      <c r="AF30" s="128">
        <v>0</v>
      </c>
      <c r="AG30" s="128">
        <v>0</v>
      </c>
      <c r="AH30" s="128">
        <v>0</v>
      </c>
      <c r="AI30" s="128">
        <v>0</v>
      </c>
      <c r="AJ30" s="128">
        <v>0</v>
      </c>
      <c r="AK30" s="128">
        <v>0</v>
      </c>
      <c r="AL30" s="128">
        <v>0</v>
      </c>
      <c r="AM30" s="128">
        <v>0</v>
      </c>
      <c r="AN30" s="128">
        <v>0</v>
      </c>
      <c r="AO30" s="128">
        <v>0</v>
      </c>
      <c r="AP30" s="128">
        <v>0</v>
      </c>
      <c r="AQ30" s="128">
        <v>0</v>
      </c>
      <c r="AR30" s="128">
        <v>0</v>
      </c>
      <c r="AS30" s="128">
        <v>0</v>
      </c>
      <c r="AT30" s="128">
        <v>0</v>
      </c>
      <c r="AU30" s="128">
        <v>0</v>
      </c>
      <c r="AV30" s="128">
        <v>0</v>
      </c>
      <c r="AW30" s="128">
        <v>0</v>
      </c>
      <c r="AX30" s="128">
        <v>0</v>
      </c>
      <c r="AY30" s="128">
        <v>0</v>
      </c>
    </row>
    <row r="31" spans="1:51" x14ac:dyDescent="0.2">
      <c r="A31" s="127"/>
      <c r="B31" s="147">
        <v>7</v>
      </c>
      <c r="C31" s="127" t="s">
        <v>293</v>
      </c>
      <c r="D31" s="128">
        <v>0</v>
      </c>
      <c r="E31" s="128">
        <v>0</v>
      </c>
      <c r="F31" s="128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8">
        <v>0</v>
      </c>
      <c r="M31" s="128">
        <v>0</v>
      </c>
      <c r="N31" s="128">
        <v>0</v>
      </c>
      <c r="O31" s="128">
        <v>0</v>
      </c>
      <c r="P31" s="128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128">
        <v>0</v>
      </c>
      <c r="X31" s="128">
        <v>0</v>
      </c>
      <c r="Y31" s="128">
        <v>0</v>
      </c>
      <c r="Z31" s="128">
        <v>0</v>
      </c>
      <c r="AA31" s="128">
        <v>0</v>
      </c>
      <c r="AB31" s="128">
        <v>0</v>
      </c>
      <c r="AC31" s="128">
        <v>0</v>
      </c>
      <c r="AD31" s="128">
        <v>0</v>
      </c>
      <c r="AE31" s="128">
        <v>0</v>
      </c>
      <c r="AF31" s="128">
        <v>0</v>
      </c>
      <c r="AG31" s="128">
        <v>0</v>
      </c>
      <c r="AH31" s="128">
        <v>0</v>
      </c>
      <c r="AI31" s="128">
        <v>0</v>
      </c>
      <c r="AJ31" s="128">
        <v>0</v>
      </c>
      <c r="AK31" s="128">
        <v>0</v>
      </c>
      <c r="AL31" s="128">
        <v>0</v>
      </c>
      <c r="AM31" s="128">
        <v>0</v>
      </c>
      <c r="AN31" s="128">
        <v>0</v>
      </c>
      <c r="AO31" s="128">
        <v>0</v>
      </c>
      <c r="AP31" s="128">
        <v>0</v>
      </c>
      <c r="AQ31" s="128">
        <v>0</v>
      </c>
      <c r="AR31" s="128">
        <v>0</v>
      </c>
      <c r="AS31" s="128">
        <v>0</v>
      </c>
      <c r="AT31" s="128">
        <v>0</v>
      </c>
      <c r="AU31" s="128">
        <v>0</v>
      </c>
      <c r="AV31" s="128">
        <v>0</v>
      </c>
      <c r="AW31" s="128">
        <v>0</v>
      </c>
      <c r="AX31" s="128">
        <v>0</v>
      </c>
      <c r="AY31" s="128">
        <v>0</v>
      </c>
    </row>
    <row r="32" spans="1:51" x14ac:dyDescent="0.2">
      <c r="A32" s="145"/>
      <c r="B32" s="146">
        <v>8</v>
      </c>
      <c r="C32" s="145" t="s">
        <v>293</v>
      </c>
      <c r="D32" s="142">
        <v>0</v>
      </c>
      <c r="E32" s="14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0</v>
      </c>
      <c r="R32" s="142">
        <v>0</v>
      </c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</v>
      </c>
      <c r="Y32" s="142">
        <v>0</v>
      </c>
      <c r="Z32" s="142">
        <v>0</v>
      </c>
      <c r="AA32" s="142">
        <v>0</v>
      </c>
      <c r="AB32" s="142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142">
        <v>0</v>
      </c>
      <c r="AI32" s="142">
        <v>0</v>
      </c>
      <c r="AJ32" s="142">
        <v>0</v>
      </c>
      <c r="AK32" s="142">
        <v>0</v>
      </c>
      <c r="AL32" s="142">
        <v>0</v>
      </c>
      <c r="AM32" s="142">
        <v>0</v>
      </c>
      <c r="AN32" s="142">
        <v>0</v>
      </c>
      <c r="AO32" s="142">
        <v>0</v>
      </c>
      <c r="AP32" s="142">
        <v>0</v>
      </c>
      <c r="AQ32" s="142">
        <v>0</v>
      </c>
      <c r="AR32" s="142">
        <v>0</v>
      </c>
      <c r="AS32" s="142">
        <v>0</v>
      </c>
      <c r="AT32" s="142">
        <v>0</v>
      </c>
      <c r="AU32" s="142">
        <v>0</v>
      </c>
      <c r="AV32" s="142">
        <v>0</v>
      </c>
      <c r="AW32" s="142">
        <v>0</v>
      </c>
      <c r="AX32" s="142">
        <v>0</v>
      </c>
      <c r="AY32" s="142">
        <v>0</v>
      </c>
    </row>
    <row r="33" spans="1:51" x14ac:dyDescent="0.2">
      <c r="A33" s="148" t="s">
        <v>134</v>
      </c>
      <c r="B33" s="136">
        <v>1</v>
      </c>
      <c r="C33" s="127" t="s">
        <v>293</v>
      </c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</row>
    <row r="34" spans="1:51" x14ac:dyDescent="0.2">
      <c r="A34" s="127"/>
      <c r="B34" s="136">
        <v>2</v>
      </c>
      <c r="C34" s="127" t="s">
        <v>293</v>
      </c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</row>
    <row r="35" spans="1:51" x14ac:dyDescent="0.2">
      <c r="A35" s="127"/>
      <c r="B35" s="136">
        <v>3</v>
      </c>
      <c r="C35" s="127" t="s">
        <v>293</v>
      </c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</row>
    <row r="36" spans="1:51" x14ac:dyDescent="0.2">
      <c r="A36" s="127"/>
      <c r="B36" s="137">
        <v>4</v>
      </c>
      <c r="C36" s="127" t="s">
        <v>293</v>
      </c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</row>
    <row r="37" spans="1:51" x14ac:dyDescent="0.2">
      <c r="A37" s="127"/>
      <c r="B37" s="137">
        <v>5</v>
      </c>
      <c r="C37" s="127" t="s">
        <v>293</v>
      </c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</row>
    <row r="38" spans="1:51" x14ac:dyDescent="0.2">
      <c r="A38" s="127"/>
      <c r="B38" s="137">
        <v>6</v>
      </c>
      <c r="C38" s="127" t="s">
        <v>293</v>
      </c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</row>
    <row r="39" spans="1:51" x14ac:dyDescent="0.2">
      <c r="A39" s="127"/>
      <c r="B39" s="144">
        <v>7</v>
      </c>
      <c r="C39" s="127" t="s">
        <v>293</v>
      </c>
      <c r="D39" s="124"/>
      <c r="E39" s="124"/>
      <c r="F39" s="124"/>
      <c r="G39" s="124"/>
      <c r="H39" s="124"/>
      <c r="I39" s="124"/>
      <c r="J39" s="124"/>
      <c r="K39" s="124"/>
      <c r="L39" s="124">
        <v>450.76595315085069</v>
      </c>
      <c r="M39" s="124">
        <v>609.09188391365706</v>
      </c>
      <c r="N39" s="124">
        <v>1951.6001769856521</v>
      </c>
      <c r="O39" s="124">
        <v>2465.4498578192024</v>
      </c>
      <c r="P39" s="124">
        <v>2563.6391453981423</v>
      </c>
      <c r="Q39" s="124">
        <v>2208.3946751944995</v>
      </c>
      <c r="R39" s="124">
        <v>1613.619230286733</v>
      </c>
      <c r="S39" s="124">
        <v>1572.4874740652585</v>
      </c>
      <c r="T39" s="124">
        <v>2173.2389024542144</v>
      </c>
      <c r="U39" s="124">
        <v>1905.0146278817238</v>
      </c>
      <c r="V39" s="124">
        <v>2190.2509971615646</v>
      </c>
      <c r="W39" s="124">
        <v>2064.8464491817713</v>
      </c>
      <c r="X39" s="124">
        <v>1968.6811587282054</v>
      </c>
      <c r="Y39" s="124">
        <v>1080.5758843976309</v>
      </c>
      <c r="Z39" s="124">
        <v>2072.2665043129118</v>
      </c>
      <c r="AA39" s="124">
        <v>2036.4720742126738</v>
      </c>
      <c r="AB39" s="124">
        <v>1382.7790496454863</v>
      </c>
      <c r="AC39" s="124">
        <v>1966.9606584325329</v>
      </c>
      <c r="AD39" s="124">
        <v>1466.6968540827957</v>
      </c>
      <c r="AE39" s="124">
        <v>1205.1785479879109</v>
      </c>
      <c r="AF39" s="124">
        <v>928.77685438501862</v>
      </c>
      <c r="AG39" s="124">
        <v>1165.9935207094622</v>
      </c>
      <c r="AH39" s="124">
        <v>859.66130498312668</v>
      </c>
      <c r="AI39" s="124">
        <v>401.90175645567069</v>
      </c>
      <c r="AJ39" s="124">
        <v>45.954697167312588</v>
      </c>
      <c r="AK39" s="124"/>
      <c r="AL39" s="124"/>
      <c r="AM39" s="124"/>
      <c r="AN39" s="124"/>
      <c r="AO39" s="124"/>
      <c r="AP39" s="124"/>
      <c r="AQ39" s="124">
        <v>145.20600224560758</v>
      </c>
      <c r="AR39" s="124">
        <v>516.21948289442935</v>
      </c>
      <c r="AS39" s="124">
        <v>730.82175401084623</v>
      </c>
      <c r="AT39" s="124"/>
      <c r="AU39" s="124">
        <v>1693.1700738165555</v>
      </c>
      <c r="AV39" s="124">
        <v>206.55067295480376</v>
      </c>
      <c r="AW39" s="124">
        <v>1125.7653293474532</v>
      </c>
      <c r="AX39" s="124">
        <v>1373.437505242613</v>
      </c>
      <c r="AY39" s="124">
        <v>759.2306980813064</v>
      </c>
    </row>
    <row r="40" spans="1:51" x14ac:dyDescent="0.2">
      <c r="A40" s="127"/>
      <c r="B40" s="144">
        <v>8</v>
      </c>
      <c r="C40" s="127" t="s">
        <v>293</v>
      </c>
      <c r="D40" s="124"/>
      <c r="E40" s="124"/>
      <c r="F40" s="124"/>
      <c r="G40" s="124"/>
      <c r="H40" s="124"/>
      <c r="I40" s="124">
        <v>1024.8012444242686</v>
      </c>
      <c r="J40" s="124">
        <v>1682.524145040657</v>
      </c>
      <c r="K40" s="124">
        <v>1943.8275798192831</v>
      </c>
      <c r="L40" s="124">
        <v>3475.2348576920313</v>
      </c>
      <c r="M40" s="124">
        <v>1672.2007241588949</v>
      </c>
      <c r="N40" s="124">
        <v>2009.0178885295463</v>
      </c>
      <c r="O40" s="124">
        <v>882.84275025335683</v>
      </c>
      <c r="P40" s="124">
        <v>526.65346267440236</v>
      </c>
      <c r="Q40" s="124">
        <v>577.89793287805242</v>
      </c>
      <c r="R40" s="124">
        <v>1201.6733777857971</v>
      </c>
      <c r="S40" s="124">
        <v>1585.6187776139495</v>
      </c>
      <c r="T40" s="124">
        <v>2035.2164343396789</v>
      </c>
      <c r="U40" s="124">
        <v>756.07575498123606</v>
      </c>
      <c r="V40" s="124">
        <v>1523.5524078323879</v>
      </c>
      <c r="W40" s="124">
        <v>1254.4461588907807</v>
      </c>
      <c r="X40" s="124">
        <v>955.61144934433923</v>
      </c>
      <c r="Y40" s="124">
        <v>926.52179556973533</v>
      </c>
      <c r="Z40" s="124">
        <v>2041.8888324809714</v>
      </c>
      <c r="AA40" s="124">
        <v>1010.8205338598782</v>
      </c>
      <c r="AB40" s="124">
        <v>1268.9367906601447</v>
      </c>
      <c r="AC40" s="124">
        <v>1988.3800178400897</v>
      </c>
      <c r="AD40" s="124">
        <v>1320.595753989749</v>
      </c>
      <c r="AE40" s="124">
        <v>1430.1140600846338</v>
      </c>
      <c r="AF40" s="124">
        <v>1810.4781899640366</v>
      </c>
      <c r="AG40" s="124">
        <v>2246.0044517027327</v>
      </c>
      <c r="AH40" s="124">
        <v>1698.7940318107521</v>
      </c>
      <c r="AI40" s="124">
        <v>1933.9366946073715</v>
      </c>
      <c r="AJ40" s="124">
        <v>2677.6633683478994</v>
      </c>
      <c r="AK40" s="124">
        <v>2671.8384510630572</v>
      </c>
      <c r="AL40" s="124">
        <v>2699.4867490922697</v>
      </c>
      <c r="AM40" s="124">
        <v>2598.1901078594528</v>
      </c>
      <c r="AN40" s="124">
        <v>3261.8601961702298</v>
      </c>
      <c r="AO40" s="124">
        <v>3177.4553367938788</v>
      </c>
      <c r="AP40" s="124">
        <v>3369.4553367938715</v>
      </c>
      <c r="AQ40" s="124">
        <v>3123.5493345482741</v>
      </c>
      <c r="AR40" s="124">
        <v>2297.235853899434</v>
      </c>
      <c r="AS40" s="124">
        <v>2522.6335827830399</v>
      </c>
      <c r="AT40" s="124">
        <v>1650.0011797843797</v>
      </c>
      <c r="AU40" s="124">
        <v>3093.5331767526632</v>
      </c>
      <c r="AV40" s="124">
        <v>1286.0432587461173</v>
      </c>
      <c r="AW40" s="124">
        <v>2599.857313135908</v>
      </c>
      <c r="AX40" s="124">
        <v>1950.973349214777</v>
      </c>
      <c r="AY40" s="124">
        <v>2051.5074662884745</v>
      </c>
    </row>
    <row r="41" spans="1:51" x14ac:dyDescent="0.2">
      <c r="A41" s="127"/>
      <c r="B41" s="144">
        <v>9</v>
      </c>
      <c r="C41" s="127" t="s">
        <v>293</v>
      </c>
      <c r="D41" s="124">
        <v>589.75256749076425</v>
      </c>
      <c r="E41" s="124">
        <v>1161.6729907141003</v>
      </c>
      <c r="F41" s="124">
        <v>799.45058749857628</v>
      </c>
      <c r="G41" s="124">
        <v>1251.6203683030103</v>
      </c>
      <c r="H41" s="124">
        <v>2551.9449232139859</v>
      </c>
      <c r="I41" s="124">
        <v>2777.9900388351252</v>
      </c>
      <c r="J41" s="124">
        <v>1037.2722952455629</v>
      </c>
      <c r="K41" s="124">
        <v>320.46502825326161</v>
      </c>
      <c r="L41" s="124">
        <v>273.07265136296974</v>
      </c>
      <c r="M41" s="124">
        <v>0</v>
      </c>
      <c r="N41" s="124">
        <v>0</v>
      </c>
      <c r="O41" s="124">
        <v>0</v>
      </c>
      <c r="P41" s="124">
        <v>0</v>
      </c>
      <c r="Q41" s="124">
        <v>0</v>
      </c>
      <c r="R41" s="124">
        <v>0</v>
      </c>
      <c r="S41" s="124">
        <v>0</v>
      </c>
      <c r="T41" s="124">
        <v>0</v>
      </c>
      <c r="U41" s="124">
        <v>0</v>
      </c>
      <c r="V41" s="124">
        <v>0</v>
      </c>
      <c r="W41" s="124">
        <v>0</v>
      </c>
      <c r="X41" s="124">
        <v>0</v>
      </c>
      <c r="Y41" s="124">
        <v>0</v>
      </c>
      <c r="Z41" s="124">
        <v>0</v>
      </c>
      <c r="AA41" s="124">
        <v>0</v>
      </c>
      <c r="AB41" s="124">
        <v>0</v>
      </c>
      <c r="AC41" s="124">
        <v>0</v>
      </c>
      <c r="AD41" s="124">
        <v>0</v>
      </c>
      <c r="AE41" s="124">
        <v>0</v>
      </c>
      <c r="AF41" s="124">
        <v>0</v>
      </c>
      <c r="AG41" s="124">
        <v>0</v>
      </c>
      <c r="AH41" s="124">
        <v>0</v>
      </c>
      <c r="AI41" s="124">
        <v>0</v>
      </c>
      <c r="AJ41" s="124">
        <v>0</v>
      </c>
      <c r="AK41" s="124">
        <v>0</v>
      </c>
      <c r="AL41" s="124">
        <v>0</v>
      </c>
      <c r="AM41" s="124">
        <v>0</v>
      </c>
      <c r="AN41" s="124">
        <v>0</v>
      </c>
      <c r="AO41" s="124">
        <v>0</v>
      </c>
      <c r="AP41" s="124">
        <v>0</v>
      </c>
      <c r="AQ41" s="124">
        <v>0</v>
      </c>
      <c r="AR41" s="124">
        <v>0</v>
      </c>
      <c r="AS41" s="124">
        <v>0</v>
      </c>
      <c r="AT41" s="124">
        <v>0</v>
      </c>
      <c r="AU41" s="124">
        <v>0</v>
      </c>
      <c r="AV41" s="124">
        <v>0</v>
      </c>
      <c r="AW41" s="124">
        <v>0</v>
      </c>
      <c r="AX41" s="124">
        <v>0</v>
      </c>
      <c r="AY41" s="124">
        <v>0</v>
      </c>
    </row>
    <row r="42" spans="1:51" x14ac:dyDescent="0.2">
      <c r="A42" s="127"/>
      <c r="B42" s="147">
        <v>10</v>
      </c>
      <c r="C42" s="127" t="s">
        <v>293</v>
      </c>
      <c r="D42" s="124">
        <v>1544.6620772384383</v>
      </c>
      <c r="E42" s="124">
        <v>2050.2404359787347</v>
      </c>
      <c r="F42" s="124">
        <v>1578.4740027722851</v>
      </c>
      <c r="G42" s="124">
        <v>1228.5526170374619</v>
      </c>
      <c r="H42" s="124">
        <v>338.4537571851306</v>
      </c>
      <c r="I42" s="124">
        <v>0</v>
      </c>
      <c r="J42" s="124">
        <v>0</v>
      </c>
      <c r="K42" s="124">
        <v>0</v>
      </c>
      <c r="L42" s="124">
        <v>0</v>
      </c>
      <c r="M42" s="124">
        <v>0</v>
      </c>
      <c r="N42" s="124">
        <v>0</v>
      </c>
      <c r="O42" s="124">
        <v>0</v>
      </c>
      <c r="P42" s="124">
        <v>0</v>
      </c>
      <c r="Q42" s="124">
        <v>0</v>
      </c>
      <c r="R42" s="124">
        <v>0</v>
      </c>
      <c r="S42" s="124">
        <v>0</v>
      </c>
      <c r="T42" s="124">
        <v>0</v>
      </c>
      <c r="U42" s="124">
        <v>0</v>
      </c>
      <c r="V42" s="124">
        <v>0</v>
      </c>
      <c r="W42" s="124">
        <v>0</v>
      </c>
      <c r="X42" s="124">
        <v>0</v>
      </c>
      <c r="Y42" s="124">
        <v>0</v>
      </c>
      <c r="Z42" s="124">
        <v>0</v>
      </c>
      <c r="AA42" s="124">
        <v>0</v>
      </c>
      <c r="AB42" s="124">
        <v>0</v>
      </c>
      <c r="AC42" s="124">
        <v>0</v>
      </c>
      <c r="AD42" s="124">
        <v>0</v>
      </c>
      <c r="AE42" s="124">
        <v>0</v>
      </c>
      <c r="AF42" s="124">
        <v>0</v>
      </c>
      <c r="AG42" s="124">
        <v>0</v>
      </c>
      <c r="AH42" s="124">
        <v>0</v>
      </c>
      <c r="AI42" s="124">
        <v>0</v>
      </c>
      <c r="AJ42" s="124">
        <v>0</v>
      </c>
      <c r="AK42" s="124">
        <v>0</v>
      </c>
      <c r="AL42" s="124">
        <v>0</v>
      </c>
      <c r="AM42" s="124">
        <v>0</v>
      </c>
      <c r="AN42" s="124">
        <v>0</v>
      </c>
      <c r="AO42" s="124">
        <v>0</v>
      </c>
      <c r="AP42" s="124">
        <v>0</v>
      </c>
      <c r="AQ42" s="124">
        <v>0</v>
      </c>
      <c r="AR42" s="124">
        <v>0</v>
      </c>
      <c r="AS42" s="124">
        <v>0</v>
      </c>
      <c r="AT42" s="124">
        <v>0</v>
      </c>
      <c r="AU42" s="124">
        <v>0</v>
      </c>
      <c r="AV42" s="124">
        <v>0</v>
      </c>
      <c r="AW42" s="124">
        <v>0</v>
      </c>
      <c r="AX42" s="124">
        <v>0</v>
      </c>
      <c r="AY42" s="124">
        <v>0</v>
      </c>
    </row>
    <row r="43" spans="1:51" x14ac:dyDescent="0.2">
      <c r="A43" s="127"/>
      <c r="B43" s="147">
        <v>11</v>
      </c>
      <c r="C43" s="127" t="s">
        <v>293</v>
      </c>
      <c r="D43" s="124">
        <v>0</v>
      </c>
      <c r="E43" s="124">
        <v>0</v>
      </c>
      <c r="F43" s="124">
        <v>0</v>
      </c>
      <c r="G43" s="124">
        <v>0</v>
      </c>
      <c r="H43" s="124">
        <v>0</v>
      </c>
      <c r="I43" s="124">
        <v>0</v>
      </c>
      <c r="J43" s="124">
        <v>0</v>
      </c>
      <c r="K43" s="124">
        <v>0</v>
      </c>
      <c r="L43" s="124">
        <v>0</v>
      </c>
      <c r="M43" s="124">
        <v>0</v>
      </c>
      <c r="N43" s="124">
        <v>0</v>
      </c>
      <c r="O43" s="124">
        <v>0</v>
      </c>
      <c r="P43" s="124">
        <v>0</v>
      </c>
      <c r="Q43" s="124">
        <v>0</v>
      </c>
      <c r="R43" s="124">
        <v>0</v>
      </c>
      <c r="S43" s="124">
        <v>0</v>
      </c>
      <c r="T43" s="124">
        <v>0</v>
      </c>
      <c r="U43" s="124">
        <v>0</v>
      </c>
      <c r="V43" s="124">
        <v>0</v>
      </c>
      <c r="W43" s="124">
        <v>0</v>
      </c>
      <c r="X43" s="124">
        <v>0</v>
      </c>
      <c r="Y43" s="124">
        <v>0</v>
      </c>
      <c r="Z43" s="124">
        <v>0</v>
      </c>
      <c r="AA43" s="124">
        <v>0</v>
      </c>
      <c r="AB43" s="124">
        <v>0</v>
      </c>
      <c r="AC43" s="124">
        <v>0</v>
      </c>
      <c r="AD43" s="124">
        <v>0</v>
      </c>
      <c r="AE43" s="124">
        <v>0</v>
      </c>
      <c r="AF43" s="124">
        <v>0</v>
      </c>
      <c r="AG43" s="124">
        <v>0</v>
      </c>
      <c r="AH43" s="124">
        <v>0</v>
      </c>
      <c r="AI43" s="124">
        <v>0</v>
      </c>
      <c r="AJ43" s="124">
        <v>0</v>
      </c>
      <c r="AK43" s="124">
        <v>0</v>
      </c>
      <c r="AL43" s="124">
        <v>0</v>
      </c>
      <c r="AM43" s="124">
        <v>0</v>
      </c>
      <c r="AN43" s="124">
        <v>0</v>
      </c>
      <c r="AO43" s="124">
        <v>0</v>
      </c>
      <c r="AP43" s="124">
        <v>0</v>
      </c>
      <c r="AQ43" s="124">
        <v>0</v>
      </c>
      <c r="AR43" s="124">
        <v>0</v>
      </c>
      <c r="AS43" s="124">
        <v>0</v>
      </c>
      <c r="AT43" s="124">
        <v>0</v>
      </c>
      <c r="AU43" s="124">
        <v>0</v>
      </c>
      <c r="AV43" s="124">
        <v>0</v>
      </c>
      <c r="AW43" s="124">
        <v>0</v>
      </c>
      <c r="AX43" s="124">
        <v>0</v>
      </c>
      <c r="AY43" s="124">
        <v>0</v>
      </c>
    </row>
    <row r="44" spans="1:51" x14ac:dyDescent="0.2">
      <c r="A44" s="127"/>
      <c r="B44" s="147">
        <v>12</v>
      </c>
      <c r="C44" s="145" t="s">
        <v>293</v>
      </c>
      <c r="D44" s="124">
        <v>0</v>
      </c>
      <c r="E44" s="124">
        <v>0</v>
      </c>
      <c r="F44" s="124">
        <v>0</v>
      </c>
      <c r="G44" s="124">
        <v>0</v>
      </c>
      <c r="H44" s="124">
        <v>0</v>
      </c>
      <c r="I44" s="124">
        <v>0</v>
      </c>
      <c r="J44" s="124">
        <v>0</v>
      </c>
      <c r="K44" s="124">
        <v>0</v>
      </c>
      <c r="L44" s="124">
        <v>0</v>
      </c>
      <c r="M44" s="124">
        <v>0</v>
      </c>
      <c r="N44" s="124">
        <v>0</v>
      </c>
      <c r="O44" s="124">
        <v>0</v>
      </c>
      <c r="P44" s="124">
        <v>0</v>
      </c>
      <c r="Q44" s="124">
        <v>0</v>
      </c>
      <c r="R44" s="124">
        <v>0</v>
      </c>
      <c r="S44" s="124">
        <v>0</v>
      </c>
      <c r="T44" s="124">
        <v>0</v>
      </c>
      <c r="U44" s="124">
        <v>0</v>
      </c>
      <c r="V44" s="124">
        <v>0</v>
      </c>
      <c r="W44" s="124">
        <v>0</v>
      </c>
      <c r="X44" s="124">
        <v>0</v>
      </c>
      <c r="Y44" s="124">
        <v>0</v>
      </c>
      <c r="Z44" s="124">
        <v>0</v>
      </c>
      <c r="AA44" s="124">
        <v>0</v>
      </c>
      <c r="AB44" s="124">
        <v>0</v>
      </c>
      <c r="AC44" s="124">
        <v>0</v>
      </c>
      <c r="AD44" s="124">
        <v>0</v>
      </c>
      <c r="AE44" s="124">
        <v>0</v>
      </c>
      <c r="AF44" s="124">
        <v>0</v>
      </c>
      <c r="AG44" s="124">
        <v>0</v>
      </c>
      <c r="AH44" s="124">
        <v>0</v>
      </c>
      <c r="AI44" s="124">
        <v>0</v>
      </c>
      <c r="AJ44" s="124">
        <v>0</v>
      </c>
      <c r="AK44" s="124">
        <v>0</v>
      </c>
      <c r="AL44" s="124">
        <v>0</v>
      </c>
      <c r="AM44" s="124">
        <v>0</v>
      </c>
      <c r="AN44" s="124">
        <v>0</v>
      </c>
      <c r="AO44" s="124">
        <v>0</v>
      </c>
      <c r="AP44" s="124">
        <v>0</v>
      </c>
      <c r="AQ44" s="124">
        <v>0</v>
      </c>
      <c r="AR44" s="124">
        <v>0</v>
      </c>
      <c r="AS44" s="124">
        <v>0</v>
      </c>
      <c r="AT44" s="124">
        <v>0</v>
      </c>
      <c r="AU44" s="124">
        <v>0</v>
      </c>
      <c r="AV44" s="124">
        <v>0</v>
      </c>
      <c r="AW44" s="124">
        <v>0</v>
      </c>
      <c r="AX44" s="124">
        <v>0</v>
      </c>
      <c r="AY44" s="124">
        <v>0</v>
      </c>
    </row>
    <row r="45" spans="1:51" x14ac:dyDescent="0.2">
      <c r="A45" s="143" t="s">
        <v>123</v>
      </c>
      <c r="B45" s="140">
        <v>1</v>
      </c>
      <c r="C45" s="127" t="s">
        <v>293</v>
      </c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</row>
    <row r="46" spans="1:51" x14ac:dyDescent="0.2">
      <c r="A46" s="127"/>
      <c r="B46" s="136">
        <v>2</v>
      </c>
      <c r="C46" s="127" t="s">
        <v>293</v>
      </c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</row>
    <row r="47" spans="1:51" x14ac:dyDescent="0.2">
      <c r="A47" s="127"/>
      <c r="B47" s="136">
        <v>3</v>
      </c>
      <c r="C47" s="127" t="s">
        <v>293</v>
      </c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</row>
    <row r="48" spans="1:51" x14ac:dyDescent="0.2">
      <c r="A48" s="127"/>
      <c r="B48" s="136">
        <v>4</v>
      </c>
      <c r="C48" s="127" t="s">
        <v>293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</row>
    <row r="49" spans="1:51" x14ac:dyDescent="0.2">
      <c r="A49" s="127"/>
      <c r="B49" s="136">
        <v>5</v>
      </c>
      <c r="C49" s="127" t="s">
        <v>293</v>
      </c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</row>
    <row r="50" spans="1:51" x14ac:dyDescent="0.2">
      <c r="A50" s="127"/>
      <c r="B50" s="136">
        <v>6</v>
      </c>
      <c r="C50" s="127" t="s">
        <v>293</v>
      </c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8"/>
      <c r="AB50" s="128"/>
      <c r="AC50" s="128"/>
      <c r="AD50" s="128"/>
      <c r="AE50" s="128"/>
      <c r="AF50" s="128"/>
      <c r="AG50" s="128"/>
      <c r="AH50" s="128"/>
      <c r="AI50" s="128"/>
      <c r="AJ50" s="128"/>
      <c r="AK50" s="128"/>
      <c r="AL50" s="128"/>
      <c r="AM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</row>
    <row r="51" spans="1:51" x14ac:dyDescent="0.2">
      <c r="A51" s="127"/>
      <c r="B51" s="136">
        <v>7</v>
      </c>
      <c r="C51" s="127" t="s">
        <v>293</v>
      </c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</row>
    <row r="52" spans="1:51" x14ac:dyDescent="0.2">
      <c r="A52" s="127"/>
      <c r="B52" s="136">
        <v>8</v>
      </c>
      <c r="C52" s="127" t="s">
        <v>293</v>
      </c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</row>
    <row r="53" spans="1:51" x14ac:dyDescent="0.2">
      <c r="A53" s="127"/>
      <c r="B53" s="136">
        <v>9</v>
      </c>
      <c r="C53" s="127" t="s">
        <v>293</v>
      </c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8"/>
      <c r="AB53" s="128"/>
      <c r="AC53" s="128"/>
      <c r="AD53" s="128"/>
      <c r="AE53" s="128"/>
      <c r="AF53" s="128"/>
      <c r="AG53" s="128"/>
      <c r="AH53" s="128"/>
      <c r="AI53" s="128"/>
      <c r="AJ53" s="128"/>
      <c r="AK53" s="128"/>
      <c r="AL53" s="128"/>
      <c r="AM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</row>
    <row r="54" spans="1:51" x14ac:dyDescent="0.2">
      <c r="A54" s="127"/>
      <c r="B54" s="136">
        <v>10</v>
      </c>
      <c r="C54" s="127" t="s">
        <v>293</v>
      </c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</row>
    <row r="55" spans="1:51" x14ac:dyDescent="0.2">
      <c r="A55" s="127"/>
      <c r="B55" s="136">
        <v>11</v>
      </c>
      <c r="C55" s="127" t="s">
        <v>293</v>
      </c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</row>
    <row r="56" spans="1:51" x14ac:dyDescent="0.2">
      <c r="A56" s="127"/>
      <c r="B56" s="136">
        <v>12</v>
      </c>
      <c r="C56" s="127" t="s">
        <v>293</v>
      </c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</row>
    <row r="57" spans="1:51" x14ac:dyDescent="0.2">
      <c r="A57" s="127"/>
      <c r="B57" s="137">
        <v>13</v>
      </c>
      <c r="C57" s="127" t="s">
        <v>293</v>
      </c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</row>
    <row r="58" spans="1:51" x14ac:dyDescent="0.2">
      <c r="A58" s="127"/>
      <c r="B58" s="137">
        <v>14</v>
      </c>
      <c r="C58" s="127" t="s">
        <v>293</v>
      </c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8"/>
      <c r="U58" s="128"/>
      <c r="V58" s="128"/>
      <c r="W58" s="128"/>
      <c r="X58" s="128"/>
      <c r="Y58" s="128"/>
      <c r="Z58" s="128"/>
      <c r="AA58" s="128"/>
      <c r="AB58" s="128"/>
      <c r="AC58" s="128"/>
      <c r="AD58" s="128"/>
      <c r="AE58" s="128"/>
      <c r="AF58" s="128"/>
      <c r="AG58" s="128"/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</row>
    <row r="59" spans="1:51" x14ac:dyDescent="0.2">
      <c r="A59" s="127"/>
      <c r="B59" s="137">
        <v>15</v>
      </c>
      <c r="C59" s="127" t="s">
        <v>293</v>
      </c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</row>
    <row r="60" spans="1:51" x14ac:dyDescent="0.2">
      <c r="A60" s="127"/>
      <c r="B60" s="137">
        <v>16</v>
      </c>
      <c r="C60" s="127" t="s">
        <v>293</v>
      </c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</row>
    <row r="61" spans="1:51" x14ac:dyDescent="0.2">
      <c r="A61" s="127"/>
      <c r="B61" s="137">
        <v>17</v>
      </c>
      <c r="C61" s="127" t="s">
        <v>293</v>
      </c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</row>
    <row r="62" spans="1:51" x14ac:dyDescent="0.2">
      <c r="A62" s="127"/>
      <c r="B62" s="137">
        <v>18</v>
      </c>
      <c r="C62" s="127" t="s">
        <v>293</v>
      </c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</row>
    <row r="63" spans="1:51" x14ac:dyDescent="0.2">
      <c r="A63" s="127"/>
      <c r="B63" s="137">
        <v>19</v>
      </c>
      <c r="C63" s="127" t="s">
        <v>293</v>
      </c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</row>
    <row r="64" spans="1:51" x14ac:dyDescent="0.2">
      <c r="A64" s="127"/>
      <c r="B64" s="137">
        <v>20</v>
      </c>
      <c r="C64" s="127" t="s">
        <v>293</v>
      </c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</row>
    <row r="65" spans="1:51" x14ac:dyDescent="0.2">
      <c r="A65" s="127"/>
      <c r="B65" s="137">
        <v>21</v>
      </c>
      <c r="C65" s="127" t="s">
        <v>293</v>
      </c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</row>
    <row r="66" spans="1:51" x14ac:dyDescent="0.2">
      <c r="A66" s="127"/>
      <c r="B66" s="137">
        <v>22</v>
      </c>
      <c r="C66" s="127" t="s">
        <v>293</v>
      </c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  <c r="V66" s="128"/>
      <c r="W66" s="128"/>
      <c r="X66" s="128"/>
      <c r="Y66" s="128"/>
      <c r="Z66" s="128"/>
      <c r="AA66" s="128"/>
      <c r="AB66" s="128"/>
      <c r="AC66" s="128"/>
      <c r="AD66" s="128"/>
      <c r="AE66" s="128"/>
      <c r="AF66" s="128"/>
      <c r="AG66" s="128"/>
      <c r="AH66" s="128"/>
      <c r="AI66" s="128"/>
      <c r="AJ66" s="128"/>
      <c r="AK66" s="128"/>
      <c r="AL66" s="128"/>
      <c r="AM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</row>
    <row r="67" spans="1:51" x14ac:dyDescent="0.2">
      <c r="A67" s="127"/>
      <c r="B67" s="137">
        <v>23</v>
      </c>
      <c r="C67" s="127" t="s">
        <v>293</v>
      </c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</row>
    <row r="68" spans="1:51" x14ac:dyDescent="0.2">
      <c r="A68" s="127"/>
      <c r="B68" s="137">
        <v>24</v>
      </c>
      <c r="C68" s="127" t="s">
        <v>293</v>
      </c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</row>
    <row r="69" spans="1:51" x14ac:dyDescent="0.2">
      <c r="A69" s="127"/>
      <c r="B69" s="144">
        <v>25</v>
      </c>
      <c r="C69" s="127" t="s">
        <v>293</v>
      </c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</row>
    <row r="70" spans="1:51" x14ac:dyDescent="0.2">
      <c r="A70" s="127"/>
      <c r="B70" s="144">
        <v>26</v>
      </c>
      <c r="C70" s="127" t="s">
        <v>293</v>
      </c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</row>
    <row r="71" spans="1:51" x14ac:dyDescent="0.2">
      <c r="A71" s="127"/>
      <c r="B71" s="144">
        <v>27</v>
      </c>
      <c r="C71" s="127" t="s">
        <v>293</v>
      </c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</row>
    <row r="72" spans="1:51" x14ac:dyDescent="0.2">
      <c r="A72" s="127"/>
      <c r="B72" s="144">
        <v>28</v>
      </c>
      <c r="C72" s="127" t="s">
        <v>293</v>
      </c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</row>
    <row r="73" spans="1:51" x14ac:dyDescent="0.2">
      <c r="A73" s="127"/>
      <c r="B73" s="144">
        <v>29</v>
      </c>
      <c r="C73" s="127" t="s">
        <v>293</v>
      </c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</row>
    <row r="74" spans="1:51" x14ac:dyDescent="0.2">
      <c r="A74" s="127"/>
      <c r="B74" s="144">
        <v>30</v>
      </c>
      <c r="C74" s="127" t="s">
        <v>293</v>
      </c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  <c r="AE74" s="128"/>
      <c r="AF74" s="128"/>
      <c r="AG74" s="128"/>
      <c r="AH74" s="128"/>
      <c r="AI74" s="128"/>
      <c r="AJ74" s="128"/>
      <c r="AK74" s="128"/>
      <c r="AL74" s="128"/>
      <c r="AM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</row>
    <row r="75" spans="1:51" x14ac:dyDescent="0.2">
      <c r="A75" s="127"/>
      <c r="B75" s="144">
        <v>31</v>
      </c>
      <c r="C75" s="127" t="s">
        <v>293</v>
      </c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  <c r="AI75" s="128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</row>
    <row r="76" spans="1:51" x14ac:dyDescent="0.2">
      <c r="A76" s="127"/>
      <c r="B76" s="144">
        <v>32</v>
      </c>
      <c r="C76" s="127" t="s">
        <v>293</v>
      </c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128"/>
      <c r="AF76" s="128"/>
      <c r="AG76" s="128"/>
      <c r="AH76" s="128"/>
      <c r="AI76" s="128"/>
      <c r="AJ76" s="128"/>
      <c r="AK76" s="128"/>
      <c r="AL76" s="128"/>
      <c r="AM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</row>
    <row r="77" spans="1:51" x14ac:dyDescent="0.2">
      <c r="A77" s="127"/>
      <c r="B77" s="144">
        <v>33</v>
      </c>
      <c r="C77" s="127" t="s">
        <v>293</v>
      </c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</row>
    <row r="78" spans="1:51" x14ac:dyDescent="0.2">
      <c r="A78" s="127"/>
      <c r="B78" s="144">
        <v>34</v>
      </c>
      <c r="C78" s="127" t="s">
        <v>293</v>
      </c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8"/>
      <c r="AI78" s="128"/>
      <c r="AJ78" s="128"/>
      <c r="AK78" s="128"/>
      <c r="AL78" s="128"/>
      <c r="AM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</row>
    <row r="79" spans="1:51" x14ac:dyDescent="0.2">
      <c r="A79" s="127"/>
      <c r="B79" s="144">
        <v>35</v>
      </c>
      <c r="C79" s="127" t="s">
        <v>293</v>
      </c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  <c r="AE79" s="128"/>
      <c r="AF79" s="128"/>
      <c r="AG79" s="128"/>
      <c r="AH79" s="128"/>
      <c r="AI79" s="128"/>
      <c r="AJ79" s="128"/>
      <c r="AK79" s="128"/>
      <c r="AL79" s="128"/>
      <c r="AM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</row>
    <row r="80" spans="1:51" x14ac:dyDescent="0.2">
      <c r="A80" s="127"/>
      <c r="B80" s="144">
        <v>36</v>
      </c>
      <c r="C80" s="127" t="s">
        <v>293</v>
      </c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</row>
    <row r="81" spans="1:52" x14ac:dyDescent="0.2">
      <c r="A81" s="127"/>
      <c r="B81" s="147">
        <v>37</v>
      </c>
      <c r="C81" s="127" t="s">
        <v>293</v>
      </c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128"/>
      <c r="W81" s="128"/>
      <c r="X81" s="128"/>
      <c r="Y81" s="128"/>
      <c r="Z81" s="128"/>
      <c r="AA81" s="128"/>
      <c r="AB81" s="128"/>
      <c r="AC81" s="128"/>
      <c r="AD81" s="128"/>
      <c r="AE81" s="128"/>
      <c r="AF81" s="128"/>
      <c r="AG81" s="128"/>
      <c r="AH81" s="128"/>
      <c r="AI81" s="128"/>
      <c r="AJ81" s="128"/>
      <c r="AK81" s="128"/>
      <c r="AL81" s="128"/>
      <c r="AM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</row>
    <row r="82" spans="1:52" x14ac:dyDescent="0.2">
      <c r="A82" s="127"/>
      <c r="B82" s="147">
        <v>38</v>
      </c>
      <c r="C82" s="127" t="s">
        <v>293</v>
      </c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128"/>
      <c r="W82" s="128"/>
      <c r="X82" s="128"/>
      <c r="Y82" s="128"/>
      <c r="Z82" s="128"/>
      <c r="AA82" s="128"/>
      <c r="AB82" s="128"/>
      <c r="AC82" s="128"/>
      <c r="AD82" s="128"/>
      <c r="AE82" s="128"/>
      <c r="AF82" s="128"/>
      <c r="AG82" s="128"/>
      <c r="AH82" s="128"/>
      <c r="AI82" s="128"/>
      <c r="AJ82" s="128"/>
      <c r="AK82" s="128"/>
      <c r="AL82" s="128"/>
      <c r="AM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</row>
    <row r="83" spans="1:52" x14ac:dyDescent="0.2">
      <c r="A83" s="127"/>
      <c r="B83" s="147">
        <v>39</v>
      </c>
      <c r="C83" s="127" t="s">
        <v>293</v>
      </c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28"/>
      <c r="AF83" s="128"/>
      <c r="AG83" s="128"/>
      <c r="AH83" s="128"/>
      <c r="AI83" s="128"/>
      <c r="AJ83" s="128"/>
      <c r="AK83" s="128"/>
      <c r="AL83" s="128"/>
      <c r="AM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</row>
    <row r="84" spans="1:52" x14ac:dyDescent="0.2">
      <c r="A84" s="127"/>
      <c r="B84" s="147">
        <v>40</v>
      </c>
      <c r="C84" s="127" t="s">
        <v>293</v>
      </c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28"/>
      <c r="AJ84" s="128"/>
      <c r="AK84" s="128"/>
      <c r="AL84" s="128"/>
      <c r="AM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</row>
    <row r="85" spans="1:52" x14ac:dyDescent="0.2">
      <c r="A85" s="127"/>
      <c r="B85" s="147">
        <v>41</v>
      </c>
      <c r="C85" s="127" t="s">
        <v>293</v>
      </c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128"/>
      <c r="AK85" s="128"/>
      <c r="AL85" s="128"/>
      <c r="AM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</row>
    <row r="86" spans="1:52" x14ac:dyDescent="0.2">
      <c r="A86" s="127"/>
      <c r="B86" s="147">
        <v>42</v>
      </c>
      <c r="C86" s="127" t="s">
        <v>293</v>
      </c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8"/>
      <c r="AE86" s="128"/>
      <c r="AF86" s="128"/>
      <c r="AG86" s="128"/>
      <c r="AH86" s="128"/>
      <c r="AI86" s="128"/>
      <c r="AJ86" s="128"/>
      <c r="AK86" s="128"/>
      <c r="AL86" s="128"/>
      <c r="AM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</row>
    <row r="87" spans="1:52" x14ac:dyDescent="0.2">
      <c r="A87" s="127"/>
      <c r="B87" s="147">
        <v>43</v>
      </c>
      <c r="C87" s="127" t="s">
        <v>293</v>
      </c>
      <c r="D87" s="128"/>
      <c r="E87" s="128"/>
      <c r="F87" s="128"/>
      <c r="G87" s="128"/>
      <c r="H87" s="128"/>
      <c r="I87" s="128"/>
      <c r="J87" s="128"/>
      <c r="K87" s="128"/>
      <c r="L87" s="128">
        <v>0</v>
      </c>
      <c r="M87" s="128">
        <v>0</v>
      </c>
      <c r="N87" s="128">
        <v>0</v>
      </c>
      <c r="O87" s="128">
        <v>0</v>
      </c>
      <c r="P87" s="128">
        <v>0</v>
      </c>
      <c r="Q87" s="128">
        <v>0</v>
      </c>
      <c r="R87" s="128">
        <v>0</v>
      </c>
      <c r="S87" s="128">
        <v>0</v>
      </c>
      <c r="T87" s="128">
        <v>0</v>
      </c>
      <c r="U87" s="128">
        <v>0</v>
      </c>
      <c r="V87" s="128">
        <v>0</v>
      </c>
      <c r="W87" s="128">
        <v>0</v>
      </c>
      <c r="X87" s="128">
        <v>0</v>
      </c>
      <c r="Y87" s="128">
        <v>0</v>
      </c>
      <c r="Z87" s="128">
        <v>0</v>
      </c>
      <c r="AA87" s="128">
        <v>0</v>
      </c>
      <c r="AB87" s="128">
        <v>0</v>
      </c>
      <c r="AC87" s="128">
        <v>0</v>
      </c>
      <c r="AD87" s="128">
        <v>0</v>
      </c>
      <c r="AE87" s="128">
        <v>0</v>
      </c>
      <c r="AF87" s="128">
        <v>0</v>
      </c>
      <c r="AG87" s="128">
        <v>0</v>
      </c>
      <c r="AH87" s="128">
        <v>0</v>
      </c>
      <c r="AI87" s="128">
        <v>0</v>
      </c>
      <c r="AJ87" s="128">
        <v>0</v>
      </c>
      <c r="AK87" s="128"/>
      <c r="AL87" s="128"/>
      <c r="AM87" s="128"/>
      <c r="AN87" s="128"/>
      <c r="AO87" s="128"/>
      <c r="AP87" s="128"/>
      <c r="AQ87" s="128">
        <v>0</v>
      </c>
      <c r="AR87" s="128">
        <v>0</v>
      </c>
      <c r="AS87" s="128">
        <v>0</v>
      </c>
      <c r="AT87" s="128"/>
      <c r="AU87" s="128">
        <v>0</v>
      </c>
      <c r="AV87" s="128">
        <v>0</v>
      </c>
      <c r="AW87" s="128">
        <v>0</v>
      </c>
      <c r="AX87" s="128">
        <v>0</v>
      </c>
      <c r="AY87" s="128">
        <v>0</v>
      </c>
    </row>
    <row r="88" spans="1:52" x14ac:dyDescent="0.2">
      <c r="A88" s="127"/>
      <c r="B88" s="147">
        <v>44</v>
      </c>
      <c r="C88" s="127" t="s">
        <v>293</v>
      </c>
      <c r="D88" s="128"/>
      <c r="E88" s="128"/>
      <c r="F88" s="128"/>
      <c r="G88" s="128"/>
      <c r="H88" s="128"/>
      <c r="I88" s="128">
        <v>0</v>
      </c>
      <c r="J88" s="128">
        <v>0</v>
      </c>
      <c r="K88" s="128">
        <v>0</v>
      </c>
      <c r="L88" s="128">
        <v>0</v>
      </c>
      <c r="M88" s="128">
        <v>0</v>
      </c>
      <c r="N88" s="128">
        <v>0</v>
      </c>
      <c r="O88" s="128">
        <v>0</v>
      </c>
      <c r="P88" s="128">
        <v>0</v>
      </c>
      <c r="Q88" s="128">
        <v>0</v>
      </c>
      <c r="R88" s="128">
        <v>0</v>
      </c>
      <c r="S88" s="128">
        <v>0</v>
      </c>
      <c r="T88" s="128">
        <v>0</v>
      </c>
      <c r="U88" s="128">
        <v>0</v>
      </c>
      <c r="V88" s="128">
        <v>0</v>
      </c>
      <c r="W88" s="128">
        <v>0</v>
      </c>
      <c r="X88" s="128">
        <v>0</v>
      </c>
      <c r="Y88" s="128">
        <v>0</v>
      </c>
      <c r="Z88" s="128">
        <v>0</v>
      </c>
      <c r="AA88" s="128">
        <v>0</v>
      </c>
      <c r="AB88" s="128">
        <v>0</v>
      </c>
      <c r="AC88" s="128">
        <v>0</v>
      </c>
      <c r="AD88" s="128">
        <v>0</v>
      </c>
      <c r="AE88" s="128">
        <v>0</v>
      </c>
      <c r="AF88" s="128">
        <v>0</v>
      </c>
      <c r="AG88" s="128">
        <v>0</v>
      </c>
      <c r="AH88" s="128">
        <v>0</v>
      </c>
      <c r="AI88" s="128">
        <v>0</v>
      </c>
      <c r="AJ88" s="128">
        <v>0</v>
      </c>
      <c r="AK88" s="128">
        <v>0</v>
      </c>
      <c r="AL88" s="128">
        <v>0</v>
      </c>
      <c r="AM88" s="128">
        <v>0</v>
      </c>
      <c r="AN88" s="128">
        <v>0</v>
      </c>
      <c r="AO88" s="128">
        <v>0</v>
      </c>
      <c r="AP88" s="128">
        <v>0</v>
      </c>
      <c r="AQ88" s="128">
        <v>0</v>
      </c>
      <c r="AR88" s="128">
        <v>0</v>
      </c>
      <c r="AS88" s="128">
        <v>0</v>
      </c>
      <c r="AT88" s="128">
        <v>0</v>
      </c>
      <c r="AU88" s="128">
        <v>0</v>
      </c>
      <c r="AV88" s="128">
        <v>0</v>
      </c>
      <c r="AW88" s="128">
        <v>0</v>
      </c>
      <c r="AX88" s="128">
        <v>0</v>
      </c>
      <c r="AY88" s="128">
        <v>0</v>
      </c>
    </row>
    <row r="89" spans="1:52" x14ac:dyDescent="0.2">
      <c r="A89" s="127"/>
      <c r="B89" s="147">
        <v>45</v>
      </c>
      <c r="C89" s="127" t="s">
        <v>293</v>
      </c>
      <c r="D89" s="128">
        <v>0</v>
      </c>
      <c r="E89" s="128">
        <v>0</v>
      </c>
      <c r="F89" s="128">
        <v>0</v>
      </c>
      <c r="G89" s="128">
        <v>0</v>
      </c>
      <c r="H89" s="128">
        <v>0</v>
      </c>
      <c r="I89" s="128">
        <v>0</v>
      </c>
      <c r="J89" s="128">
        <v>0</v>
      </c>
      <c r="K89" s="128">
        <v>0</v>
      </c>
      <c r="L89" s="128">
        <v>0</v>
      </c>
      <c r="M89" s="128">
        <v>0</v>
      </c>
      <c r="N89" s="128">
        <v>0</v>
      </c>
      <c r="O89" s="128">
        <v>0</v>
      </c>
      <c r="P89" s="128">
        <v>0</v>
      </c>
      <c r="Q89" s="128">
        <v>0</v>
      </c>
      <c r="R89" s="128">
        <v>0</v>
      </c>
      <c r="S89" s="128">
        <v>0</v>
      </c>
      <c r="T89" s="128">
        <v>0</v>
      </c>
      <c r="U89" s="128">
        <v>0</v>
      </c>
      <c r="V89" s="128">
        <v>0</v>
      </c>
      <c r="W89" s="128">
        <v>0</v>
      </c>
      <c r="X89" s="128">
        <v>0</v>
      </c>
      <c r="Y89" s="128">
        <v>0</v>
      </c>
      <c r="Z89" s="128">
        <v>0</v>
      </c>
      <c r="AA89" s="128">
        <v>0</v>
      </c>
      <c r="AB89" s="128">
        <v>0</v>
      </c>
      <c r="AC89" s="128">
        <v>0</v>
      </c>
      <c r="AD89" s="128">
        <v>0</v>
      </c>
      <c r="AE89" s="128">
        <v>0</v>
      </c>
      <c r="AF89" s="128">
        <v>0</v>
      </c>
      <c r="AG89" s="128">
        <v>0</v>
      </c>
      <c r="AH89" s="128">
        <v>0</v>
      </c>
      <c r="AI89" s="128">
        <v>0</v>
      </c>
      <c r="AJ89" s="128">
        <v>0</v>
      </c>
      <c r="AK89" s="128">
        <v>0</v>
      </c>
      <c r="AL89" s="128">
        <v>0</v>
      </c>
      <c r="AM89" s="128">
        <v>0</v>
      </c>
      <c r="AN89" s="128">
        <v>0</v>
      </c>
      <c r="AO89" s="128">
        <v>0</v>
      </c>
      <c r="AP89" s="128">
        <v>0</v>
      </c>
      <c r="AQ89" s="128">
        <v>0</v>
      </c>
      <c r="AR89" s="128">
        <v>0</v>
      </c>
      <c r="AS89" s="128">
        <v>0</v>
      </c>
      <c r="AT89" s="128">
        <v>0</v>
      </c>
      <c r="AU89" s="128">
        <v>0</v>
      </c>
      <c r="AV89" s="128">
        <v>0</v>
      </c>
      <c r="AW89" s="128">
        <v>0</v>
      </c>
      <c r="AX89" s="128">
        <v>0</v>
      </c>
      <c r="AY89" s="128">
        <v>0</v>
      </c>
    </row>
    <row r="90" spans="1:52" x14ac:dyDescent="0.2">
      <c r="A90" s="127"/>
      <c r="B90" s="147">
        <v>46</v>
      </c>
      <c r="C90" s="127" t="s">
        <v>293</v>
      </c>
      <c r="D90" s="128">
        <v>0</v>
      </c>
      <c r="E90" s="128">
        <v>0</v>
      </c>
      <c r="F90" s="128">
        <v>0</v>
      </c>
      <c r="G90" s="128">
        <v>0</v>
      </c>
      <c r="H90" s="128">
        <v>0</v>
      </c>
      <c r="I90" s="128">
        <v>0</v>
      </c>
      <c r="J90" s="128">
        <v>0</v>
      </c>
      <c r="K90" s="128">
        <v>0</v>
      </c>
      <c r="L90" s="128">
        <v>0</v>
      </c>
      <c r="M90" s="128">
        <v>0</v>
      </c>
      <c r="N90" s="128">
        <v>0</v>
      </c>
      <c r="O90" s="128">
        <v>0</v>
      </c>
      <c r="P90" s="128">
        <v>0</v>
      </c>
      <c r="Q90" s="128">
        <v>0</v>
      </c>
      <c r="R90" s="128">
        <v>0</v>
      </c>
      <c r="S90" s="128">
        <v>0</v>
      </c>
      <c r="T90" s="128">
        <v>0</v>
      </c>
      <c r="U90" s="128">
        <v>0</v>
      </c>
      <c r="V90" s="128">
        <v>0</v>
      </c>
      <c r="W90" s="128">
        <v>0</v>
      </c>
      <c r="X90" s="128">
        <v>0</v>
      </c>
      <c r="Y90" s="128">
        <v>0</v>
      </c>
      <c r="Z90" s="128">
        <v>0</v>
      </c>
      <c r="AA90" s="128">
        <v>0</v>
      </c>
      <c r="AB90" s="128">
        <v>0</v>
      </c>
      <c r="AC90" s="128">
        <v>0</v>
      </c>
      <c r="AD90" s="128">
        <v>0</v>
      </c>
      <c r="AE90" s="128">
        <v>0</v>
      </c>
      <c r="AF90" s="128">
        <v>0</v>
      </c>
      <c r="AG90" s="128">
        <v>0</v>
      </c>
      <c r="AH90" s="128">
        <v>0</v>
      </c>
      <c r="AI90" s="128">
        <v>0</v>
      </c>
      <c r="AJ90" s="128">
        <v>0</v>
      </c>
      <c r="AK90" s="128">
        <v>0</v>
      </c>
      <c r="AL90" s="128">
        <v>0</v>
      </c>
      <c r="AM90" s="128">
        <v>0</v>
      </c>
      <c r="AN90" s="128">
        <v>0</v>
      </c>
      <c r="AO90" s="128">
        <v>0</v>
      </c>
      <c r="AP90" s="128">
        <v>0</v>
      </c>
      <c r="AQ90" s="128">
        <v>0</v>
      </c>
      <c r="AR90" s="128">
        <v>0</v>
      </c>
      <c r="AS90" s="128">
        <v>0</v>
      </c>
      <c r="AT90" s="128">
        <v>0</v>
      </c>
      <c r="AU90" s="128">
        <v>0</v>
      </c>
      <c r="AV90" s="128">
        <v>0</v>
      </c>
      <c r="AW90" s="128">
        <v>0</v>
      </c>
      <c r="AX90" s="128">
        <v>0</v>
      </c>
      <c r="AY90" s="128">
        <v>0</v>
      </c>
    </row>
    <row r="91" spans="1:52" x14ac:dyDescent="0.2">
      <c r="A91" s="127"/>
      <c r="B91" s="147">
        <v>47</v>
      </c>
      <c r="C91" s="127" t="s">
        <v>293</v>
      </c>
      <c r="D91" s="128">
        <v>0</v>
      </c>
      <c r="E91" s="128">
        <v>0</v>
      </c>
      <c r="F91" s="128">
        <v>0</v>
      </c>
      <c r="G91" s="128">
        <v>0</v>
      </c>
      <c r="H91" s="128">
        <v>0</v>
      </c>
      <c r="I91" s="128">
        <v>0</v>
      </c>
      <c r="J91" s="128">
        <v>0</v>
      </c>
      <c r="K91" s="128">
        <v>0</v>
      </c>
      <c r="L91" s="128">
        <v>0</v>
      </c>
      <c r="M91" s="128">
        <v>0</v>
      </c>
      <c r="N91" s="128">
        <v>0</v>
      </c>
      <c r="O91" s="128">
        <v>0</v>
      </c>
      <c r="P91" s="128">
        <v>0</v>
      </c>
      <c r="Q91" s="128">
        <v>0</v>
      </c>
      <c r="R91" s="128">
        <v>0</v>
      </c>
      <c r="S91" s="128">
        <v>0</v>
      </c>
      <c r="T91" s="128">
        <v>0</v>
      </c>
      <c r="U91" s="128">
        <v>0</v>
      </c>
      <c r="V91" s="128">
        <v>0</v>
      </c>
      <c r="W91" s="128">
        <v>0</v>
      </c>
      <c r="X91" s="128">
        <v>0</v>
      </c>
      <c r="Y91" s="128">
        <v>0</v>
      </c>
      <c r="Z91" s="128">
        <v>0</v>
      </c>
      <c r="AA91" s="128">
        <v>0</v>
      </c>
      <c r="AB91" s="128">
        <v>0</v>
      </c>
      <c r="AC91" s="128">
        <v>0</v>
      </c>
      <c r="AD91" s="128">
        <v>0</v>
      </c>
      <c r="AE91" s="128">
        <v>0</v>
      </c>
      <c r="AF91" s="128">
        <v>0</v>
      </c>
      <c r="AG91" s="128">
        <v>0</v>
      </c>
      <c r="AH91" s="128">
        <v>0</v>
      </c>
      <c r="AI91" s="128">
        <v>0</v>
      </c>
      <c r="AJ91" s="128">
        <v>0</v>
      </c>
      <c r="AK91" s="128">
        <v>0</v>
      </c>
      <c r="AL91" s="128">
        <v>0</v>
      </c>
      <c r="AM91" s="128">
        <v>0</v>
      </c>
      <c r="AN91" s="128">
        <v>0</v>
      </c>
      <c r="AO91" s="128">
        <v>0</v>
      </c>
      <c r="AP91" s="128">
        <v>0</v>
      </c>
      <c r="AQ91" s="128">
        <v>0</v>
      </c>
      <c r="AR91" s="128">
        <v>0</v>
      </c>
      <c r="AS91" s="128">
        <v>0</v>
      </c>
      <c r="AT91" s="128">
        <v>0</v>
      </c>
      <c r="AU91" s="128">
        <v>0</v>
      </c>
      <c r="AV91" s="128">
        <v>0</v>
      </c>
      <c r="AW91" s="128">
        <v>0</v>
      </c>
      <c r="AX91" s="128">
        <v>0</v>
      </c>
      <c r="AY91" s="128">
        <v>0</v>
      </c>
    </row>
    <row r="92" spans="1:52" x14ac:dyDescent="0.2">
      <c r="A92" s="145"/>
      <c r="B92" s="146">
        <v>48</v>
      </c>
      <c r="C92" s="145" t="s">
        <v>293</v>
      </c>
      <c r="D92" s="142">
        <v>0</v>
      </c>
      <c r="E92" s="142">
        <v>0</v>
      </c>
      <c r="F92" s="142">
        <v>0</v>
      </c>
      <c r="G92" s="142">
        <v>0</v>
      </c>
      <c r="H92" s="142">
        <v>0</v>
      </c>
      <c r="I92" s="142">
        <v>0</v>
      </c>
      <c r="J92" s="142">
        <v>0</v>
      </c>
      <c r="K92" s="142">
        <v>0</v>
      </c>
      <c r="L92" s="142">
        <v>0</v>
      </c>
      <c r="M92" s="142">
        <v>0</v>
      </c>
      <c r="N92" s="142">
        <v>0</v>
      </c>
      <c r="O92" s="142">
        <v>0</v>
      </c>
      <c r="P92" s="142">
        <v>0</v>
      </c>
      <c r="Q92" s="142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142">
        <v>0</v>
      </c>
      <c r="X92" s="142">
        <v>0</v>
      </c>
      <c r="Y92" s="142">
        <v>0</v>
      </c>
      <c r="Z92" s="142">
        <v>0</v>
      </c>
      <c r="AA92" s="142">
        <v>0</v>
      </c>
      <c r="AB92" s="142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142">
        <v>0</v>
      </c>
      <c r="AJ92" s="142">
        <v>0</v>
      </c>
      <c r="AK92" s="142">
        <v>0</v>
      </c>
      <c r="AL92" s="142">
        <v>0</v>
      </c>
      <c r="AM92" s="142">
        <v>0</v>
      </c>
      <c r="AN92" s="142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142">
        <v>0</v>
      </c>
      <c r="AU92" s="142">
        <v>0</v>
      </c>
      <c r="AV92" s="142">
        <v>0</v>
      </c>
      <c r="AW92" s="142">
        <v>0</v>
      </c>
      <c r="AX92" s="142">
        <v>0</v>
      </c>
      <c r="AY92" s="142">
        <v>0</v>
      </c>
      <c r="AZ92" s="125">
        <f>SUM(D21:AY92)</f>
        <v>276993.2192818395</v>
      </c>
    </row>
    <row r="94" spans="1:52" x14ac:dyDescent="0.2">
      <c r="A94" s="1" t="s">
        <v>295</v>
      </c>
      <c r="B94" s="124"/>
      <c r="C94" s="124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</row>
    <row r="95" spans="1:52" x14ac:dyDescent="0.2">
      <c r="A95" s="143" t="s">
        <v>125</v>
      </c>
      <c r="B95" s="140">
        <v>1</v>
      </c>
      <c r="C95" s="141">
        <v>1815.2605546071918</v>
      </c>
      <c r="D95" s="128">
        <v>2019.1941127089067</v>
      </c>
      <c r="E95" s="128">
        <v>1704.5230114286173</v>
      </c>
      <c r="F95" s="128">
        <v>2335.8113758459922</v>
      </c>
      <c r="G95" s="128">
        <v>1808.0767133701165</v>
      </c>
      <c r="H95" s="128">
        <v>290.50132481315154</v>
      </c>
      <c r="I95" s="128">
        <v>0</v>
      </c>
      <c r="J95" s="128">
        <v>0</v>
      </c>
      <c r="K95" s="128">
        <v>0</v>
      </c>
      <c r="L95" s="128">
        <v>0</v>
      </c>
      <c r="M95" s="128">
        <v>0</v>
      </c>
      <c r="N95" s="128">
        <v>0</v>
      </c>
      <c r="O95" s="128">
        <v>0</v>
      </c>
      <c r="P95" s="128">
        <v>0</v>
      </c>
      <c r="Q95" s="128">
        <v>0</v>
      </c>
      <c r="R95" s="128">
        <v>0</v>
      </c>
      <c r="S95" s="128">
        <v>0</v>
      </c>
      <c r="T95" s="128">
        <v>0</v>
      </c>
      <c r="U95" s="128">
        <v>0</v>
      </c>
      <c r="V95" s="128">
        <v>0</v>
      </c>
      <c r="W95" s="128">
        <v>0</v>
      </c>
      <c r="X95" s="128">
        <v>0</v>
      </c>
      <c r="Y95" s="128">
        <v>0</v>
      </c>
      <c r="Z95" s="128">
        <v>0</v>
      </c>
      <c r="AA95" s="128">
        <v>0</v>
      </c>
      <c r="AB95" s="128">
        <v>0</v>
      </c>
      <c r="AC95" s="128">
        <v>0</v>
      </c>
      <c r="AD95" s="128">
        <v>0</v>
      </c>
      <c r="AE95" s="128">
        <v>0</v>
      </c>
      <c r="AF95" s="128">
        <v>0</v>
      </c>
      <c r="AG95" s="128">
        <v>0</v>
      </c>
      <c r="AH95" s="128">
        <v>0</v>
      </c>
      <c r="AI95" s="128">
        <v>0</v>
      </c>
      <c r="AJ95" s="128">
        <v>0</v>
      </c>
      <c r="AK95" s="128">
        <v>0</v>
      </c>
      <c r="AL95" s="128">
        <v>0</v>
      </c>
      <c r="AM95" s="128">
        <v>0</v>
      </c>
      <c r="AN95" s="128">
        <v>0</v>
      </c>
      <c r="AO95" s="128">
        <v>0</v>
      </c>
      <c r="AP95" s="128">
        <v>0</v>
      </c>
      <c r="AQ95" s="128">
        <v>0</v>
      </c>
      <c r="AR95" s="128">
        <v>0</v>
      </c>
      <c r="AS95" s="128">
        <v>0</v>
      </c>
      <c r="AT95" s="128">
        <v>0</v>
      </c>
      <c r="AU95" s="128">
        <v>0</v>
      </c>
      <c r="AV95" s="128">
        <v>0</v>
      </c>
      <c r="AW95" s="128">
        <v>0</v>
      </c>
      <c r="AX95" s="128">
        <v>0</v>
      </c>
      <c r="AY95" s="128">
        <v>0</v>
      </c>
    </row>
    <row r="96" spans="1:52" x14ac:dyDescent="0.2">
      <c r="A96" s="127"/>
      <c r="B96" s="137">
        <v>2</v>
      </c>
      <c r="C96" s="128">
        <v>0</v>
      </c>
      <c r="D96" s="128">
        <v>0</v>
      </c>
      <c r="E96" s="128">
        <v>0</v>
      </c>
      <c r="F96" s="128">
        <v>0</v>
      </c>
      <c r="G96" s="128">
        <v>0</v>
      </c>
      <c r="H96" s="128">
        <v>0</v>
      </c>
      <c r="I96" s="128">
        <v>0</v>
      </c>
      <c r="J96" s="128">
        <v>0</v>
      </c>
      <c r="K96" s="128">
        <v>0</v>
      </c>
      <c r="L96" s="128">
        <v>0</v>
      </c>
      <c r="M96" s="128">
        <v>0</v>
      </c>
      <c r="N96" s="128">
        <v>0</v>
      </c>
      <c r="O96" s="128">
        <v>0</v>
      </c>
      <c r="P96" s="128">
        <v>0</v>
      </c>
      <c r="Q96" s="128">
        <v>0</v>
      </c>
      <c r="R96" s="128">
        <v>0</v>
      </c>
      <c r="S96" s="128">
        <v>0</v>
      </c>
      <c r="T96" s="128">
        <v>0</v>
      </c>
      <c r="U96" s="128">
        <v>0</v>
      </c>
      <c r="V96" s="128">
        <v>0</v>
      </c>
      <c r="W96" s="128">
        <v>0</v>
      </c>
      <c r="X96" s="128">
        <v>0</v>
      </c>
      <c r="Y96" s="128">
        <v>0</v>
      </c>
      <c r="Z96" s="128">
        <v>0</v>
      </c>
      <c r="AA96" s="128">
        <v>0</v>
      </c>
      <c r="AB96" s="128">
        <v>0</v>
      </c>
      <c r="AC96" s="128">
        <v>0</v>
      </c>
      <c r="AD96" s="128">
        <v>0</v>
      </c>
      <c r="AE96" s="128">
        <v>0</v>
      </c>
      <c r="AF96" s="128">
        <v>0</v>
      </c>
      <c r="AG96" s="128">
        <v>0</v>
      </c>
      <c r="AH96" s="128">
        <v>0</v>
      </c>
      <c r="AI96" s="128">
        <v>0</v>
      </c>
      <c r="AJ96" s="128">
        <v>0</v>
      </c>
      <c r="AK96" s="128">
        <v>0</v>
      </c>
      <c r="AL96" s="128">
        <v>0</v>
      </c>
      <c r="AM96" s="128">
        <v>0</v>
      </c>
      <c r="AN96" s="128">
        <v>0</v>
      </c>
      <c r="AO96" s="128">
        <v>0</v>
      </c>
      <c r="AP96" s="128">
        <v>0</v>
      </c>
      <c r="AQ96" s="128">
        <v>0</v>
      </c>
      <c r="AR96" s="128">
        <v>0</v>
      </c>
      <c r="AS96" s="128">
        <v>0</v>
      </c>
      <c r="AT96" s="128">
        <v>0</v>
      </c>
      <c r="AU96" s="128">
        <v>0</v>
      </c>
      <c r="AV96" s="128">
        <v>0</v>
      </c>
      <c r="AW96" s="128">
        <v>0</v>
      </c>
      <c r="AX96" s="128">
        <v>0</v>
      </c>
      <c r="AY96" s="128">
        <v>0</v>
      </c>
    </row>
    <row r="97" spans="1:52" x14ac:dyDescent="0.2">
      <c r="A97" s="127"/>
      <c r="B97" s="144">
        <v>3</v>
      </c>
      <c r="C97" s="128">
        <v>0</v>
      </c>
      <c r="D97" s="128">
        <v>0</v>
      </c>
      <c r="E97" s="128">
        <v>0</v>
      </c>
      <c r="F97" s="128">
        <v>0</v>
      </c>
      <c r="G97" s="128">
        <v>0</v>
      </c>
      <c r="H97" s="128">
        <v>0</v>
      </c>
      <c r="I97" s="128">
        <v>0</v>
      </c>
      <c r="J97" s="128">
        <v>0</v>
      </c>
      <c r="K97" s="128">
        <v>0</v>
      </c>
      <c r="L97" s="128">
        <v>0</v>
      </c>
      <c r="M97" s="128">
        <v>0</v>
      </c>
      <c r="N97" s="128">
        <v>0</v>
      </c>
      <c r="O97" s="128">
        <v>0</v>
      </c>
      <c r="P97" s="128">
        <v>0</v>
      </c>
      <c r="Q97" s="128">
        <v>0</v>
      </c>
      <c r="R97" s="128">
        <v>0</v>
      </c>
      <c r="S97" s="128">
        <v>0</v>
      </c>
      <c r="T97" s="128">
        <v>0</v>
      </c>
      <c r="U97" s="128">
        <v>0</v>
      </c>
      <c r="V97" s="128">
        <v>0</v>
      </c>
      <c r="W97" s="128">
        <v>0</v>
      </c>
      <c r="X97" s="128">
        <v>0</v>
      </c>
      <c r="Y97" s="128">
        <v>0</v>
      </c>
      <c r="Z97" s="128">
        <v>0</v>
      </c>
      <c r="AA97" s="128">
        <v>0</v>
      </c>
      <c r="AB97" s="128">
        <v>0</v>
      </c>
      <c r="AC97" s="128">
        <v>0</v>
      </c>
      <c r="AD97" s="128">
        <v>0</v>
      </c>
      <c r="AE97" s="128">
        <v>0</v>
      </c>
      <c r="AF97" s="128">
        <v>0</v>
      </c>
      <c r="AG97" s="128">
        <v>0</v>
      </c>
      <c r="AH97" s="128">
        <v>0</v>
      </c>
      <c r="AI97" s="128">
        <v>0</v>
      </c>
      <c r="AJ97" s="128">
        <v>0</v>
      </c>
      <c r="AK97" s="128">
        <v>0</v>
      </c>
      <c r="AL97" s="128">
        <v>0</v>
      </c>
      <c r="AM97" s="128">
        <v>0</v>
      </c>
      <c r="AN97" s="128">
        <v>0</v>
      </c>
      <c r="AO97" s="128">
        <v>0</v>
      </c>
      <c r="AP97" s="128">
        <v>0</v>
      </c>
      <c r="AQ97" s="128">
        <v>0</v>
      </c>
      <c r="AR97" s="128">
        <v>0</v>
      </c>
      <c r="AS97" s="128">
        <v>0</v>
      </c>
      <c r="AT97" s="128">
        <v>0</v>
      </c>
      <c r="AU97" s="128">
        <v>0</v>
      </c>
      <c r="AV97" s="128">
        <v>0</v>
      </c>
      <c r="AW97" s="128">
        <v>0</v>
      </c>
      <c r="AX97" s="128">
        <v>0</v>
      </c>
      <c r="AY97" s="128">
        <v>0</v>
      </c>
    </row>
    <row r="98" spans="1:52" x14ac:dyDescent="0.2">
      <c r="A98" s="127"/>
      <c r="B98" s="147">
        <v>4</v>
      </c>
      <c r="C98" s="124">
        <v>0</v>
      </c>
      <c r="D98" s="128">
        <v>0</v>
      </c>
      <c r="E98" s="128">
        <v>0</v>
      </c>
      <c r="F98" s="128">
        <v>0</v>
      </c>
      <c r="G98" s="128">
        <v>0</v>
      </c>
      <c r="H98" s="128">
        <v>0</v>
      </c>
      <c r="I98" s="128">
        <v>0</v>
      </c>
      <c r="J98" s="128">
        <v>0</v>
      </c>
      <c r="K98" s="128">
        <v>0</v>
      </c>
      <c r="L98" s="128">
        <v>0</v>
      </c>
      <c r="M98" s="128">
        <v>0</v>
      </c>
      <c r="N98" s="128">
        <v>0</v>
      </c>
      <c r="O98" s="128">
        <v>0</v>
      </c>
      <c r="P98" s="128">
        <v>0</v>
      </c>
      <c r="Q98" s="128">
        <v>0</v>
      </c>
      <c r="R98" s="128">
        <v>0</v>
      </c>
      <c r="S98" s="128">
        <v>0</v>
      </c>
      <c r="T98" s="128">
        <v>0</v>
      </c>
      <c r="U98" s="128">
        <v>0</v>
      </c>
      <c r="V98" s="128">
        <v>0</v>
      </c>
      <c r="W98" s="128">
        <v>0</v>
      </c>
      <c r="X98" s="128">
        <v>0</v>
      </c>
      <c r="Y98" s="128">
        <v>0</v>
      </c>
      <c r="Z98" s="128">
        <v>0</v>
      </c>
      <c r="AA98" s="128">
        <v>0</v>
      </c>
      <c r="AB98" s="128">
        <v>0</v>
      </c>
      <c r="AC98" s="128">
        <v>0</v>
      </c>
      <c r="AD98" s="128">
        <v>0</v>
      </c>
      <c r="AE98" s="128">
        <v>0</v>
      </c>
      <c r="AF98" s="128">
        <v>0</v>
      </c>
      <c r="AG98" s="128">
        <v>0</v>
      </c>
      <c r="AH98" s="128">
        <v>0</v>
      </c>
      <c r="AI98" s="128">
        <v>0</v>
      </c>
      <c r="AJ98" s="128">
        <v>0</v>
      </c>
      <c r="AK98" s="128">
        <v>0</v>
      </c>
      <c r="AL98" s="128">
        <v>0</v>
      </c>
      <c r="AM98" s="128">
        <v>0</v>
      </c>
      <c r="AN98" s="128">
        <v>0</v>
      </c>
      <c r="AO98" s="128">
        <v>0</v>
      </c>
      <c r="AP98" s="128">
        <v>0</v>
      </c>
      <c r="AQ98" s="128">
        <v>0</v>
      </c>
      <c r="AR98" s="128">
        <v>0</v>
      </c>
      <c r="AS98" s="128">
        <v>0</v>
      </c>
      <c r="AT98" s="128">
        <v>0</v>
      </c>
      <c r="AU98" s="128">
        <v>0</v>
      </c>
      <c r="AV98" s="128">
        <v>0</v>
      </c>
      <c r="AW98" s="128">
        <v>0</v>
      </c>
      <c r="AX98" s="128">
        <v>0</v>
      </c>
      <c r="AY98" s="128">
        <v>0</v>
      </c>
    </row>
    <row r="99" spans="1:52" x14ac:dyDescent="0.2">
      <c r="A99" s="145"/>
      <c r="B99" s="149" t="s">
        <v>296</v>
      </c>
      <c r="C99" s="142">
        <v>0</v>
      </c>
      <c r="D99" s="142">
        <v>0</v>
      </c>
      <c r="E99" s="142">
        <v>0</v>
      </c>
      <c r="F99" s="142">
        <v>0</v>
      </c>
      <c r="G99" s="142">
        <v>0</v>
      </c>
      <c r="H99" s="142">
        <v>0</v>
      </c>
      <c r="I99" s="142">
        <v>0</v>
      </c>
      <c r="J99" s="142">
        <v>0</v>
      </c>
      <c r="K99" s="142">
        <v>0</v>
      </c>
      <c r="L99" s="142">
        <v>0</v>
      </c>
      <c r="M99" s="142">
        <v>0</v>
      </c>
      <c r="N99" s="142">
        <v>0</v>
      </c>
      <c r="O99" s="142">
        <v>0</v>
      </c>
      <c r="P99" s="142">
        <v>0</v>
      </c>
      <c r="Q99" s="142">
        <v>0</v>
      </c>
      <c r="R99" s="142">
        <v>0</v>
      </c>
      <c r="S99" s="142">
        <v>0</v>
      </c>
      <c r="T99" s="142">
        <v>0</v>
      </c>
      <c r="U99" s="142">
        <v>0</v>
      </c>
      <c r="V99" s="142">
        <v>0</v>
      </c>
      <c r="W99" s="142">
        <v>0</v>
      </c>
      <c r="X99" s="142">
        <v>0</v>
      </c>
      <c r="Y99" s="142">
        <v>0</v>
      </c>
      <c r="Z99" s="142">
        <v>0</v>
      </c>
      <c r="AA99" s="142">
        <v>0</v>
      </c>
      <c r="AB99" s="142">
        <v>0</v>
      </c>
      <c r="AC99" s="142">
        <v>0</v>
      </c>
      <c r="AD99" s="142">
        <v>0</v>
      </c>
      <c r="AE99" s="142">
        <v>0</v>
      </c>
      <c r="AF99" s="142">
        <v>0</v>
      </c>
      <c r="AG99" s="142">
        <v>0</v>
      </c>
      <c r="AH99" s="142">
        <v>0</v>
      </c>
      <c r="AI99" s="142">
        <v>0</v>
      </c>
      <c r="AJ99" s="142">
        <v>0</v>
      </c>
      <c r="AK99" s="142">
        <v>0</v>
      </c>
      <c r="AL99" s="142">
        <v>0</v>
      </c>
      <c r="AM99" s="142">
        <v>0</v>
      </c>
      <c r="AN99" s="142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142">
        <v>0</v>
      </c>
      <c r="AU99" s="142">
        <v>0</v>
      </c>
      <c r="AV99" s="142">
        <v>0</v>
      </c>
      <c r="AW99" s="142">
        <v>0</v>
      </c>
      <c r="AX99" s="142">
        <v>0</v>
      </c>
      <c r="AY99" s="142">
        <v>0</v>
      </c>
      <c r="AZ99" s="125">
        <f>SUM($D99:$AY99)</f>
        <v>0</v>
      </c>
    </row>
    <row r="100" spans="1:52" x14ac:dyDescent="0.2">
      <c r="A100" s="148" t="s">
        <v>133</v>
      </c>
      <c r="B100" s="136">
        <v>1</v>
      </c>
      <c r="C100" s="124">
        <v>536.17807282692706</v>
      </c>
      <c r="D100" s="124">
        <v>116.17807282692708</v>
      </c>
      <c r="E100" s="124">
        <v>1147.7885711154283</v>
      </c>
      <c r="F100" s="124">
        <v>117</v>
      </c>
      <c r="G100" s="124">
        <v>296.24279961126308</v>
      </c>
      <c r="H100" s="124">
        <v>1303.5034998170149</v>
      </c>
      <c r="I100" s="124">
        <v>915.83727127866814</v>
      </c>
      <c r="J100" s="124">
        <v>605.34110349234106</v>
      </c>
      <c r="K100" s="124">
        <v>697.13727127866809</v>
      </c>
      <c r="L100" s="124">
        <v>915.83727127866814</v>
      </c>
      <c r="M100" s="124">
        <v>697.13727127866809</v>
      </c>
      <c r="N100" s="124">
        <v>915.83727127866814</v>
      </c>
      <c r="O100" s="124">
        <v>915.83727127866814</v>
      </c>
      <c r="P100" s="124">
        <v>915.83727127866814</v>
      </c>
      <c r="Q100" s="124">
        <v>915.83727127866814</v>
      </c>
      <c r="R100" s="124">
        <v>760.13727127866809</v>
      </c>
      <c r="S100" s="124">
        <v>697.13727127866809</v>
      </c>
      <c r="T100" s="124">
        <v>915.83727127866814</v>
      </c>
      <c r="U100" s="124">
        <v>644.15415700949461</v>
      </c>
      <c r="V100" s="124">
        <v>1187.5203855478417</v>
      </c>
      <c r="W100" s="124">
        <v>915.83727127866814</v>
      </c>
      <c r="X100" s="124">
        <v>915.83727127866814</v>
      </c>
      <c r="Y100" s="124">
        <v>697.13727127866809</v>
      </c>
      <c r="Z100" s="124">
        <v>915.83727127866814</v>
      </c>
      <c r="AA100" s="124">
        <v>915.83727127866814</v>
      </c>
      <c r="AB100" s="124">
        <v>644.15415700949461</v>
      </c>
      <c r="AC100" s="124">
        <v>1187.5203855478417</v>
      </c>
      <c r="AD100" s="124">
        <v>760.13727127866809</v>
      </c>
      <c r="AE100" s="124">
        <v>915.83727127866814</v>
      </c>
      <c r="AF100" s="124">
        <v>643.13727127866809</v>
      </c>
      <c r="AG100" s="124">
        <v>915.83727127866814</v>
      </c>
      <c r="AH100" s="124">
        <v>915.83727127866814</v>
      </c>
      <c r="AI100" s="124">
        <v>544.38311426917357</v>
      </c>
      <c r="AJ100" s="124">
        <v>983.68311426917353</v>
      </c>
      <c r="AK100" s="124">
        <v>664.38311426917357</v>
      </c>
      <c r="AL100" s="124">
        <v>529.94348382725252</v>
      </c>
      <c r="AM100" s="124">
        <v>701.43241190232231</v>
      </c>
      <c r="AN100" s="124">
        <v>915.83727127866814</v>
      </c>
      <c r="AO100" s="124">
        <v>814.13727127866809</v>
      </c>
      <c r="AP100" s="124">
        <v>915.83727127866814</v>
      </c>
      <c r="AQ100" s="124">
        <v>915.83727127866814</v>
      </c>
      <c r="AR100" s="124">
        <v>915.83727127866814</v>
      </c>
      <c r="AS100" s="124">
        <v>915.83727127866814</v>
      </c>
      <c r="AT100" s="124">
        <v>271.68311426917353</v>
      </c>
      <c r="AU100" s="124">
        <v>1177.9310280445079</v>
      </c>
      <c r="AV100" s="124">
        <v>337.43859490704858</v>
      </c>
      <c r="AW100" s="124">
        <v>422.5392585807316</v>
      </c>
      <c r="AX100" s="124">
        <v>1058.1002866932763</v>
      </c>
      <c r="AY100" s="124">
        <v>724.38311426917357</v>
      </c>
    </row>
    <row r="101" spans="1:52" x14ac:dyDescent="0.2">
      <c r="A101" s="127"/>
      <c r="B101" s="136">
        <v>2</v>
      </c>
      <c r="C101" s="124">
        <v>0</v>
      </c>
      <c r="D101" s="124">
        <v>36.5</v>
      </c>
      <c r="E101" s="124">
        <v>456.5</v>
      </c>
      <c r="F101" s="124">
        <v>336.28857111542834</v>
      </c>
      <c r="G101" s="124">
        <v>397.41302358654707</v>
      </c>
      <c r="H101" s="124">
        <v>218.70000000000005</v>
      </c>
      <c r="I101" s="124">
        <v>640.90349981701502</v>
      </c>
      <c r="J101" s="124">
        <v>610.74077109568316</v>
      </c>
      <c r="K101" s="124">
        <v>150.08187458802422</v>
      </c>
      <c r="L101" s="124">
        <v>218.70000000000005</v>
      </c>
      <c r="M101" s="124">
        <v>130.53727127866819</v>
      </c>
      <c r="N101" s="124">
        <v>218.70000000000005</v>
      </c>
      <c r="O101" s="124">
        <v>281.53727127866819</v>
      </c>
      <c r="P101" s="124">
        <v>310.37454255733633</v>
      </c>
      <c r="Q101" s="124">
        <v>122.21181383600447</v>
      </c>
      <c r="R101" s="124">
        <v>50.049085114672607</v>
      </c>
      <c r="S101" s="124">
        <v>155.70000000000005</v>
      </c>
      <c r="T101" s="124">
        <v>218.70000000000005</v>
      </c>
      <c r="U101" s="124">
        <v>122.53727127866819</v>
      </c>
      <c r="V101" s="124">
        <v>0</v>
      </c>
      <c r="W101" s="124">
        <v>226.52038554784167</v>
      </c>
      <c r="X101" s="124">
        <v>213.35765682650981</v>
      </c>
      <c r="Y101" s="124">
        <v>0</v>
      </c>
      <c r="Z101" s="124">
        <v>218.70000000000005</v>
      </c>
      <c r="AA101" s="124">
        <v>184.53727127866819</v>
      </c>
      <c r="AB101" s="124">
        <v>0</v>
      </c>
      <c r="AC101" s="124">
        <v>0</v>
      </c>
      <c r="AD101" s="124">
        <v>269.52038554784167</v>
      </c>
      <c r="AE101" s="124">
        <v>50.657656826509765</v>
      </c>
      <c r="AF101" s="124">
        <v>26.494928105177905</v>
      </c>
      <c r="AG101" s="124">
        <v>0</v>
      </c>
      <c r="AH101" s="124">
        <v>0</v>
      </c>
      <c r="AI101" s="124">
        <v>1.8372712786681404</v>
      </c>
      <c r="AJ101" s="124">
        <v>0</v>
      </c>
      <c r="AK101" s="124">
        <v>28.683114269173529</v>
      </c>
      <c r="AL101" s="124">
        <v>251.45415700949457</v>
      </c>
      <c r="AM101" s="124">
        <v>0</v>
      </c>
      <c r="AN101" s="124">
        <v>0</v>
      </c>
      <c r="AO101" s="124">
        <v>0</v>
      </c>
      <c r="AP101" s="124">
        <v>101.70000000000005</v>
      </c>
      <c r="AQ101" s="124">
        <v>0</v>
      </c>
      <c r="AR101" s="124">
        <v>0</v>
      </c>
      <c r="AS101" s="124">
        <v>0</v>
      </c>
      <c r="AT101" s="124">
        <v>0</v>
      </c>
      <c r="AU101" s="124">
        <v>272.70000000000005</v>
      </c>
      <c r="AV101" s="124">
        <v>219.63102804450796</v>
      </c>
      <c r="AW101" s="124">
        <v>272.70000000000005</v>
      </c>
      <c r="AX101" s="124">
        <v>0</v>
      </c>
      <c r="AY101" s="124">
        <v>0</v>
      </c>
    </row>
    <row r="102" spans="1:52" x14ac:dyDescent="0.2">
      <c r="A102" s="127"/>
      <c r="B102" s="137">
        <v>3</v>
      </c>
      <c r="C102" s="124">
        <v>36.5</v>
      </c>
      <c r="D102" s="124">
        <v>456.5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124">
        <v>0</v>
      </c>
      <c r="O102" s="124">
        <v>0</v>
      </c>
      <c r="P102" s="124">
        <v>0</v>
      </c>
      <c r="Q102" s="124">
        <v>0</v>
      </c>
      <c r="R102" s="124">
        <v>0</v>
      </c>
      <c r="S102" s="124">
        <v>0</v>
      </c>
      <c r="T102" s="124">
        <v>0</v>
      </c>
      <c r="U102" s="124">
        <v>0</v>
      </c>
      <c r="V102" s="124">
        <v>0</v>
      </c>
      <c r="W102" s="124">
        <v>0</v>
      </c>
      <c r="X102" s="124">
        <v>0</v>
      </c>
      <c r="Y102" s="124">
        <v>0</v>
      </c>
      <c r="Z102" s="124">
        <v>0</v>
      </c>
      <c r="AA102" s="124">
        <v>0</v>
      </c>
      <c r="AB102" s="124">
        <v>0</v>
      </c>
      <c r="AC102" s="124">
        <v>0</v>
      </c>
      <c r="AD102" s="124">
        <v>0</v>
      </c>
      <c r="AE102" s="124">
        <v>0</v>
      </c>
      <c r="AF102" s="124">
        <v>123.66243627649601</v>
      </c>
      <c r="AG102" s="124">
        <v>0</v>
      </c>
      <c r="AH102" s="124">
        <v>0</v>
      </c>
      <c r="AI102" s="124">
        <v>0</v>
      </c>
      <c r="AJ102" s="124">
        <v>0</v>
      </c>
      <c r="AK102" s="124">
        <v>0</v>
      </c>
      <c r="AL102" s="124">
        <v>0</v>
      </c>
      <c r="AM102" s="124">
        <v>0</v>
      </c>
      <c r="AN102" s="124">
        <v>0</v>
      </c>
      <c r="AO102" s="124">
        <v>101.69999999999999</v>
      </c>
      <c r="AP102" s="124">
        <v>0</v>
      </c>
      <c r="AQ102" s="124">
        <v>0</v>
      </c>
      <c r="AR102" s="124">
        <v>0</v>
      </c>
      <c r="AS102" s="124">
        <v>0</v>
      </c>
      <c r="AT102" s="124">
        <v>0</v>
      </c>
      <c r="AU102" s="124">
        <v>0</v>
      </c>
      <c r="AV102" s="124">
        <v>0</v>
      </c>
      <c r="AW102" s="124">
        <v>0</v>
      </c>
      <c r="AX102" s="124">
        <v>0</v>
      </c>
      <c r="AY102" s="124">
        <v>0</v>
      </c>
    </row>
    <row r="103" spans="1:52" x14ac:dyDescent="0.2">
      <c r="A103" s="127"/>
      <c r="B103" s="137">
        <v>4</v>
      </c>
      <c r="C103" s="124">
        <v>456.5</v>
      </c>
      <c r="D103" s="124">
        <v>0</v>
      </c>
      <c r="E103" s="124">
        <v>0</v>
      </c>
      <c r="F103" s="124">
        <v>0</v>
      </c>
      <c r="G103" s="124">
        <v>0</v>
      </c>
      <c r="H103" s="124">
        <v>0</v>
      </c>
      <c r="I103" s="124">
        <v>0</v>
      </c>
      <c r="J103" s="124">
        <v>0</v>
      </c>
      <c r="K103" s="124">
        <v>0</v>
      </c>
      <c r="L103" s="124">
        <v>0</v>
      </c>
      <c r="M103" s="124">
        <v>0</v>
      </c>
      <c r="N103" s="124">
        <v>0</v>
      </c>
      <c r="O103" s="124">
        <v>0</v>
      </c>
      <c r="P103" s="124">
        <v>0</v>
      </c>
      <c r="Q103" s="124">
        <v>0</v>
      </c>
      <c r="R103" s="124">
        <v>0</v>
      </c>
      <c r="S103" s="124">
        <v>0</v>
      </c>
      <c r="T103" s="124">
        <v>0</v>
      </c>
      <c r="U103" s="124">
        <v>0</v>
      </c>
      <c r="V103" s="124">
        <v>0</v>
      </c>
      <c r="W103" s="124">
        <v>0</v>
      </c>
      <c r="X103" s="124">
        <v>0</v>
      </c>
      <c r="Y103" s="124">
        <v>0</v>
      </c>
      <c r="Z103" s="124">
        <v>0</v>
      </c>
      <c r="AA103" s="124">
        <v>0</v>
      </c>
      <c r="AB103" s="124">
        <v>0</v>
      </c>
      <c r="AC103" s="124">
        <v>0</v>
      </c>
      <c r="AD103" s="124">
        <v>0</v>
      </c>
      <c r="AE103" s="124">
        <v>0</v>
      </c>
      <c r="AF103" s="124">
        <v>0</v>
      </c>
      <c r="AG103" s="124">
        <v>0</v>
      </c>
      <c r="AH103" s="124">
        <v>0</v>
      </c>
      <c r="AI103" s="124">
        <v>0</v>
      </c>
      <c r="AJ103" s="124">
        <v>0</v>
      </c>
      <c r="AK103" s="124">
        <v>0</v>
      </c>
      <c r="AL103" s="124">
        <v>0</v>
      </c>
      <c r="AM103" s="124">
        <v>0</v>
      </c>
      <c r="AN103" s="124">
        <v>0</v>
      </c>
      <c r="AO103" s="124">
        <v>0</v>
      </c>
      <c r="AP103" s="124">
        <v>0</v>
      </c>
      <c r="AQ103" s="124">
        <v>0</v>
      </c>
      <c r="AR103" s="124">
        <v>0</v>
      </c>
      <c r="AS103" s="124">
        <v>0</v>
      </c>
      <c r="AT103" s="124">
        <v>0</v>
      </c>
      <c r="AU103" s="124">
        <v>0</v>
      </c>
      <c r="AV103" s="124">
        <v>0</v>
      </c>
      <c r="AW103" s="124">
        <v>0</v>
      </c>
      <c r="AX103" s="124">
        <v>0</v>
      </c>
      <c r="AY103" s="124">
        <v>0</v>
      </c>
    </row>
    <row r="104" spans="1:52" x14ac:dyDescent="0.2">
      <c r="A104" s="127"/>
      <c r="B104" s="144">
        <v>5</v>
      </c>
      <c r="C104" s="124">
        <v>0</v>
      </c>
      <c r="D104" s="124">
        <v>0</v>
      </c>
      <c r="E104" s="124">
        <v>0</v>
      </c>
      <c r="F104" s="124">
        <v>0</v>
      </c>
      <c r="G104" s="124">
        <v>0</v>
      </c>
      <c r="H104" s="124">
        <v>0</v>
      </c>
      <c r="I104" s="124">
        <v>0</v>
      </c>
      <c r="J104" s="124">
        <v>0</v>
      </c>
      <c r="K104" s="124">
        <v>0</v>
      </c>
      <c r="L104" s="124">
        <v>0</v>
      </c>
      <c r="M104" s="124">
        <v>0</v>
      </c>
      <c r="N104" s="124">
        <v>0</v>
      </c>
      <c r="O104" s="124">
        <v>0</v>
      </c>
      <c r="P104" s="124">
        <v>0</v>
      </c>
      <c r="Q104" s="124">
        <v>0</v>
      </c>
      <c r="R104" s="124">
        <v>0</v>
      </c>
      <c r="S104" s="124">
        <v>0</v>
      </c>
      <c r="T104" s="124">
        <v>0</v>
      </c>
      <c r="U104" s="124">
        <v>0</v>
      </c>
      <c r="V104" s="124">
        <v>0</v>
      </c>
      <c r="W104" s="124">
        <v>0</v>
      </c>
      <c r="X104" s="124">
        <v>0</v>
      </c>
      <c r="Y104" s="124">
        <v>0</v>
      </c>
      <c r="Z104" s="124">
        <v>0</v>
      </c>
      <c r="AA104" s="124">
        <v>0</v>
      </c>
      <c r="AB104" s="124">
        <v>0</v>
      </c>
      <c r="AC104" s="124">
        <v>0</v>
      </c>
      <c r="AD104" s="124">
        <v>0</v>
      </c>
      <c r="AE104" s="124">
        <v>0</v>
      </c>
      <c r="AF104" s="124">
        <v>0</v>
      </c>
      <c r="AG104" s="124">
        <v>0</v>
      </c>
      <c r="AH104" s="124">
        <v>0</v>
      </c>
      <c r="AI104" s="124">
        <v>0</v>
      </c>
      <c r="AJ104" s="124">
        <v>0</v>
      </c>
      <c r="AK104" s="124">
        <v>0</v>
      </c>
      <c r="AL104" s="124">
        <v>0</v>
      </c>
      <c r="AM104" s="124">
        <v>0</v>
      </c>
      <c r="AN104" s="124">
        <v>0</v>
      </c>
      <c r="AO104" s="124">
        <v>0</v>
      </c>
      <c r="AP104" s="124">
        <v>0</v>
      </c>
      <c r="AQ104" s="124">
        <v>0</v>
      </c>
      <c r="AR104" s="124">
        <v>0</v>
      </c>
      <c r="AS104" s="124">
        <v>0</v>
      </c>
      <c r="AT104" s="124">
        <v>0</v>
      </c>
      <c r="AU104" s="124">
        <v>0</v>
      </c>
      <c r="AV104" s="124">
        <v>0</v>
      </c>
      <c r="AW104" s="124">
        <v>0</v>
      </c>
      <c r="AX104" s="124">
        <v>0</v>
      </c>
      <c r="AY104" s="124">
        <v>0</v>
      </c>
    </row>
    <row r="105" spans="1:52" x14ac:dyDescent="0.2">
      <c r="A105" s="127"/>
      <c r="B105" s="144">
        <v>6</v>
      </c>
      <c r="C105" s="124">
        <v>0</v>
      </c>
      <c r="D105" s="124">
        <v>0</v>
      </c>
      <c r="E105" s="124">
        <v>0</v>
      </c>
      <c r="F105" s="124">
        <v>0</v>
      </c>
      <c r="G105" s="124">
        <v>0</v>
      </c>
      <c r="H105" s="124">
        <v>0</v>
      </c>
      <c r="I105" s="124">
        <v>0</v>
      </c>
      <c r="J105" s="124">
        <v>0</v>
      </c>
      <c r="K105" s="124">
        <v>0</v>
      </c>
      <c r="L105" s="124">
        <v>0</v>
      </c>
      <c r="M105" s="124">
        <v>0</v>
      </c>
      <c r="N105" s="124">
        <v>0</v>
      </c>
      <c r="O105" s="124">
        <v>0</v>
      </c>
      <c r="P105" s="124">
        <v>0</v>
      </c>
      <c r="Q105" s="124">
        <v>0</v>
      </c>
      <c r="R105" s="124">
        <v>0</v>
      </c>
      <c r="S105" s="124">
        <v>0</v>
      </c>
      <c r="T105" s="124">
        <v>0</v>
      </c>
      <c r="U105" s="124">
        <v>0</v>
      </c>
      <c r="V105" s="124">
        <v>0</v>
      </c>
      <c r="W105" s="124">
        <v>0</v>
      </c>
      <c r="X105" s="124">
        <v>0</v>
      </c>
      <c r="Y105" s="124">
        <v>0</v>
      </c>
      <c r="Z105" s="124">
        <v>0</v>
      </c>
      <c r="AA105" s="124">
        <v>0</v>
      </c>
      <c r="AB105" s="124">
        <v>0</v>
      </c>
      <c r="AC105" s="124">
        <v>0</v>
      </c>
      <c r="AD105" s="124">
        <v>0</v>
      </c>
      <c r="AE105" s="124">
        <v>0</v>
      </c>
      <c r="AF105" s="124">
        <v>0</v>
      </c>
      <c r="AG105" s="124">
        <v>0</v>
      </c>
      <c r="AH105" s="124">
        <v>0</v>
      </c>
      <c r="AI105" s="124">
        <v>0</v>
      </c>
      <c r="AJ105" s="124">
        <v>0</v>
      </c>
      <c r="AK105" s="124">
        <v>0</v>
      </c>
      <c r="AL105" s="124">
        <v>0</v>
      </c>
      <c r="AM105" s="124">
        <v>0</v>
      </c>
      <c r="AN105" s="124">
        <v>0</v>
      </c>
      <c r="AO105" s="124">
        <v>0</v>
      </c>
      <c r="AP105" s="124">
        <v>0</v>
      </c>
      <c r="AQ105" s="124">
        <v>0</v>
      </c>
      <c r="AR105" s="124">
        <v>0</v>
      </c>
      <c r="AS105" s="124">
        <v>0</v>
      </c>
      <c r="AT105" s="124">
        <v>0</v>
      </c>
      <c r="AU105" s="124">
        <v>0</v>
      </c>
      <c r="AV105" s="124">
        <v>0</v>
      </c>
      <c r="AW105" s="124">
        <v>0</v>
      </c>
      <c r="AX105" s="124">
        <v>0</v>
      </c>
      <c r="AY105" s="124">
        <v>0</v>
      </c>
    </row>
    <row r="106" spans="1:52" x14ac:dyDescent="0.2">
      <c r="A106" s="127"/>
      <c r="B106" s="147">
        <v>7</v>
      </c>
      <c r="C106" s="124">
        <v>0</v>
      </c>
      <c r="D106" s="124">
        <v>0</v>
      </c>
      <c r="E106" s="124">
        <v>0</v>
      </c>
      <c r="F106" s="124">
        <v>0</v>
      </c>
      <c r="G106" s="124">
        <v>0</v>
      </c>
      <c r="H106" s="124">
        <v>0</v>
      </c>
      <c r="I106" s="124">
        <v>0</v>
      </c>
      <c r="J106" s="124">
        <v>0</v>
      </c>
      <c r="K106" s="124">
        <v>0</v>
      </c>
      <c r="L106" s="124">
        <v>0</v>
      </c>
      <c r="M106" s="124">
        <v>0</v>
      </c>
      <c r="N106" s="124">
        <v>0</v>
      </c>
      <c r="O106" s="124">
        <v>0</v>
      </c>
      <c r="P106" s="124">
        <v>0</v>
      </c>
      <c r="Q106" s="124">
        <v>0</v>
      </c>
      <c r="R106" s="124">
        <v>0</v>
      </c>
      <c r="S106" s="124">
        <v>0</v>
      </c>
      <c r="T106" s="124">
        <v>0</v>
      </c>
      <c r="U106" s="124">
        <v>0</v>
      </c>
      <c r="V106" s="124">
        <v>0</v>
      </c>
      <c r="W106" s="124">
        <v>0</v>
      </c>
      <c r="X106" s="124">
        <v>0</v>
      </c>
      <c r="Y106" s="124">
        <v>0</v>
      </c>
      <c r="Z106" s="124">
        <v>0</v>
      </c>
      <c r="AA106" s="124">
        <v>0</v>
      </c>
      <c r="AB106" s="124">
        <v>0</v>
      </c>
      <c r="AC106" s="124">
        <v>0</v>
      </c>
      <c r="AD106" s="124">
        <v>0</v>
      </c>
      <c r="AE106" s="124">
        <v>0</v>
      </c>
      <c r="AF106" s="124">
        <v>0</v>
      </c>
      <c r="AG106" s="124">
        <v>0</v>
      </c>
      <c r="AH106" s="124">
        <v>0</v>
      </c>
      <c r="AI106" s="124">
        <v>0</v>
      </c>
      <c r="AJ106" s="124">
        <v>0</v>
      </c>
      <c r="AK106" s="124">
        <v>0</v>
      </c>
      <c r="AL106" s="124">
        <v>0</v>
      </c>
      <c r="AM106" s="124">
        <v>0</v>
      </c>
      <c r="AN106" s="124">
        <v>0</v>
      </c>
      <c r="AO106" s="124">
        <v>0</v>
      </c>
      <c r="AP106" s="124">
        <v>0</v>
      </c>
      <c r="AQ106" s="124">
        <v>0</v>
      </c>
      <c r="AR106" s="124">
        <v>0</v>
      </c>
      <c r="AS106" s="124">
        <v>0</v>
      </c>
      <c r="AT106" s="124">
        <v>0</v>
      </c>
      <c r="AU106" s="124">
        <v>0</v>
      </c>
      <c r="AV106" s="124">
        <v>0</v>
      </c>
      <c r="AW106" s="124">
        <v>0</v>
      </c>
      <c r="AX106" s="124">
        <v>0</v>
      </c>
      <c r="AY106" s="124">
        <v>0</v>
      </c>
    </row>
    <row r="107" spans="1:52" x14ac:dyDescent="0.2">
      <c r="A107" s="127"/>
      <c r="B107" s="147">
        <v>8</v>
      </c>
      <c r="C107" s="124">
        <v>0</v>
      </c>
      <c r="D107" s="124">
        <v>0</v>
      </c>
      <c r="E107" s="124">
        <v>0</v>
      </c>
      <c r="F107" s="124">
        <v>0</v>
      </c>
      <c r="G107" s="124">
        <v>0</v>
      </c>
      <c r="H107" s="124">
        <v>0</v>
      </c>
      <c r="I107" s="124">
        <v>0</v>
      </c>
      <c r="J107" s="124">
        <v>0</v>
      </c>
      <c r="K107" s="124">
        <v>0</v>
      </c>
      <c r="L107" s="124">
        <v>0</v>
      </c>
      <c r="M107" s="124">
        <v>0</v>
      </c>
      <c r="N107" s="124">
        <v>0</v>
      </c>
      <c r="O107" s="124">
        <v>0</v>
      </c>
      <c r="P107" s="124">
        <v>0</v>
      </c>
      <c r="Q107" s="124">
        <v>0</v>
      </c>
      <c r="R107" s="124">
        <v>0</v>
      </c>
      <c r="S107" s="124">
        <v>0</v>
      </c>
      <c r="T107" s="124">
        <v>0</v>
      </c>
      <c r="U107" s="124">
        <v>0</v>
      </c>
      <c r="V107" s="124">
        <v>0</v>
      </c>
      <c r="W107" s="124">
        <v>0</v>
      </c>
      <c r="X107" s="124">
        <v>0</v>
      </c>
      <c r="Y107" s="124">
        <v>0</v>
      </c>
      <c r="Z107" s="124">
        <v>0</v>
      </c>
      <c r="AA107" s="124">
        <v>0</v>
      </c>
      <c r="AB107" s="124">
        <v>0</v>
      </c>
      <c r="AC107" s="124">
        <v>0</v>
      </c>
      <c r="AD107" s="124">
        <v>0</v>
      </c>
      <c r="AE107" s="124">
        <v>0</v>
      </c>
      <c r="AF107" s="124">
        <v>0</v>
      </c>
      <c r="AG107" s="124">
        <v>0</v>
      </c>
      <c r="AH107" s="124">
        <v>0</v>
      </c>
      <c r="AI107" s="124">
        <v>0</v>
      </c>
      <c r="AJ107" s="124">
        <v>0</v>
      </c>
      <c r="AK107" s="124">
        <v>0</v>
      </c>
      <c r="AL107" s="124">
        <v>0</v>
      </c>
      <c r="AM107" s="124">
        <v>0</v>
      </c>
      <c r="AN107" s="124">
        <v>0</v>
      </c>
      <c r="AO107" s="124">
        <v>0</v>
      </c>
      <c r="AP107" s="124">
        <v>0</v>
      </c>
      <c r="AQ107" s="124">
        <v>0</v>
      </c>
      <c r="AR107" s="124">
        <v>0</v>
      </c>
      <c r="AS107" s="124">
        <v>0</v>
      </c>
      <c r="AT107" s="124">
        <v>0</v>
      </c>
      <c r="AU107" s="124">
        <v>0</v>
      </c>
      <c r="AV107" s="124">
        <v>0</v>
      </c>
      <c r="AW107" s="124">
        <v>0</v>
      </c>
      <c r="AX107" s="124">
        <v>0</v>
      </c>
      <c r="AY107" s="124">
        <v>0</v>
      </c>
    </row>
    <row r="108" spans="1:52" x14ac:dyDescent="0.2">
      <c r="A108" s="145"/>
      <c r="B108" s="149" t="s">
        <v>296</v>
      </c>
      <c r="C108" s="131">
        <v>0</v>
      </c>
      <c r="D108" s="142">
        <v>0</v>
      </c>
      <c r="E108" s="142">
        <v>0</v>
      </c>
      <c r="F108" s="142">
        <v>0</v>
      </c>
      <c r="G108" s="142">
        <v>0</v>
      </c>
      <c r="H108" s="142">
        <v>0</v>
      </c>
      <c r="I108" s="142">
        <v>0</v>
      </c>
      <c r="J108" s="142">
        <v>0</v>
      </c>
      <c r="K108" s="142">
        <v>0</v>
      </c>
      <c r="L108" s="142">
        <v>0</v>
      </c>
      <c r="M108" s="142">
        <v>0</v>
      </c>
      <c r="N108" s="142">
        <v>0</v>
      </c>
      <c r="O108" s="142">
        <v>0</v>
      </c>
      <c r="P108" s="142">
        <v>0</v>
      </c>
      <c r="Q108" s="142">
        <v>0</v>
      </c>
      <c r="R108" s="142">
        <v>0</v>
      </c>
      <c r="S108" s="142">
        <v>0</v>
      </c>
      <c r="T108" s="142">
        <v>0</v>
      </c>
      <c r="U108" s="142">
        <v>0</v>
      </c>
      <c r="V108" s="142">
        <v>0</v>
      </c>
      <c r="W108" s="142">
        <v>0</v>
      </c>
      <c r="X108" s="142">
        <v>0</v>
      </c>
      <c r="Y108" s="142">
        <v>0</v>
      </c>
      <c r="Z108" s="142">
        <v>0</v>
      </c>
      <c r="AA108" s="142">
        <v>0</v>
      </c>
      <c r="AB108" s="142">
        <v>0</v>
      </c>
      <c r="AC108" s="142">
        <v>0</v>
      </c>
      <c r="AD108" s="142">
        <v>0</v>
      </c>
      <c r="AE108" s="142">
        <v>0</v>
      </c>
      <c r="AF108" s="142">
        <v>0</v>
      </c>
      <c r="AG108" s="142">
        <v>0</v>
      </c>
      <c r="AH108" s="142">
        <v>0</v>
      </c>
      <c r="AI108" s="142">
        <v>0</v>
      </c>
      <c r="AJ108" s="142">
        <v>0</v>
      </c>
      <c r="AK108" s="142">
        <v>0</v>
      </c>
      <c r="AL108" s="142">
        <v>0</v>
      </c>
      <c r="AM108" s="142">
        <v>0</v>
      </c>
      <c r="AN108" s="142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142">
        <v>0</v>
      </c>
      <c r="AU108" s="142">
        <v>0</v>
      </c>
      <c r="AV108" s="142">
        <v>0</v>
      </c>
      <c r="AW108" s="142">
        <v>0</v>
      </c>
      <c r="AX108" s="142">
        <v>0</v>
      </c>
      <c r="AY108" s="142">
        <v>0</v>
      </c>
      <c r="AZ108" s="125">
        <f>SUM($D108:$AY108)</f>
        <v>0</v>
      </c>
    </row>
    <row r="109" spans="1:52" x14ac:dyDescent="0.2">
      <c r="A109" s="148" t="s">
        <v>134</v>
      </c>
      <c r="B109" s="136">
        <v>1</v>
      </c>
      <c r="C109" s="124">
        <v>3626.9891732939186</v>
      </c>
      <c r="D109" s="124">
        <v>3660.9002311822528</v>
      </c>
      <c r="E109" s="124">
        <v>3475.2348576920313</v>
      </c>
      <c r="F109" s="124">
        <v>3801.9666773097456</v>
      </c>
      <c r="G109" s="124">
        <v>4077.1097724432034</v>
      </c>
      <c r="H109" s="124">
        <v>4228.4429272390089</v>
      </c>
      <c r="I109" s="124">
        <v>4635.1033204936048</v>
      </c>
      <c r="J109" s="124">
        <v>4882.5370782761947</v>
      </c>
      <c r="K109" s="124">
        <v>4795.0680529802967</v>
      </c>
      <c r="L109" s="124">
        <v>4562.2380079006825</v>
      </c>
      <c r="M109" s="124">
        <v>4905.7039084049375</v>
      </c>
      <c r="N109" s="124">
        <v>4629.3146574354505</v>
      </c>
      <c r="O109" s="124">
        <v>4838.5670357141116</v>
      </c>
      <c r="P109" s="124">
        <v>4769.6971560523452</v>
      </c>
      <c r="Q109" s="124">
        <v>4741.4578985261105</v>
      </c>
      <c r="R109" s="124">
        <v>4730.2029542979408</v>
      </c>
      <c r="S109" s="124">
        <v>4599.4647168786023</v>
      </c>
      <c r="T109" s="124">
        <v>4547.08703817279</v>
      </c>
      <c r="U109" s="124">
        <v>4840.4088648728184</v>
      </c>
      <c r="V109" s="124">
        <v>4792.1590674855761</v>
      </c>
      <c r="W109" s="124">
        <v>4753.5564124222819</v>
      </c>
      <c r="X109" s="124">
        <v>4725.8109141674295</v>
      </c>
      <c r="Y109" s="124">
        <v>4696.6567379519474</v>
      </c>
      <c r="Z109" s="124">
        <v>4513.7813060877515</v>
      </c>
      <c r="AA109" s="124">
        <v>4790.7875525202144</v>
      </c>
      <c r="AB109" s="124">
        <v>4684.5979995904981</v>
      </c>
      <c r="AC109" s="124">
        <v>4666.5651248035701</v>
      </c>
      <c r="AD109" s="124">
        <v>4738.5937067532786</v>
      </c>
      <c r="AE109" s="124">
        <v>4596.865340525138</v>
      </c>
      <c r="AF109" s="124">
        <v>4566.8219267677932</v>
      </c>
      <c r="AG109" s="124">
        <v>4578.3499272600666</v>
      </c>
      <c r="AH109" s="124">
        <v>4600.0375438741476</v>
      </c>
      <c r="AI109" s="124">
        <v>4550.0089617731537</v>
      </c>
      <c r="AJ109" s="124">
        <v>4570.1128025347689</v>
      </c>
      <c r="AK109" s="124">
        <v>4268.441856145042</v>
      </c>
      <c r="AL109" s="124">
        <v>4526.8530656774692</v>
      </c>
      <c r="AM109" s="124">
        <v>4334.8030190637965</v>
      </c>
      <c r="AN109" s="124">
        <v>4395.5530914840929</v>
      </c>
      <c r="AO109" s="124">
        <v>4510.2133325626728</v>
      </c>
      <c r="AP109" s="124">
        <v>4548.4079860907123</v>
      </c>
      <c r="AQ109" s="124">
        <v>4682.7386785622302</v>
      </c>
      <c r="AR109" s="124">
        <v>4744.9449715310875</v>
      </c>
      <c r="AS109" s="124">
        <v>4699.2848566607327</v>
      </c>
      <c r="AT109" s="124">
        <v>4717.5379198343244</v>
      </c>
      <c r="AU109" s="124">
        <v>4398.3693728116677</v>
      </c>
      <c r="AV109" s="124">
        <v>4735.7186558234271</v>
      </c>
      <c r="AW109" s="124">
        <v>4381.4118533716346</v>
      </c>
      <c r="AX109" s="124">
        <v>4791.761818822486</v>
      </c>
      <c r="AY109" s="124">
        <v>4694.7139395939421</v>
      </c>
    </row>
    <row r="110" spans="1:52" x14ac:dyDescent="0.2">
      <c r="A110" s="127"/>
      <c r="B110" s="136">
        <v>2</v>
      </c>
      <c r="C110" s="124">
        <v>3682.0735396698315</v>
      </c>
      <c r="D110" s="124">
        <v>3626.9891732939186</v>
      </c>
      <c r="E110" s="124">
        <v>3660.9002311822528</v>
      </c>
      <c r="F110" s="124">
        <v>3475.2348576920313</v>
      </c>
      <c r="G110" s="124">
        <v>3801.9666773097456</v>
      </c>
      <c r="H110" s="124">
        <v>4077.1097724432034</v>
      </c>
      <c r="I110" s="124">
        <v>4228.4429272390089</v>
      </c>
      <c r="J110" s="124">
        <v>4635.1033204936048</v>
      </c>
      <c r="K110" s="124">
        <v>4882.5370782761947</v>
      </c>
      <c r="L110" s="124">
        <v>4795.0680529802967</v>
      </c>
      <c r="M110" s="124">
        <v>4562.2380079006825</v>
      </c>
      <c r="N110" s="124">
        <v>4905.7039084049375</v>
      </c>
      <c r="O110" s="124">
        <v>4629.3146574354505</v>
      </c>
      <c r="P110" s="124">
        <v>4838.5670357141116</v>
      </c>
      <c r="Q110" s="124">
        <v>4769.6971560523452</v>
      </c>
      <c r="R110" s="124">
        <v>4741.4578985261105</v>
      </c>
      <c r="S110" s="124">
        <v>4730.2029542979408</v>
      </c>
      <c r="T110" s="124">
        <v>4599.4647168786023</v>
      </c>
      <c r="U110" s="124">
        <v>4547.08703817279</v>
      </c>
      <c r="V110" s="124">
        <v>4840.4088648728184</v>
      </c>
      <c r="W110" s="124">
        <v>4792.1590674855761</v>
      </c>
      <c r="X110" s="124">
        <v>4753.5564124222819</v>
      </c>
      <c r="Y110" s="124">
        <v>4725.8109141674295</v>
      </c>
      <c r="Z110" s="124">
        <v>4696.6567379519474</v>
      </c>
      <c r="AA110" s="124">
        <v>4513.7813060877515</v>
      </c>
      <c r="AB110" s="124">
        <v>4790.7875525202144</v>
      </c>
      <c r="AC110" s="124">
        <v>4684.5979995904981</v>
      </c>
      <c r="AD110" s="124">
        <v>4666.5651248035701</v>
      </c>
      <c r="AE110" s="124">
        <v>4738.5937067532786</v>
      </c>
      <c r="AF110" s="124">
        <v>4596.865340525138</v>
      </c>
      <c r="AG110" s="124">
        <v>4566.8219267677932</v>
      </c>
      <c r="AH110" s="124">
        <v>4578.3499272600666</v>
      </c>
      <c r="AI110" s="124">
        <v>4600.0375438741476</v>
      </c>
      <c r="AJ110" s="124">
        <v>4550.0089617731537</v>
      </c>
      <c r="AK110" s="124">
        <v>4570.1128025347689</v>
      </c>
      <c r="AL110" s="124">
        <v>4268.441856145042</v>
      </c>
      <c r="AM110" s="124">
        <v>4526.8530656774692</v>
      </c>
      <c r="AN110" s="124">
        <v>4334.8030190637965</v>
      </c>
      <c r="AO110" s="124">
        <v>4395.5530914840929</v>
      </c>
      <c r="AP110" s="124">
        <v>4510.2133325626728</v>
      </c>
      <c r="AQ110" s="124">
        <v>4548.4079860907123</v>
      </c>
      <c r="AR110" s="124">
        <v>4682.7386785622302</v>
      </c>
      <c r="AS110" s="124">
        <v>4744.9449715310875</v>
      </c>
      <c r="AT110" s="124">
        <v>4699.2848566607327</v>
      </c>
      <c r="AU110" s="124">
        <v>4717.5379198343244</v>
      </c>
      <c r="AV110" s="124">
        <v>4398.3693728116677</v>
      </c>
      <c r="AW110" s="124">
        <v>4735.7186558234271</v>
      </c>
      <c r="AX110" s="124">
        <v>4381.4118533716346</v>
      </c>
      <c r="AY110" s="124">
        <v>4791.761818822486</v>
      </c>
    </row>
    <row r="111" spans="1:52" x14ac:dyDescent="0.2">
      <c r="A111" s="127"/>
      <c r="B111" s="136">
        <v>3</v>
      </c>
      <c r="C111" s="124">
        <v>3279.5840907451798</v>
      </c>
      <c r="D111" s="124">
        <v>3682.0735396698315</v>
      </c>
      <c r="E111" s="124">
        <v>3626.9891732939186</v>
      </c>
      <c r="F111" s="124">
        <v>3660.9002311822528</v>
      </c>
      <c r="G111" s="124">
        <v>3475.2348576920313</v>
      </c>
      <c r="H111" s="124">
        <v>3801.9666773097456</v>
      </c>
      <c r="I111" s="124">
        <v>4077.1097724432034</v>
      </c>
      <c r="J111" s="124">
        <v>4228.4429272390089</v>
      </c>
      <c r="K111" s="124">
        <v>4635.1033204936048</v>
      </c>
      <c r="L111" s="124">
        <v>4882.5370782761947</v>
      </c>
      <c r="M111" s="124">
        <v>4795.0680529802967</v>
      </c>
      <c r="N111" s="124">
        <v>4562.2380079006825</v>
      </c>
      <c r="O111" s="124">
        <v>4905.7039084049375</v>
      </c>
      <c r="P111" s="124">
        <v>4629.3146574354505</v>
      </c>
      <c r="Q111" s="124">
        <v>4838.5670357141116</v>
      </c>
      <c r="R111" s="124">
        <v>4769.6971560523452</v>
      </c>
      <c r="S111" s="124">
        <v>4741.4578985261105</v>
      </c>
      <c r="T111" s="124">
        <v>4730.2029542979408</v>
      </c>
      <c r="U111" s="124">
        <v>4599.4647168786023</v>
      </c>
      <c r="V111" s="124">
        <v>4547.08703817279</v>
      </c>
      <c r="W111" s="124">
        <v>4840.4088648728184</v>
      </c>
      <c r="X111" s="124">
        <v>4792.1590674855761</v>
      </c>
      <c r="Y111" s="124">
        <v>4753.5564124222819</v>
      </c>
      <c r="Z111" s="124">
        <v>4725.8109141674295</v>
      </c>
      <c r="AA111" s="124">
        <v>4696.6567379519474</v>
      </c>
      <c r="AB111" s="124">
        <v>4513.7813060877515</v>
      </c>
      <c r="AC111" s="124">
        <v>4790.7875525202144</v>
      </c>
      <c r="AD111" s="124">
        <v>4684.5979995904981</v>
      </c>
      <c r="AE111" s="124">
        <v>4666.5651248035701</v>
      </c>
      <c r="AF111" s="124">
        <v>4738.5937067532786</v>
      </c>
      <c r="AG111" s="124">
        <v>4596.865340525138</v>
      </c>
      <c r="AH111" s="124">
        <v>4566.8219267677932</v>
      </c>
      <c r="AI111" s="124">
        <v>4578.3499272600666</v>
      </c>
      <c r="AJ111" s="124">
        <v>4600.0375438741476</v>
      </c>
      <c r="AK111" s="124">
        <v>4550.0089617731537</v>
      </c>
      <c r="AL111" s="124">
        <v>4570.1128025347689</v>
      </c>
      <c r="AM111" s="124">
        <v>4268.441856145042</v>
      </c>
      <c r="AN111" s="124">
        <v>4526.8530656774692</v>
      </c>
      <c r="AO111" s="124">
        <v>4334.8030190637965</v>
      </c>
      <c r="AP111" s="124">
        <v>4395.5530914840929</v>
      </c>
      <c r="AQ111" s="124">
        <v>4510.2133325626728</v>
      </c>
      <c r="AR111" s="124">
        <v>4548.4079860907123</v>
      </c>
      <c r="AS111" s="124">
        <v>4682.7386785622302</v>
      </c>
      <c r="AT111" s="124">
        <v>4744.9449715310875</v>
      </c>
      <c r="AU111" s="124">
        <v>4699.2848566607327</v>
      </c>
      <c r="AV111" s="124">
        <v>4717.5379198343244</v>
      </c>
      <c r="AW111" s="124">
        <v>4398.3693728116677</v>
      </c>
      <c r="AX111" s="124">
        <v>4735.7186558234271</v>
      </c>
      <c r="AY111" s="124">
        <v>4381.4118533716346</v>
      </c>
    </row>
    <row r="112" spans="1:52" x14ac:dyDescent="0.2">
      <c r="A112" s="127"/>
      <c r="B112" s="137">
        <v>4</v>
      </c>
      <c r="C112" s="124">
        <v>3198.3508713039314</v>
      </c>
      <c r="D112" s="124">
        <v>3279.5840907451798</v>
      </c>
      <c r="E112" s="124">
        <v>3682.0735396698315</v>
      </c>
      <c r="F112" s="124">
        <v>3626.9891732939186</v>
      </c>
      <c r="G112" s="124">
        <v>3660.9002311822528</v>
      </c>
      <c r="H112" s="124">
        <v>3475.2348576920313</v>
      </c>
      <c r="I112" s="124">
        <v>3801.9666773097456</v>
      </c>
      <c r="J112" s="124">
        <v>4077.1097724432034</v>
      </c>
      <c r="K112" s="124">
        <v>4228.4429272390089</v>
      </c>
      <c r="L112" s="124">
        <v>4635.1033204936048</v>
      </c>
      <c r="M112" s="124">
        <v>4882.5370782761947</v>
      </c>
      <c r="N112" s="124">
        <v>4795.0680529802967</v>
      </c>
      <c r="O112" s="124">
        <v>4562.2380079006825</v>
      </c>
      <c r="P112" s="124">
        <v>4905.7039084049375</v>
      </c>
      <c r="Q112" s="124">
        <v>4629.3146574354505</v>
      </c>
      <c r="R112" s="124">
        <v>4838.5670357141116</v>
      </c>
      <c r="S112" s="124">
        <v>4769.6971560523452</v>
      </c>
      <c r="T112" s="124">
        <v>4741.4578985261105</v>
      </c>
      <c r="U112" s="124">
        <v>4730.2029542979408</v>
      </c>
      <c r="V112" s="124">
        <v>4599.4647168786023</v>
      </c>
      <c r="W112" s="124">
        <v>4547.08703817279</v>
      </c>
      <c r="X112" s="124">
        <v>4840.4088648728184</v>
      </c>
      <c r="Y112" s="124">
        <v>4792.1590674855761</v>
      </c>
      <c r="Z112" s="124">
        <v>4753.5564124222819</v>
      </c>
      <c r="AA112" s="124">
        <v>4725.8109141674295</v>
      </c>
      <c r="AB112" s="124">
        <v>4696.6567379519474</v>
      </c>
      <c r="AC112" s="124">
        <v>4513.7813060877515</v>
      </c>
      <c r="AD112" s="124">
        <v>4790.7875525202144</v>
      </c>
      <c r="AE112" s="124">
        <v>4684.5979995904981</v>
      </c>
      <c r="AF112" s="124">
        <v>4666.5651248035701</v>
      </c>
      <c r="AG112" s="124">
        <v>4738.5937067532786</v>
      </c>
      <c r="AH112" s="124">
        <v>4596.865340525138</v>
      </c>
      <c r="AI112" s="124">
        <v>4566.8219267677932</v>
      </c>
      <c r="AJ112" s="124">
        <v>4578.3499272600666</v>
      </c>
      <c r="AK112" s="124">
        <v>4600.0375438741476</v>
      </c>
      <c r="AL112" s="124">
        <v>4550.0089617731537</v>
      </c>
      <c r="AM112" s="124">
        <v>4570.1128025347689</v>
      </c>
      <c r="AN112" s="124">
        <v>4268.441856145042</v>
      </c>
      <c r="AO112" s="124">
        <v>4526.8530656774692</v>
      </c>
      <c r="AP112" s="124">
        <v>4334.8030190637965</v>
      </c>
      <c r="AQ112" s="124">
        <v>4395.5530914840929</v>
      </c>
      <c r="AR112" s="124">
        <v>4510.2133325626728</v>
      </c>
      <c r="AS112" s="124">
        <v>4548.4079860907123</v>
      </c>
      <c r="AT112" s="124">
        <v>4682.7386785622302</v>
      </c>
      <c r="AU112" s="124">
        <v>4744.9449715310875</v>
      </c>
      <c r="AV112" s="124">
        <v>4699.2848566607327</v>
      </c>
      <c r="AW112" s="124">
        <v>4717.5379198343244</v>
      </c>
      <c r="AX112" s="124">
        <v>4398.3693728116677</v>
      </c>
      <c r="AY112" s="124">
        <v>4735.7186558234271</v>
      </c>
    </row>
    <row r="113" spans="1:52" x14ac:dyDescent="0.2">
      <c r="A113" s="127"/>
      <c r="B113" s="137">
        <v>5</v>
      </c>
      <c r="C113" s="124">
        <v>3178.6077086570349</v>
      </c>
      <c r="D113" s="124">
        <v>3198.3508713039314</v>
      </c>
      <c r="E113" s="124">
        <v>3279.5840907451798</v>
      </c>
      <c r="F113" s="124">
        <v>3682.0735396698315</v>
      </c>
      <c r="G113" s="124">
        <v>3626.9891732939186</v>
      </c>
      <c r="H113" s="124">
        <v>3660.9002311822528</v>
      </c>
      <c r="I113" s="124">
        <v>3475.2348576920313</v>
      </c>
      <c r="J113" s="124">
        <v>3801.9666773097456</v>
      </c>
      <c r="K113" s="124">
        <v>4077.1097724432034</v>
      </c>
      <c r="L113" s="124">
        <v>4228.4429272390089</v>
      </c>
      <c r="M113" s="124">
        <v>4635.1033204936048</v>
      </c>
      <c r="N113" s="124">
        <v>4882.5370782761947</v>
      </c>
      <c r="O113" s="124">
        <v>4795.0680529802967</v>
      </c>
      <c r="P113" s="124">
        <v>4562.2380079006825</v>
      </c>
      <c r="Q113" s="124">
        <v>4905.7039084049375</v>
      </c>
      <c r="R113" s="124">
        <v>4629.3146574354505</v>
      </c>
      <c r="S113" s="124">
        <v>4838.5670357141116</v>
      </c>
      <c r="T113" s="124">
        <v>4769.6971560523452</v>
      </c>
      <c r="U113" s="124">
        <v>4741.4578985261105</v>
      </c>
      <c r="V113" s="124">
        <v>4730.2029542979408</v>
      </c>
      <c r="W113" s="124">
        <v>4599.4647168786023</v>
      </c>
      <c r="X113" s="124">
        <v>4547.08703817279</v>
      </c>
      <c r="Y113" s="124">
        <v>4840.4088648728184</v>
      </c>
      <c r="Z113" s="124">
        <v>4792.1590674855761</v>
      </c>
      <c r="AA113" s="124">
        <v>4753.5564124222819</v>
      </c>
      <c r="AB113" s="124">
        <v>4725.8109141674295</v>
      </c>
      <c r="AC113" s="124">
        <v>4696.6567379519474</v>
      </c>
      <c r="AD113" s="124">
        <v>4513.7813060877515</v>
      </c>
      <c r="AE113" s="124">
        <v>4790.7875525202144</v>
      </c>
      <c r="AF113" s="124">
        <v>4684.5979995904981</v>
      </c>
      <c r="AG113" s="124">
        <v>4666.5651248035701</v>
      </c>
      <c r="AH113" s="124">
        <v>4738.5937067532786</v>
      </c>
      <c r="AI113" s="124">
        <v>4596.865340525138</v>
      </c>
      <c r="AJ113" s="124">
        <v>4566.8219267677932</v>
      </c>
      <c r="AK113" s="124">
        <v>4578.3499272600666</v>
      </c>
      <c r="AL113" s="124">
        <v>4600.0375438741476</v>
      </c>
      <c r="AM113" s="124">
        <v>4550.0089617731537</v>
      </c>
      <c r="AN113" s="124">
        <v>4570.1128025347689</v>
      </c>
      <c r="AO113" s="124">
        <v>4268.441856145042</v>
      </c>
      <c r="AP113" s="124">
        <v>4526.8530656774692</v>
      </c>
      <c r="AQ113" s="124">
        <v>4334.8030190637965</v>
      </c>
      <c r="AR113" s="124">
        <v>4395.5530914840929</v>
      </c>
      <c r="AS113" s="124">
        <v>4510.2133325626728</v>
      </c>
      <c r="AT113" s="124">
        <v>4548.4079860907123</v>
      </c>
      <c r="AU113" s="124">
        <v>4682.7386785622302</v>
      </c>
      <c r="AV113" s="124">
        <v>4744.9449715310875</v>
      </c>
      <c r="AW113" s="124">
        <v>4699.2848566607327</v>
      </c>
      <c r="AX113" s="124">
        <v>4717.5379198343244</v>
      </c>
      <c r="AY113" s="124">
        <v>4398.3693728116677</v>
      </c>
    </row>
    <row r="114" spans="1:52" x14ac:dyDescent="0.2">
      <c r="A114" s="127"/>
      <c r="B114" s="137">
        <v>6</v>
      </c>
      <c r="C114" s="124">
        <v>3687.2011195957957</v>
      </c>
      <c r="D114" s="124">
        <v>3178.6077086570349</v>
      </c>
      <c r="E114" s="124">
        <v>3198.3508713039314</v>
      </c>
      <c r="F114" s="124">
        <v>3279.5840907451798</v>
      </c>
      <c r="G114" s="124">
        <v>3682.0735396698315</v>
      </c>
      <c r="H114" s="124">
        <v>3626.9891732939186</v>
      </c>
      <c r="I114" s="124">
        <v>3660.9002311822528</v>
      </c>
      <c r="J114" s="124">
        <v>3475.2348576920313</v>
      </c>
      <c r="K114" s="124">
        <v>3801.9666773097456</v>
      </c>
      <c r="L114" s="124">
        <v>4077.1097724432034</v>
      </c>
      <c r="M114" s="124">
        <v>4228.4429272390089</v>
      </c>
      <c r="N114" s="124">
        <v>4635.1033204936048</v>
      </c>
      <c r="O114" s="124">
        <v>4882.5370782761947</v>
      </c>
      <c r="P114" s="124">
        <v>4795.0680529802967</v>
      </c>
      <c r="Q114" s="124">
        <v>4562.2380079006825</v>
      </c>
      <c r="R114" s="124">
        <v>4905.7039084049375</v>
      </c>
      <c r="S114" s="124">
        <v>4629.3146574354505</v>
      </c>
      <c r="T114" s="124">
        <v>4838.5670357141116</v>
      </c>
      <c r="U114" s="124">
        <v>4769.6971560523452</v>
      </c>
      <c r="V114" s="124">
        <v>4741.4578985261105</v>
      </c>
      <c r="W114" s="124">
        <v>4730.2029542979408</v>
      </c>
      <c r="X114" s="124">
        <v>4599.4647168786023</v>
      </c>
      <c r="Y114" s="124">
        <v>4547.08703817279</v>
      </c>
      <c r="Z114" s="124">
        <v>4840.4088648728184</v>
      </c>
      <c r="AA114" s="124">
        <v>4792.1590674855761</v>
      </c>
      <c r="AB114" s="124">
        <v>4753.5564124222819</v>
      </c>
      <c r="AC114" s="124">
        <v>4725.8109141674295</v>
      </c>
      <c r="AD114" s="124">
        <v>4696.6567379519474</v>
      </c>
      <c r="AE114" s="124">
        <v>4513.7813060877515</v>
      </c>
      <c r="AF114" s="124">
        <v>4790.7875525202144</v>
      </c>
      <c r="AG114" s="124">
        <v>4684.5979995904981</v>
      </c>
      <c r="AH114" s="124">
        <v>4666.5651248035701</v>
      </c>
      <c r="AI114" s="124">
        <v>4738.5937067532786</v>
      </c>
      <c r="AJ114" s="124">
        <v>4596.865340525138</v>
      </c>
      <c r="AK114" s="124">
        <v>4566.8219267677932</v>
      </c>
      <c r="AL114" s="124">
        <v>4578.3499272600666</v>
      </c>
      <c r="AM114" s="124">
        <v>4600.0375438741476</v>
      </c>
      <c r="AN114" s="124">
        <v>4550.0089617731537</v>
      </c>
      <c r="AO114" s="124">
        <v>4570.1128025347689</v>
      </c>
      <c r="AP114" s="124">
        <v>4268.441856145042</v>
      </c>
      <c r="AQ114" s="124">
        <v>4526.8530656774692</v>
      </c>
      <c r="AR114" s="124">
        <v>4334.8030190637965</v>
      </c>
      <c r="AS114" s="124">
        <v>4395.5530914840929</v>
      </c>
      <c r="AT114" s="124">
        <v>4510.2133325626728</v>
      </c>
      <c r="AU114" s="124">
        <v>4548.4079860907123</v>
      </c>
      <c r="AV114" s="124">
        <v>4682.7386785622302</v>
      </c>
      <c r="AW114" s="124">
        <v>4744.9449715310875</v>
      </c>
      <c r="AX114" s="124">
        <v>4699.2848566607327</v>
      </c>
      <c r="AY114" s="124">
        <v>4717.5379198343244</v>
      </c>
    </row>
    <row r="115" spans="1:52" x14ac:dyDescent="0.2">
      <c r="A115" s="127"/>
      <c r="B115" s="144">
        <v>7</v>
      </c>
      <c r="C115" s="124">
        <v>4280.1469934863853</v>
      </c>
      <c r="D115" s="124">
        <v>3687.2011195957957</v>
      </c>
      <c r="E115" s="124">
        <v>3178.6077086570349</v>
      </c>
      <c r="F115" s="124">
        <v>3198.3508713039314</v>
      </c>
      <c r="G115" s="124">
        <v>3279.5840907451798</v>
      </c>
      <c r="H115" s="124">
        <v>3682.0735396698315</v>
      </c>
      <c r="I115" s="124">
        <v>3626.9891732939186</v>
      </c>
      <c r="J115" s="124">
        <v>3660.9002311822528</v>
      </c>
      <c r="K115" s="124">
        <v>3475.2348576920313</v>
      </c>
      <c r="L115" s="124">
        <v>3351.2007241588949</v>
      </c>
      <c r="M115" s="124">
        <v>3468.0178885295463</v>
      </c>
      <c r="N115" s="124">
        <v>2276.8427502533568</v>
      </c>
      <c r="O115" s="124">
        <v>2169.6534626744024</v>
      </c>
      <c r="P115" s="124">
        <v>2318.8979328780524</v>
      </c>
      <c r="Q115" s="124">
        <v>2586.6733777857971</v>
      </c>
      <c r="R115" s="124">
        <v>2948.6187776139495</v>
      </c>
      <c r="S115" s="124">
        <v>3333.2164343396789</v>
      </c>
      <c r="T115" s="124">
        <v>2456.0757549812361</v>
      </c>
      <c r="U115" s="124">
        <v>2933.5524078323879</v>
      </c>
      <c r="V115" s="124">
        <v>2579.4461588907807</v>
      </c>
      <c r="W115" s="124">
        <v>2676.6114493443392</v>
      </c>
      <c r="X115" s="124">
        <v>2761.5217955697353</v>
      </c>
      <c r="Y115" s="124">
        <v>3518.8888324809714</v>
      </c>
      <c r="Z115" s="124">
        <v>2474.8205338598782</v>
      </c>
      <c r="AA115" s="124">
        <v>2803.9367906601447</v>
      </c>
      <c r="AB115" s="124">
        <v>3409.3800178400897</v>
      </c>
      <c r="AC115" s="124">
        <v>2786.595753989749</v>
      </c>
      <c r="AD115" s="124">
        <v>3259.1140600846338</v>
      </c>
      <c r="AE115" s="124">
        <v>3491.4781899640366</v>
      </c>
      <c r="AF115" s="124">
        <v>3585.0044517027327</v>
      </c>
      <c r="AG115" s="124">
        <v>3624.7940318107521</v>
      </c>
      <c r="AH115" s="124">
        <v>3824.9366946073715</v>
      </c>
      <c r="AI115" s="124">
        <v>4264.6633683478994</v>
      </c>
      <c r="AJ115" s="124">
        <v>4692.6390095859661</v>
      </c>
      <c r="AK115" s="124">
        <v>4596.865340525138</v>
      </c>
      <c r="AL115" s="124">
        <v>4566.8219267677932</v>
      </c>
      <c r="AM115" s="124">
        <v>4578.3499272600666</v>
      </c>
      <c r="AN115" s="124">
        <v>4600.0375438741476</v>
      </c>
      <c r="AO115" s="124">
        <v>4550.0089617731537</v>
      </c>
      <c r="AP115" s="124">
        <v>4570.1128025347689</v>
      </c>
      <c r="AQ115" s="124">
        <v>4123.235853899434</v>
      </c>
      <c r="AR115" s="124">
        <v>4010.6335827830399</v>
      </c>
      <c r="AS115" s="124">
        <v>3603.9812650529502</v>
      </c>
      <c r="AT115" s="124">
        <v>4395.5530914840929</v>
      </c>
      <c r="AU115" s="124">
        <v>2817.0432587461173</v>
      </c>
      <c r="AV115" s="124">
        <v>4341.857313135908</v>
      </c>
      <c r="AW115" s="124">
        <v>3556.973349214777</v>
      </c>
      <c r="AX115" s="124">
        <v>3371.5074662884745</v>
      </c>
      <c r="AY115" s="124">
        <v>3940.0541585794263</v>
      </c>
    </row>
    <row r="116" spans="1:52" x14ac:dyDescent="0.2">
      <c r="A116" s="127"/>
      <c r="B116" s="144">
        <v>8</v>
      </c>
      <c r="C116" s="124">
        <v>4338.6100206555802</v>
      </c>
      <c r="D116" s="124">
        <v>4280.1469934863853</v>
      </c>
      <c r="E116" s="124">
        <v>3687.2011195957957</v>
      </c>
      <c r="F116" s="124">
        <v>3178.6077086570349</v>
      </c>
      <c r="G116" s="124">
        <v>3198.3508713039314</v>
      </c>
      <c r="H116" s="124">
        <v>3279.5840907451798</v>
      </c>
      <c r="I116" s="124">
        <v>2657.2722952455629</v>
      </c>
      <c r="J116" s="124">
        <v>1944.4650282532616</v>
      </c>
      <c r="K116" s="124">
        <v>1717.0726513629697</v>
      </c>
      <c r="L116" s="124">
        <v>0</v>
      </c>
      <c r="M116" s="124">
        <v>0</v>
      </c>
      <c r="N116" s="124">
        <v>0</v>
      </c>
      <c r="O116" s="124">
        <v>0</v>
      </c>
      <c r="P116" s="124">
        <v>0</v>
      </c>
      <c r="Q116" s="124">
        <v>0</v>
      </c>
      <c r="R116" s="124">
        <v>0</v>
      </c>
      <c r="S116" s="124">
        <v>0</v>
      </c>
      <c r="T116" s="124">
        <v>0</v>
      </c>
      <c r="U116" s="124">
        <v>0</v>
      </c>
      <c r="V116" s="124">
        <v>0</v>
      </c>
      <c r="W116" s="124">
        <v>0</v>
      </c>
      <c r="X116" s="124">
        <v>0</v>
      </c>
      <c r="Y116" s="124">
        <v>0</v>
      </c>
      <c r="Z116" s="124">
        <v>0</v>
      </c>
      <c r="AA116" s="124">
        <v>0</v>
      </c>
      <c r="AB116" s="124">
        <v>0</v>
      </c>
      <c r="AC116" s="124">
        <v>0</v>
      </c>
      <c r="AD116" s="124">
        <v>0</v>
      </c>
      <c r="AE116" s="124">
        <v>0</v>
      </c>
      <c r="AF116" s="124">
        <v>0</v>
      </c>
      <c r="AG116" s="124">
        <v>0</v>
      </c>
      <c r="AH116" s="124">
        <v>0</v>
      </c>
      <c r="AI116" s="124">
        <v>0</v>
      </c>
      <c r="AJ116" s="124">
        <v>0</v>
      </c>
      <c r="AK116" s="124">
        <v>117.80055852290889</v>
      </c>
      <c r="AL116" s="124">
        <v>543.17914995577712</v>
      </c>
      <c r="AM116" s="124">
        <v>714.81096886411751</v>
      </c>
      <c r="AN116" s="124">
        <v>418.30069995395434</v>
      </c>
      <c r="AO116" s="124">
        <v>419.88290703422308</v>
      </c>
      <c r="AP116" s="124">
        <v>9.4365320135052571</v>
      </c>
      <c r="AQ116" s="124">
        <v>0</v>
      </c>
      <c r="AR116" s="124">
        <v>0</v>
      </c>
      <c r="AS116" s="124">
        <v>0</v>
      </c>
      <c r="AT116" s="124">
        <v>267.98008526857052</v>
      </c>
      <c r="AU116" s="124">
        <v>0</v>
      </c>
      <c r="AV116" s="124">
        <v>0</v>
      </c>
      <c r="AW116" s="124">
        <v>0</v>
      </c>
      <c r="AX116" s="124">
        <v>0</v>
      </c>
      <c r="AY116" s="124">
        <v>0</v>
      </c>
    </row>
    <row r="117" spans="1:52" x14ac:dyDescent="0.2">
      <c r="A117" s="127"/>
      <c r="B117" s="144">
        <v>9</v>
      </c>
      <c r="C117" s="124">
        <v>2900.7396468514316</v>
      </c>
      <c r="D117" s="124">
        <v>3748.857453164816</v>
      </c>
      <c r="E117" s="124">
        <v>3118.4740027722851</v>
      </c>
      <c r="F117" s="124">
        <v>2887.7505320972195</v>
      </c>
      <c r="G117" s="124">
        <v>1926.9873403540246</v>
      </c>
      <c r="H117" s="124">
        <v>646.40594808994547</v>
      </c>
      <c r="I117" s="124">
        <v>0</v>
      </c>
      <c r="J117" s="124">
        <v>0</v>
      </c>
      <c r="K117" s="124">
        <v>0</v>
      </c>
      <c r="L117" s="124">
        <v>0</v>
      </c>
      <c r="M117" s="124">
        <v>0</v>
      </c>
      <c r="N117" s="124">
        <v>0</v>
      </c>
      <c r="O117" s="124">
        <v>0</v>
      </c>
      <c r="P117" s="124">
        <v>0</v>
      </c>
      <c r="Q117" s="124">
        <v>0</v>
      </c>
      <c r="R117" s="124">
        <v>0</v>
      </c>
      <c r="S117" s="124">
        <v>0</v>
      </c>
      <c r="T117" s="124">
        <v>0</v>
      </c>
      <c r="U117" s="124">
        <v>0</v>
      </c>
      <c r="V117" s="124">
        <v>0</v>
      </c>
      <c r="W117" s="124">
        <v>0</v>
      </c>
      <c r="X117" s="124">
        <v>0</v>
      </c>
      <c r="Y117" s="124">
        <v>0</v>
      </c>
      <c r="Z117" s="124">
        <v>0</v>
      </c>
      <c r="AA117" s="124">
        <v>0</v>
      </c>
      <c r="AB117" s="124">
        <v>0</v>
      </c>
      <c r="AC117" s="124">
        <v>0</v>
      </c>
      <c r="AD117" s="124">
        <v>0</v>
      </c>
      <c r="AE117" s="124">
        <v>0</v>
      </c>
      <c r="AF117" s="124">
        <v>0</v>
      </c>
      <c r="AG117" s="124">
        <v>0</v>
      </c>
      <c r="AH117" s="124">
        <v>0</v>
      </c>
      <c r="AI117" s="124">
        <v>0</v>
      </c>
      <c r="AJ117" s="124">
        <v>0</v>
      </c>
      <c r="AK117" s="124">
        <v>0</v>
      </c>
      <c r="AL117" s="124">
        <v>0</v>
      </c>
      <c r="AM117" s="124">
        <v>0</v>
      </c>
      <c r="AN117" s="124">
        <v>0</v>
      </c>
      <c r="AO117" s="124">
        <v>0</v>
      </c>
      <c r="AP117" s="124">
        <v>0</v>
      </c>
      <c r="AQ117" s="124">
        <v>0</v>
      </c>
      <c r="AR117" s="124">
        <v>0</v>
      </c>
      <c r="AS117" s="124">
        <v>0</v>
      </c>
      <c r="AT117" s="124">
        <v>0</v>
      </c>
      <c r="AU117" s="124">
        <v>0</v>
      </c>
      <c r="AV117" s="124">
        <v>0</v>
      </c>
      <c r="AW117" s="124">
        <v>0</v>
      </c>
      <c r="AX117" s="124">
        <v>0</v>
      </c>
      <c r="AY117" s="124">
        <v>0</v>
      </c>
    </row>
    <row r="118" spans="1:52" x14ac:dyDescent="0.2">
      <c r="A118" s="127"/>
      <c r="B118" s="147">
        <v>10</v>
      </c>
      <c r="C118" s="124">
        <v>0</v>
      </c>
      <c r="D118" s="124">
        <v>0</v>
      </c>
      <c r="E118" s="124">
        <v>0</v>
      </c>
      <c r="F118" s="124">
        <v>0</v>
      </c>
      <c r="G118" s="124">
        <v>0</v>
      </c>
      <c r="H118" s="124">
        <v>0</v>
      </c>
      <c r="I118" s="124">
        <v>0</v>
      </c>
      <c r="J118" s="124">
        <v>0</v>
      </c>
      <c r="K118" s="124">
        <v>0</v>
      </c>
      <c r="L118" s="124">
        <v>0</v>
      </c>
      <c r="M118" s="124">
        <v>0</v>
      </c>
      <c r="N118" s="124">
        <v>0</v>
      </c>
      <c r="O118" s="124">
        <v>0</v>
      </c>
      <c r="P118" s="124">
        <v>0</v>
      </c>
      <c r="Q118" s="124">
        <v>0</v>
      </c>
      <c r="R118" s="124">
        <v>0</v>
      </c>
      <c r="S118" s="124">
        <v>0</v>
      </c>
      <c r="T118" s="124">
        <v>0</v>
      </c>
      <c r="U118" s="124">
        <v>0</v>
      </c>
      <c r="V118" s="124">
        <v>0</v>
      </c>
      <c r="W118" s="124">
        <v>0</v>
      </c>
      <c r="X118" s="124">
        <v>0</v>
      </c>
      <c r="Y118" s="124">
        <v>0</v>
      </c>
      <c r="Z118" s="124">
        <v>0</v>
      </c>
      <c r="AA118" s="124">
        <v>0</v>
      </c>
      <c r="AB118" s="124">
        <v>0</v>
      </c>
      <c r="AC118" s="124">
        <v>0</v>
      </c>
      <c r="AD118" s="124">
        <v>0</v>
      </c>
      <c r="AE118" s="124">
        <v>0</v>
      </c>
      <c r="AF118" s="124">
        <v>0</v>
      </c>
      <c r="AG118" s="124">
        <v>0</v>
      </c>
      <c r="AH118" s="124">
        <v>0</v>
      </c>
      <c r="AI118" s="124">
        <v>0</v>
      </c>
      <c r="AJ118" s="124">
        <v>0</v>
      </c>
      <c r="AK118" s="124">
        <v>0</v>
      </c>
      <c r="AL118" s="124">
        <v>0</v>
      </c>
      <c r="AM118" s="124">
        <v>0</v>
      </c>
      <c r="AN118" s="124">
        <v>0</v>
      </c>
      <c r="AO118" s="124">
        <v>0</v>
      </c>
      <c r="AP118" s="124">
        <v>0</v>
      </c>
      <c r="AQ118" s="124">
        <v>0</v>
      </c>
      <c r="AR118" s="124">
        <v>0</v>
      </c>
      <c r="AS118" s="124">
        <v>0</v>
      </c>
      <c r="AT118" s="124">
        <v>0</v>
      </c>
      <c r="AU118" s="124">
        <v>0</v>
      </c>
      <c r="AV118" s="124">
        <v>0</v>
      </c>
      <c r="AW118" s="124">
        <v>0</v>
      </c>
      <c r="AX118" s="124">
        <v>0</v>
      </c>
      <c r="AY118" s="124">
        <v>0</v>
      </c>
    </row>
    <row r="119" spans="1:52" x14ac:dyDescent="0.2">
      <c r="A119" s="127"/>
      <c r="B119" s="147">
        <v>11</v>
      </c>
      <c r="C119" s="124">
        <v>0</v>
      </c>
      <c r="D119" s="124">
        <v>0</v>
      </c>
      <c r="E119" s="124">
        <v>0</v>
      </c>
      <c r="F119" s="124">
        <v>0</v>
      </c>
      <c r="G119" s="124">
        <v>0</v>
      </c>
      <c r="H119" s="124">
        <v>0</v>
      </c>
      <c r="I119" s="124">
        <v>0</v>
      </c>
      <c r="J119" s="124">
        <v>0</v>
      </c>
      <c r="K119" s="124">
        <v>0</v>
      </c>
      <c r="L119" s="124">
        <v>0</v>
      </c>
      <c r="M119" s="124">
        <v>0</v>
      </c>
      <c r="N119" s="124">
        <v>0</v>
      </c>
      <c r="O119" s="124">
        <v>0</v>
      </c>
      <c r="P119" s="124">
        <v>0</v>
      </c>
      <c r="Q119" s="124">
        <v>0</v>
      </c>
      <c r="R119" s="124">
        <v>0</v>
      </c>
      <c r="S119" s="124">
        <v>0</v>
      </c>
      <c r="T119" s="124">
        <v>0</v>
      </c>
      <c r="U119" s="124">
        <v>0</v>
      </c>
      <c r="V119" s="124">
        <v>0</v>
      </c>
      <c r="W119" s="124">
        <v>0</v>
      </c>
      <c r="X119" s="124">
        <v>0</v>
      </c>
      <c r="Y119" s="124">
        <v>0</v>
      </c>
      <c r="Z119" s="124">
        <v>0</v>
      </c>
      <c r="AA119" s="124">
        <v>0</v>
      </c>
      <c r="AB119" s="124">
        <v>0</v>
      </c>
      <c r="AC119" s="124">
        <v>0</v>
      </c>
      <c r="AD119" s="124">
        <v>0</v>
      </c>
      <c r="AE119" s="124">
        <v>0</v>
      </c>
      <c r="AF119" s="124">
        <v>0</v>
      </c>
      <c r="AG119" s="124">
        <v>0</v>
      </c>
      <c r="AH119" s="124">
        <v>0</v>
      </c>
      <c r="AI119" s="124">
        <v>0</v>
      </c>
      <c r="AJ119" s="124">
        <v>0</v>
      </c>
      <c r="AK119" s="124">
        <v>0</v>
      </c>
      <c r="AL119" s="124">
        <v>0</v>
      </c>
      <c r="AM119" s="124">
        <v>0</v>
      </c>
      <c r="AN119" s="124">
        <v>0</v>
      </c>
      <c r="AO119" s="124">
        <v>0</v>
      </c>
      <c r="AP119" s="124">
        <v>0</v>
      </c>
      <c r="AQ119" s="124">
        <v>0</v>
      </c>
      <c r="AR119" s="124">
        <v>0</v>
      </c>
      <c r="AS119" s="124">
        <v>0</v>
      </c>
      <c r="AT119" s="124">
        <v>0</v>
      </c>
      <c r="AU119" s="124">
        <v>0</v>
      </c>
      <c r="AV119" s="124">
        <v>0</v>
      </c>
      <c r="AW119" s="124">
        <v>0</v>
      </c>
      <c r="AX119" s="124">
        <v>0</v>
      </c>
      <c r="AY119" s="124">
        <v>0</v>
      </c>
    </row>
    <row r="120" spans="1:52" x14ac:dyDescent="0.2">
      <c r="A120" s="127"/>
      <c r="B120" s="147">
        <v>12</v>
      </c>
      <c r="C120" s="124">
        <v>0</v>
      </c>
      <c r="D120" s="124">
        <v>0</v>
      </c>
      <c r="E120" s="124">
        <v>0</v>
      </c>
      <c r="F120" s="124">
        <v>0</v>
      </c>
      <c r="G120" s="124">
        <v>0</v>
      </c>
      <c r="H120" s="124">
        <v>0</v>
      </c>
      <c r="I120" s="124">
        <v>0</v>
      </c>
      <c r="J120" s="124">
        <v>0</v>
      </c>
      <c r="K120" s="124">
        <v>0</v>
      </c>
      <c r="L120" s="124">
        <v>0</v>
      </c>
      <c r="M120" s="124">
        <v>0</v>
      </c>
      <c r="N120" s="124">
        <v>0</v>
      </c>
      <c r="O120" s="124">
        <v>0</v>
      </c>
      <c r="P120" s="124">
        <v>0</v>
      </c>
      <c r="Q120" s="124">
        <v>0</v>
      </c>
      <c r="R120" s="124">
        <v>0</v>
      </c>
      <c r="S120" s="124">
        <v>0</v>
      </c>
      <c r="T120" s="124">
        <v>0</v>
      </c>
      <c r="U120" s="124">
        <v>0</v>
      </c>
      <c r="V120" s="124">
        <v>0</v>
      </c>
      <c r="W120" s="124">
        <v>0</v>
      </c>
      <c r="X120" s="124">
        <v>0</v>
      </c>
      <c r="Y120" s="124">
        <v>0</v>
      </c>
      <c r="Z120" s="124">
        <v>0</v>
      </c>
      <c r="AA120" s="124">
        <v>0</v>
      </c>
      <c r="AB120" s="124">
        <v>0</v>
      </c>
      <c r="AC120" s="124">
        <v>0</v>
      </c>
      <c r="AD120" s="124">
        <v>0</v>
      </c>
      <c r="AE120" s="124">
        <v>0</v>
      </c>
      <c r="AF120" s="124">
        <v>0</v>
      </c>
      <c r="AG120" s="124">
        <v>0</v>
      </c>
      <c r="AH120" s="124">
        <v>0</v>
      </c>
      <c r="AI120" s="124">
        <v>0</v>
      </c>
      <c r="AJ120" s="124">
        <v>0</v>
      </c>
      <c r="AK120" s="124">
        <v>0</v>
      </c>
      <c r="AL120" s="124">
        <v>0</v>
      </c>
      <c r="AM120" s="124">
        <v>0</v>
      </c>
      <c r="AN120" s="124">
        <v>0</v>
      </c>
      <c r="AO120" s="124">
        <v>0</v>
      </c>
      <c r="AP120" s="124">
        <v>0</v>
      </c>
      <c r="AQ120" s="124">
        <v>0</v>
      </c>
      <c r="AR120" s="124">
        <v>0</v>
      </c>
      <c r="AS120" s="124">
        <v>0</v>
      </c>
      <c r="AT120" s="124">
        <v>0</v>
      </c>
      <c r="AU120" s="124">
        <v>0</v>
      </c>
      <c r="AV120" s="124">
        <v>0</v>
      </c>
      <c r="AW120" s="124">
        <v>0</v>
      </c>
      <c r="AX120" s="124">
        <v>0</v>
      </c>
      <c r="AY120" s="124">
        <v>0</v>
      </c>
    </row>
    <row r="121" spans="1:52" x14ac:dyDescent="0.2">
      <c r="A121" s="145"/>
      <c r="B121" s="149" t="s">
        <v>296</v>
      </c>
      <c r="C121" s="131">
        <v>0</v>
      </c>
      <c r="D121" s="142">
        <v>0</v>
      </c>
      <c r="E121" s="142">
        <v>0</v>
      </c>
      <c r="F121" s="142">
        <v>0</v>
      </c>
      <c r="G121" s="142">
        <v>0</v>
      </c>
      <c r="H121" s="142">
        <v>0</v>
      </c>
      <c r="I121" s="142">
        <v>0</v>
      </c>
      <c r="J121" s="142">
        <v>0</v>
      </c>
      <c r="K121" s="142">
        <v>0</v>
      </c>
      <c r="L121" s="142">
        <v>0</v>
      </c>
      <c r="M121" s="142">
        <v>0</v>
      </c>
      <c r="N121" s="142">
        <v>0</v>
      </c>
      <c r="O121" s="142">
        <v>0</v>
      </c>
      <c r="P121" s="142">
        <v>0</v>
      </c>
      <c r="Q121" s="142">
        <v>0</v>
      </c>
      <c r="R121" s="142">
        <v>0</v>
      </c>
      <c r="S121" s="142">
        <v>0</v>
      </c>
      <c r="T121" s="142">
        <v>0</v>
      </c>
      <c r="U121" s="142">
        <v>0</v>
      </c>
      <c r="V121" s="142">
        <v>0</v>
      </c>
      <c r="W121" s="142">
        <v>0</v>
      </c>
      <c r="X121" s="142">
        <v>0</v>
      </c>
      <c r="Y121" s="142">
        <v>0</v>
      </c>
      <c r="Z121" s="142">
        <v>0</v>
      </c>
      <c r="AA121" s="142">
        <v>0</v>
      </c>
      <c r="AB121" s="142">
        <v>0</v>
      </c>
      <c r="AC121" s="142">
        <v>0</v>
      </c>
      <c r="AD121" s="142">
        <v>0</v>
      </c>
      <c r="AE121" s="142">
        <v>0</v>
      </c>
      <c r="AF121" s="142">
        <v>0</v>
      </c>
      <c r="AG121" s="142">
        <v>0</v>
      </c>
      <c r="AH121" s="142">
        <v>0</v>
      </c>
      <c r="AI121" s="142">
        <v>0</v>
      </c>
      <c r="AJ121" s="142">
        <v>0</v>
      </c>
      <c r="AK121" s="142">
        <v>0</v>
      </c>
      <c r="AL121" s="142">
        <v>0</v>
      </c>
      <c r="AM121" s="142">
        <v>0</v>
      </c>
      <c r="AN121" s="142">
        <v>0</v>
      </c>
      <c r="AO121" s="142">
        <v>0</v>
      </c>
      <c r="AP121" s="142">
        <v>0</v>
      </c>
      <c r="AQ121" s="142">
        <v>0</v>
      </c>
      <c r="AR121" s="142">
        <v>0</v>
      </c>
      <c r="AS121" s="142">
        <v>0</v>
      </c>
      <c r="AT121" s="142">
        <v>0</v>
      </c>
      <c r="AU121" s="142">
        <v>0</v>
      </c>
      <c r="AV121" s="142">
        <v>0</v>
      </c>
      <c r="AW121" s="142">
        <v>0</v>
      </c>
      <c r="AX121" s="142">
        <v>0</v>
      </c>
      <c r="AY121" s="142">
        <v>0</v>
      </c>
      <c r="AZ121" s="125">
        <f>SUM($D121:$AY121)</f>
        <v>0</v>
      </c>
    </row>
    <row r="122" spans="1:52" x14ac:dyDescent="0.2">
      <c r="A122" s="148" t="s">
        <v>123</v>
      </c>
      <c r="B122" s="136">
        <v>1</v>
      </c>
      <c r="C122" s="124">
        <v>5629.1207660849332</v>
      </c>
      <c r="D122" s="124">
        <v>5160.6362258534818</v>
      </c>
      <c r="E122" s="124">
        <v>5373.7080640567838</v>
      </c>
      <c r="F122" s="124">
        <v>5433.6362258534818</v>
      </c>
      <c r="G122" s="124">
        <v>5286.6362258534818</v>
      </c>
      <c r="H122" s="124">
        <v>5729.1935586746695</v>
      </c>
      <c r="I122" s="124">
        <v>5895.4553367938779</v>
      </c>
      <c r="J122" s="124">
        <v>5895.4553367938779</v>
      </c>
      <c r="K122" s="124">
        <v>5385.1553367938777</v>
      </c>
      <c r="L122" s="124">
        <v>5895.4553367938779</v>
      </c>
      <c r="M122" s="124">
        <v>5385.1553367938777</v>
      </c>
      <c r="N122" s="124">
        <v>5895.4553367938779</v>
      </c>
      <c r="O122" s="124">
        <v>5895.4553367938779</v>
      </c>
      <c r="P122" s="124">
        <v>5895.4553367938779</v>
      </c>
      <c r="Q122" s="124">
        <v>5895.4553367938779</v>
      </c>
      <c r="R122" s="124">
        <v>5532.1553367938777</v>
      </c>
      <c r="S122" s="124">
        <v>5385.1553367938777</v>
      </c>
      <c r="T122" s="124">
        <v>5895.4553367938779</v>
      </c>
      <c r="U122" s="124">
        <v>5796.936225853482</v>
      </c>
      <c r="V122" s="124">
        <v>5993.9744477342738</v>
      </c>
      <c r="W122" s="124">
        <v>5895.4553367938779</v>
      </c>
      <c r="X122" s="124">
        <v>5895.4553367938779</v>
      </c>
      <c r="Y122" s="124">
        <v>5385.1553367938777</v>
      </c>
      <c r="Z122" s="124">
        <v>5895.4553367938779</v>
      </c>
      <c r="AA122" s="124">
        <v>5895.4553367938779</v>
      </c>
      <c r="AB122" s="124">
        <v>5796.936225853482</v>
      </c>
      <c r="AC122" s="124">
        <v>5993.9744477342738</v>
      </c>
      <c r="AD122" s="124">
        <v>5532.1553367938777</v>
      </c>
      <c r="AE122" s="124">
        <v>5895.4553367938779</v>
      </c>
      <c r="AF122" s="124">
        <v>5259.1553367938777</v>
      </c>
      <c r="AG122" s="124">
        <v>5895.4553367938779</v>
      </c>
      <c r="AH122" s="124">
        <v>5895.4553367938779</v>
      </c>
      <c r="AI122" s="124">
        <v>5895.4553367938779</v>
      </c>
      <c r="AJ122" s="124">
        <v>5259.1553367938777</v>
      </c>
      <c r="AK122" s="124">
        <v>5895.4553367938779</v>
      </c>
      <c r="AL122" s="124">
        <v>5259.1553367938777</v>
      </c>
      <c r="AM122" s="124">
        <v>5658.1553367938777</v>
      </c>
      <c r="AN122" s="124">
        <v>5895.4553367938779</v>
      </c>
      <c r="AO122" s="124">
        <v>5658.1553367938777</v>
      </c>
      <c r="AP122" s="124">
        <v>5895.4553367938779</v>
      </c>
      <c r="AQ122" s="124">
        <v>5895.4553367938779</v>
      </c>
      <c r="AR122" s="124">
        <v>5895.4553367938779</v>
      </c>
      <c r="AS122" s="124">
        <v>5895.4553367938779</v>
      </c>
      <c r="AT122" s="124">
        <v>5259.1553367938777</v>
      </c>
      <c r="AU122" s="124">
        <v>5895.4553367938779</v>
      </c>
      <c r="AV122" s="124">
        <v>5259.1553367938777</v>
      </c>
      <c r="AW122" s="124">
        <v>5611.1530068541797</v>
      </c>
      <c r="AX122" s="124">
        <v>5611.5498263448526</v>
      </c>
      <c r="AY122" s="124">
        <v>5895.4553367938779</v>
      </c>
    </row>
    <row r="123" spans="1:52" x14ac:dyDescent="0.2">
      <c r="A123" s="127"/>
      <c r="B123" s="136">
        <v>2</v>
      </c>
      <c r="C123" s="124">
        <v>2354.1374422218541</v>
      </c>
      <c r="D123" s="124">
        <v>2868.2804075115409</v>
      </c>
      <c r="E123" s="124">
        <v>2926.9073532150674</v>
      </c>
      <c r="F123" s="124">
        <v>3047.7532145985938</v>
      </c>
      <c r="G123" s="124">
        <v>3445.0420814264253</v>
      </c>
      <c r="H123" s="124">
        <v>3508.6695354664635</v>
      </c>
      <c r="I123" s="124">
        <v>3612.6704305042367</v>
      </c>
      <c r="J123" s="124">
        <v>3343.6674899438881</v>
      </c>
      <c r="K123" s="124">
        <v>3343.6674899438881</v>
      </c>
      <c r="L123" s="124">
        <v>3564.5456518257342</v>
      </c>
      <c r="M123" s="124">
        <v>3343.6674899438881</v>
      </c>
      <c r="N123" s="124">
        <v>3564.5456518257342</v>
      </c>
      <c r="O123" s="124">
        <v>3343.6674899438881</v>
      </c>
      <c r="P123" s="124">
        <v>3343.6674899438881</v>
      </c>
      <c r="Q123" s="124">
        <v>3343.6674899438881</v>
      </c>
      <c r="R123" s="124">
        <v>3343.6674899438881</v>
      </c>
      <c r="S123" s="124">
        <v>3500.9181977856961</v>
      </c>
      <c r="T123" s="124">
        <v>3564.5456518257342</v>
      </c>
      <c r="U123" s="124">
        <v>3343.6674899438881</v>
      </c>
      <c r="V123" s="124">
        <v>3287.7913735846178</v>
      </c>
      <c r="W123" s="124">
        <v>3399.5436063031589</v>
      </c>
      <c r="X123" s="124">
        <v>3343.6674899438881</v>
      </c>
      <c r="Y123" s="124">
        <v>3343.6674899438881</v>
      </c>
      <c r="Z123" s="124">
        <v>3564.5456518257342</v>
      </c>
      <c r="AA123" s="124">
        <v>3343.6674899438881</v>
      </c>
      <c r="AB123" s="124">
        <v>3343.6674899438881</v>
      </c>
      <c r="AC123" s="124">
        <v>3287.7913735846178</v>
      </c>
      <c r="AD123" s="124">
        <v>3399.5436063031589</v>
      </c>
      <c r="AE123" s="124">
        <v>3137.6181977856959</v>
      </c>
      <c r="AF123" s="124">
        <v>3343.6674899438881</v>
      </c>
      <c r="AG123" s="124">
        <v>2982.7834695743377</v>
      </c>
      <c r="AH123" s="124">
        <v>3343.6674899438881</v>
      </c>
      <c r="AI123" s="124">
        <v>3343.6674899438881</v>
      </c>
      <c r="AJ123" s="124">
        <v>3343.6674899438881</v>
      </c>
      <c r="AK123" s="124">
        <v>2982.7834695743377</v>
      </c>
      <c r="AL123" s="124">
        <v>3343.6674899438881</v>
      </c>
      <c r="AM123" s="124">
        <v>2982.7834695743377</v>
      </c>
      <c r="AN123" s="124">
        <v>3209.0803800370923</v>
      </c>
      <c r="AO123" s="124">
        <v>3343.6674899438881</v>
      </c>
      <c r="AP123" s="124">
        <v>3446.3803800370924</v>
      </c>
      <c r="AQ123" s="124">
        <v>3343.6674899438881</v>
      </c>
      <c r="AR123" s="124">
        <v>3343.6674899438881</v>
      </c>
      <c r="AS123" s="124">
        <v>3343.6674899438881</v>
      </c>
      <c r="AT123" s="124">
        <v>3343.6674899438881</v>
      </c>
      <c r="AU123" s="124">
        <v>3619.0834695743379</v>
      </c>
      <c r="AV123" s="124">
        <v>3343.6674899438881</v>
      </c>
      <c r="AW123" s="124">
        <v>3619.0834695743379</v>
      </c>
      <c r="AX123" s="124">
        <v>3182.4225302879577</v>
      </c>
      <c r="AY123" s="124">
        <v>3182.6475905003654</v>
      </c>
    </row>
    <row r="124" spans="1:52" x14ac:dyDescent="0.2">
      <c r="A124" s="127"/>
      <c r="B124" s="136">
        <v>3</v>
      </c>
      <c r="C124" s="124">
        <v>0</v>
      </c>
      <c r="D124" s="124">
        <v>0</v>
      </c>
      <c r="E124" s="124">
        <v>483.15740527184289</v>
      </c>
      <c r="F124" s="124">
        <v>938.05293063535419</v>
      </c>
      <c r="G124" s="124">
        <v>1037.3926021580437</v>
      </c>
      <c r="H124" s="124">
        <v>1470.7248635635851</v>
      </c>
      <c r="I124" s="124">
        <v>1772.1142067068754</v>
      </c>
      <c r="J124" s="124">
        <v>1839.0354057849077</v>
      </c>
      <c r="K124" s="124">
        <v>1811.4226895984884</v>
      </c>
      <c r="L124" s="124">
        <v>1873.7618566098379</v>
      </c>
      <c r="M124" s="124">
        <v>1966.3914468806247</v>
      </c>
      <c r="N124" s="124">
        <v>1718.6539643572062</v>
      </c>
      <c r="O124" s="124">
        <v>1780.4204273188193</v>
      </c>
      <c r="P124" s="124">
        <v>1715.1786080603515</v>
      </c>
      <c r="Q124" s="124">
        <v>1689.1760463281191</v>
      </c>
      <c r="R124" s="124">
        <v>1750.428428824056</v>
      </c>
      <c r="S124" s="124">
        <v>1619.1683408975232</v>
      </c>
      <c r="T124" s="124">
        <v>1722.909185478572</v>
      </c>
      <c r="U124" s="124">
        <v>1930.8338192814786</v>
      </c>
      <c r="V124" s="124">
        <v>1700.4870940086548</v>
      </c>
      <c r="W124" s="124">
        <v>1623.152896602106</v>
      </c>
      <c r="X124" s="124">
        <v>1611.6734355878248</v>
      </c>
      <c r="Y124" s="124">
        <v>1699.4720344297548</v>
      </c>
      <c r="Z124" s="124">
        <v>1608.2679032540345</v>
      </c>
      <c r="AA124" s="124">
        <v>1583.8138494095447</v>
      </c>
      <c r="AB124" s="124">
        <v>1640.6711866129237</v>
      </c>
      <c r="AC124" s="124">
        <v>1665.918404022106</v>
      </c>
      <c r="AD124" s="124">
        <v>1688.5469122845602</v>
      </c>
      <c r="AE124" s="124">
        <v>1517.7623170707629</v>
      </c>
      <c r="AF124" s="124">
        <v>1974.6464349386547</v>
      </c>
      <c r="AG124" s="124">
        <v>1749.335864842016</v>
      </c>
      <c r="AH124" s="124">
        <v>1272.8696373921962</v>
      </c>
      <c r="AI124" s="124">
        <v>1319.3160124129197</v>
      </c>
      <c r="AJ124" s="124">
        <v>1258.658546672028</v>
      </c>
      <c r="AK124" s="124">
        <v>1580.2560476904134</v>
      </c>
      <c r="AL124" s="124">
        <v>1411.974298437271</v>
      </c>
      <c r="AM124" s="124">
        <v>1514.2106365369023</v>
      </c>
      <c r="AN124" s="124">
        <v>1315.515971383933</v>
      </c>
      <c r="AO124" s="124">
        <v>1506.4708657083424</v>
      </c>
      <c r="AP124" s="124">
        <v>1476.8053263183042</v>
      </c>
      <c r="AQ124" s="124">
        <v>1723.2348746431558</v>
      </c>
      <c r="AR124" s="124">
        <v>1617.7452399059462</v>
      </c>
      <c r="AS124" s="124">
        <v>1659.9157200390914</v>
      </c>
      <c r="AT124" s="124">
        <v>1558.8331369986445</v>
      </c>
      <c r="AU124" s="124">
        <v>1426.5031213504042</v>
      </c>
      <c r="AV124" s="124">
        <v>1519.6557819513041</v>
      </c>
      <c r="AW124" s="124">
        <v>1840.2832857430972</v>
      </c>
      <c r="AX124" s="124">
        <v>2052.3354130611715</v>
      </c>
      <c r="AY124" s="124">
        <v>1537.9462395996741</v>
      </c>
    </row>
    <row r="125" spans="1:52" x14ac:dyDescent="0.2">
      <c r="A125" s="127"/>
      <c r="B125" s="136">
        <v>4</v>
      </c>
      <c r="C125" s="124">
        <v>0</v>
      </c>
      <c r="D125" s="124">
        <v>0</v>
      </c>
      <c r="E125" s="124">
        <v>0</v>
      </c>
      <c r="F125" s="124">
        <v>0</v>
      </c>
      <c r="G125" s="124">
        <v>0</v>
      </c>
      <c r="H125" s="124">
        <v>0</v>
      </c>
      <c r="I125" s="124">
        <v>0</v>
      </c>
      <c r="J125" s="124">
        <v>0</v>
      </c>
      <c r="K125" s="124">
        <v>0</v>
      </c>
      <c r="L125" s="124">
        <v>0</v>
      </c>
      <c r="M125" s="124">
        <v>0</v>
      </c>
      <c r="N125" s="124">
        <v>0</v>
      </c>
      <c r="O125" s="124">
        <v>0</v>
      </c>
      <c r="P125" s="124">
        <v>0</v>
      </c>
      <c r="Q125" s="124">
        <v>0</v>
      </c>
      <c r="R125" s="124">
        <v>0</v>
      </c>
      <c r="S125" s="124">
        <v>0</v>
      </c>
      <c r="T125" s="124">
        <v>0</v>
      </c>
      <c r="U125" s="124">
        <v>0</v>
      </c>
      <c r="V125" s="124">
        <v>0</v>
      </c>
      <c r="W125" s="124">
        <v>0</v>
      </c>
      <c r="X125" s="124">
        <v>0</v>
      </c>
      <c r="Y125" s="124">
        <v>0</v>
      </c>
      <c r="Z125" s="124">
        <v>0</v>
      </c>
      <c r="AA125" s="124">
        <v>0</v>
      </c>
      <c r="AB125" s="124">
        <v>0</v>
      </c>
      <c r="AC125" s="124">
        <v>0</v>
      </c>
      <c r="AD125" s="124">
        <v>0</v>
      </c>
      <c r="AE125" s="124">
        <v>0</v>
      </c>
      <c r="AF125" s="124">
        <v>0</v>
      </c>
      <c r="AG125" s="124">
        <v>0</v>
      </c>
      <c r="AH125" s="124">
        <v>0</v>
      </c>
      <c r="AI125" s="124">
        <v>0</v>
      </c>
      <c r="AJ125" s="124">
        <v>0</v>
      </c>
      <c r="AK125" s="124">
        <v>0</v>
      </c>
      <c r="AL125" s="124">
        <v>0</v>
      </c>
      <c r="AM125" s="124">
        <v>0</v>
      </c>
      <c r="AN125" s="124">
        <v>0</v>
      </c>
      <c r="AO125" s="124">
        <v>0</v>
      </c>
      <c r="AP125" s="124">
        <v>0</v>
      </c>
      <c r="AQ125" s="124">
        <v>0</v>
      </c>
      <c r="AR125" s="124">
        <v>0</v>
      </c>
      <c r="AS125" s="124">
        <v>0</v>
      </c>
      <c r="AT125" s="124">
        <v>0</v>
      </c>
      <c r="AU125" s="124">
        <v>0</v>
      </c>
      <c r="AV125" s="124">
        <v>0</v>
      </c>
      <c r="AW125" s="124">
        <v>0</v>
      </c>
      <c r="AX125" s="124">
        <v>0</v>
      </c>
      <c r="AY125" s="124">
        <v>0</v>
      </c>
    </row>
    <row r="126" spans="1:52" x14ac:dyDescent="0.2">
      <c r="A126" s="127"/>
      <c r="B126" s="136">
        <v>5</v>
      </c>
      <c r="C126" s="124">
        <v>0</v>
      </c>
      <c r="D126" s="124">
        <v>0</v>
      </c>
      <c r="E126" s="124">
        <v>0</v>
      </c>
      <c r="F126" s="124">
        <v>0</v>
      </c>
      <c r="G126" s="124">
        <v>0</v>
      </c>
      <c r="H126" s="124">
        <v>0</v>
      </c>
      <c r="I126" s="124">
        <v>0</v>
      </c>
      <c r="J126" s="124">
        <v>0</v>
      </c>
      <c r="K126" s="124">
        <v>0</v>
      </c>
      <c r="L126" s="124">
        <v>0</v>
      </c>
      <c r="M126" s="124">
        <v>0</v>
      </c>
      <c r="N126" s="124">
        <v>0</v>
      </c>
      <c r="O126" s="124">
        <v>0</v>
      </c>
      <c r="P126" s="124">
        <v>0</v>
      </c>
      <c r="Q126" s="124">
        <v>0</v>
      </c>
      <c r="R126" s="124">
        <v>0</v>
      </c>
      <c r="S126" s="124">
        <v>0</v>
      </c>
      <c r="T126" s="124">
        <v>0</v>
      </c>
      <c r="U126" s="124">
        <v>0</v>
      </c>
      <c r="V126" s="124">
        <v>0</v>
      </c>
      <c r="W126" s="124">
        <v>0</v>
      </c>
      <c r="X126" s="124">
        <v>0</v>
      </c>
      <c r="Y126" s="124">
        <v>0</v>
      </c>
      <c r="Z126" s="124">
        <v>0</v>
      </c>
      <c r="AA126" s="124">
        <v>0</v>
      </c>
      <c r="AB126" s="124">
        <v>0</v>
      </c>
      <c r="AC126" s="124">
        <v>0</v>
      </c>
      <c r="AD126" s="124">
        <v>0</v>
      </c>
      <c r="AE126" s="124">
        <v>0</v>
      </c>
      <c r="AF126" s="124">
        <v>0</v>
      </c>
      <c r="AG126" s="124">
        <v>0</v>
      </c>
      <c r="AH126" s="124">
        <v>0</v>
      </c>
      <c r="AI126" s="124">
        <v>0</v>
      </c>
      <c r="AJ126" s="124">
        <v>0</v>
      </c>
      <c r="AK126" s="124">
        <v>0</v>
      </c>
      <c r="AL126" s="124">
        <v>0</v>
      </c>
      <c r="AM126" s="124">
        <v>0</v>
      </c>
      <c r="AN126" s="124">
        <v>0</v>
      </c>
      <c r="AO126" s="124">
        <v>0</v>
      </c>
      <c r="AP126" s="124">
        <v>0</v>
      </c>
      <c r="AQ126" s="124">
        <v>0</v>
      </c>
      <c r="AR126" s="124">
        <v>0</v>
      </c>
      <c r="AS126" s="124">
        <v>0</v>
      </c>
      <c r="AT126" s="124">
        <v>0</v>
      </c>
      <c r="AU126" s="124">
        <v>0</v>
      </c>
      <c r="AV126" s="124">
        <v>0</v>
      </c>
      <c r="AW126" s="124">
        <v>0</v>
      </c>
      <c r="AX126" s="124">
        <v>0</v>
      </c>
      <c r="AY126" s="124">
        <v>0</v>
      </c>
    </row>
    <row r="127" spans="1:52" x14ac:dyDescent="0.2">
      <c r="A127" s="127"/>
      <c r="B127" s="136">
        <v>6</v>
      </c>
      <c r="C127" s="124">
        <v>0</v>
      </c>
      <c r="D127" s="124">
        <v>0</v>
      </c>
      <c r="E127" s="124">
        <v>0</v>
      </c>
      <c r="F127" s="124">
        <v>0</v>
      </c>
      <c r="G127" s="124">
        <v>0</v>
      </c>
      <c r="H127" s="124">
        <v>0</v>
      </c>
      <c r="I127" s="124">
        <v>0</v>
      </c>
      <c r="J127" s="124">
        <v>0</v>
      </c>
      <c r="K127" s="124">
        <v>0</v>
      </c>
      <c r="L127" s="124">
        <v>0</v>
      </c>
      <c r="M127" s="124">
        <v>0</v>
      </c>
      <c r="N127" s="124">
        <v>0</v>
      </c>
      <c r="O127" s="124">
        <v>0</v>
      </c>
      <c r="P127" s="124">
        <v>0</v>
      </c>
      <c r="Q127" s="124">
        <v>0</v>
      </c>
      <c r="R127" s="124">
        <v>0</v>
      </c>
      <c r="S127" s="124">
        <v>0</v>
      </c>
      <c r="T127" s="124">
        <v>0</v>
      </c>
      <c r="U127" s="124">
        <v>0</v>
      </c>
      <c r="V127" s="124">
        <v>0</v>
      </c>
      <c r="W127" s="124">
        <v>0</v>
      </c>
      <c r="X127" s="124">
        <v>0</v>
      </c>
      <c r="Y127" s="124">
        <v>0</v>
      </c>
      <c r="Z127" s="124">
        <v>0</v>
      </c>
      <c r="AA127" s="124">
        <v>0</v>
      </c>
      <c r="AB127" s="124">
        <v>0</v>
      </c>
      <c r="AC127" s="124">
        <v>0</v>
      </c>
      <c r="AD127" s="124">
        <v>0</v>
      </c>
      <c r="AE127" s="124">
        <v>0</v>
      </c>
      <c r="AF127" s="124">
        <v>0</v>
      </c>
      <c r="AG127" s="124">
        <v>0</v>
      </c>
      <c r="AH127" s="124">
        <v>0</v>
      </c>
      <c r="AI127" s="124">
        <v>0</v>
      </c>
      <c r="AJ127" s="124">
        <v>0</v>
      </c>
      <c r="AK127" s="124">
        <v>0</v>
      </c>
      <c r="AL127" s="124">
        <v>0</v>
      </c>
      <c r="AM127" s="124">
        <v>0</v>
      </c>
      <c r="AN127" s="124">
        <v>0</v>
      </c>
      <c r="AO127" s="124">
        <v>0</v>
      </c>
      <c r="AP127" s="124">
        <v>0</v>
      </c>
      <c r="AQ127" s="124">
        <v>0</v>
      </c>
      <c r="AR127" s="124">
        <v>0</v>
      </c>
      <c r="AS127" s="124">
        <v>0</v>
      </c>
      <c r="AT127" s="124">
        <v>0</v>
      </c>
      <c r="AU127" s="124">
        <v>0</v>
      </c>
      <c r="AV127" s="124">
        <v>0</v>
      </c>
      <c r="AW127" s="124">
        <v>0</v>
      </c>
      <c r="AX127" s="124">
        <v>0</v>
      </c>
      <c r="AY127" s="124">
        <v>0</v>
      </c>
    </row>
    <row r="128" spans="1:52" x14ac:dyDescent="0.2">
      <c r="A128" s="127"/>
      <c r="B128" s="136">
        <v>7</v>
      </c>
      <c r="C128" s="124">
        <v>0</v>
      </c>
      <c r="D128" s="124">
        <v>0</v>
      </c>
      <c r="E128" s="124">
        <v>0</v>
      </c>
      <c r="F128" s="124">
        <v>0</v>
      </c>
      <c r="G128" s="124">
        <v>0</v>
      </c>
      <c r="H128" s="124">
        <v>0</v>
      </c>
      <c r="I128" s="124">
        <v>0</v>
      </c>
      <c r="J128" s="124">
        <v>0</v>
      </c>
      <c r="K128" s="124">
        <v>0</v>
      </c>
      <c r="L128" s="124">
        <v>0</v>
      </c>
      <c r="M128" s="124">
        <v>0</v>
      </c>
      <c r="N128" s="124">
        <v>0</v>
      </c>
      <c r="O128" s="124">
        <v>0</v>
      </c>
      <c r="P128" s="124">
        <v>0</v>
      </c>
      <c r="Q128" s="124">
        <v>0</v>
      </c>
      <c r="R128" s="124">
        <v>0</v>
      </c>
      <c r="S128" s="124">
        <v>0</v>
      </c>
      <c r="T128" s="124">
        <v>0</v>
      </c>
      <c r="U128" s="124">
        <v>0</v>
      </c>
      <c r="V128" s="124">
        <v>0</v>
      </c>
      <c r="W128" s="124">
        <v>0</v>
      </c>
      <c r="X128" s="124">
        <v>0</v>
      </c>
      <c r="Y128" s="124">
        <v>0</v>
      </c>
      <c r="Z128" s="124">
        <v>0</v>
      </c>
      <c r="AA128" s="124">
        <v>0</v>
      </c>
      <c r="AB128" s="124">
        <v>0</v>
      </c>
      <c r="AC128" s="124">
        <v>0</v>
      </c>
      <c r="AD128" s="124">
        <v>0</v>
      </c>
      <c r="AE128" s="124">
        <v>0</v>
      </c>
      <c r="AF128" s="124">
        <v>0</v>
      </c>
      <c r="AG128" s="124">
        <v>0</v>
      </c>
      <c r="AH128" s="124">
        <v>0</v>
      </c>
      <c r="AI128" s="124">
        <v>0</v>
      </c>
      <c r="AJ128" s="124">
        <v>0</v>
      </c>
      <c r="AK128" s="124">
        <v>0</v>
      </c>
      <c r="AL128" s="124">
        <v>0</v>
      </c>
      <c r="AM128" s="124">
        <v>0</v>
      </c>
      <c r="AN128" s="124">
        <v>0</v>
      </c>
      <c r="AO128" s="124">
        <v>0</v>
      </c>
      <c r="AP128" s="124">
        <v>0</v>
      </c>
      <c r="AQ128" s="124">
        <v>0</v>
      </c>
      <c r="AR128" s="124">
        <v>0</v>
      </c>
      <c r="AS128" s="124">
        <v>0</v>
      </c>
      <c r="AT128" s="124">
        <v>0</v>
      </c>
      <c r="AU128" s="124">
        <v>0</v>
      </c>
      <c r="AV128" s="124">
        <v>0</v>
      </c>
      <c r="AW128" s="124">
        <v>0</v>
      </c>
      <c r="AX128" s="124">
        <v>0</v>
      </c>
      <c r="AY128" s="124">
        <v>0</v>
      </c>
    </row>
    <row r="129" spans="1:51" x14ac:dyDescent="0.2">
      <c r="A129" s="127"/>
      <c r="B129" s="136">
        <v>8</v>
      </c>
      <c r="C129" s="124">
        <v>0</v>
      </c>
      <c r="D129" s="124">
        <v>0</v>
      </c>
      <c r="E129" s="124">
        <v>0</v>
      </c>
      <c r="F129" s="124">
        <v>0</v>
      </c>
      <c r="G129" s="124">
        <v>0</v>
      </c>
      <c r="H129" s="124">
        <v>0</v>
      </c>
      <c r="I129" s="124">
        <v>0</v>
      </c>
      <c r="J129" s="124">
        <v>0</v>
      </c>
      <c r="K129" s="124">
        <v>0</v>
      </c>
      <c r="L129" s="124">
        <v>0</v>
      </c>
      <c r="M129" s="124">
        <v>0</v>
      </c>
      <c r="N129" s="124">
        <v>0</v>
      </c>
      <c r="O129" s="124">
        <v>0</v>
      </c>
      <c r="P129" s="124">
        <v>0</v>
      </c>
      <c r="Q129" s="124">
        <v>0</v>
      </c>
      <c r="R129" s="124">
        <v>0</v>
      </c>
      <c r="S129" s="124">
        <v>0</v>
      </c>
      <c r="T129" s="124">
        <v>0</v>
      </c>
      <c r="U129" s="124">
        <v>0</v>
      </c>
      <c r="V129" s="124">
        <v>0</v>
      </c>
      <c r="W129" s="124">
        <v>0</v>
      </c>
      <c r="X129" s="124">
        <v>0</v>
      </c>
      <c r="Y129" s="124">
        <v>0</v>
      </c>
      <c r="Z129" s="124">
        <v>0</v>
      </c>
      <c r="AA129" s="124">
        <v>0</v>
      </c>
      <c r="AB129" s="124">
        <v>0</v>
      </c>
      <c r="AC129" s="124">
        <v>0</v>
      </c>
      <c r="AD129" s="124">
        <v>0</v>
      </c>
      <c r="AE129" s="124">
        <v>0</v>
      </c>
      <c r="AF129" s="124">
        <v>0</v>
      </c>
      <c r="AG129" s="124">
        <v>0</v>
      </c>
      <c r="AH129" s="124">
        <v>0</v>
      </c>
      <c r="AI129" s="124">
        <v>0</v>
      </c>
      <c r="AJ129" s="124">
        <v>0</v>
      </c>
      <c r="AK129" s="124">
        <v>0</v>
      </c>
      <c r="AL129" s="124">
        <v>0</v>
      </c>
      <c r="AM129" s="124">
        <v>0</v>
      </c>
      <c r="AN129" s="124">
        <v>0</v>
      </c>
      <c r="AO129" s="124">
        <v>0</v>
      </c>
      <c r="AP129" s="124">
        <v>0</v>
      </c>
      <c r="AQ129" s="124">
        <v>0</v>
      </c>
      <c r="AR129" s="124">
        <v>0</v>
      </c>
      <c r="AS129" s="124">
        <v>0</v>
      </c>
      <c r="AT129" s="124">
        <v>0</v>
      </c>
      <c r="AU129" s="124">
        <v>0</v>
      </c>
      <c r="AV129" s="124">
        <v>0</v>
      </c>
      <c r="AW129" s="124">
        <v>0</v>
      </c>
      <c r="AX129" s="124">
        <v>0</v>
      </c>
      <c r="AY129" s="124">
        <v>0</v>
      </c>
    </row>
    <row r="130" spans="1:51" x14ac:dyDescent="0.2">
      <c r="A130" s="127"/>
      <c r="B130" s="136">
        <v>9</v>
      </c>
      <c r="C130" s="124">
        <v>0</v>
      </c>
      <c r="D130" s="124">
        <v>0</v>
      </c>
      <c r="E130" s="124">
        <v>0</v>
      </c>
      <c r="F130" s="124">
        <v>0</v>
      </c>
      <c r="G130" s="124">
        <v>0</v>
      </c>
      <c r="H130" s="124">
        <v>0</v>
      </c>
      <c r="I130" s="124">
        <v>0</v>
      </c>
      <c r="J130" s="124">
        <v>0</v>
      </c>
      <c r="K130" s="124">
        <v>0</v>
      </c>
      <c r="L130" s="124">
        <v>0</v>
      </c>
      <c r="M130" s="124">
        <v>0</v>
      </c>
      <c r="N130" s="124">
        <v>0</v>
      </c>
      <c r="O130" s="124">
        <v>0</v>
      </c>
      <c r="P130" s="124">
        <v>0</v>
      </c>
      <c r="Q130" s="124">
        <v>0</v>
      </c>
      <c r="R130" s="124">
        <v>0</v>
      </c>
      <c r="S130" s="124">
        <v>0</v>
      </c>
      <c r="T130" s="124">
        <v>0</v>
      </c>
      <c r="U130" s="124">
        <v>0</v>
      </c>
      <c r="V130" s="124">
        <v>0</v>
      </c>
      <c r="W130" s="124">
        <v>0</v>
      </c>
      <c r="X130" s="124">
        <v>0</v>
      </c>
      <c r="Y130" s="124">
        <v>0</v>
      </c>
      <c r="Z130" s="124">
        <v>0</v>
      </c>
      <c r="AA130" s="124">
        <v>0</v>
      </c>
      <c r="AB130" s="124">
        <v>0</v>
      </c>
      <c r="AC130" s="124">
        <v>0</v>
      </c>
      <c r="AD130" s="124">
        <v>0</v>
      </c>
      <c r="AE130" s="124">
        <v>0</v>
      </c>
      <c r="AF130" s="124">
        <v>0</v>
      </c>
      <c r="AG130" s="124">
        <v>0</v>
      </c>
      <c r="AH130" s="124">
        <v>0</v>
      </c>
      <c r="AI130" s="124">
        <v>0</v>
      </c>
      <c r="AJ130" s="124">
        <v>0</v>
      </c>
      <c r="AK130" s="124">
        <v>0</v>
      </c>
      <c r="AL130" s="124">
        <v>0</v>
      </c>
      <c r="AM130" s="124">
        <v>0</v>
      </c>
      <c r="AN130" s="124">
        <v>0</v>
      </c>
      <c r="AO130" s="124">
        <v>0</v>
      </c>
      <c r="AP130" s="124">
        <v>0</v>
      </c>
      <c r="AQ130" s="124">
        <v>0</v>
      </c>
      <c r="AR130" s="124">
        <v>0</v>
      </c>
      <c r="AS130" s="124">
        <v>0</v>
      </c>
      <c r="AT130" s="124">
        <v>0</v>
      </c>
      <c r="AU130" s="124">
        <v>0</v>
      </c>
      <c r="AV130" s="124">
        <v>0</v>
      </c>
      <c r="AW130" s="124">
        <v>0</v>
      </c>
      <c r="AX130" s="124">
        <v>0</v>
      </c>
      <c r="AY130" s="124">
        <v>0</v>
      </c>
    </row>
    <row r="131" spans="1:51" x14ac:dyDescent="0.2">
      <c r="A131" s="127"/>
      <c r="B131" s="136">
        <v>10</v>
      </c>
      <c r="C131" s="124">
        <v>0</v>
      </c>
      <c r="D131" s="124">
        <v>0</v>
      </c>
      <c r="E131" s="124">
        <v>0</v>
      </c>
      <c r="F131" s="124">
        <v>0</v>
      </c>
      <c r="G131" s="124">
        <v>0</v>
      </c>
      <c r="H131" s="124">
        <v>0</v>
      </c>
      <c r="I131" s="124">
        <v>0</v>
      </c>
      <c r="J131" s="124">
        <v>0</v>
      </c>
      <c r="K131" s="124">
        <v>0</v>
      </c>
      <c r="L131" s="124">
        <v>0</v>
      </c>
      <c r="M131" s="124">
        <v>0</v>
      </c>
      <c r="N131" s="124">
        <v>0</v>
      </c>
      <c r="O131" s="124">
        <v>0</v>
      </c>
      <c r="P131" s="124">
        <v>0</v>
      </c>
      <c r="Q131" s="124">
        <v>0</v>
      </c>
      <c r="R131" s="124">
        <v>0</v>
      </c>
      <c r="S131" s="124">
        <v>0</v>
      </c>
      <c r="T131" s="124">
        <v>0</v>
      </c>
      <c r="U131" s="124">
        <v>0</v>
      </c>
      <c r="V131" s="124">
        <v>0</v>
      </c>
      <c r="W131" s="124">
        <v>0</v>
      </c>
      <c r="X131" s="124">
        <v>0</v>
      </c>
      <c r="Y131" s="124">
        <v>0</v>
      </c>
      <c r="Z131" s="124">
        <v>0</v>
      </c>
      <c r="AA131" s="124">
        <v>0</v>
      </c>
      <c r="AB131" s="124">
        <v>0</v>
      </c>
      <c r="AC131" s="124">
        <v>0</v>
      </c>
      <c r="AD131" s="124">
        <v>0</v>
      </c>
      <c r="AE131" s="124">
        <v>0</v>
      </c>
      <c r="AF131" s="124">
        <v>0</v>
      </c>
      <c r="AG131" s="124">
        <v>0</v>
      </c>
      <c r="AH131" s="124">
        <v>0</v>
      </c>
      <c r="AI131" s="124">
        <v>0</v>
      </c>
      <c r="AJ131" s="124">
        <v>0</v>
      </c>
      <c r="AK131" s="124">
        <v>0</v>
      </c>
      <c r="AL131" s="124">
        <v>0</v>
      </c>
      <c r="AM131" s="124">
        <v>0</v>
      </c>
      <c r="AN131" s="124">
        <v>0</v>
      </c>
      <c r="AO131" s="124">
        <v>0</v>
      </c>
      <c r="AP131" s="124">
        <v>0</v>
      </c>
      <c r="AQ131" s="124">
        <v>0</v>
      </c>
      <c r="AR131" s="124">
        <v>0</v>
      </c>
      <c r="AS131" s="124">
        <v>0</v>
      </c>
      <c r="AT131" s="124">
        <v>0</v>
      </c>
      <c r="AU131" s="124">
        <v>0</v>
      </c>
      <c r="AV131" s="124">
        <v>0</v>
      </c>
      <c r="AW131" s="124">
        <v>0</v>
      </c>
      <c r="AX131" s="124">
        <v>0</v>
      </c>
      <c r="AY131" s="124">
        <v>0</v>
      </c>
    </row>
    <row r="132" spans="1:51" x14ac:dyDescent="0.2">
      <c r="A132" s="127"/>
      <c r="B132" s="136">
        <v>11</v>
      </c>
      <c r="C132" s="124">
        <v>0</v>
      </c>
      <c r="D132" s="124">
        <v>0</v>
      </c>
      <c r="E132" s="124">
        <v>0</v>
      </c>
      <c r="F132" s="124">
        <v>0</v>
      </c>
      <c r="G132" s="124">
        <v>0</v>
      </c>
      <c r="H132" s="124">
        <v>0</v>
      </c>
      <c r="I132" s="124">
        <v>0</v>
      </c>
      <c r="J132" s="124">
        <v>0</v>
      </c>
      <c r="K132" s="124">
        <v>0</v>
      </c>
      <c r="L132" s="124">
        <v>0</v>
      </c>
      <c r="M132" s="124">
        <v>0</v>
      </c>
      <c r="N132" s="124">
        <v>0</v>
      </c>
      <c r="O132" s="124">
        <v>0</v>
      </c>
      <c r="P132" s="124">
        <v>0</v>
      </c>
      <c r="Q132" s="124">
        <v>0</v>
      </c>
      <c r="R132" s="124">
        <v>0</v>
      </c>
      <c r="S132" s="124">
        <v>0</v>
      </c>
      <c r="T132" s="124">
        <v>0</v>
      </c>
      <c r="U132" s="124">
        <v>0</v>
      </c>
      <c r="V132" s="124">
        <v>0</v>
      </c>
      <c r="W132" s="124">
        <v>0</v>
      </c>
      <c r="X132" s="124">
        <v>0</v>
      </c>
      <c r="Y132" s="124">
        <v>0</v>
      </c>
      <c r="Z132" s="124">
        <v>0</v>
      </c>
      <c r="AA132" s="124">
        <v>0</v>
      </c>
      <c r="AB132" s="124">
        <v>0</v>
      </c>
      <c r="AC132" s="124">
        <v>0</v>
      </c>
      <c r="AD132" s="124">
        <v>0</v>
      </c>
      <c r="AE132" s="124">
        <v>0</v>
      </c>
      <c r="AF132" s="124">
        <v>0</v>
      </c>
      <c r="AG132" s="124">
        <v>0</v>
      </c>
      <c r="AH132" s="124">
        <v>0</v>
      </c>
      <c r="AI132" s="124">
        <v>0</v>
      </c>
      <c r="AJ132" s="124">
        <v>0</v>
      </c>
      <c r="AK132" s="124">
        <v>0</v>
      </c>
      <c r="AL132" s="124">
        <v>0</v>
      </c>
      <c r="AM132" s="124">
        <v>0</v>
      </c>
      <c r="AN132" s="124">
        <v>0</v>
      </c>
      <c r="AO132" s="124">
        <v>0</v>
      </c>
      <c r="AP132" s="124">
        <v>0</v>
      </c>
      <c r="AQ132" s="124">
        <v>0</v>
      </c>
      <c r="AR132" s="124">
        <v>0</v>
      </c>
      <c r="AS132" s="124">
        <v>0</v>
      </c>
      <c r="AT132" s="124">
        <v>0</v>
      </c>
      <c r="AU132" s="124">
        <v>0</v>
      </c>
      <c r="AV132" s="124">
        <v>0</v>
      </c>
      <c r="AW132" s="124">
        <v>0</v>
      </c>
      <c r="AX132" s="124">
        <v>0</v>
      </c>
      <c r="AY132" s="124">
        <v>0</v>
      </c>
    </row>
    <row r="133" spans="1:51" x14ac:dyDescent="0.2">
      <c r="A133" s="127"/>
      <c r="B133" s="136">
        <v>12</v>
      </c>
      <c r="C133" s="124">
        <v>0</v>
      </c>
      <c r="D133" s="124">
        <v>0</v>
      </c>
      <c r="E133" s="124">
        <v>0</v>
      </c>
      <c r="F133" s="124">
        <v>0</v>
      </c>
      <c r="G133" s="124">
        <v>0</v>
      </c>
      <c r="H133" s="124">
        <v>0</v>
      </c>
      <c r="I133" s="124">
        <v>0</v>
      </c>
      <c r="J133" s="124">
        <v>0</v>
      </c>
      <c r="K133" s="124">
        <v>0</v>
      </c>
      <c r="L133" s="124">
        <v>0</v>
      </c>
      <c r="M133" s="124">
        <v>0</v>
      </c>
      <c r="N133" s="124">
        <v>0</v>
      </c>
      <c r="O133" s="124">
        <v>0</v>
      </c>
      <c r="P133" s="124">
        <v>0</v>
      </c>
      <c r="Q133" s="124">
        <v>0</v>
      </c>
      <c r="R133" s="124">
        <v>0</v>
      </c>
      <c r="S133" s="124">
        <v>0</v>
      </c>
      <c r="T133" s="124">
        <v>0</v>
      </c>
      <c r="U133" s="124">
        <v>0</v>
      </c>
      <c r="V133" s="124">
        <v>0</v>
      </c>
      <c r="W133" s="124">
        <v>0</v>
      </c>
      <c r="X133" s="124">
        <v>0</v>
      </c>
      <c r="Y133" s="124">
        <v>0</v>
      </c>
      <c r="Z133" s="124">
        <v>0</v>
      </c>
      <c r="AA133" s="124">
        <v>0</v>
      </c>
      <c r="AB133" s="124">
        <v>0</v>
      </c>
      <c r="AC133" s="124">
        <v>0</v>
      </c>
      <c r="AD133" s="124">
        <v>0</v>
      </c>
      <c r="AE133" s="124">
        <v>0</v>
      </c>
      <c r="AF133" s="124">
        <v>0</v>
      </c>
      <c r="AG133" s="124">
        <v>0</v>
      </c>
      <c r="AH133" s="124">
        <v>0</v>
      </c>
      <c r="AI133" s="124">
        <v>0</v>
      </c>
      <c r="AJ133" s="124">
        <v>0</v>
      </c>
      <c r="AK133" s="124">
        <v>0</v>
      </c>
      <c r="AL133" s="124">
        <v>0</v>
      </c>
      <c r="AM133" s="124">
        <v>0</v>
      </c>
      <c r="AN133" s="124">
        <v>0</v>
      </c>
      <c r="AO133" s="124">
        <v>0</v>
      </c>
      <c r="AP133" s="124">
        <v>0</v>
      </c>
      <c r="AQ133" s="124">
        <v>0</v>
      </c>
      <c r="AR133" s="124">
        <v>0</v>
      </c>
      <c r="AS133" s="124">
        <v>0</v>
      </c>
      <c r="AT133" s="124">
        <v>0</v>
      </c>
      <c r="AU133" s="124">
        <v>0</v>
      </c>
      <c r="AV133" s="124">
        <v>0</v>
      </c>
      <c r="AW133" s="124">
        <v>0</v>
      </c>
      <c r="AX133" s="124">
        <v>0</v>
      </c>
      <c r="AY133" s="124">
        <v>0</v>
      </c>
    </row>
    <row r="134" spans="1:51" x14ac:dyDescent="0.2">
      <c r="A134" s="127"/>
      <c r="B134" s="137">
        <v>13</v>
      </c>
      <c r="C134" s="124">
        <v>0</v>
      </c>
      <c r="D134" s="124">
        <v>0</v>
      </c>
      <c r="E134" s="124">
        <v>0</v>
      </c>
      <c r="F134" s="124">
        <v>0</v>
      </c>
      <c r="G134" s="124">
        <v>0</v>
      </c>
      <c r="H134" s="124">
        <v>0</v>
      </c>
      <c r="I134" s="124">
        <v>0</v>
      </c>
      <c r="J134" s="124">
        <v>0</v>
      </c>
      <c r="K134" s="124">
        <v>0</v>
      </c>
      <c r="L134" s="124">
        <v>0</v>
      </c>
      <c r="M134" s="124">
        <v>0</v>
      </c>
      <c r="N134" s="124">
        <v>0</v>
      </c>
      <c r="O134" s="124">
        <v>0</v>
      </c>
      <c r="P134" s="124">
        <v>0</v>
      </c>
      <c r="Q134" s="124">
        <v>0</v>
      </c>
      <c r="R134" s="124">
        <v>0</v>
      </c>
      <c r="S134" s="124">
        <v>0</v>
      </c>
      <c r="T134" s="124">
        <v>0</v>
      </c>
      <c r="U134" s="124">
        <v>0</v>
      </c>
      <c r="V134" s="124">
        <v>0</v>
      </c>
      <c r="W134" s="124">
        <v>0</v>
      </c>
      <c r="X134" s="124">
        <v>0</v>
      </c>
      <c r="Y134" s="124">
        <v>0</v>
      </c>
      <c r="Z134" s="124">
        <v>0</v>
      </c>
      <c r="AA134" s="124">
        <v>0</v>
      </c>
      <c r="AB134" s="124">
        <v>0</v>
      </c>
      <c r="AC134" s="124">
        <v>0</v>
      </c>
      <c r="AD134" s="124">
        <v>0</v>
      </c>
      <c r="AE134" s="124">
        <v>0</v>
      </c>
      <c r="AF134" s="124">
        <v>0</v>
      </c>
      <c r="AG134" s="124">
        <v>0</v>
      </c>
      <c r="AH134" s="124">
        <v>0</v>
      </c>
      <c r="AI134" s="124">
        <v>0</v>
      </c>
      <c r="AJ134" s="124">
        <v>0</v>
      </c>
      <c r="AK134" s="124">
        <v>0</v>
      </c>
      <c r="AL134" s="124">
        <v>0</v>
      </c>
      <c r="AM134" s="124">
        <v>0</v>
      </c>
      <c r="AN134" s="124">
        <v>0</v>
      </c>
      <c r="AO134" s="124">
        <v>0</v>
      </c>
      <c r="AP134" s="124">
        <v>0</v>
      </c>
      <c r="AQ134" s="124">
        <v>0</v>
      </c>
      <c r="AR134" s="124">
        <v>0</v>
      </c>
      <c r="AS134" s="124">
        <v>0</v>
      </c>
      <c r="AT134" s="124">
        <v>0</v>
      </c>
      <c r="AU134" s="124">
        <v>0</v>
      </c>
      <c r="AV134" s="124">
        <v>0</v>
      </c>
      <c r="AW134" s="124">
        <v>0</v>
      </c>
      <c r="AX134" s="124">
        <v>0</v>
      </c>
      <c r="AY134" s="124">
        <v>0</v>
      </c>
    </row>
    <row r="135" spans="1:51" x14ac:dyDescent="0.2">
      <c r="A135" s="127"/>
      <c r="B135" s="137">
        <v>14</v>
      </c>
      <c r="C135" s="124">
        <v>0</v>
      </c>
      <c r="D135" s="124">
        <v>0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124">
        <v>0</v>
      </c>
      <c r="O135" s="124">
        <v>0</v>
      </c>
      <c r="P135" s="124">
        <v>0</v>
      </c>
      <c r="Q135" s="124">
        <v>0</v>
      </c>
      <c r="R135" s="124">
        <v>0</v>
      </c>
      <c r="S135" s="124">
        <v>0</v>
      </c>
      <c r="T135" s="124">
        <v>0</v>
      </c>
      <c r="U135" s="124">
        <v>0</v>
      </c>
      <c r="V135" s="124">
        <v>0</v>
      </c>
      <c r="W135" s="124">
        <v>0</v>
      </c>
      <c r="X135" s="124">
        <v>0</v>
      </c>
      <c r="Y135" s="124">
        <v>0</v>
      </c>
      <c r="Z135" s="124">
        <v>0</v>
      </c>
      <c r="AA135" s="124">
        <v>0</v>
      </c>
      <c r="AB135" s="124">
        <v>0</v>
      </c>
      <c r="AC135" s="124">
        <v>0</v>
      </c>
      <c r="AD135" s="124">
        <v>0</v>
      </c>
      <c r="AE135" s="124">
        <v>0</v>
      </c>
      <c r="AF135" s="124">
        <v>0</v>
      </c>
      <c r="AG135" s="124">
        <v>0</v>
      </c>
      <c r="AH135" s="124">
        <v>0</v>
      </c>
      <c r="AI135" s="124">
        <v>0</v>
      </c>
      <c r="AJ135" s="124">
        <v>0</v>
      </c>
      <c r="AK135" s="124">
        <v>0</v>
      </c>
      <c r="AL135" s="124">
        <v>0</v>
      </c>
      <c r="AM135" s="124">
        <v>0</v>
      </c>
      <c r="AN135" s="124">
        <v>0</v>
      </c>
      <c r="AO135" s="124">
        <v>0</v>
      </c>
      <c r="AP135" s="124">
        <v>0</v>
      </c>
      <c r="AQ135" s="124">
        <v>0</v>
      </c>
      <c r="AR135" s="124">
        <v>0</v>
      </c>
      <c r="AS135" s="124">
        <v>0</v>
      </c>
      <c r="AT135" s="124">
        <v>0</v>
      </c>
      <c r="AU135" s="124">
        <v>0</v>
      </c>
      <c r="AV135" s="124">
        <v>0</v>
      </c>
      <c r="AW135" s="124">
        <v>0</v>
      </c>
      <c r="AX135" s="124">
        <v>0</v>
      </c>
      <c r="AY135" s="124">
        <v>0</v>
      </c>
    </row>
    <row r="136" spans="1:51" x14ac:dyDescent="0.2">
      <c r="A136" s="127"/>
      <c r="B136" s="137">
        <v>15</v>
      </c>
      <c r="C136" s="124">
        <v>0</v>
      </c>
      <c r="D136" s="124">
        <v>0</v>
      </c>
      <c r="E136" s="124">
        <v>0</v>
      </c>
      <c r="F136" s="124">
        <v>0</v>
      </c>
      <c r="G136" s="124">
        <v>0</v>
      </c>
      <c r="H136" s="124">
        <v>0</v>
      </c>
      <c r="I136" s="124">
        <v>0</v>
      </c>
      <c r="J136" s="124">
        <v>0</v>
      </c>
      <c r="K136" s="124">
        <v>0</v>
      </c>
      <c r="L136" s="124">
        <v>0</v>
      </c>
      <c r="M136" s="124">
        <v>0</v>
      </c>
      <c r="N136" s="124">
        <v>0</v>
      </c>
      <c r="O136" s="124">
        <v>0</v>
      </c>
      <c r="P136" s="124">
        <v>0</v>
      </c>
      <c r="Q136" s="124">
        <v>0</v>
      </c>
      <c r="R136" s="124">
        <v>0</v>
      </c>
      <c r="S136" s="124">
        <v>0</v>
      </c>
      <c r="T136" s="124">
        <v>0</v>
      </c>
      <c r="U136" s="124">
        <v>0</v>
      </c>
      <c r="V136" s="124">
        <v>0</v>
      </c>
      <c r="W136" s="124">
        <v>0</v>
      </c>
      <c r="X136" s="124">
        <v>0</v>
      </c>
      <c r="Y136" s="124">
        <v>0</v>
      </c>
      <c r="Z136" s="124">
        <v>0</v>
      </c>
      <c r="AA136" s="124">
        <v>0</v>
      </c>
      <c r="AB136" s="124">
        <v>0</v>
      </c>
      <c r="AC136" s="124">
        <v>0</v>
      </c>
      <c r="AD136" s="124">
        <v>0</v>
      </c>
      <c r="AE136" s="124">
        <v>0</v>
      </c>
      <c r="AF136" s="124">
        <v>0</v>
      </c>
      <c r="AG136" s="124">
        <v>0</v>
      </c>
      <c r="AH136" s="124">
        <v>0</v>
      </c>
      <c r="AI136" s="124">
        <v>0</v>
      </c>
      <c r="AJ136" s="124">
        <v>0</v>
      </c>
      <c r="AK136" s="124">
        <v>0</v>
      </c>
      <c r="AL136" s="124">
        <v>0</v>
      </c>
      <c r="AM136" s="124">
        <v>0</v>
      </c>
      <c r="AN136" s="124">
        <v>0</v>
      </c>
      <c r="AO136" s="124">
        <v>0</v>
      </c>
      <c r="AP136" s="124">
        <v>0</v>
      </c>
      <c r="AQ136" s="124">
        <v>0</v>
      </c>
      <c r="AR136" s="124">
        <v>0</v>
      </c>
      <c r="AS136" s="124">
        <v>0</v>
      </c>
      <c r="AT136" s="124">
        <v>0</v>
      </c>
      <c r="AU136" s="124">
        <v>0</v>
      </c>
      <c r="AV136" s="124">
        <v>0</v>
      </c>
      <c r="AW136" s="124">
        <v>0</v>
      </c>
      <c r="AX136" s="124">
        <v>0</v>
      </c>
      <c r="AY136" s="124">
        <v>0</v>
      </c>
    </row>
    <row r="137" spans="1:51" x14ac:dyDescent="0.2">
      <c r="A137" s="127"/>
      <c r="B137" s="137">
        <v>16</v>
      </c>
      <c r="C137" s="124">
        <v>0</v>
      </c>
      <c r="D137" s="124">
        <v>0</v>
      </c>
      <c r="E137" s="124">
        <v>0</v>
      </c>
      <c r="F137" s="124">
        <v>0</v>
      </c>
      <c r="G137" s="124">
        <v>0</v>
      </c>
      <c r="H137" s="124">
        <v>0</v>
      </c>
      <c r="I137" s="124">
        <v>0</v>
      </c>
      <c r="J137" s="124">
        <v>0</v>
      </c>
      <c r="K137" s="124">
        <v>0</v>
      </c>
      <c r="L137" s="124">
        <v>0</v>
      </c>
      <c r="M137" s="124">
        <v>0</v>
      </c>
      <c r="N137" s="124">
        <v>0</v>
      </c>
      <c r="O137" s="124">
        <v>0</v>
      </c>
      <c r="P137" s="124">
        <v>0</v>
      </c>
      <c r="Q137" s="124">
        <v>0</v>
      </c>
      <c r="R137" s="124">
        <v>0</v>
      </c>
      <c r="S137" s="124">
        <v>0</v>
      </c>
      <c r="T137" s="124">
        <v>0</v>
      </c>
      <c r="U137" s="124">
        <v>0</v>
      </c>
      <c r="V137" s="124">
        <v>0</v>
      </c>
      <c r="W137" s="124">
        <v>0</v>
      </c>
      <c r="X137" s="124">
        <v>0</v>
      </c>
      <c r="Y137" s="124">
        <v>0</v>
      </c>
      <c r="Z137" s="124">
        <v>0</v>
      </c>
      <c r="AA137" s="124">
        <v>0</v>
      </c>
      <c r="AB137" s="124">
        <v>0</v>
      </c>
      <c r="AC137" s="124">
        <v>0</v>
      </c>
      <c r="AD137" s="124">
        <v>0</v>
      </c>
      <c r="AE137" s="124">
        <v>0</v>
      </c>
      <c r="AF137" s="124">
        <v>0</v>
      </c>
      <c r="AG137" s="124">
        <v>0</v>
      </c>
      <c r="AH137" s="124">
        <v>0</v>
      </c>
      <c r="AI137" s="124">
        <v>0</v>
      </c>
      <c r="AJ137" s="124">
        <v>0</v>
      </c>
      <c r="AK137" s="124">
        <v>0</v>
      </c>
      <c r="AL137" s="124">
        <v>0</v>
      </c>
      <c r="AM137" s="124">
        <v>0</v>
      </c>
      <c r="AN137" s="124">
        <v>0</v>
      </c>
      <c r="AO137" s="124">
        <v>0</v>
      </c>
      <c r="AP137" s="124">
        <v>0</v>
      </c>
      <c r="AQ137" s="124">
        <v>0</v>
      </c>
      <c r="AR137" s="124">
        <v>0</v>
      </c>
      <c r="AS137" s="124">
        <v>0</v>
      </c>
      <c r="AT137" s="124">
        <v>0</v>
      </c>
      <c r="AU137" s="124">
        <v>0</v>
      </c>
      <c r="AV137" s="124">
        <v>0</v>
      </c>
      <c r="AW137" s="124">
        <v>0</v>
      </c>
      <c r="AX137" s="124">
        <v>0</v>
      </c>
      <c r="AY137" s="124">
        <v>0</v>
      </c>
    </row>
    <row r="138" spans="1:51" x14ac:dyDescent="0.2">
      <c r="A138" s="127"/>
      <c r="B138" s="137">
        <v>17</v>
      </c>
      <c r="C138" s="124">
        <v>0</v>
      </c>
      <c r="D138" s="124">
        <v>0</v>
      </c>
      <c r="E138" s="124">
        <v>0</v>
      </c>
      <c r="F138" s="124">
        <v>0</v>
      </c>
      <c r="G138" s="124">
        <v>0</v>
      </c>
      <c r="H138" s="124">
        <v>0</v>
      </c>
      <c r="I138" s="124">
        <v>0</v>
      </c>
      <c r="J138" s="124">
        <v>0</v>
      </c>
      <c r="K138" s="124">
        <v>0</v>
      </c>
      <c r="L138" s="124">
        <v>0</v>
      </c>
      <c r="M138" s="124">
        <v>0</v>
      </c>
      <c r="N138" s="124">
        <v>0</v>
      </c>
      <c r="O138" s="124">
        <v>0</v>
      </c>
      <c r="P138" s="124">
        <v>0</v>
      </c>
      <c r="Q138" s="124">
        <v>0</v>
      </c>
      <c r="R138" s="124">
        <v>0</v>
      </c>
      <c r="S138" s="124">
        <v>0</v>
      </c>
      <c r="T138" s="124">
        <v>0</v>
      </c>
      <c r="U138" s="124">
        <v>0</v>
      </c>
      <c r="V138" s="124">
        <v>0</v>
      </c>
      <c r="W138" s="124">
        <v>0</v>
      </c>
      <c r="X138" s="124">
        <v>0</v>
      </c>
      <c r="Y138" s="124">
        <v>0</v>
      </c>
      <c r="Z138" s="124">
        <v>0</v>
      </c>
      <c r="AA138" s="124">
        <v>0</v>
      </c>
      <c r="AB138" s="124">
        <v>0</v>
      </c>
      <c r="AC138" s="124">
        <v>0</v>
      </c>
      <c r="AD138" s="124">
        <v>0</v>
      </c>
      <c r="AE138" s="124">
        <v>0</v>
      </c>
      <c r="AF138" s="124">
        <v>0</v>
      </c>
      <c r="AG138" s="124">
        <v>0</v>
      </c>
      <c r="AH138" s="124">
        <v>0</v>
      </c>
      <c r="AI138" s="124">
        <v>0</v>
      </c>
      <c r="AJ138" s="124">
        <v>0</v>
      </c>
      <c r="AK138" s="124">
        <v>0</v>
      </c>
      <c r="AL138" s="124">
        <v>0</v>
      </c>
      <c r="AM138" s="124">
        <v>0</v>
      </c>
      <c r="AN138" s="124">
        <v>0</v>
      </c>
      <c r="AO138" s="124">
        <v>0</v>
      </c>
      <c r="AP138" s="124">
        <v>0</v>
      </c>
      <c r="AQ138" s="124">
        <v>0</v>
      </c>
      <c r="AR138" s="124">
        <v>0</v>
      </c>
      <c r="AS138" s="124">
        <v>0</v>
      </c>
      <c r="AT138" s="124">
        <v>0</v>
      </c>
      <c r="AU138" s="124">
        <v>0</v>
      </c>
      <c r="AV138" s="124">
        <v>0</v>
      </c>
      <c r="AW138" s="124">
        <v>0</v>
      </c>
      <c r="AX138" s="124">
        <v>0</v>
      </c>
      <c r="AY138" s="124">
        <v>0</v>
      </c>
    </row>
    <row r="139" spans="1:51" x14ac:dyDescent="0.2">
      <c r="A139" s="127"/>
      <c r="B139" s="137">
        <v>18</v>
      </c>
      <c r="C139" s="124">
        <v>0</v>
      </c>
      <c r="D139" s="124">
        <v>0</v>
      </c>
      <c r="E139" s="124">
        <v>0</v>
      </c>
      <c r="F139" s="124">
        <v>0</v>
      </c>
      <c r="G139" s="124">
        <v>0</v>
      </c>
      <c r="H139" s="124">
        <v>0</v>
      </c>
      <c r="I139" s="124">
        <v>0</v>
      </c>
      <c r="J139" s="124">
        <v>0</v>
      </c>
      <c r="K139" s="124">
        <v>0</v>
      </c>
      <c r="L139" s="124">
        <v>0</v>
      </c>
      <c r="M139" s="124">
        <v>0</v>
      </c>
      <c r="N139" s="124">
        <v>0</v>
      </c>
      <c r="O139" s="124">
        <v>0</v>
      </c>
      <c r="P139" s="124">
        <v>0</v>
      </c>
      <c r="Q139" s="124">
        <v>0</v>
      </c>
      <c r="R139" s="124">
        <v>0</v>
      </c>
      <c r="S139" s="124">
        <v>0</v>
      </c>
      <c r="T139" s="124">
        <v>0</v>
      </c>
      <c r="U139" s="124">
        <v>0</v>
      </c>
      <c r="V139" s="124">
        <v>0</v>
      </c>
      <c r="W139" s="124">
        <v>0</v>
      </c>
      <c r="X139" s="124">
        <v>0</v>
      </c>
      <c r="Y139" s="124">
        <v>0</v>
      </c>
      <c r="Z139" s="124">
        <v>0</v>
      </c>
      <c r="AA139" s="124">
        <v>0</v>
      </c>
      <c r="AB139" s="124">
        <v>0</v>
      </c>
      <c r="AC139" s="124">
        <v>0</v>
      </c>
      <c r="AD139" s="124">
        <v>0</v>
      </c>
      <c r="AE139" s="124">
        <v>0</v>
      </c>
      <c r="AF139" s="124">
        <v>0</v>
      </c>
      <c r="AG139" s="124">
        <v>0</v>
      </c>
      <c r="AH139" s="124">
        <v>0</v>
      </c>
      <c r="AI139" s="124">
        <v>0</v>
      </c>
      <c r="AJ139" s="124">
        <v>0</v>
      </c>
      <c r="AK139" s="124">
        <v>0</v>
      </c>
      <c r="AL139" s="124">
        <v>0</v>
      </c>
      <c r="AM139" s="124">
        <v>0</v>
      </c>
      <c r="AN139" s="124">
        <v>0</v>
      </c>
      <c r="AO139" s="124">
        <v>0</v>
      </c>
      <c r="AP139" s="124">
        <v>0</v>
      </c>
      <c r="AQ139" s="124">
        <v>0</v>
      </c>
      <c r="AR139" s="124">
        <v>0</v>
      </c>
      <c r="AS139" s="124">
        <v>0</v>
      </c>
      <c r="AT139" s="124">
        <v>0</v>
      </c>
      <c r="AU139" s="124">
        <v>0</v>
      </c>
      <c r="AV139" s="124">
        <v>0</v>
      </c>
      <c r="AW139" s="124">
        <v>0</v>
      </c>
      <c r="AX139" s="124">
        <v>0</v>
      </c>
      <c r="AY139" s="124">
        <v>0</v>
      </c>
    </row>
    <row r="140" spans="1:51" x14ac:dyDescent="0.2">
      <c r="A140" s="127"/>
      <c r="B140" s="137">
        <v>19</v>
      </c>
      <c r="C140" s="124">
        <v>0</v>
      </c>
      <c r="D140" s="124">
        <v>0</v>
      </c>
      <c r="E140" s="124">
        <v>0</v>
      </c>
      <c r="F140" s="124">
        <v>0</v>
      </c>
      <c r="G140" s="124">
        <v>0</v>
      </c>
      <c r="H140" s="124">
        <v>0</v>
      </c>
      <c r="I140" s="124">
        <v>0</v>
      </c>
      <c r="J140" s="124">
        <v>0</v>
      </c>
      <c r="K140" s="124">
        <v>0</v>
      </c>
      <c r="L140" s="124">
        <v>0</v>
      </c>
      <c r="M140" s="124">
        <v>0</v>
      </c>
      <c r="N140" s="124">
        <v>0</v>
      </c>
      <c r="O140" s="124">
        <v>0</v>
      </c>
      <c r="P140" s="124">
        <v>0</v>
      </c>
      <c r="Q140" s="124">
        <v>0</v>
      </c>
      <c r="R140" s="124">
        <v>0</v>
      </c>
      <c r="S140" s="124">
        <v>0</v>
      </c>
      <c r="T140" s="124">
        <v>0</v>
      </c>
      <c r="U140" s="124">
        <v>0</v>
      </c>
      <c r="V140" s="124">
        <v>0</v>
      </c>
      <c r="W140" s="124">
        <v>0</v>
      </c>
      <c r="X140" s="124">
        <v>0</v>
      </c>
      <c r="Y140" s="124">
        <v>0</v>
      </c>
      <c r="Z140" s="124">
        <v>0</v>
      </c>
      <c r="AA140" s="124">
        <v>0</v>
      </c>
      <c r="AB140" s="124">
        <v>0</v>
      </c>
      <c r="AC140" s="124">
        <v>0</v>
      </c>
      <c r="AD140" s="124">
        <v>0</v>
      </c>
      <c r="AE140" s="124">
        <v>0</v>
      </c>
      <c r="AF140" s="124">
        <v>0</v>
      </c>
      <c r="AG140" s="124">
        <v>0</v>
      </c>
      <c r="AH140" s="124">
        <v>0</v>
      </c>
      <c r="AI140" s="124">
        <v>0</v>
      </c>
      <c r="AJ140" s="124">
        <v>0</v>
      </c>
      <c r="AK140" s="124">
        <v>0</v>
      </c>
      <c r="AL140" s="124">
        <v>0</v>
      </c>
      <c r="AM140" s="124">
        <v>0</v>
      </c>
      <c r="AN140" s="124">
        <v>0</v>
      </c>
      <c r="AO140" s="124">
        <v>0</v>
      </c>
      <c r="AP140" s="124">
        <v>0</v>
      </c>
      <c r="AQ140" s="124">
        <v>0</v>
      </c>
      <c r="AR140" s="124">
        <v>0</v>
      </c>
      <c r="AS140" s="124">
        <v>0</v>
      </c>
      <c r="AT140" s="124">
        <v>0</v>
      </c>
      <c r="AU140" s="124">
        <v>0</v>
      </c>
      <c r="AV140" s="124">
        <v>0</v>
      </c>
      <c r="AW140" s="124">
        <v>0</v>
      </c>
      <c r="AX140" s="124">
        <v>0</v>
      </c>
      <c r="AY140" s="124">
        <v>0</v>
      </c>
    </row>
    <row r="141" spans="1:51" x14ac:dyDescent="0.2">
      <c r="A141" s="127"/>
      <c r="B141" s="137">
        <v>20</v>
      </c>
      <c r="C141" s="124">
        <v>0</v>
      </c>
      <c r="D141" s="124">
        <v>0</v>
      </c>
      <c r="E141" s="124">
        <v>0</v>
      </c>
      <c r="F141" s="124">
        <v>0</v>
      </c>
      <c r="G141" s="124">
        <v>0</v>
      </c>
      <c r="H141" s="124">
        <v>0</v>
      </c>
      <c r="I141" s="124">
        <v>0</v>
      </c>
      <c r="J141" s="124">
        <v>0</v>
      </c>
      <c r="K141" s="124">
        <v>0</v>
      </c>
      <c r="L141" s="124">
        <v>0</v>
      </c>
      <c r="M141" s="124">
        <v>0</v>
      </c>
      <c r="N141" s="124">
        <v>0</v>
      </c>
      <c r="O141" s="124">
        <v>0</v>
      </c>
      <c r="P141" s="124">
        <v>0</v>
      </c>
      <c r="Q141" s="124">
        <v>0</v>
      </c>
      <c r="R141" s="124">
        <v>0</v>
      </c>
      <c r="S141" s="124">
        <v>0</v>
      </c>
      <c r="T141" s="124">
        <v>0</v>
      </c>
      <c r="U141" s="124">
        <v>0</v>
      </c>
      <c r="V141" s="124">
        <v>0</v>
      </c>
      <c r="W141" s="124">
        <v>0</v>
      </c>
      <c r="X141" s="124">
        <v>0</v>
      </c>
      <c r="Y141" s="124">
        <v>0</v>
      </c>
      <c r="Z141" s="124">
        <v>0</v>
      </c>
      <c r="AA141" s="124">
        <v>0</v>
      </c>
      <c r="AB141" s="124">
        <v>0</v>
      </c>
      <c r="AC141" s="124">
        <v>0</v>
      </c>
      <c r="AD141" s="124">
        <v>0</v>
      </c>
      <c r="AE141" s="124">
        <v>0</v>
      </c>
      <c r="AF141" s="124">
        <v>0</v>
      </c>
      <c r="AG141" s="124">
        <v>0</v>
      </c>
      <c r="AH141" s="124">
        <v>0</v>
      </c>
      <c r="AI141" s="124">
        <v>0</v>
      </c>
      <c r="AJ141" s="124">
        <v>0</v>
      </c>
      <c r="AK141" s="124">
        <v>0</v>
      </c>
      <c r="AL141" s="124">
        <v>0</v>
      </c>
      <c r="AM141" s="124">
        <v>0</v>
      </c>
      <c r="AN141" s="124">
        <v>0</v>
      </c>
      <c r="AO141" s="124">
        <v>0</v>
      </c>
      <c r="AP141" s="124">
        <v>0</v>
      </c>
      <c r="AQ141" s="124">
        <v>0</v>
      </c>
      <c r="AR141" s="124">
        <v>0</v>
      </c>
      <c r="AS141" s="124">
        <v>0</v>
      </c>
      <c r="AT141" s="124">
        <v>0</v>
      </c>
      <c r="AU141" s="124">
        <v>0</v>
      </c>
      <c r="AV141" s="124">
        <v>0</v>
      </c>
      <c r="AW141" s="124">
        <v>0</v>
      </c>
      <c r="AX141" s="124">
        <v>0</v>
      </c>
      <c r="AY141" s="124">
        <v>0</v>
      </c>
    </row>
    <row r="142" spans="1:51" x14ac:dyDescent="0.2">
      <c r="A142" s="127"/>
      <c r="B142" s="137">
        <v>21</v>
      </c>
      <c r="C142" s="124">
        <v>0</v>
      </c>
      <c r="D142" s="124">
        <v>0</v>
      </c>
      <c r="E142" s="124">
        <v>0</v>
      </c>
      <c r="F142" s="124">
        <v>0</v>
      </c>
      <c r="G142" s="124">
        <v>0</v>
      </c>
      <c r="H142" s="124">
        <v>0</v>
      </c>
      <c r="I142" s="124">
        <v>0</v>
      </c>
      <c r="J142" s="124">
        <v>0</v>
      </c>
      <c r="K142" s="124">
        <v>0</v>
      </c>
      <c r="L142" s="124">
        <v>0</v>
      </c>
      <c r="M142" s="124">
        <v>0</v>
      </c>
      <c r="N142" s="124">
        <v>0</v>
      </c>
      <c r="O142" s="124">
        <v>0</v>
      </c>
      <c r="P142" s="124">
        <v>0</v>
      </c>
      <c r="Q142" s="124">
        <v>0</v>
      </c>
      <c r="R142" s="124">
        <v>0</v>
      </c>
      <c r="S142" s="124">
        <v>0</v>
      </c>
      <c r="T142" s="124">
        <v>0</v>
      </c>
      <c r="U142" s="124">
        <v>0</v>
      </c>
      <c r="V142" s="124">
        <v>0</v>
      </c>
      <c r="W142" s="124">
        <v>0</v>
      </c>
      <c r="X142" s="124">
        <v>0</v>
      </c>
      <c r="Y142" s="124">
        <v>0</v>
      </c>
      <c r="Z142" s="124">
        <v>0</v>
      </c>
      <c r="AA142" s="124">
        <v>0</v>
      </c>
      <c r="AB142" s="124">
        <v>0</v>
      </c>
      <c r="AC142" s="124">
        <v>0</v>
      </c>
      <c r="AD142" s="124">
        <v>0</v>
      </c>
      <c r="AE142" s="124">
        <v>0</v>
      </c>
      <c r="AF142" s="124">
        <v>0</v>
      </c>
      <c r="AG142" s="124">
        <v>0</v>
      </c>
      <c r="AH142" s="124">
        <v>0</v>
      </c>
      <c r="AI142" s="124">
        <v>0</v>
      </c>
      <c r="AJ142" s="124">
        <v>0</v>
      </c>
      <c r="AK142" s="124">
        <v>0</v>
      </c>
      <c r="AL142" s="124">
        <v>0</v>
      </c>
      <c r="AM142" s="124">
        <v>0</v>
      </c>
      <c r="AN142" s="124">
        <v>0</v>
      </c>
      <c r="AO142" s="124">
        <v>0</v>
      </c>
      <c r="AP142" s="124">
        <v>0</v>
      </c>
      <c r="AQ142" s="124">
        <v>0</v>
      </c>
      <c r="AR142" s="124">
        <v>0</v>
      </c>
      <c r="AS142" s="124">
        <v>0</v>
      </c>
      <c r="AT142" s="124">
        <v>0</v>
      </c>
      <c r="AU142" s="124">
        <v>0</v>
      </c>
      <c r="AV142" s="124">
        <v>0</v>
      </c>
      <c r="AW142" s="124">
        <v>0</v>
      </c>
      <c r="AX142" s="124">
        <v>0</v>
      </c>
      <c r="AY142" s="124">
        <v>0</v>
      </c>
    </row>
    <row r="143" spans="1:51" x14ac:dyDescent="0.2">
      <c r="A143" s="127"/>
      <c r="B143" s="137">
        <v>22</v>
      </c>
      <c r="C143" s="124">
        <v>0</v>
      </c>
      <c r="D143" s="124">
        <v>0</v>
      </c>
      <c r="E143" s="124">
        <v>0</v>
      </c>
      <c r="F143" s="124">
        <v>0</v>
      </c>
      <c r="G143" s="124">
        <v>0</v>
      </c>
      <c r="H143" s="124">
        <v>0</v>
      </c>
      <c r="I143" s="124">
        <v>0</v>
      </c>
      <c r="J143" s="124">
        <v>0</v>
      </c>
      <c r="K143" s="124">
        <v>0</v>
      </c>
      <c r="L143" s="124">
        <v>0</v>
      </c>
      <c r="M143" s="124">
        <v>0</v>
      </c>
      <c r="N143" s="124">
        <v>0</v>
      </c>
      <c r="O143" s="124">
        <v>0</v>
      </c>
      <c r="P143" s="124">
        <v>0</v>
      </c>
      <c r="Q143" s="124">
        <v>0</v>
      </c>
      <c r="R143" s="124">
        <v>0</v>
      </c>
      <c r="S143" s="124">
        <v>0</v>
      </c>
      <c r="T143" s="124">
        <v>0</v>
      </c>
      <c r="U143" s="124">
        <v>0</v>
      </c>
      <c r="V143" s="124">
        <v>0</v>
      </c>
      <c r="W143" s="124">
        <v>0</v>
      </c>
      <c r="X143" s="124">
        <v>0</v>
      </c>
      <c r="Y143" s="124">
        <v>0</v>
      </c>
      <c r="Z143" s="124">
        <v>0</v>
      </c>
      <c r="AA143" s="124">
        <v>0</v>
      </c>
      <c r="AB143" s="124">
        <v>0</v>
      </c>
      <c r="AC143" s="124">
        <v>0</v>
      </c>
      <c r="AD143" s="124">
        <v>0</v>
      </c>
      <c r="AE143" s="124">
        <v>0</v>
      </c>
      <c r="AF143" s="124">
        <v>0</v>
      </c>
      <c r="AG143" s="124">
        <v>0</v>
      </c>
      <c r="AH143" s="124">
        <v>0</v>
      </c>
      <c r="AI143" s="124">
        <v>0</v>
      </c>
      <c r="AJ143" s="124">
        <v>0</v>
      </c>
      <c r="AK143" s="124">
        <v>0</v>
      </c>
      <c r="AL143" s="124">
        <v>0</v>
      </c>
      <c r="AM143" s="124">
        <v>0</v>
      </c>
      <c r="AN143" s="124">
        <v>0</v>
      </c>
      <c r="AO143" s="124">
        <v>0</v>
      </c>
      <c r="AP143" s="124">
        <v>0</v>
      </c>
      <c r="AQ143" s="124">
        <v>0</v>
      </c>
      <c r="AR143" s="124">
        <v>0</v>
      </c>
      <c r="AS143" s="124">
        <v>0</v>
      </c>
      <c r="AT143" s="124">
        <v>0</v>
      </c>
      <c r="AU143" s="124">
        <v>0</v>
      </c>
      <c r="AV143" s="124">
        <v>0</v>
      </c>
      <c r="AW143" s="124">
        <v>0</v>
      </c>
      <c r="AX143" s="124">
        <v>0</v>
      </c>
      <c r="AY143" s="124">
        <v>0</v>
      </c>
    </row>
    <row r="144" spans="1:51" x14ac:dyDescent="0.2">
      <c r="A144" s="127"/>
      <c r="B144" s="137">
        <v>23</v>
      </c>
      <c r="C144" s="124">
        <v>0</v>
      </c>
      <c r="D144" s="124">
        <v>0</v>
      </c>
      <c r="E144" s="124">
        <v>0</v>
      </c>
      <c r="F144" s="124">
        <v>0</v>
      </c>
      <c r="G144" s="124">
        <v>0</v>
      </c>
      <c r="H144" s="124">
        <v>0</v>
      </c>
      <c r="I144" s="124">
        <v>0</v>
      </c>
      <c r="J144" s="124">
        <v>0</v>
      </c>
      <c r="K144" s="124">
        <v>0</v>
      </c>
      <c r="L144" s="124">
        <v>0</v>
      </c>
      <c r="M144" s="124">
        <v>0</v>
      </c>
      <c r="N144" s="124">
        <v>0</v>
      </c>
      <c r="O144" s="124">
        <v>0</v>
      </c>
      <c r="P144" s="124">
        <v>0</v>
      </c>
      <c r="Q144" s="124">
        <v>0</v>
      </c>
      <c r="R144" s="124">
        <v>0</v>
      </c>
      <c r="S144" s="124">
        <v>0</v>
      </c>
      <c r="T144" s="124">
        <v>0</v>
      </c>
      <c r="U144" s="124">
        <v>0</v>
      </c>
      <c r="V144" s="124">
        <v>0</v>
      </c>
      <c r="W144" s="124">
        <v>0</v>
      </c>
      <c r="X144" s="124">
        <v>0</v>
      </c>
      <c r="Y144" s="124">
        <v>0</v>
      </c>
      <c r="Z144" s="124">
        <v>0</v>
      </c>
      <c r="AA144" s="124">
        <v>0</v>
      </c>
      <c r="AB144" s="124">
        <v>0</v>
      </c>
      <c r="AC144" s="124">
        <v>0</v>
      </c>
      <c r="AD144" s="124">
        <v>0</v>
      </c>
      <c r="AE144" s="124">
        <v>0</v>
      </c>
      <c r="AF144" s="124">
        <v>0</v>
      </c>
      <c r="AG144" s="124">
        <v>0</v>
      </c>
      <c r="AH144" s="124">
        <v>0</v>
      </c>
      <c r="AI144" s="124">
        <v>0</v>
      </c>
      <c r="AJ144" s="124">
        <v>0</v>
      </c>
      <c r="AK144" s="124">
        <v>0</v>
      </c>
      <c r="AL144" s="124">
        <v>0</v>
      </c>
      <c r="AM144" s="124">
        <v>0</v>
      </c>
      <c r="AN144" s="124">
        <v>0</v>
      </c>
      <c r="AO144" s="124">
        <v>0</v>
      </c>
      <c r="AP144" s="124">
        <v>0</v>
      </c>
      <c r="AQ144" s="124">
        <v>0</v>
      </c>
      <c r="AR144" s="124">
        <v>0</v>
      </c>
      <c r="AS144" s="124">
        <v>0</v>
      </c>
      <c r="AT144" s="124">
        <v>0</v>
      </c>
      <c r="AU144" s="124">
        <v>0</v>
      </c>
      <c r="AV144" s="124">
        <v>0</v>
      </c>
      <c r="AW144" s="124">
        <v>0</v>
      </c>
      <c r="AX144" s="124">
        <v>0</v>
      </c>
      <c r="AY144" s="124">
        <v>0</v>
      </c>
    </row>
    <row r="145" spans="1:51" x14ac:dyDescent="0.2">
      <c r="A145" s="127"/>
      <c r="B145" s="137">
        <v>24</v>
      </c>
      <c r="C145" s="124">
        <v>0</v>
      </c>
      <c r="D145" s="124">
        <v>0</v>
      </c>
      <c r="E145" s="124">
        <v>0</v>
      </c>
      <c r="F145" s="124">
        <v>0</v>
      </c>
      <c r="G145" s="124">
        <v>0</v>
      </c>
      <c r="H145" s="124">
        <v>0</v>
      </c>
      <c r="I145" s="124">
        <v>0</v>
      </c>
      <c r="J145" s="124">
        <v>0</v>
      </c>
      <c r="K145" s="124">
        <v>0</v>
      </c>
      <c r="L145" s="124">
        <v>0</v>
      </c>
      <c r="M145" s="124">
        <v>0</v>
      </c>
      <c r="N145" s="124">
        <v>0</v>
      </c>
      <c r="O145" s="124">
        <v>0</v>
      </c>
      <c r="P145" s="124">
        <v>0</v>
      </c>
      <c r="Q145" s="124">
        <v>0</v>
      </c>
      <c r="R145" s="124">
        <v>0</v>
      </c>
      <c r="S145" s="124">
        <v>0</v>
      </c>
      <c r="T145" s="124">
        <v>0</v>
      </c>
      <c r="U145" s="124">
        <v>0</v>
      </c>
      <c r="V145" s="124">
        <v>0</v>
      </c>
      <c r="W145" s="124">
        <v>0</v>
      </c>
      <c r="X145" s="124">
        <v>0</v>
      </c>
      <c r="Y145" s="124">
        <v>0</v>
      </c>
      <c r="Z145" s="124">
        <v>0</v>
      </c>
      <c r="AA145" s="124">
        <v>0</v>
      </c>
      <c r="AB145" s="124">
        <v>0</v>
      </c>
      <c r="AC145" s="124">
        <v>0</v>
      </c>
      <c r="AD145" s="124">
        <v>0</v>
      </c>
      <c r="AE145" s="124">
        <v>0</v>
      </c>
      <c r="AF145" s="124">
        <v>0</v>
      </c>
      <c r="AG145" s="124">
        <v>0</v>
      </c>
      <c r="AH145" s="124">
        <v>0</v>
      </c>
      <c r="AI145" s="124">
        <v>0</v>
      </c>
      <c r="AJ145" s="124">
        <v>0</v>
      </c>
      <c r="AK145" s="124">
        <v>0</v>
      </c>
      <c r="AL145" s="124">
        <v>0</v>
      </c>
      <c r="AM145" s="124">
        <v>0</v>
      </c>
      <c r="AN145" s="124">
        <v>0</v>
      </c>
      <c r="AO145" s="124">
        <v>0</v>
      </c>
      <c r="AP145" s="124">
        <v>0</v>
      </c>
      <c r="AQ145" s="124">
        <v>0</v>
      </c>
      <c r="AR145" s="124">
        <v>0</v>
      </c>
      <c r="AS145" s="124">
        <v>0</v>
      </c>
      <c r="AT145" s="124">
        <v>0</v>
      </c>
      <c r="AU145" s="124">
        <v>0</v>
      </c>
      <c r="AV145" s="124">
        <v>0</v>
      </c>
      <c r="AW145" s="124">
        <v>0</v>
      </c>
      <c r="AX145" s="124">
        <v>0</v>
      </c>
      <c r="AY145" s="124">
        <v>0</v>
      </c>
    </row>
    <row r="146" spans="1:51" x14ac:dyDescent="0.2">
      <c r="A146" s="127"/>
      <c r="B146" s="144">
        <v>25</v>
      </c>
      <c r="C146" s="124">
        <v>0</v>
      </c>
      <c r="D146" s="124">
        <v>0</v>
      </c>
      <c r="E146" s="124">
        <v>0</v>
      </c>
      <c r="F146" s="124">
        <v>0</v>
      </c>
      <c r="G146" s="124">
        <v>0</v>
      </c>
      <c r="H146" s="124">
        <v>0</v>
      </c>
      <c r="I146" s="124">
        <v>0</v>
      </c>
      <c r="J146" s="124">
        <v>0</v>
      </c>
      <c r="K146" s="124">
        <v>0</v>
      </c>
      <c r="L146" s="124">
        <v>0</v>
      </c>
      <c r="M146" s="124">
        <v>0</v>
      </c>
      <c r="N146" s="124">
        <v>0</v>
      </c>
      <c r="O146" s="124">
        <v>0</v>
      </c>
      <c r="P146" s="124">
        <v>0</v>
      </c>
      <c r="Q146" s="124">
        <v>0</v>
      </c>
      <c r="R146" s="124">
        <v>0</v>
      </c>
      <c r="S146" s="124">
        <v>0</v>
      </c>
      <c r="T146" s="124">
        <v>0</v>
      </c>
      <c r="U146" s="124">
        <v>0</v>
      </c>
      <c r="V146" s="124">
        <v>0</v>
      </c>
      <c r="W146" s="124">
        <v>0</v>
      </c>
      <c r="X146" s="124">
        <v>0</v>
      </c>
      <c r="Y146" s="124">
        <v>0</v>
      </c>
      <c r="Z146" s="124">
        <v>0</v>
      </c>
      <c r="AA146" s="124">
        <v>0</v>
      </c>
      <c r="AB146" s="124">
        <v>0</v>
      </c>
      <c r="AC146" s="124">
        <v>0</v>
      </c>
      <c r="AD146" s="124">
        <v>0</v>
      </c>
      <c r="AE146" s="124">
        <v>0</v>
      </c>
      <c r="AF146" s="124">
        <v>0</v>
      </c>
      <c r="AG146" s="124">
        <v>0</v>
      </c>
      <c r="AH146" s="124">
        <v>0</v>
      </c>
      <c r="AI146" s="124">
        <v>0</v>
      </c>
      <c r="AJ146" s="124">
        <v>0</v>
      </c>
      <c r="AK146" s="124">
        <v>0</v>
      </c>
      <c r="AL146" s="124">
        <v>0</v>
      </c>
      <c r="AM146" s="124">
        <v>0</v>
      </c>
      <c r="AN146" s="124">
        <v>0</v>
      </c>
      <c r="AO146" s="124">
        <v>0</v>
      </c>
      <c r="AP146" s="124">
        <v>0</v>
      </c>
      <c r="AQ146" s="124">
        <v>0</v>
      </c>
      <c r="AR146" s="124">
        <v>0</v>
      </c>
      <c r="AS146" s="124">
        <v>0</v>
      </c>
      <c r="AT146" s="124">
        <v>0</v>
      </c>
      <c r="AU146" s="124">
        <v>0</v>
      </c>
      <c r="AV146" s="124">
        <v>0</v>
      </c>
      <c r="AW146" s="124">
        <v>0</v>
      </c>
      <c r="AX146" s="124">
        <v>0</v>
      </c>
      <c r="AY146" s="124">
        <v>0</v>
      </c>
    </row>
    <row r="147" spans="1:51" x14ac:dyDescent="0.2">
      <c r="A147" s="127"/>
      <c r="B147" s="144">
        <v>26</v>
      </c>
      <c r="C147" s="124">
        <v>0</v>
      </c>
      <c r="D147" s="124">
        <v>0</v>
      </c>
      <c r="E147" s="124">
        <v>0</v>
      </c>
      <c r="F147" s="124">
        <v>0</v>
      </c>
      <c r="G147" s="124">
        <v>0</v>
      </c>
      <c r="H147" s="124">
        <v>0</v>
      </c>
      <c r="I147" s="124">
        <v>0</v>
      </c>
      <c r="J147" s="124">
        <v>0</v>
      </c>
      <c r="K147" s="124">
        <v>0</v>
      </c>
      <c r="L147" s="124">
        <v>0</v>
      </c>
      <c r="M147" s="124">
        <v>0</v>
      </c>
      <c r="N147" s="124">
        <v>0</v>
      </c>
      <c r="O147" s="124">
        <v>0</v>
      </c>
      <c r="P147" s="124">
        <v>0</v>
      </c>
      <c r="Q147" s="124">
        <v>0</v>
      </c>
      <c r="R147" s="124">
        <v>0</v>
      </c>
      <c r="S147" s="124">
        <v>0</v>
      </c>
      <c r="T147" s="124">
        <v>0</v>
      </c>
      <c r="U147" s="124">
        <v>0</v>
      </c>
      <c r="V147" s="124">
        <v>0</v>
      </c>
      <c r="W147" s="124">
        <v>0</v>
      </c>
      <c r="X147" s="124">
        <v>0</v>
      </c>
      <c r="Y147" s="124">
        <v>0</v>
      </c>
      <c r="Z147" s="124">
        <v>0</v>
      </c>
      <c r="AA147" s="124">
        <v>0</v>
      </c>
      <c r="AB147" s="124">
        <v>0</v>
      </c>
      <c r="AC147" s="124">
        <v>0</v>
      </c>
      <c r="AD147" s="124">
        <v>0</v>
      </c>
      <c r="AE147" s="124">
        <v>0</v>
      </c>
      <c r="AF147" s="124">
        <v>0</v>
      </c>
      <c r="AG147" s="124">
        <v>0</v>
      </c>
      <c r="AH147" s="124">
        <v>0</v>
      </c>
      <c r="AI147" s="124">
        <v>0</v>
      </c>
      <c r="AJ147" s="124">
        <v>0</v>
      </c>
      <c r="AK147" s="124">
        <v>0</v>
      </c>
      <c r="AL147" s="124">
        <v>0</v>
      </c>
      <c r="AM147" s="124">
        <v>0</v>
      </c>
      <c r="AN147" s="124">
        <v>0</v>
      </c>
      <c r="AO147" s="124">
        <v>0</v>
      </c>
      <c r="AP147" s="124">
        <v>0</v>
      </c>
      <c r="AQ147" s="124">
        <v>0</v>
      </c>
      <c r="AR147" s="124">
        <v>0</v>
      </c>
      <c r="AS147" s="124">
        <v>0</v>
      </c>
      <c r="AT147" s="124">
        <v>0</v>
      </c>
      <c r="AU147" s="124">
        <v>0</v>
      </c>
      <c r="AV147" s="124">
        <v>0</v>
      </c>
      <c r="AW147" s="124">
        <v>0</v>
      </c>
      <c r="AX147" s="124">
        <v>0</v>
      </c>
      <c r="AY147" s="124">
        <v>0</v>
      </c>
    </row>
    <row r="148" spans="1:51" x14ac:dyDescent="0.2">
      <c r="A148" s="127"/>
      <c r="B148" s="144">
        <v>27</v>
      </c>
      <c r="C148" s="124">
        <v>0</v>
      </c>
      <c r="D148" s="124">
        <v>0</v>
      </c>
      <c r="E148" s="124">
        <v>0</v>
      </c>
      <c r="F148" s="124">
        <v>0</v>
      </c>
      <c r="G148" s="124">
        <v>0</v>
      </c>
      <c r="H148" s="124">
        <v>0</v>
      </c>
      <c r="I148" s="124">
        <v>0</v>
      </c>
      <c r="J148" s="124">
        <v>0</v>
      </c>
      <c r="K148" s="124">
        <v>0</v>
      </c>
      <c r="L148" s="124">
        <v>0</v>
      </c>
      <c r="M148" s="124">
        <v>0</v>
      </c>
      <c r="N148" s="124">
        <v>0</v>
      </c>
      <c r="O148" s="124">
        <v>0</v>
      </c>
      <c r="P148" s="124">
        <v>0</v>
      </c>
      <c r="Q148" s="124">
        <v>0</v>
      </c>
      <c r="R148" s="124">
        <v>0</v>
      </c>
      <c r="S148" s="124">
        <v>0</v>
      </c>
      <c r="T148" s="124">
        <v>0</v>
      </c>
      <c r="U148" s="124">
        <v>0</v>
      </c>
      <c r="V148" s="124">
        <v>0</v>
      </c>
      <c r="W148" s="124">
        <v>0</v>
      </c>
      <c r="X148" s="124">
        <v>0</v>
      </c>
      <c r="Y148" s="124">
        <v>0</v>
      </c>
      <c r="Z148" s="124">
        <v>0</v>
      </c>
      <c r="AA148" s="124">
        <v>0</v>
      </c>
      <c r="AB148" s="124">
        <v>0</v>
      </c>
      <c r="AC148" s="124">
        <v>0</v>
      </c>
      <c r="AD148" s="124">
        <v>0</v>
      </c>
      <c r="AE148" s="124">
        <v>0</v>
      </c>
      <c r="AF148" s="124">
        <v>0</v>
      </c>
      <c r="AG148" s="124">
        <v>0</v>
      </c>
      <c r="AH148" s="124">
        <v>0</v>
      </c>
      <c r="AI148" s="124">
        <v>0</v>
      </c>
      <c r="AJ148" s="124">
        <v>0</v>
      </c>
      <c r="AK148" s="124">
        <v>0</v>
      </c>
      <c r="AL148" s="124">
        <v>0</v>
      </c>
      <c r="AM148" s="124">
        <v>0</v>
      </c>
      <c r="AN148" s="124">
        <v>0</v>
      </c>
      <c r="AO148" s="124">
        <v>0</v>
      </c>
      <c r="AP148" s="124">
        <v>0</v>
      </c>
      <c r="AQ148" s="124">
        <v>0</v>
      </c>
      <c r="AR148" s="124">
        <v>0</v>
      </c>
      <c r="AS148" s="124">
        <v>0</v>
      </c>
      <c r="AT148" s="124">
        <v>0</v>
      </c>
      <c r="AU148" s="124">
        <v>0</v>
      </c>
      <c r="AV148" s="124">
        <v>0</v>
      </c>
      <c r="AW148" s="124">
        <v>0</v>
      </c>
      <c r="AX148" s="124">
        <v>0</v>
      </c>
      <c r="AY148" s="124">
        <v>0</v>
      </c>
    </row>
    <row r="149" spans="1:51" x14ac:dyDescent="0.2">
      <c r="A149" s="127"/>
      <c r="B149" s="144">
        <v>28</v>
      </c>
      <c r="C149" s="124">
        <v>0</v>
      </c>
      <c r="D149" s="124">
        <v>0</v>
      </c>
      <c r="E149" s="124">
        <v>0</v>
      </c>
      <c r="F149" s="124">
        <v>0</v>
      </c>
      <c r="G149" s="124">
        <v>0</v>
      </c>
      <c r="H149" s="124">
        <v>0</v>
      </c>
      <c r="I149" s="124">
        <v>0</v>
      </c>
      <c r="J149" s="124">
        <v>0</v>
      </c>
      <c r="K149" s="124">
        <v>0</v>
      </c>
      <c r="L149" s="124">
        <v>0</v>
      </c>
      <c r="M149" s="124">
        <v>0</v>
      </c>
      <c r="N149" s="124">
        <v>0</v>
      </c>
      <c r="O149" s="124">
        <v>0</v>
      </c>
      <c r="P149" s="124">
        <v>0</v>
      </c>
      <c r="Q149" s="124">
        <v>0</v>
      </c>
      <c r="R149" s="124">
        <v>0</v>
      </c>
      <c r="S149" s="124">
        <v>0</v>
      </c>
      <c r="T149" s="124">
        <v>0</v>
      </c>
      <c r="U149" s="124">
        <v>0</v>
      </c>
      <c r="V149" s="124">
        <v>0</v>
      </c>
      <c r="W149" s="124">
        <v>0</v>
      </c>
      <c r="X149" s="124">
        <v>0</v>
      </c>
      <c r="Y149" s="124">
        <v>0</v>
      </c>
      <c r="Z149" s="124">
        <v>0</v>
      </c>
      <c r="AA149" s="124">
        <v>0</v>
      </c>
      <c r="AB149" s="124">
        <v>0</v>
      </c>
      <c r="AC149" s="124">
        <v>0</v>
      </c>
      <c r="AD149" s="124">
        <v>0</v>
      </c>
      <c r="AE149" s="124">
        <v>0</v>
      </c>
      <c r="AF149" s="124">
        <v>0</v>
      </c>
      <c r="AG149" s="124">
        <v>0</v>
      </c>
      <c r="AH149" s="124">
        <v>0</v>
      </c>
      <c r="AI149" s="124">
        <v>0</v>
      </c>
      <c r="AJ149" s="124">
        <v>0</v>
      </c>
      <c r="AK149" s="124">
        <v>0</v>
      </c>
      <c r="AL149" s="124">
        <v>0</v>
      </c>
      <c r="AM149" s="124">
        <v>0</v>
      </c>
      <c r="AN149" s="124">
        <v>0</v>
      </c>
      <c r="AO149" s="124">
        <v>0</v>
      </c>
      <c r="AP149" s="124">
        <v>0</v>
      </c>
      <c r="AQ149" s="124">
        <v>0</v>
      </c>
      <c r="AR149" s="124">
        <v>0</v>
      </c>
      <c r="AS149" s="124">
        <v>0</v>
      </c>
      <c r="AT149" s="124">
        <v>0</v>
      </c>
      <c r="AU149" s="124">
        <v>0</v>
      </c>
      <c r="AV149" s="124">
        <v>0</v>
      </c>
      <c r="AW149" s="124">
        <v>0</v>
      </c>
      <c r="AX149" s="124">
        <v>0</v>
      </c>
      <c r="AY149" s="124">
        <v>0</v>
      </c>
    </row>
    <row r="150" spans="1:51" x14ac:dyDescent="0.2">
      <c r="A150" s="127"/>
      <c r="B150" s="144">
        <v>29</v>
      </c>
      <c r="C150" s="124">
        <v>0</v>
      </c>
      <c r="D150" s="124">
        <v>0</v>
      </c>
      <c r="E150" s="124">
        <v>0</v>
      </c>
      <c r="F150" s="124">
        <v>0</v>
      </c>
      <c r="G150" s="124">
        <v>0</v>
      </c>
      <c r="H150" s="124">
        <v>0</v>
      </c>
      <c r="I150" s="124">
        <v>0</v>
      </c>
      <c r="J150" s="124">
        <v>0</v>
      </c>
      <c r="K150" s="124">
        <v>0</v>
      </c>
      <c r="L150" s="124">
        <v>0</v>
      </c>
      <c r="M150" s="124">
        <v>0</v>
      </c>
      <c r="N150" s="124">
        <v>0</v>
      </c>
      <c r="O150" s="124">
        <v>0</v>
      </c>
      <c r="P150" s="124">
        <v>0</v>
      </c>
      <c r="Q150" s="124">
        <v>0</v>
      </c>
      <c r="R150" s="124">
        <v>0</v>
      </c>
      <c r="S150" s="124">
        <v>0</v>
      </c>
      <c r="T150" s="124">
        <v>0</v>
      </c>
      <c r="U150" s="124">
        <v>0</v>
      </c>
      <c r="V150" s="124">
        <v>0</v>
      </c>
      <c r="W150" s="124">
        <v>0</v>
      </c>
      <c r="X150" s="124">
        <v>0</v>
      </c>
      <c r="Y150" s="124">
        <v>0</v>
      </c>
      <c r="Z150" s="124">
        <v>0</v>
      </c>
      <c r="AA150" s="124">
        <v>0</v>
      </c>
      <c r="AB150" s="124">
        <v>0</v>
      </c>
      <c r="AC150" s="124">
        <v>0</v>
      </c>
      <c r="AD150" s="124">
        <v>0</v>
      </c>
      <c r="AE150" s="124">
        <v>0</v>
      </c>
      <c r="AF150" s="124">
        <v>0</v>
      </c>
      <c r="AG150" s="124">
        <v>0</v>
      </c>
      <c r="AH150" s="124">
        <v>0</v>
      </c>
      <c r="AI150" s="124">
        <v>0</v>
      </c>
      <c r="AJ150" s="124">
        <v>0</v>
      </c>
      <c r="AK150" s="124">
        <v>0</v>
      </c>
      <c r="AL150" s="124">
        <v>0</v>
      </c>
      <c r="AM150" s="124">
        <v>0</v>
      </c>
      <c r="AN150" s="124">
        <v>0</v>
      </c>
      <c r="AO150" s="124">
        <v>0</v>
      </c>
      <c r="AP150" s="124">
        <v>0</v>
      </c>
      <c r="AQ150" s="124">
        <v>0</v>
      </c>
      <c r="AR150" s="124">
        <v>0</v>
      </c>
      <c r="AS150" s="124">
        <v>0</v>
      </c>
      <c r="AT150" s="124">
        <v>0</v>
      </c>
      <c r="AU150" s="124">
        <v>0</v>
      </c>
      <c r="AV150" s="124">
        <v>0</v>
      </c>
      <c r="AW150" s="124">
        <v>0</v>
      </c>
      <c r="AX150" s="124">
        <v>0</v>
      </c>
      <c r="AY150" s="124">
        <v>0</v>
      </c>
    </row>
    <row r="151" spans="1:51" x14ac:dyDescent="0.2">
      <c r="A151" s="127"/>
      <c r="B151" s="144">
        <v>30</v>
      </c>
      <c r="C151" s="124">
        <v>0</v>
      </c>
      <c r="D151" s="124">
        <v>0</v>
      </c>
      <c r="E151" s="124">
        <v>0</v>
      </c>
      <c r="F151" s="124">
        <v>0</v>
      </c>
      <c r="G151" s="124">
        <v>0</v>
      </c>
      <c r="H151" s="124">
        <v>0</v>
      </c>
      <c r="I151" s="124">
        <v>0</v>
      </c>
      <c r="J151" s="124">
        <v>0</v>
      </c>
      <c r="K151" s="124">
        <v>0</v>
      </c>
      <c r="L151" s="124">
        <v>0</v>
      </c>
      <c r="M151" s="124">
        <v>0</v>
      </c>
      <c r="N151" s="124">
        <v>0</v>
      </c>
      <c r="O151" s="124">
        <v>0</v>
      </c>
      <c r="P151" s="124">
        <v>0</v>
      </c>
      <c r="Q151" s="124">
        <v>0</v>
      </c>
      <c r="R151" s="124">
        <v>0</v>
      </c>
      <c r="S151" s="124">
        <v>0</v>
      </c>
      <c r="T151" s="124">
        <v>0</v>
      </c>
      <c r="U151" s="124">
        <v>0</v>
      </c>
      <c r="V151" s="124">
        <v>0</v>
      </c>
      <c r="W151" s="124">
        <v>0</v>
      </c>
      <c r="X151" s="124">
        <v>0</v>
      </c>
      <c r="Y151" s="124">
        <v>0</v>
      </c>
      <c r="Z151" s="124">
        <v>0</v>
      </c>
      <c r="AA151" s="124">
        <v>0</v>
      </c>
      <c r="AB151" s="124">
        <v>0</v>
      </c>
      <c r="AC151" s="124">
        <v>0</v>
      </c>
      <c r="AD151" s="124">
        <v>0</v>
      </c>
      <c r="AE151" s="124">
        <v>0</v>
      </c>
      <c r="AF151" s="124">
        <v>0</v>
      </c>
      <c r="AG151" s="124">
        <v>0</v>
      </c>
      <c r="AH151" s="124">
        <v>0</v>
      </c>
      <c r="AI151" s="124">
        <v>0</v>
      </c>
      <c r="AJ151" s="124">
        <v>0</v>
      </c>
      <c r="AK151" s="124">
        <v>0</v>
      </c>
      <c r="AL151" s="124">
        <v>0</v>
      </c>
      <c r="AM151" s="124">
        <v>0</v>
      </c>
      <c r="AN151" s="124">
        <v>0</v>
      </c>
      <c r="AO151" s="124">
        <v>0</v>
      </c>
      <c r="AP151" s="124">
        <v>0</v>
      </c>
      <c r="AQ151" s="124">
        <v>0</v>
      </c>
      <c r="AR151" s="124">
        <v>0</v>
      </c>
      <c r="AS151" s="124">
        <v>0</v>
      </c>
      <c r="AT151" s="124">
        <v>0</v>
      </c>
      <c r="AU151" s="124">
        <v>0</v>
      </c>
      <c r="AV151" s="124">
        <v>0</v>
      </c>
      <c r="AW151" s="124">
        <v>0</v>
      </c>
      <c r="AX151" s="124">
        <v>0</v>
      </c>
      <c r="AY151" s="124">
        <v>0</v>
      </c>
    </row>
    <row r="152" spans="1:51" x14ac:dyDescent="0.2">
      <c r="A152" s="127"/>
      <c r="B152" s="144">
        <v>31</v>
      </c>
      <c r="C152" s="124">
        <v>0</v>
      </c>
      <c r="D152" s="124">
        <v>0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124">
        <v>0</v>
      </c>
      <c r="O152" s="124">
        <v>0</v>
      </c>
      <c r="P152" s="124">
        <v>0</v>
      </c>
      <c r="Q152" s="124">
        <v>0</v>
      </c>
      <c r="R152" s="124">
        <v>0</v>
      </c>
      <c r="S152" s="124">
        <v>0</v>
      </c>
      <c r="T152" s="124">
        <v>0</v>
      </c>
      <c r="U152" s="124">
        <v>0</v>
      </c>
      <c r="V152" s="124">
        <v>0</v>
      </c>
      <c r="W152" s="124">
        <v>0</v>
      </c>
      <c r="X152" s="124">
        <v>0</v>
      </c>
      <c r="Y152" s="124">
        <v>0</v>
      </c>
      <c r="Z152" s="124">
        <v>0</v>
      </c>
      <c r="AA152" s="124">
        <v>0</v>
      </c>
      <c r="AB152" s="124">
        <v>0</v>
      </c>
      <c r="AC152" s="124">
        <v>0</v>
      </c>
      <c r="AD152" s="124">
        <v>0</v>
      </c>
      <c r="AE152" s="124">
        <v>0</v>
      </c>
      <c r="AF152" s="124">
        <v>0</v>
      </c>
      <c r="AG152" s="124">
        <v>0</v>
      </c>
      <c r="AH152" s="124">
        <v>0</v>
      </c>
      <c r="AI152" s="124">
        <v>0</v>
      </c>
      <c r="AJ152" s="124">
        <v>0</v>
      </c>
      <c r="AK152" s="124">
        <v>0</v>
      </c>
      <c r="AL152" s="124">
        <v>0</v>
      </c>
      <c r="AM152" s="124">
        <v>0</v>
      </c>
      <c r="AN152" s="124">
        <v>0</v>
      </c>
      <c r="AO152" s="124">
        <v>0</v>
      </c>
      <c r="AP152" s="124">
        <v>0</v>
      </c>
      <c r="AQ152" s="124">
        <v>0</v>
      </c>
      <c r="AR152" s="124">
        <v>0</v>
      </c>
      <c r="AS152" s="124">
        <v>0</v>
      </c>
      <c r="AT152" s="124">
        <v>0</v>
      </c>
      <c r="AU152" s="124">
        <v>0</v>
      </c>
      <c r="AV152" s="124">
        <v>0</v>
      </c>
      <c r="AW152" s="124">
        <v>0</v>
      </c>
      <c r="AX152" s="124">
        <v>0</v>
      </c>
      <c r="AY152" s="124">
        <v>0</v>
      </c>
    </row>
    <row r="153" spans="1:51" x14ac:dyDescent="0.2">
      <c r="A153" s="127"/>
      <c r="B153" s="144">
        <v>32</v>
      </c>
      <c r="C153" s="124">
        <v>0</v>
      </c>
      <c r="D153" s="124">
        <v>0</v>
      </c>
      <c r="E153" s="124">
        <v>0</v>
      </c>
      <c r="F153" s="124">
        <v>0</v>
      </c>
      <c r="G153" s="124">
        <v>0</v>
      </c>
      <c r="H153" s="124">
        <v>0</v>
      </c>
      <c r="I153" s="124">
        <v>0</v>
      </c>
      <c r="J153" s="124">
        <v>0</v>
      </c>
      <c r="K153" s="124">
        <v>0</v>
      </c>
      <c r="L153" s="124">
        <v>0</v>
      </c>
      <c r="M153" s="124">
        <v>0</v>
      </c>
      <c r="N153" s="124">
        <v>0</v>
      </c>
      <c r="O153" s="124">
        <v>0</v>
      </c>
      <c r="P153" s="124">
        <v>0</v>
      </c>
      <c r="Q153" s="124">
        <v>0</v>
      </c>
      <c r="R153" s="124">
        <v>0</v>
      </c>
      <c r="S153" s="124">
        <v>0</v>
      </c>
      <c r="T153" s="124">
        <v>0</v>
      </c>
      <c r="U153" s="124">
        <v>0</v>
      </c>
      <c r="V153" s="124">
        <v>0</v>
      </c>
      <c r="W153" s="124">
        <v>0</v>
      </c>
      <c r="X153" s="124">
        <v>0</v>
      </c>
      <c r="Y153" s="124">
        <v>0</v>
      </c>
      <c r="Z153" s="124">
        <v>0</v>
      </c>
      <c r="AA153" s="124">
        <v>0</v>
      </c>
      <c r="AB153" s="124">
        <v>0</v>
      </c>
      <c r="AC153" s="124">
        <v>0</v>
      </c>
      <c r="AD153" s="124">
        <v>0</v>
      </c>
      <c r="AE153" s="124">
        <v>0</v>
      </c>
      <c r="AF153" s="124">
        <v>0</v>
      </c>
      <c r="AG153" s="124">
        <v>0</v>
      </c>
      <c r="AH153" s="124">
        <v>0</v>
      </c>
      <c r="AI153" s="124">
        <v>0</v>
      </c>
      <c r="AJ153" s="124">
        <v>0</v>
      </c>
      <c r="AK153" s="124">
        <v>0</v>
      </c>
      <c r="AL153" s="124">
        <v>0</v>
      </c>
      <c r="AM153" s="124">
        <v>0</v>
      </c>
      <c r="AN153" s="124">
        <v>0</v>
      </c>
      <c r="AO153" s="124">
        <v>0</v>
      </c>
      <c r="AP153" s="124">
        <v>0</v>
      </c>
      <c r="AQ153" s="124">
        <v>0</v>
      </c>
      <c r="AR153" s="124">
        <v>0</v>
      </c>
      <c r="AS153" s="124">
        <v>0</v>
      </c>
      <c r="AT153" s="124">
        <v>0</v>
      </c>
      <c r="AU153" s="124">
        <v>0</v>
      </c>
      <c r="AV153" s="124">
        <v>0</v>
      </c>
      <c r="AW153" s="124">
        <v>0</v>
      </c>
      <c r="AX153" s="124">
        <v>0</v>
      </c>
      <c r="AY153" s="124">
        <v>0</v>
      </c>
    </row>
    <row r="154" spans="1:51" x14ac:dyDescent="0.2">
      <c r="A154" s="127"/>
      <c r="B154" s="144">
        <v>33</v>
      </c>
      <c r="C154" s="124">
        <v>0</v>
      </c>
      <c r="D154" s="124">
        <v>0</v>
      </c>
      <c r="E154" s="124">
        <v>0</v>
      </c>
      <c r="F154" s="124">
        <v>0</v>
      </c>
      <c r="G154" s="124">
        <v>0</v>
      </c>
      <c r="H154" s="124">
        <v>0</v>
      </c>
      <c r="I154" s="124">
        <v>0</v>
      </c>
      <c r="J154" s="124">
        <v>0</v>
      </c>
      <c r="K154" s="124">
        <v>0</v>
      </c>
      <c r="L154" s="124">
        <v>0</v>
      </c>
      <c r="M154" s="124">
        <v>0</v>
      </c>
      <c r="N154" s="124">
        <v>0</v>
      </c>
      <c r="O154" s="124">
        <v>0</v>
      </c>
      <c r="P154" s="124">
        <v>0</v>
      </c>
      <c r="Q154" s="124">
        <v>0</v>
      </c>
      <c r="R154" s="124">
        <v>0</v>
      </c>
      <c r="S154" s="124">
        <v>0</v>
      </c>
      <c r="T154" s="124">
        <v>0</v>
      </c>
      <c r="U154" s="124">
        <v>0</v>
      </c>
      <c r="V154" s="124">
        <v>0</v>
      </c>
      <c r="W154" s="124">
        <v>0</v>
      </c>
      <c r="X154" s="124">
        <v>0</v>
      </c>
      <c r="Y154" s="124">
        <v>0</v>
      </c>
      <c r="Z154" s="124">
        <v>0</v>
      </c>
      <c r="AA154" s="124">
        <v>0</v>
      </c>
      <c r="AB154" s="124">
        <v>0</v>
      </c>
      <c r="AC154" s="124">
        <v>0</v>
      </c>
      <c r="AD154" s="124">
        <v>0</v>
      </c>
      <c r="AE154" s="124">
        <v>0</v>
      </c>
      <c r="AF154" s="124">
        <v>0</v>
      </c>
      <c r="AG154" s="124">
        <v>0</v>
      </c>
      <c r="AH154" s="124">
        <v>0</v>
      </c>
      <c r="AI154" s="124">
        <v>0</v>
      </c>
      <c r="AJ154" s="124">
        <v>0</v>
      </c>
      <c r="AK154" s="124">
        <v>0</v>
      </c>
      <c r="AL154" s="124">
        <v>0</v>
      </c>
      <c r="AM154" s="124">
        <v>0</v>
      </c>
      <c r="AN154" s="124">
        <v>0</v>
      </c>
      <c r="AO154" s="124">
        <v>0</v>
      </c>
      <c r="AP154" s="124">
        <v>0</v>
      </c>
      <c r="AQ154" s="124">
        <v>0</v>
      </c>
      <c r="AR154" s="124">
        <v>0</v>
      </c>
      <c r="AS154" s="124">
        <v>0</v>
      </c>
      <c r="AT154" s="124">
        <v>0</v>
      </c>
      <c r="AU154" s="124">
        <v>0</v>
      </c>
      <c r="AV154" s="124">
        <v>0</v>
      </c>
      <c r="AW154" s="124">
        <v>0</v>
      </c>
      <c r="AX154" s="124">
        <v>0</v>
      </c>
      <c r="AY154" s="124">
        <v>0</v>
      </c>
    </row>
    <row r="155" spans="1:51" x14ac:dyDescent="0.2">
      <c r="A155" s="127"/>
      <c r="B155" s="144">
        <v>34</v>
      </c>
      <c r="C155" s="124">
        <v>0</v>
      </c>
      <c r="D155" s="124">
        <v>0</v>
      </c>
      <c r="E155" s="124">
        <v>0</v>
      </c>
      <c r="F155" s="124">
        <v>0</v>
      </c>
      <c r="G155" s="124">
        <v>0</v>
      </c>
      <c r="H155" s="124">
        <v>0</v>
      </c>
      <c r="I155" s="124">
        <v>0</v>
      </c>
      <c r="J155" s="124">
        <v>0</v>
      </c>
      <c r="K155" s="124">
        <v>0</v>
      </c>
      <c r="L155" s="124">
        <v>0</v>
      </c>
      <c r="M155" s="124">
        <v>0</v>
      </c>
      <c r="N155" s="124">
        <v>0</v>
      </c>
      <c r="O155" s="124">
        <v>0</v>
      </c>
      <c r="P155" s="124">
        <v>0</v>
      </c>
      <c r="Q155" s="124">
        <v>0</v>
      </c>
      <c r="R155" s="124">
        <v>0</v>
      </c>
      <c r="S155" s="124">
        <v>0</v>
      </c>
      <c r="T155" s="124">
        <v>0</v>
      </c>
      <c r="U155" s="124">
        <v>0</v>
      </c>
      <c r="V155" s="124">
        <v>0</v>
      </c>
      <c r="W155" s="124">
        <v>0</v>
      </c>
      <c r="X155" s="124">
        <v>0</v>
      </c>
      <c r="Y155" s="124">
        <v>0</v>
      </c>
      <c r="Z155" s="124">
        <v>0</v>
      </c>
      <c r="AA155" s="124">
        <v>0</v>
      </c>
      <c r="AB155" s="124">
        <v>0</v>
      </c>
      <c r="AC155" s="124">
        <v>0</v>
      </c>
      <c r="AD155" s="124">
        <v>0</v>
      </c>
      <c r="AE155" s="124">
        <v>0</v>
      </c>
      <c r="AF155" s="124">
        <v>0</v>
      </c>
      <c r="AG155" s="124">
        <v>0</v>
      </c>
      <c r="AH155" s="124">
        <v>0</v>
      </c>
      <c r="AI155" s="124">
        <v>0</v>
      </c>
      <c r="AJ155" s="124">
        <v>0</v>
      </c>
      <c r="AK155" s="124">
        <v>0</v>
      </c>
      <c r="AL155" s="124">
        <v>0</v>
      </c>
      <c r="AM155" s="124">
        <v>0</v>
      </c>
      <c r="AN155" s="124">
        <v>0</v>
      </c>
      <c r="AO155" s="124">
        <v>0</v>
      </c>
      <c r="AP155" s="124">
        <v>0</v>
      </c>
      <c r="AQ155" s="124">
        <v>0</v>
      </c>
      <c r="AR155" s="124">
        <v>0</v>
      </c>
      <c r="AS155" s="124">
        <v>0</v>
      </c>
      <c r="AT155" s="124">
        <v>0</v>
      </c>
      <c r="AU155" s="124">
        <v>0</v>
      </c>
      <c r="AV155" s="124">
        <v>0</v>
      </c>
      <c r="AW155" s="124">
        <v>0</v>
      </c>
      <c r="AX155" s="124">
        <v>0</v>
      </c>
      <c r="AY155" s="124">
        <v>0</v>
      </c>
    </row>
    <row r="156" spans="1:51" x14ac:dyDescent="0.2">
      <c r="A156" s="127"/>
      <c r="B156" s="144">
        <v>35</v>
      </c>
      <c r="C156" s="124">
        <v>0</v>
      </c>
      <c r="D156" s="124">
        <v>0</v>
      </c>
      <c r="E156" s="124">
        <v>0</v>
      </c>
      <c r="F156" s="124">
        <v>0</v>
      </c>
      <c r="G156" s="124">
        <v>0</v>
      </c>
      <c r="H156" s="124">
        <v>0</v>
      </c>
      <c r="I156" s="124">
        <v>0</v>
      </c>
      <c r="J156" s="124">
        <v>0</v>
      </c>
      <c r="K156" s="124">
        <v>0</v>
      </c>
      <c r="L156" s="124">
        <v>0</v>
      </c>
      <c r="M156" s="124">
        <v>0</v>
      </c>
      <c r="N156" s="124">
        <v>0</v>
      </c>
      <c r="O156" s="124">
        <v>0</v>
      </c>
      <c r="P156" s="124">
        <v>0</v>
      </c>
      <c r="Q156" s="124">
        <v>0</v>
      </c>
      <c r="R156" s="124">
        <v>0</v>
      </c>
      <c r="S156" s="124">
        <v>0</v>
      </c>
      <c r="T156" s="124">
        <v>0</v>
      </c>
      <c r="U156" s="124">
        <v>0</v>
      </c>
      <c r="V156" s="124">
        <v>0</v>
      </c>
      <c r="W156" s="124">
        <v>0</v>
      </c>
      <c r="X156" s="124">
        <v>0</v>
      </c>
      <c r="Y156" s="124">
        <v>0</v>
      </c>
      <c r="Z156" s="124">
        <v>0</v>
      </c>
      <c r="AA156" s="124">
        <v>0</v>
      </c>
      <c r="AB156" s="124">
        <v>0</v>
      </c>
      <c r="AC156" s="124">
        <v>0</v>
      </c>
      <c r="AD156" s="124">
        <v>0</v>
      </c>
      <c r="AE156" s="124">
        <v>0</v>
      </c>
      <c r="AF156" s="124">
        <v>0</v>
      </c>
      <c r="AG156" s="124">
        <v>0</v>
      </c>
      <c r="AH156" s="124">
        <v>0</v>
      </c>
      <c r="AI156" s="124">
        <v>0</v>
      </c>
      <c r="AJ156" s="124">
        <v>0</v>
      </c>
      <c r="AK156" s="124">
        <v>0</v>
      </c>
      <c r="AL156" s="124">
        <v>0</v>
      </c>
      <c r="AM156" s="124">
        <v>0</v>
      </c>
      <c r="AN156" s="124">
        <v>0</v>
      </c>
      <c r="AO156" s="124">
        <v>0</v>
      </c>
      <c r="AP156" s="124">
        <v>0</v>
      </c>
      <c r="AQ156" s="124">
        <v>0</v>
      </c>
      <c r="AR156" s="124">
        <v>0</v>
      </c>
      <c r="AS156" s="124">
        <v>0</v>
      </c>
      <c r="AT156" s="124">
        <v>0</v>
      </c>
      <c r="AU156" s="124">
        <v>0</v>
      </c>
      <c r="AV156" s="124">
        <v>0</v>
      </c>
      <c r="AW156" s="124">
        <v>0</v>
      </c>
      <c r="AX156" s="124">
        <v>0</v>
      </c>
      <c r="AY156" s="124">
        <v>0</v>
      </c>
    </row>
    <row r="157" spans="1:51" x14ac:dyDescent="0.2">
      <c r="A157" s="127"/>
      <c r="B157" s="144">
        <v>36</v>
      </c>
      <c r="C157" s="124">
        <v>0</v>
      </c>
      <c r="D157" s="124">
        <v>0</v>
      </c>
      <c r="E157" s="124">
        <v>0</v>
      </c>
      <c r="F157" s="124">
        <v>0</v>
      </c>
      <c r="G157" s="124">
        <v>0</v>
      </c>
      <c r="H157" s="124">
        <v>0</v>
      </c>
      <c r="I157" s="124">
        <v>0</v>
      </c>
      <c r="J157" s="124">
        <v>0</v>
      </c>
      <c r="K157" s="124">
        <v>0</v>
      </c>
      <c r="L157" s="124">
        <v>0</v>
      </c>
      <c r="M157" s="124">
        <v>0</v>
      </c>
      <c r="N157" s="124">
        <v>0</v>
      </c>
      <c r="O157" s="124">
        <v>0</v>
      </c>
      <c r="P157" s="124">
        <v>0</v>
      </c>
      <c r="Q157" s="124">
        <v>0</v>
      </c>
      <c r="R157" s="124">
        <v>0</v>
      </c>
      <c r="S157" s="124">
        <v>0</v>
      </c>
      <c r="T157" s="124">
        <v>0</v>
      </c>
      <c r="U157" s="124">
        <v>0</v>
      </c>
      <c r="V157" s="124">
        <v>0</v>
      </c>
      <c r="W157" s="124">
        <v>0</v>
      </c>
      <c r="X157" s="124">
        <v>0</v>
      </c>
      <c r="Y157" s="124">
        <v>0</v>
      </c>
      <c r="Z157" s="124">
        <v>0</v>
      </c>
      <c r="AA157" s="124">
        <v>0</v>
      </c>
      <c r="AB157" s="124">
        <v>0</v>
      </c>
      <c r="AC157" s="124">
        <v>0</v>
      </c>
      <c r="AD157" s="124">
        <v>0</v>
      </c>
      <c r="AE157" s="124">
        <v>0</v>
      </c>
      <c r="AF157" s="124">
        <v>0</v>
      </c>
      <c r="AG157" s="124">
        <v>0</v>
      </c>
      <c r="AH157" s="124">
        <v>0</v>
      </c>
      <c r="AI157" s="124">
        <v>0</v>
      </c>
      <c r="AJ157" s="124">
        <v>0</v>
      </c>
      <c r="AK157" s="124">
        <v>0</v>
      </c>
      <c r="AL157" s="124">
        <v>0</v>
      </c>
      <c r="AM157" s="124">
        <v>0</v>
      </c>
      <c r="AN157" s="124">
        <v>0</v>
      </c>
      <c r="AO157" s="124">
        <v>0</v>
      </c>
      <c r="AP157" s="124">
        <v>0</v>
      </c>
      <c r="AQ157" s="124">
        <v>0</v>
      </c>
      <c r="AR157" s="124">
        <v>0</v>
      </c>
      <c r="AS157" s="124">
        <v>0</v>
      </c>
      <c r="AT157" s="124">
        <v>0</v>
      </c>
      <c r="AU157" s="124">
        <v>0</v>
      </c>
      <c r="AV157" s="124">
        <v>0</v>
      </c>
      <c r="AW157" s="124">
        <v>0</v>
      </c>
      <c r="AX157" s="124">
        <v>0</v>
      </c>
      <c r="AY157" s="124">
        <v>0</v>
      </c>
    </row>
    <row r="158" spans="1:51" x14ac:dyDescent="0.2">
      <c r="A158" s="127"/>
      <c r="B158" s="147">
        <v>37</v>
      </c>
      <c r="C158" s="124">
        <v>0</v>
      </c>
      <c r="D158" s="124">
        <v>0</v>
      </c>
      <c r="E158" s="124">
        <v>0</v>
      </c>
      <c r="F158" s="124">
        <v>0</v>
      </c>
      <c r="G158" s="124">
        <v>0</v>
      </c>
      <c r="H158" s="124">
        <v>0</v>
      </c>
      <c r="I158" s="124">
        <v>0</v>
      </c>
      <c r="J158" s="124">
        <v>0</v>
      </c>
      <c r="K158" s="124">
        <v>0</v>
      </c>
      <c r="L158" s="124">
        <v>0</v>
      </c>
      <c r="M158" s="124">
        <v>0</v>
      </c>
      <c r="N158" s="124">
        <v>0</v>
      </c>
      <c r="O158" s="124">
        <v>0</v>
      </c>
      <c r="P158" s="124">
        <v>0</v>
      </c>
      <c r="Q158" s="124">
        <v>0</v>
      </c>
      <c r="R158" s="124">
        <v>0</v>
      </c>
      <c r="S158" s="124">
        <v>0</v>
      </c>
      <c r="T158" s="124">
        <v>0</v>
      </c>
      <c r="U158" s="124">
        <v>0</v>
      </c>
      <c r="V158" s="124">
        <v>0</v>
      </c>
      <c r="W158" s="124">
        <v>0</v>
      </c>
      <c r="X158" s="124">
        <v>0</v>
      </c>
      <c r="Y158" s="124">
        <v>0</v>
      </c>
      <c r="Z158" s="124">
        <v>0</v>
      </c>
      <c r="AA158" s="124">
        <v>0</v>
      </c>
      <c r="AB158" s="124">
        <v>0</v>
      </c>
      <c r="AC158" s="124">
        <v>0</v>
      </c>
      <c r="AD158" s="124">
        <v>0</v>
      </c>
      <c r="AE158" s="124">
        <v>0</v>
      </c>
      <c r="AF158" s="124">
        <v>0</v>
      </c>
      <c r="AG158" s="124">
        <v>0</v>
      </c>
      <c r="AH158" s="124">
        <v>0</v>
      </c>
      <c r="AI158" s="124">
        <v>0</v>
      </c>
      <c r="AJ158" s="124">
        <v>0</v>
      </c>
      <c r="AK158" s="124">
        <v>0</v>
      </c>
      <c r="AL158" s="124">
        <v>0</v>
      </c>
      <c r="AM158" s="124">
        <v>0</v>
      </c>
      <c r="AN158" s="124">
        <v>0</v>
      </c>
      <c r="AO158" s="124">
        <v>0</v>
      </c>
      <c r="AP158" s="124">
        <v>0</v>
      </c>
      <c r="AQ158" s="124">
        <v>0</v>
      </c>
      <c r="AR158" s="124">
        <v>0</v>
      </c>
      <c r="AS158" s="124">
        <v>0</v>
      </c>
      <c r="AT158" s="124">
        <v>0</v>
      </c>
      <c r="AU158" s="124">
        <v>0</v>
      </c>
      <c r="AV158" s="124">
        <v>0</v>
      </c>
      <c r="AW158" s="124">
        <v>0</v>
      </c>
      <c r="AX158" s="124">
        <v>0</v>
      </c>
      <c r="AY158" s="124">
        <v>0</v>
      </c>
    </row>
    <row r="159" spans="1:51" x14ac:dyDescent="0.2">
      <c r="A159" s="127"/>
      <c r="B159" s="147">
        <v>38</v>
      </c>
      <c r="C159" s="124">
        <v>0</v>
      </c>
      <c r="D159" s="124">
        <v>0</v>
      </c>
      <c r="E159" s="124">
        <v>0</v>
      </c>
      <c r="F159" s="124">
        <v>0</v>
      </c>
      <c r="G159" s="124">
        <v>0</v>
      </c>
      <c r="H159" s="124">
        <v>0</v>
      </c>
      <c r="I159" s="124">
        <v>0</v>
      </c>
      <c r="J159" s="124">
        <v>0</v>
      </c>
      <c r="K159" s="124">
        <v>0</v>
      </c>
      <c r="L159" s="124">
        <v>0</v>
      </c>
      <c r="M159" s="124">
        <v>0</v>
      </c>
      <c r="N159" s="124">
        <v>0</v>
      </c>
      <c r="O159" s="124">
        <v>0</v>
      </c>
      <c r="P159" s="124">
        <v>0</v>
      </c>
      <c r="Q159" s="124">
        <v>0</v>
      </c>
      <c r="R159" s="124">
        <v>0</v>
      </c>
      <c r="S159" s="124">
        <v>0</v>
      </c>
      <c r="T159" s="124">
        <v>0</v>
      </c>
      <c r="U159" s="124">
        <v>0</v>
      </c>
      <c r="V159" s="124">
        <v>0</v>
      </c>
      <c r="W159" s="124">
        <v>0</v>
      </c>
      <c r="X159" s="124">
        <v>0</v>
      </c>
      <c r="Y159" s="124">
        <v>0</v>
      </c>
      <c r="Z159" s="124">
        <v>0</v>
      </c>
      <c r="AA159" s="124">
        <v>0</v>
      </c>
      <c r="AB159" s="124">
        <v>0</v>
      </c>
      <c r="AC159" s="124">
        <v>0</v>
      </c>
      <c r="AD159" s="124">
        <v>0</v>
      </c>
      <c r="AE159" s="124">
        <v>0</v>
      </c>
      <c r="AF159" s="124">
        <v>0</v>
      </c>
      <c r="AG159" s="124">
        <v>0</v>
      </c>
      <c r="AH159" s="124">
        <v>0</v>
      </c>
      <c r="AI159" s="124">
        <v>0</v>
      </c>
      <c r="AJ159" s="124">
        <v>0</v>
      </c>
      <c r="AK159" s="124">
        <v>0</v>
      </c>
      <c r="AL159" s="124">
        <v>0</v>
      </c>
      <c r="AM159" s="124">
        <v>0</v>
      </c>
      <c r="AN159" s="124">
        <v>0</v>
      </c>
      <c r="AO159" s="124">
        <v>0</v>
      </c>
      <c r="AP159" s="124">
        <v>0</v>
      </c>
      <c r="AQ159" s="124">
        <v>0</v>
      </c>
      <c r="AR159" s="124">
        <v>0</v>
      </c>
      <c r="AS159" s="124">
        <v>0</v>
      </c>
      <c r="AT159" s="124">
        <v>0</v>
      </c>
      <c r="AU159" s="124">
        <v>0</v>
      </c>
      <c r="AV159" s="124">
        <v>0</v>
      </c>
      <c r="AW159" s="124">
        <v>0</v>
      </c>
      <c r="AX159" s="124">
        <v>0</v>
      </c>
      <c r="AY159" s="124">
        <v>0</v>
      </c>
    </row>
    <row r="160" spans="1:51" x14ac:dyDescent="0.2">
      <c r="A160" s="127"/>
      <c r="B160" s="147">
        <v>39</v>
      </c>
      <c r="C160" s="124">
        <v>0</v>
      </c>
      <c r="D160" s="124">
        <v>0</v>
      </c>
      <c r="E160" s="124">
        <v>0</v>
      </c>
      <c r="F160" s="124">
        <v>0</v>
      </c>
      <c r="G160" s="124">
        <v>0</v>
      </c>
      <c r="H160" s="124">
        <v>0</v>
      </c>
      <c r="I160" s="124">
        <v>0</v>
      </c>
      <c r="J160" s="124">
        <v>0</v>
      </c>
      <c r="K160" s="124">
        <v>0</v>
      </c>
      <c r="L160" s="124">
        <v>0</v>
      </c>
      <c r="M160" s="124">
        <v>0</v>
      </c>
      <c r="N160" s="124">
        <v>0</v>
      </c>
      <c r="O160" s="124">
        <v>0</v>
      </c>
      <c r="P160" s="124">
        <v>0</v>
      </c>
      <c r="Q160" s="124">
        <v>0</v>
      </c>
      <c r="R160" s="124">
        <v>0</v>
      </c>
      <c r="S160" s="124">
        <v>0</v>
      </c>
      <c r="T160" s="124">
        <v>0</v>
      </c>
      <c r="U160" s="124">
        <v>0</v>
      </c>
      <c r="V160" s="124">
        <v>0</v>
      </c>
      <c r="W160" s="124">
        <v>0</v>
      </c>
      <c r="X160" s="124">
        <v>0</v>
      </c>
      <c r="Y160" s="124">
        <v>0</v>
      </c>
      <c r="Z160" s="124">
        <v>0</v>
      </c>
      <c r="AA160" s="124">
        <v>0</v>
      </c>
      <c r="AB160" s="124">
        <v>0</v>
      </c>
      <c r="AC160" s="124">
        <v>0</v>
      </c>
      <c r="AD160" s="124">
        <v>0</v>
      </c>
      <c r="AE160" s="124">
        <v>0</v>
      </c>
      <c r="AF160" s="124">
        <v>0</v>
      </c>
      <c r="AG160" s="124">
        <v>0</v>
      </c>
      <c r="AH160" s="124">
        <v>0</v>
      </c>
      <c r="AI160" s="124">
        <v>0</v>
      </c>
      <c r="AJ160" s="124">
        <v>0</v>
      </c>
      <c r="AK160" s="124">
        <v>0</v>
      </c>
      <c r="AL160" s="124">
        <v>0</v>
      </c>
      <c r="AM160" s="124">
        <v>0</v>
      </c>
      <c r="AN160" s="124">
        <v>0</v>
      </c>
      <c r="AO160" s="124">
        <v>0</v>
      </c>
      <c r="AP160" s="124">
        <v>0</v>
      </c>
      <c r="AQ160" s="124">
        <v>0</v>
      </c>
      <c r="AR160" s="124">
        <v>0</v>
      </c>
      <c r="AS160" s="124">
        <v>0</v>
      </c>
      <c r="AT160" s="124">
        <v>0</v>
      </c>
      <c r="AU160" s="124">
        <v>0</v>
      </c>
      <c r="AV160" s="124">
        <v>0</v>
      </c>
      <c r="AW160" s="124">
        <v>0</v>
      </c>
      <c r="AX160" s="124">
        <v>0</v>
      </c>
      <c r="AY160" s="124">
        <v>0</v>
      </c>
    </row>
    <row r="161" spans="1:52" x14ac:dyDescent="0.2">
      <c r="A161" s="127"/>
      <c r="B161" s="147">
        <v>40</v>
      </c>
      <c r="C161" s="124">
        <v>0</v>
      </c>
      <c r="D161" s="124">
        <v>0</v>
      </c>
      <c r="E161" s="124">
        <v>0</v>
      </c>
      <c r="F161" s="124">
        <v>0</v>
      </c>
      <c r="G161" s="124">
        <v>0</v>
      </c>
      <c r="H161" s="124">
        <v>0</v>
      </c>
      <c r="I161" s="124">
        <v>0</v>
      </c>
      <c r="J161" s="124">
        <v>0</v>
      </c>
      <c r="K161" s="124">
        <v>0</v>
      </c>
      <c r="L161" s="124">
        <v>0</v>
      </c>
      <c r="M161" s="124">
        <v>0</v>
      </c>
      <c r="N161" s="124">
        <v>0</v>
      </c>
      <c r="O161" s="124">
        <v>0</v>
      </c>
      <c r="P161" s="124">
        <v>0</v>
      </c>
      <c r="Q161" s="124">
        <v>0</v>
      </c>
      <c r="R161" s="124">
        <v>0</v>
      </c>
      <c r="S161" s="124">
        <v>0</v>
      </c>
      <c r="T161" s="124">
        <v>0</v>
      </c>
      <c r="U161" s="124">
        <v>0</v>
      </c>
      <c r="V161" s="124">
        <v>0</v>
      </c>
      <c r="W161" s="124">
        <v>0</v>
      </c>
      <c r="X161" s="124">
        <v>0</v>
      </c>
      <c r="Y161" s="124">
        <v>0</v>
      </c>
      <c r="Z161" s="124">
        <v>0</v>
      </c>
      <c r="AA161" s="124">
        <v>0</v>
      </c>
      <c r="AB161" s="124">
        <v>0</v>
      </c>
      <c r="AC161" s="124">
        <v>0</v>
      </c>
      <c r="AD161" s="124">
        <v>0</v>
      </c>
      <c r="AE161" s="124">
        <v>0</v>
      </c>
      <c r="AF161" s="124">
        <v>0</v>
      </c>
      <c r="AG161" s="124">
        <v>0</v>
      </c>
      <c r="AH161" s="124">
        <v>0</v>
      </c>
      <c r="AI161" s="124">
        <v>0</v>
      </c>
      <c r="AJ161" s="124">
        <v>0</v>
      </c>
      <c r="AK161" s="124">
        <v>0</v>
      </c>
      <c r="AL161" s="124">
        <v>0</v>
      </c>
      <c r="AM161" s="124">
        <v>0</v>
      </c>
      <c r="AN161" s="124">
        <v>0</v>
      </c>
      <c r="AO161" s="124">
        <v>0</v>
      </c>
      <c r="AP161" s="124">
        <v>0</v>
      </c>
      <c r="AQ161" s="124">
        <v>0</v>
      </c>
      <c r="AR161" s="124">
        <v>0</v>
      </c>
      <c r="AS161" s="124">
        <v>0</v>
      </c>
      <c r="AT161" s="124">
        <v>0</v>
      </c>
      <c r="AU161" s="124">
        <v>0</v>
      </c>
      <c r="AV161" s="124">
        <v>0</v>
      </c>
      <c r="AW161" s="124">
        <v>0</v>
      </c>
      <c r="AX161" s="124">
        <v>0</v>
      </c>
      <c r="AY161" s="124">
        <v>0</v>
      </c>
    </row>
    <row r="162" spans="1:52" x14ac:dyDescent="0.2">
      <c r="A162" s="127"/>
      <c r="B162" s="147">
        <v>41</v>
      </c>
      <c r="C162" s="124">
        <v>0</v>
      </c>
      <c r="D162" s="124">
        <v>0</v>
      </c>
      <c r="E162" s="124">
        <v>0</v>
      </c>
      <c r="F162" s="124">
        <v>0</v>
      </c>
      <c r="G162" s="124">
        <v>0</v>
      </c>
      <c r="H162" s="124">
        <v>0</v>
      </c>
      <c r="I162" s="124">
        <v>0</v>
      </c>
      <c r="J162" s="124">
        <v>0</v>
      </c>
      <c r="K162" s="124">
        <v>0</v>
      </c>
      <c r="L162" s="124">
        <v>0</v>
      </c>
      <c r="M162" s="124">
        <v>0</v>
      </c>
      <c r="N162" s="124">
        <v>0</v>
      </c>
      <c r="O162" s="124">
        <v>0</v>
      </c>
      <c r="P162" s="124">
        <v>0</v>
      </c>
      <c r="Q162" s="124">
        <v>0</v>
      </c>
      <c r="R162" s="124">
        <v>0</v>
      </c>
      <c r="S162" s="124">
        <v>0</v>
      </c>
      <c r="T162" s="124">
        <v>0</v>
      </c>
      <c r="U162" s="124">
        <v>0</v>
      </c>
      <c r="V162" s="124">
        <v>0</v>
      </c>
      <c r="W162" s="124">
        <v>0</v>
      </c>
      <c r="X162" s="124">
        <v>0</v>
      </c>
      <c r="Y162" s="124">
        <v>0</v>
      </c>
      <c r="Z162" s="124">
        <v>0</v>
      </c>
      <c r="AA162" s="124">
        <v>0</v>
      </c>
      <c r="AB162" s="124">
        <v>0</v>
      </c>
      <c r="AC162" s="124">
        <v>0</v>
      </c>
      <c r="AD162" s="124">
        <v>0</v>
      </c>
      <c r="AE162" s="124">
        <v>0</v>
      </c>
      <c r="AF162" s="124">
        <v>0</v>
      </c>
      <c r="AG162" s="124">
        <v>0</v>
      </c>
      <c r="AH162" s="124">
        <v>0</v>
      </c>
      <c r="AI162" s="124">
        <v>0</v>
      </c>
      <c r="AJ162" s="124">
        <v>0</v>
      </c>
      <c r="AK162" s="124">
        <v>0</v>
      </c>
      <c r="AL162" s="124">
        <v>0</v>
      </c>
      <c r="AM162" s="124">
        <v>0</v>
      </c>
      <c r="AN162" s="124">
        <v>0</v>
      </c>
      <c r="AO162" s="124">
        <v>0</v>
      </c>
      <c r="AP162" s="124">
        <v>0</v>
      </c>
      <c r="AQ162" s="124">
        <v>0</v>
      </c>
      <c r="AR162" s="124">
        <v>0</v>
      </c>
      <c r="AS162" s="124">
        <v>0</v>
      </c>
      <c r="AT162" s="124">
        <v>0</v>
      </c>
      <c r="AU162" s="124">
        <v>0</v>
      </c>
      <c r="AV162" s="124">
        <v>0</v>
      </c>
      <c r="AW162" s="124">
        <v>0</v>
      </c>
      <c r="AX162" s="124">
        <v>0</v>
      </c>
      <c r="AY162" s="124">
        <v>0</v>
      </c>
    </row>
    <row r="163" spans="1:52" x14ac:dyDescent="0.2">
      <c r="A163" s="127"/>
      <c r="B163" s="147">
        <v>42</v>
      </c>
      <c r="C163" s="124">
        <v>0</v>
      </c>
      <c r="D163" s="124">
        <v>0</v>
      </c>
      <c r="E163" s="124">
        <v>0</v>
      </c>
      <c r="F163" s="124">
        <v>0</v>
      </c>
      <c r="G163" s="124">
        <v>0</v>
      </c>
      <c r="H163" s="124">
        <v>0</v>
      </c>
      <c r="I163" s="124">
        <v>0</v>
      </c>
      <c r="J163" s="124">
        <v>0</v>
      </c>
      <c r="K163" s="124">
        <v>0</v>
      </c>
      <c r="L163" s="124">
        <v>0</v>
      </c>
      <c r="M163" s="124">
        <v>0</v>
      </c>
      <c r="N163" s="124">
        <v>0</v>
      </c>
      <c r="O163" s="124">
        <v>0</v>
      </c>
      <c r="P163" s="124">
        <v>0</v>
      </c>
      <c r="Q163" s="124">
        <v>0</v>
      </c>
      <c r="R163" s="124">
        <v>0</v>
      </c>
      <c r="S163" s="124">
        <v>0</v>
      </c>
      <c r="T163" s="124">
        <v>0</v>
      </c>
      <c r="U163" s="124">
        <v>0</v>
      </c>
      <c r="V163" s="124">
        <v>0</v>
      </c>
      <c r="W163" s="124">
        <v>0</v>
      </c>
      <c r="X163" s="124">
        <v>0</v>
      </c>
      <c r="Y163" s="124">
        <v>0</v>
      </c>
      <c r="Z163" s="124">
        <v>0</v>
      </c>
      <c r="AA163" s="124">
        <v>0</v>
      </c>
      <c r="AB163" s="124">
        <v>0</v>
      </c>
      <c r="AC163" s="124">
        <v>0</v>
      </c>
      <c r="AD163" s="124">
        <v>0</v>
      </c>
      <c r="AE163" s="124">
        <v>0</v>
      </c>
      <c r="AF163" s="124">
        <v>0</v>
      </c>
      <c r="AG163" s="124">
        <v>0</v>
      </c>
      <c r="AH163" s="124">
        <v>0</v>
      </c>
      <c r="AI163" s="124">
        <v>0</v>
      </c>
      <c r="AJ163" s="124">
        <v>0</v>
      </c>
      <c r="AK163" s="124">
        <v>0</v>
      </c>
      <c r="AL163" s="124">
        <v>0</v>
      </c>
      <c r="AM163" s="124">
        <v>0</v>
      </c>
      <c r="AN163" s="124">
        <v>0</v>
      </c>
      <c r="AO163" s="124">
        <v>0</v>
      </c>
      <c r="AP163" s="124">
        <v>0</v>
      </c>
      <c r="AQ163" s="124">
        <v>0</v>
      </c>
      <c r="AR163" s="124">
        <v>0</v>
      </c>
      <c r="AS163" s="124">
        <v>0</v>
      </c>
      <c r="AT163" s="124">
        <v>0</v>
      </c>
      <c r="AU163" s="124">
        <v>0</v>
      </c>
      <c r="AV163" s="124">
        <v>0</v>
      </c>
      <c r="AW163" s="124">
        <v>0</v>
      </c>
      <c r="AX163" s="124">
        <v>0</v>
      </c>
      <c r="AY163" s="124">
        <v>0</v>
      </c>
    </row>
    <row r="164" spans="1:52" x14ac:dyDescent="0.2">
      <c r="A164" s="127"/>
      <c r="B164" s="147">
        <v>43</v>
      </c>
      <c r="C164" s="124">
        <v>0</v>
      </c>
      <c r="D164" s="124">
        <v>0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124">
        <v>0</v>
      </c>
      <c r="O164" s="124">
        <v>0</v>
      </c>
      <c r="P164" s="124">
        <v>0</v>
      </c>
      <c r="Q164" s="124">
        <v>0</v>
      </c>
      <c r="R164" s="124">
        <v>0</v>
      </c>
      <c r="S164" s="124">
        <v>0</v>
      </c>
      <c r="T164" s="124">
        <v>0</v>
      </c>
      <c r="U164" s="124">
        <v>0</v>
      </c>
      <c r="V164" s="124">
        <v>0</v>
      </c>
      <c r="W164" s="124">
        <v>0</v>
      </c>
      <c r="X164" s="124">
        <v>0</v>
      </c>
      <c r="Y164" s="124">
        <v>0</v>
      </c>
      <c r="Z164" s="124">
        <v>0</v>
      </c>
      <c r="AA164" s="124">
        <v>0</v>
      </c>
      <c r="AB164" s="124">
        <v>0</v>
      </c>
      <c r="AC164" s="124">
        <v>0</v>
      </c>
      <c r="AD164" s="124">
        <v>0</v>
      </c>
      <c r="AE164" s="124">
        <v>0</v>
      </c>
      <c r="AF164" s="124">
        <v>0</v>
      </c>
      <c r="AG164" s="124">
        <v>0</v>
      </c>
      <c r="AH164" s="124">
        <v>0</v>
      </c>
      <c r="AI164" s="124">
        <v>0</v>
      </c>
      <c r="AJ164" s="124">
        <v>0</v>
      </c>
      <c r="AK164" s="124">
        <v>0</v>
      </c>
      <c r="AL164" s="124">
        <v>0</v>
      </c>
      <c r="AM164" s="124">
        <v>0</v>
      </c>
      <c r="AN164" s="124">
        <v>0</v>
      </c>
      <c r="AO164" s="124">
        <v>0</v>
      </c>
      <c r="AP164" s="124">
        <v>0</v>
      </c>
      <c r="AQ164" s="124">
        <v>0</v>
      </c>
      <c r="AR164" s="124">
        <v>0</v>
      </c>
      <c r="AS164" s="124">
        <v>0</v>
      </c>
      <c r="AT164" s="124">
        <v>0</v>
      </c>
      <c r="AU164" s="124">
        <v>0</v>
      </c>
      <c r="AV164" s="124">
        <v>0</v>
      </c>
      <c r="AW164" s="124">
        <v>0</v>
      </c>
      <c r="AX164" s="124">
        <v>0</v>
      </c>
      <c r="AY164" s="124">
        <v>0</v>
      </c>
    </row>
    <row r="165" spans="1:52" x14ac:dyDescent="0.2">
      <c r="A165" s="127"/>
      <c r="B165" s="147">
        <v>44</v>
      </c>
      <c r="C165" s="124">
        <v>0</v>
      </c>
      <c r="D165" s="124">
        <v>0</v>
      </c>
      <c r="E165" s="124">
        <v>0</v>
      </c>
      <c r="F165" s="124">
        <v>0</v>
      </c>
      <c r="G165" s="124">
        <v>0</v>
      </c>
      <c r="H165" s="124">
        <v>0</v>
      </c>
      <c r="I165" s="124">
        <v>0</v>
      </c>
      <c r="J165" s="124">
        <v>0</v>
      </c>
      <c r="K165" s="124">
        <v>0</v>
      </c>
      <c r="L165" s="124">
        <v>0</v>
      </c>
      <c r="M165" s="124">
        <v>0</v>
      </c>
      <c r="N165" s="124">
        <v>0</v>
      </c>
      <c r="O165" s="124">
        <v>0</v>
      </c>
      <c r="P165" s="124">
        <v>0</v>
      </c>
      <c r="Q165" s="124">
        <v>0</v>
      </c>
      <c r="R165" s="124">
        <v>0</v>
      </c>
      <c r="S165" s="124">
        <v>0</v>
      </c>
      <c r="T165" s="124">
        <v>0</v>
      </c>
      <c r="U165" s="124">
        <v>0</v>
      </c>
      <c r="V165" s="124">
        <v>0</v>
      </c>
      <c r="W165" s="124">
        <v>0</v>
      </c>
      <c r="X165" s="124">
        <v>0</v>
      </c>
      <c r="Y165" s="124">
        <v>0</v>
      </c>
      <c r="Z165" s="124">
        <v>0</v>
      </c>
      <c r="AA165" s="124">
        <v>0</v>
      </c>
      <c r="AB165" s="124">
        <v>0</v>
      </c>
      <c r="AC165" s="124">
        <v>0</v>
      </c>
      <c r="AD165" s="124">
        <v>0</v>
      </c>
      <c r="AE165" s="124">
        <v>0</v>
      </c>
      <c r="AF165" s="124">
        <v>0</v>
      </c>
      <c r="AG165" s="124">
        <v>0</v>
      </c>
      <c r="AH165" s="124">
        <v>0</v>
      </c>
      <c r="AI165" s="124">
        <v>0</v>
      </c>
      <c r="AJ165" s="124">
        <v>0</v>
      </c>
      <c r="AK165" s="124">
        <v>0</v>
      </c>
      <c r="AL165" s="124">
        <v>0</v>
      </c>
      <c r="AM165" s="124">
        <v>0</v>
      </c>
      <c r="AN165" s="124">
        <v>0</v>
      </c>
      <c r="AO165" s="124">
        <v>0</v>
      </c>
      <c r="AP165" s="124">
        <v>0</v>
      </c>
      <c r="AQ165" s="124">
        <v>0</v>
      </c>
      <c r="AR165" s="124">
        <v>0</v>
      </c>
      <c r="AS165" s="124">
        <v>0</v>
      </c>
      <c r="AT165" s="124">
        <v>0</v>
      </c>
      <c r="AU165" s="124">
        <v>0</v>
      </c>
      <c r="AV165" s="124">
        <v>0</v>
      </c>
      <c r="AW165" s="124">
        <v>0</v>
      </c>
      <c r="AX165" s="124">
        <v>0</v>
      </c>
      <c r="AY165" s="124">
        <v>0</v>
      </c>
    </row>
    <row r="166" spans="1:52" x14ac:dyDescent="0.2">
      <c r="A166" s="127"/>
      <c r="B166" s="147">
        <v>45</v>
      </c>
      <c r="C166" s="124">
        <v>0</v>
      </c>
      <c r="D166" s="124">
        <v>0</v>
      </c>
      <c r="E166" s="124">
        <v>0</v>
      </c>
      <c r="F166" s="124">
        <v>0</v>
      </c>
      <c r="G166" s="124">
        <v>0</v>
      </c>
      <c r="H166" s="124">
        <v>0</v>
      </c>
      <c r="I166" s="124">
        <v>0</v>
      </c>
      <c r="J166" s="124">
        <v>0</v>
      </c>
      <c r="K166" s="124">
        <v>0</v>
      </c>
      <c r="L166" s="124">
        <v>0</v>
      </c>
      <c r="M166" s="124">
        <v>0</v>
      </c>
      <c r="N166" s="124">
        <v>0</v>
      </c>
      <c r="O166" s="124">
        <v>0</v>
      </c>
      <c r="P166" s="124">
        <v>0</v>
      </c>
      <c r="Q166" s="124">
        <v>0</v>
      </c>
      <c r="R166" s="124">
        <v>0</v>
      </c>
      <c r="S166" s="124">
        <v>0</v>
      </c>
      <c r="T166" s="124">
        <v>0</v>
      </c>
      <c r="U166" s="124">
        <v>0</v>
      </c>
      <c r="V166" s="124">
        <v>0</v>
      </c>
      <c r="W166" s="124">
        <v>0</v>
      </c>
      <c r="X166" s="124">
        <v>0</v>
      </c>
      <c r="Y166" s="124">
        <v>0</v>
      </c>
      <c r="Z166" s="124">
        <v>0</v>
      </c>
      <c r="AA166" s="124">
        <v>0</v>
      </c>
      <c r="AB166" s="124">
        <v>0</v>
      </c>
      <c r="AC166" s="124">
        <v>0</v>
      </c>
      <c r="AD166" s="124">
        <v>0</v>
      </c>
      <c r="AE166" s="124">
        <v>0</v>
      </c>
      <c r="AF166" s="124">
        <v>0</v>
      </c>
      <c r="AG166" s="124">
        <v>0</v>
      </c>
      <c r="AH166" s="124">
        <v>0</v>
      </c>
      <c r="AI166" s="124">
        <v>0</v>
      </c>
      <c r="AJ166" s="124">
        <v>0</v>
      </c>
      <c r="AK166" s="124">
        <v>0</v>
      </c>
      <c r="AL166" s="124">
        <v>0</v>
      </c>
      <c r="AM166" s="124">
        <v>0</v>
      </c>
      <c r="AN166" s="124">
        <v>0</v>
      </c>
      <c r="AO166" s="124">
        <v>0</v>
      </c>
      <c r="AP166" s="124">
        <v>0</v>
      </c>
      <c r="AQ166" s="124">
        <v>0</v>
      </c>
      <c r="AR166" s="124">
        <v>0</v>
      </c>
      <c r="AS166" s="124">
        <v>0</v>
      </c>
      <c r="AT166" s="124">
        <v>0</v>
      </c>
      <c r="AU166" s="124">
        <v>0</v>
      </c>
      <c r="AV166" s="124">
        <v>0</v>
      </c>
      <c r="AW166" s="124">
        <v>0</v>
      </c>
      <c r="AX166" s="124">
        <v>0</v>
      </c>
      <c r="AY166" s="124">
        <v>0</v>
      </c>
    </row>
    <row r="167" spans="1:52" x14ac:dyDescent="0.2">
      <c r="A167" s="127"/>
      <c r="B167" s="147">
        <v>46</v>
      </c>
      <c r="C167" s="124">
        <v>0</v>
      </c>
      <c r="D167" s="124">
        <v>0</v>
      </c>
      <c r="E167" s="124">
        <v>0</v>
      </c>
      <c r="F167" s="124">
        <v>0</v>
      </c>
      <c r="G167" s="124">
        <v>0</v>
      </c>
      <c r="H167" s="124">
        <v>0</v>
      </c>
      <c r="I167" s="124">
        <v>0</v>
      </c>
      <c r="J167" s="124">
        <v>0</v>
      </c>
      <c r="K167" s="124">
        <v>0</v>
      </c>
      <c r="L167" s="124">
        <v>0</v>
      </c>
      <c r="M167" s="124">
        <v>0</v>
      </c>
      <c r="N167" s="124">
        <v>0</v>
      </c>
      <c r="O167" s="124">
        <v>0</v>
      </c>
      <c r="P167" s="124">
        <v>0</v>
      </c>
      <c r="Q167" s="124">
        <v>0</v>
      </c>
      <c r="R167" s="124">
        <v>0</v>
      </c>
      <c r="S167" s="124">
        <v>0</v>
      </c>
      <c r="T167" s="124">
        <v>0</v>
      </c>
      <c r="U167" s="124">
        <v>0</v>
      </c>
      <c r="V167" s="124">
        <v>0</v>
      </c>
      <c r="W167" s="124">
        <v>0</v>
      </c>
      <c r="X167" s="124">
        <v>0</v>
      </c>
      <c r="Y167" s="124">
        <v>0</v>
      </c>
      <c r="Z167" s="124">
        <v>0</v>
      </c>
      <c r="AA167" s="124">
        <v>0</v>
      </c>
      <c r="AB167" s="124">
        <v>0</v>
      </c>
      <c r="AC167" s="124">
        <v>0</v>
      </c>
      <c r="AD167" s="124">
        <v>0</v>
      </c>
      <c r="AE167" s="124">
        <v>0</v>
      </c>
      <c r="AF167" s="124">
        <v>0</v>
      </c>
      <c r="AG167" s="124">
        <v>0</v>
      </c>
      <c r="AH167" s="124">
        <v>0</v>
      </c>
      <c r="AI167" s="124">
        <v>0</v>
      </c>
      <c r="AJ167" s="124">
        <v>0</v>
      </c>
      <c r="AK167" s="124">
        <v>0</v>
      </c>
      <c r="AL167" s="124">
        <v>0</v>
      </c>
      <c r="AM167" s="124">
        <v>0</v>
      </c>
      <c r="AN167" s="124">
        <v>0</v>
      </c>
      <c r="AO167" s="124">
        <v>0</v>
      </c>
      <c r="AP167" s="124">
        <v>0</v>
      </c>
      <c r="AQ167" s="124">
        <v>0</v>
      </c>
      <c r="AR167" s="124">
        <v>0</v>
      </c>
      <c r="AS167" s="124">
        <v>0</v>
      </c>
      <c r="AT167" s="124">
        <v>0</v>
      </c>
      <c r="AU167" s="124">
        <v>0</v>
      </c>
      <c r="AV167" s="124">
        <v>0</v>
      </c>
      <c r="AW167" s="124">
        <v>0</v>
      </c>
      <c r="AX167" s="124">
        <v>0</v>
      </c>
      <c r="AY167" s="124">
        <v>0</v>
      </c>
    </row>
    <row r="168" spans="1:52" x14ac:dyDescent="0.2">
      <c r="A168" s="127"/>
      <c r="B168" s="147">
        <v>47</v>
      </c>
      <c r="C168" s="124">
        <v>0</v>
      </c>
      <c r="D168" s="124">
        <v>0</v>
      </c>
      <c r="E168" s="124">
        <v>0</v>
      </c>
      <c r="F168" s="124">
        <v>0</v>
      </c>
      <c r="G168" s="124">
        <v>0</v>
      </c>
      <c r="H168" s="124">
        <v>0</v>
      </c>
      <c r="I168" s="124">
        <v>0</v>
      </c>
      <c r="J168" s="124">
        <v>0</v>
      </c>
      <c r="K168" s="124">
        <v>0</v>
      </c>
      <c r="L168" s="124">
        <v>0</v>
      </c>
      <c r="M168" s="124">
        <v>0</v>
      </c>
      <c r="N168" s="124">
        <v>0</v>
      </c>
      <c r="O168" s="124">
        <v>0</v>
      </c>
      <c r="P168" s="124">
        <v>0</v>
      </c>
      <c r="Q168" s="124">
        <v>0</v>
      </c>
      <c r="R168" s="124">
        <v>0</v>
      </c>
      <c r="S168" s="124">
        <v>0</v>
      </c>
      <c r="T168" s="124">
        <v>0</v>
      </c>
      <c r="U168" s="124">
        <v>0</v>
      </c>
      <c r="V168" s="124">
        <v>0</v>
      </c>
      <c r="W168" s="124">
        <v>0</v>
      </c>
      <c r="X168" s="124">
        <v>0</v>
      </c>
      <c r="Y168" s="124">
        <v>0</v>
      </c>
      <c r="Z168" s="124">
        <v>0</v>
      </c>
      <c r="AA168" s="124">
        <v>0</v>
      </c>
      <c r="AB168" s="124">
        <v>0</v>
      </c>
      <c r="AC168" s="124">
        <v>0</v>
      </c>
      <c r="AD168" s="124">
        <v>0</v>
      </c>
      <c r="AE168" s="124">
        <v>0</v>
      </c>
      <c r="AF168" s="124">
        <v>0</v>
      </c>
      <c r="AG168" s="124">
        <v>0</v>
      </c>
      <c r="AH168" s="124">
        <v>0</v>
      </c>
      <c r="AI168" s="124">
        <v>0</v>
      </c>
      <c r="AJ168" s="124">
        <v>0</v>
      </c>
      <c r="AK168" s="124">
        <v>0</v>
      </c>
      <c r="AL168" s="124">
        <v>0</v>
      </c>
      <c r="AM168" s="124">
        <v>0</v>
      </c>
      <c r="AN168" s="124">
        <v>0</v>
      </c>
      <c r="AO168" s="124">
        <v>0</v>
      </c>
      <c r="AP168" s="124">
        <v>0</v>
      </c>
      <c r="AQ168" s="124">
        <v>0</v>
      </c>
      <c r="AR168" s="124">
        <v>0</v>
      </c>
      <c r="AS168" s="124">
        <v>0</v>
      </c>
      <c r="AT168" s="124">
        <v>0</v>
      </c>
      <c r="AU168" s="124">
        <v>0</v>
      </c>
      <c r="AV168" s="124">
        <v>0</v>
      </c>
      <c r="AW168" s="124">
        <v>0</v>
      </c>
      <c r="AX168" s="124">
        <v>0</v>
      </c>
      <c r="AY168" s="124">
        <v>0</v>
      </c>
    </row>
    <row r="169" spans="1:52" x14ac:dyDescent="0.2">
      <c r="A169" s="127"/>
      <c r="B169" s="147">
        <v>48</v>
      </c>
      <c r="C169" s="124">
        <v>0</v>
      </c>
      <c r="D169" s="124">
        <v>0</v>
      </c>
      <c r="E169" s="124">
        <v>0</v>
      </c>
      <c r="F169" s="124">
        <v>0</v>
      </c>
      <c r="G169" s="124">
        <v>0</v>
      </c>
      <c r="H169" s="124">
        <v>0</v>
      </c>
      <c r="I169" s="124">
        <v>0</v>
      </c>
      <c r="J169" s="124">
        <v>0</v>
      </c>
      <c r="K169" s="124">
        <v>0</v>
      </c>
      <c r="L169" s="124">
        <v>0</v>
      </c>
      <c r="M169" s="124">
        <v>0</v>
      </c>
      <c r="N169" s="124">
        <v>0</v>
      </c>
      <c r="O169" s="124">
        <v>0</v>
      </c>
      <c r="P169" s="124">
        <v>0</v>
      </c>
      <c r="Q169" s="124">
        <v>0</v>
      </c>
      <c r="R169" s="124">
        <v>0</v>
      </c>
      <c r="S169" s="124">
        <v>0</v>
      </c>
      <c r="T169" s="124">
        <v>0</v>
      </c>
      <c r="U169" s="124">
        <v>0</v>
      </c>
      <c r="V169" s="124">
        <v>0</v>
      </c>
      <c r="W169" s="124">
        <v>0</v>
      </c>
      <c r="X169" s="124">
        <v>0</v>
      </c>
      <c r="Y169" s="124">
        <v>0</v>
      </c>
      <c r="Z169" s="124">
        <v>0</v>
      </c>
      <c r="AA169" s="124">
        <v>0</v>
      </c>
      <c r="AB169" s="124">
        <v>0</v>
      </c>
      <c r="AC169" s="124">
        <v>0</v>
      </c>
      <c r="AD169" s="124">
        <v>0</v>
      </c>
      <c r="AE169" s="124">
        <v>0</v>
      </c>
      <c r="AF169" s="124">
        <v>0</v>
      </c>
      <c r="AG169" s="124">
        <v>0</v>
      </c>
      <c r="AH169" s="124">
        <v>0</v>
      </c>
      <c r="AI169" s="124">
        <v>0</v>
      </c>
      <c r="AJ169" s="124">
        <v>0</v>
      </c>
      <c r="AK169" s="124">
        <v>0</v>
      </c>
      <c r="AL169" s="124">
        <v>0</v>
      </c>
      <c r="AM169" s="124">
        <v>0</v>
      </c>
      <c r="AN169" s="124">
        <v>0</v>
      </c>
      <c r="AO169" s="124">
        <v>0</v>
      </c>
      <c r="AP169" s="124">
        <v>0</v>
      </c>
      <c r="AQ169" s="124">
        <v>0</v>
      </c>
      <c r="AR169" s="124">
        <v>0</v>
      </c>
      <c r="AS169" s="124">
        <v>0</v>
      </c>
      <c r="AT169" s="124">
        <v>0</v>
      </c>
      <c r="AU169" s="124">
        <v>0</v>
      </c>
      <c r="AV169" s="124">
        <v>0</v>
      </c>
      <c r="AW169" s="124">
        <v>0</v>
      </c>
      <c r="AX169" s="124">
        <v>0</v>
      </c>
      <c r="AY169" s="124">
        <v>0</v>
      </c>
    </row>
    <row r="170" spans="1:52" x14ac:dyDescent="0.2">
      <c r="A170" s="145"/>
      <c r="B170" s="149" t="s">
        <v>296</v>
      </c>
      <c r="C170" s="131">
        <v>0</v>
      </c>
      <c r="D170" s="142">
        <v>0</v>
      </c>
      <c r="E170" s="142">
        <v>0</v>
      </c>
      <c r="F170" s="142">
        <v>0</v>
      </c>
      <c r="G170" s="142">
        <v>0</v>
      </c>
      <c r="H170" s="142">
        <v>0</v>
      </c>
      <c r="I170" s="142">
        <v>0</v>
      </c>
      <c r="J170" s="142">
        <v>0</v>
      </c>
      <c r="K170" s="142">
        <v>0</v>
      </c>
      <c r="L170" s="142">
        <v>0</v>
      </c>
      <c r="M170" s="142">
        <v>0</v>
      </c>
      <c r="N170" s="142">
        <v>0</v>
      </c>
      <c r="O170" s="142">
        <v>0</v>
      </c>
      <c r="P170" s="142">
        <v>0</v>
      </c>
      <c r="Q170" s="142">
        <v>0</v>
      </c>
      <c r="R170" s="142">
        <v>0</v>
      </c>
      <c r="S170" s="142">
        <v>0</v>
      </c>
      <c r="T170" s="142">
        <v>0</v>
      </c>
      <c r="U170" s="142">
        <v>0</v>
      </c>
      <c r="V170" s="142">
        <v>0</v>
      </c>
      <c r="W170" s="142">
        <v>0</v>
      </c>
      <c r="X170" s="142">
        <v>0</v>
      </c>
      <c r="Y170" s="142">
        <v>0</v>
      </c>
      <c r="Z170" s="142">
        <v>0</v>
      </c>
      <c r="AA170" s="142">
        <v>0</v>
      </c>
      <c r="AB170" s="142">
        <v>0</v>
      </c>
      <c r="AC170" s="142">
        <v>0</v>
      </c>
      <c r="AD170" s="142">
        <v>0</v>
      </c>
      <c r="AE170" s="142">
        <v>0</v>
      </c>
      <c r="AF170" s="142">
        <v>0</v>
      </c>
      <c r="AG170" s="142">
        <v>0</v>
      </c>
      <c r="AH170" s="142">
        <v>0</v>
      </c>
      <c r="AI170" s="142">
        <v>0</v>
      </c>
      <c r="AJ170" s="142">
        <v>0</v>
      </c>
      <c r="AK170" s="142">
        <v>0</v>
      </c>
      <c r="AL170" s="142">
        <v>0</v>
      </c>
      <c r="AM170" s="142">
        <v>0</v>
      </c>
      <c r="AN170" s="142">
        <v>0</v>
      </c>
      <c r="AO170" s="142">
        <v>0</v>
      </c>
      <c r="AP170" s="142">
        <v>0</v>
      </c>
      <c r="AQ170" s="142">
        <v>0</v>
      </c>
      <c r="AR170" s="142">
        <v>0</v>
      </c>
      <c r="AS170" s="142">
        <v>0</v>
      </c>
      <c r="AT170" s="142">
        <v>0</v>
      </c>
      <c r="AU170" s="142">
        <v>0</v>
      </c>
      <c r="AV170" s="142">
        <v>0</v>
      </c>
      <c r="AW170" s="142">
        <v>0</v>
      </c>
      <c r="AX170" s="142">
        <v>0</v>
      </c>
      <c r="AY170" s="142">
        <v>0</v>
      </c>
      <c r="AZ170" s="125">
        <f>SUM($D170:$AY170)</f>
        <v>0</v>
      </c>
    </row>
    <row r="172" spans="1:52" x14ac:dyDescent="0.2">
      <c r="A172" s="1" t="s">
        <v>124</v>
      </c>
      <c r="B172" s="150" t="s">
        <v>297</v>
      </c>
      <c r="C172" s="151">
        <v>0.45857219391613702</v>
      </c>
      <c r="D172" s="151">
        <v>0.4328398234016182</v>
      </c>
      <c r="E172" s="151">
        <v>0.4328398234016182</v>
      </c>
      <c r="F172" s="151">
        <v>0.4328398234016182</v>
      </c>
      <c r="G172" s="151">
        <v>0.4328398234016182</v>
      </c>
      <c r="H172" s="151">
        <v>0.4328398234016182</v>
      </c>
      <c r="I172" s="151">
        <v>0.4328398234016182</v>
      </c>
      <c r="J172" s="151">
        <v>0.4328398234016182</v>
      </c>
      <c r="K172" s="151">
        <v>0.4328398234016182</v>
      </c>
      <c r="L172" s="151">
        <v>0.4328398234016182</v>
      </c>
      <c r="M172" s="151">
        <v>0.4328398234016182</v>
      </c>
      <c r="N172" s="151">
        <v>0.4328398234016182</v>
      </c>
      <c r="O172" s="151">
        <v>0.4328398234016182</v>
      </c>
      <c r="P172" s="151">
        <v>0.4328398234016182</v>
      </c>
      <c r="Q172" s="151">
        <v>0.4328398234016182</v>
      </c>
      <c r="R172" s="151">
        <v>0.4328398234016182</v>
      </c>
      <c r="S172" s="151">
        <v>0.4328398234016182</v>
      </c>
      <c r="T172" s="151">
        <v>0.4328398234016182</v>
      </c>
      <c r="U172" s="151">
        <v>0.4328398234016182</v>
      </c>
      <c r="V172" s="151">
        <v>0.4328398234016182</v>
      </c>
      <c r="W172" s="151">
        <v>0.4328398234016182</v>
      </c>
      <c r="X172" s="151">
        <v>0.4328398234016182</v>
      </c>
      <c r="Y172" s="151">
        <v>0.4328398234016182</v>
      </c>
      <c r="Z172" s="151">
        <v>0.4328398234016182</v>
      </c>
      <c r="AA172" s="151">
        <v>0.4328398234016182</v>
      </c>
      <c r="AB172" s="151">
        <v>0.4328398234016182</v>
      </c>
      <c r="AC172" s="151">
        <v>0.4328398234016182</v>
      </c>
      <c r="AD172" s="151">
        <v>0.4328398234016182</v>
      </c>
      <c r="AE172" s="151">
        <v>0.4328398234016182</v>
      </c>
      <c r="AF172" s="151">
        <v>0.4328398234016182</v>
      </c>
      <c r="AG172" s="151">
        <v>0.4328398234016182</v>
      </c>
      <c r="AH172" s="151">
        <v>0.4328398234016182</v>
      </c>
      <c r="AI172" s="151">
        <v>0.4328398234016182</v>
      </c>
      <c r="AJ172" s="151">
        <v>0.4328398234016182</v>
      </c>
      <c r="AK172" s="151">
        <v>0.4328398234016182</v>
      </c>
      <c r="AL172" s="151">
        <v>0.4328398234016182</v>
      </c>
      <c r="AM172" s="151">
        <v>0.4328398234016182</v>
      </c>
      <c r="AN172" s="151">
        <v>0.4328398234016182</v>
      </c>
      <c r="AO172" s="151">
        <v>0.4328398234016182</v>
      </c>
      <c r="AP172" s="151">
        <v>0.4328398234016182</v>
      </c>
      <c r="AQ172" s="151">
        <v>0.4328398234016182</v>
      </c>
      <c r="AR172" s="151">
        <v>0.4328398234016182</v>
      </c>
      <c r="AS172" s="151">
        <v>0.4328398234016182</v>
      </c>
      <c r="AT172" s="151">
        <v>0.4328398234016182</v>
      </c>
      <c r="AU172" s="151">
        <v>0.4328398234016182</v>
      </c>
      <c r="AV172" s="151">
        <v>0.4328398234016182</v>
      </c>
      <c r="AW172" s="151">
        <v>0.4328398234016182</v>
      </c>
      <c r="AX172" s="151">
        <v>0.4328398234016182</v>
      </c>
      <c r="AY172" s="151">
        <v>0.4328398234016182</v>
      </c>
    </row>
    <row r="174" spans="1:52" x14ac:dyDescent="0.2">
      <c r="A174" s="1" t="s">
        <v>272</v>
      </c>
    </row>
    <row r="175" spans="1:52" x14ac:dyDescent="0.2">
      <c r="A175" s="152" t="s">
        <v>125</v>
      </c>
      <c r="B175" s="152" t="s">
        <v>298</v>
      </c>
      <c r="C175" s="141" t="s">
        <v>293</v>
      </c>
      <c r="D175" s="141">
        <f t="shared" ref="D175:AY175" si="1">SUM(D95:D98)</f>
        <v>2019.1941127089067</v>
      </c>
      <c r="E175" s="141">
        <f t="shared" si="1"/>
        <v>1704.5230114286173</v>
      </c>
      <c r="F175" s="141">
        <f t="shared" si="1"/>
        <v>2335.8113758459922</v>
      </c>
      <c r="G175" s="141">
        <f t="shared" si="1"/>
        <v>1808.0767133701165</v>
      </c>
      <c r="H175" s="141">
        <f t="shared" si="1"/>
        <v>290.50132481315154</v>
      </c>
      <c r="I175" s="141">
        <f t="shared" si="1"/>
        <v>0</v>
      </c>
      <c r="J175" s="141">
        <f t="shared" si="1"/>
        <v>0</v>
      </c>
      <c r="K175" s="141">
        <f t="shared" si="1"/>
        <v>0</v>
      </c>
      <c r="L175" s="141">
        <f t="shared" si="1"/>
        <v>0</v>
      </c>
      <c r="M175" s="141">
        <f t="shared" si="1"/>
        <v>0</v>
      </c>
      <c r="N175" s="141">
        <f t="shared" si="1"/>
        <v>0</v>
      </c>
      <c r="O175" s="141">
        <f t="shared" si="1"/>
        <v>0</v>
      </c>
      <c r="P175" s="141">
        <f t="shared" si="1"/>
        <v>0</v>
      </c>
      <c r="Q175" s="141">
        <f t="shared" si="1"/>
        <v>0</v>
      </c>
      <c r="R175" s="141">
        <f t="shared" si="1"/>
        <v>0</v>
      </c>
      <c r="S175" s="141">
        <f t="shared" si="1"/>
        <v>0</v>
      </c>
      <c r="T175" s="141">
        <f t="shared" si="1"/>
        <v>0</v>
      </c>
      <c r="U175" s="141">
        <f t="shared" si="1"/>
        <v>0</v>
      </c>
      <c r="V175" s="141">
        <f t="shared" si="1"/>
        <v>0</v>
      </c>
      <c r="W175" s="141">
        <f t="shared" si="1"/>
        <v>0</v>
      </c>
      <c r="X175" s="141">
        <f t="shared" si="1"/>
        <v>0</v>
      </c>
      <c r="Y175" s="141">
        <f t="shared" si="1"/>
        <v>0</v>
      </c>
      <c r="Z175" s="141">
        <f t="shared" si="1"/>
        <v>0</v>
      </c>
      <c r="AA175" s="141">
        <f t="shared" si="1"/>
        <v>0</v>
      </c>
      <c r="AB175" s="141">
        <f t="shared" si="1"/>
        <v>0</v>
      </c>
      <c r="AC175" s="141">
        <f t="shared" si="1"/>
        <v>0</v>
      </c>
      <c r="AD175" s="141">
        <f t="shared" si="1"/>
        <v>0</v>
      </c>
      <c r="AE175" s="141">
        <f t="shared" si="1"/>
        <v>0</v>
      </c>
      <c r="AF175" s="141">
        <f t="shared" si="1"/>
        <v>0</v>
      </c>
      <c r="AG175" s="141">
        <f t="shared" si="1"/>
        <v>0</v>
      </c>
      <c r="AH175" s="141">
        <f t="shared" si="1"/>
        <v>0</v>
      </c>
      <c r="AI175" s="141">
        <f t="shared" si="1"/>
        <v>0</v>
      </c>
      <c r="AJ175" s="141">
        <f t="shared" si="1"/>
        <v>0</v>
      </c>
      <c r="AK175" s="141">
        <f t="shared" si="1"/>
        <v>0</v>
      </c>
      <c r="AL175" s="141">
        <f t="shared" si="1"/>
        <v>0</v>
      </c>
      <c r="AM175" s="141">
        <f t="shared" si="1"/>
        <v>0</v>
      </c>
      <c r="AN175" s="141">
        <f t="shared" si="1"/>
        <v>0</v>
      </c>
      <c r="AO175" s="141">
        <f t="shared" si="1"/>
        <v>0</v>
      </c>
      <c r="AP175" s="141">
        <f t="shared" si="1"/>
        <v>0</v>
      </c>
      <c r="AQ175" s="141">
        <f t="shared" si="1"/>
        <v>0</v>
      </c>
      <c r="AR175" s="141">
        <f t="shared" si="1"/>
        <v>0</v>
      </c>
      <c r="AS175" s="141">
        <f t="shared" si="1"/>
        <v>0</v>
      </c>
      <c r="AT175" s="141">
        <f t="shared" si="1"/>
        <v>0</v>
      </c>
      <c r="AU175" s="141">
        <f t="shared" si="1"/>
        <v>0</v>
      </c>
      <c r="AV175" s="141">
        <f t="shared" si="1"/>
        <v>0</v>
      </c>
      <c r="AW175" s="141">
        <f t="shared" si="1"/>
        <v>0</v>
      </c>
      <c r="AX175" s="141">
        <f t="shared" si="1"/>
        <v>0</v>
      </c>
      <c r="AY175" s="141">
        <f t="shared" si="1"/>
        <v>0</v>
      </c>
    </row>
    <row r="176" spans="1:52" x14ac:dyDescent="0.2">
      <c r="A176" s="142"/>
      <c r="B176" s="153" t="s">
        <v>299</v>
      </c>
      <c r="C176" s="142" t="s">
        <v>293</v>
      </c>
      <c r="D176" s="142">
        <v>973</v>
      </c>
      <c r="E176" s="142">
        <v>1007</v>
      </c>
      <c r="F176" s="142">
        <v>976</v>
      </c>
      <c r="G176" s="142">
        <v>881</v>
      </c>
      <c r="H176" s="142">
        <v>290.50132481315154</v>
      </c>
      <c r="I176" s="142">
        <v>0</v>
      </c>
      <c r="J176" s="142">
        <v>0</v>
      </c>
      <c r="K176" s="142">
        <v>0</v>
      </c>
      <c r="L176" s="142">
        <v>0</v>
      </c>
      <c r="M176" s="142">
        <v>0</v>
      </c>
      <c r="N176" s="142">
        <v>0</v>
      </c>
      <c r="O176" s="142">
        <v>0</v>
      </c>
      <c r="P176" s="142">
        <v>0</v>
      </c>
      <c r="Q176" s="142">
        <v>0</v>
      </c>
      <c r="R176" s="142">
        <v>0</v>
      </c>
      <c r="S176" s="142">
        <v>0</v>
      </c>
      <c r="T176" s="142">
        <v>0</v>
      </c>
      <c r="U176" s="142">
        <v>0</v>
      </c>
      <c r="V176" s="142">
        <v>0</v>
      </c>
      <c r="W176" s="142">
        <v>0</v>
      </c>
      <c r="X176" s="142">
        <v>0</v>
      </c>
      <c r="Y176" s="142">
        <v>0</v>
      </c>
      <c r="Z176" s="142">
        <v>0</v>
      </c>
      <c r="AA176" s="142">
        <v>0</v>
      </c>
      <c r="AB176" s="142">
        <v>0</v>
      </c>
      <c r="AC176" s="142">
        <v>0</v>
      </c>
      <c r="AD176" s="142">
        <v>0</v>
      </c>
      <c r="AE176" s="142">
        <v>0</v>
      </c>
      <c r="AF176" s="142">
        <v>0</v>
      </c>
      <c r="AG176" s="142">
        <v>0</v>
      </c>
      <c r="AH176" s="142">
        <v>0</v>
      </c>
      <c r="AI176" s="142">
        <v>0</v>
      </c>
      <c r="AJ176" s="142">
        <v>0</v>
      </c>
      <c r="AK176" s="142">
        <v>0</v>
      </c>
      <c r="AL176" s="142">
        <v>0</v>
      </c>
      <c r="AM176" s="142">
        <v>0</v>
      </c>
      <c r="AN176" s="142">
        <v>0</v>
      </c>
      <c r="AO176" s="142">
        <v>0</v>
      </c>
      <c r="AP176" s="142">
        <v>0</v>
      </c>
      <c r="AQ176" s="142">
        <v>0</v>
      </c>
      <c r="AR176" s="142">
        <v>0</v>
      </c>
      <c r="AS176" s="142">
        <v>0</v>
      </c>
      <c r="AT176" s="142">
        <v>0</v>
      </c>
      <c r="AU176" s="142">
        <v>0</v>
      </c>
      <c r="AV176" s="142">
        <v>0</v>
      </c>
      <c r="AW176" s="142">
        <v>0</v>
      </c>
      <c r="AX176" s="142">
        <v>0</v>
      </c>
      <c r="AY176" s="142">
        <v>0</v>
      </c>
    </row>
    <row r="177" spans="1:51" x14ac:dyDescent="0.2">
      <c r="A177" s="152" t="s">
        <v>133</v>
      </c>
      <c r="B177" s="152" t="s">
        <v>298</v>
      </c>
      <c r="C177" s="141" t="s">
        <v>293</v>
      </c>
      <c r="D177" s="141">
        <f t="shared" ref="D177:AY177" si="2">SUM(D100:D107)</f>
        <v>609.17807282692706</v>
      </c>
      <c r="E177" s="141">
        <f t="shared" si="2"/>
        <v>1604.2885711154283</v>
      </c>
      <c r="F177" s="141">
        <f t="shared" si="2"/>
        <v>453.28857111542834</v>
      </c>
      <c r="G177" s="141">
        <f t="shared" si="2"/>
        <v>693.65582319781015</v>
      </c>
      <c r="H177" s="141">
        <f t="shared" si="2"/>
        <v>1522.203499817015</v>
      </c>
      <c r="I177" s="141">
        <f t="shared" si="2"/>
        <v>1556.7407710956832</v>
      </c>
      <c r="J177" s="141">
        <f t="shared" si="2"/>
        <v>1216.0818745880242</v>
      </c>
      <c r="K177" s="141">
        <f t="shared" si="2"/>
        <v>847.21914586669232</v>
      </c>
      <c r="L177" s="141">
        <f t="shared" si="2"/>
        <v>1134.5372712786682</v>
      </c>
      <c r="M177" s="141">
        <f t="shared" si="2"/>
        <v>827.67454255733628</v>
      </c>
      <c r="N177" s="141">
        <f t="shared" si="2"/>
        <v>1134.5372712786682</v>
      </c>
      <c r="O177" s="141">
        <f t="shared" si="2"/>
        <v>1197.3745425573363</v>
      </c>
      <c r="P177" s="141">
        <f t="shared" si="2"/>
        <v>1226.2118138360045</v>
      </c>
      <c r="Q177" s="141">
        <f t="shared" si="2"/>
        <v>1038.0490851146726</v>
      </c>
      <c r="R177" s="141">
        <f t="shared" si="2"/>
        <v>810.1863563933407</v>
      </c>
      <c r="S177" s="141">
        <f t="shared" si="2"/>
        <v>852.83727127866814</v>
      </c>
      <c r="T177" s="141">
        <f t="shared" si="2"/>
        <v>1134.5372712786682</v>
      </c>
      <c r="U177" s="141">
        <f t="shared" si="2"/>
        <v>766.6914282881628</v>
      </c>
      <c r="V177" s="141">
        <f t="shared" si="2"/>
        <v>1187.5203855478417</v>
      </c>
      <c r="W177" s="141">
        <f t="shared" si="2"/>
        <v>1142.3576568265098</v>
      </c>
      <c r="X177" s="141">
        <f t="shared" si="2"/>
        <v>1129.194928105178</v>
      </c>
      <c r="Y177" s="141">
        <f t="shared" si="2"/>
        <v>697.13727127866809</v>
      </c>
      <c r="Z177" s="141">
        <f t="shared" si="2"/>
        <v>1134.5372712786682</v>
      </c>
      <c r="AA177" s="141">
        <f t="shared" si="2"/>
        <v>1100.3745425573363</v>
      </c>
      <c r="AB177" s="141">
        <f t="shared" si="2"/>
        <v>644.15415700949461</v>
      </c>
      <c r="AC177" s="141">
        <f t="shared" si="2"/>
        <v>1187.5203855478417</v>
      </c>
      <c r="AD177" s="141">
        <f t="shared" si="2"/>
        <v>1029.6576568265098</v>
      </c>
      <c r="AE177" s="141">
        <f t="shared" si="2"/>
        <v>966.49492810517791</v>
      </c>
      <c r="AF177" s="141">
        <f t="shared" si="2"/>
        <v>793.29463566034201</v>
      </c>
      <c r="AG177" s="141">
        <f t="shared" si="2"/>
        <v>915.83727127866814</v>
      </c>
      <c r="AH177" s="141">
        <f t="shared" si="2"/>
        <v>915.83727127866814</v>
      </c>
      <c r="AI177" s="141">
        <f t="shared" si="2"/>
        <v>546.22038554784172</v>
      </c>
      <c r="AJ177" s="141">
        <f t="shared" si="2"/>
        <v>983.68311426917353</v>
      </c>
      <c r="AK177" s="141">
        <f t="shared" si="2"/>
        <v>693.0662285383471</v>
      </c>
      <c r="AL177" s="141">
        <f t="shared" si="2"/>
        <v>781.39764083674709</v>
      </c>
      <c r="AM177" s="141">
        <f t="shared" si="2"/>
        <v>701.43241190232231</v>
      </c>
      <c r="AN177" s="141">
        <f t="shared" si="2"/>
        <v>915.83727127866814</v>
      </c>
      <c r="AO177" s="141">
        <f t="shared" si="2"/>
        <v>915.83727127866814</v>
      </c>
      <c r="AP177" s="141">
        <f t="shared" si="2"/>
        <v>1017.5372712786682</v>
      </c>
      <c r="AQ177" s="141">
        <f t="shared" si="2"/>
        <v>915.83727127866814</v>
      </c>
      <c r="AR177" s="141">
        <f t="shared" si="2"/>
        <v>915.83727127866814</v>
      </c>
      <c r="AS177" s="141">
        <f t="shared" si="2"/>
        <v>915.83727127866814</v>
      </c>
      <c r="AT177" s="141">
        <f t="shared" si="2"/>
        <v>271.68311426917353</v>
      </c>
      <c r="AU177" s="141">
        <f t="shared" si="2"/>
        <v>1450.631028044508</v>
      </c>
      <c r="AV177" s="141">
        <f t="shared" si="2"/>
        <v>557.06962295155654</v>
      </c>
      <c r="AW177" s="141">
        <f t="shared" si="2"/>
        <v>695.23925858073164</v>
      </c>
      <c r="AX177" s="141">
        <f t="shared" si="2"/>
        <v>1058.1002866932763</v>
      </c>
      <c r="AY177" s="141">
        <f t="shared" si="2"/>
        <v>724.38311426917357</v>
      </c>
    </row>
    <row r="178" spans="1:51" x14ac:dyDescent="0.2">
      <c r="A178" s="142"/>
      <c r="B178" s="153" t="s">
        <v>299</v>
      </c>
      <c r="C178" s="142" t="s">
        <v>293</v>
      </c>
      <c r="D178" s="142">
        <v>609.17807282692706</v>
      </c>
      <c r="E178" s="142">
        <v>1341</v>
      </c>
      <c r="F178" s="142">
        <v>453.28857111542834</v>
      </c>
      <c r="G178" s="142">
        <v>693.65582319781015</v>
      </c>
      <c r="H178" s="142">
        <v>1037</v>
      </c>
      <c r="I178" s="142">
        <v>946</v>
      </c>
      <c r="J178" s="142">
        <v>1066</v>
      </c>
      <c r="K178" s="142">
        <v>847.21914586669232</v>
      </c>
      <c r="L178" s="142">
        <v>1004</v>
      </c>
      <c r="M178" s="142">
        <v>827.67454255733628</v>
      </c>
      <c r="N178" s="142">
        <v>853</v>
      </c>
      <c r="O178" s="142">
        <v>887</v>
      </c>
      <c r="P178" s="142">
        <v>1104</v>
      </c>
      <c r="Q178" s="142">
        <v>988</v>
      </c>
      <c r="R178" s="142">
        <v>810.1863563933407</v>
      </c>
      <c r="S178" s="142">
        <v>852.83727127866814</v>
      </c>
      <c r="T178" s="142">
        <v>1012</v>
      </c>
      <c r="U178" s="142">
        <v>766.6914282881628</v>
      </c>
      <c r="V178" s="142">
        <v>961</v>
      </c>
      <c r="W178" s="142">
        <v>929</v>
      </c>
      <c r="X178" s="142">
        <v>1129.194928105178</v>
      </c>
      <c r="Y178" s="142">
        <v>697.13727127866809</v>
      </c>
      <c r="Z178" s="142">
        <v>950</v>
      </c>
      <c r="AA178" s="142">
        <v>1100.3745425573363</v>
      </c>
      <c r="AB178" s="142">
        <v>644.15415700949461</v>
      </c>
      <c r="AC178" s="142">
        <v>918</v>
      </c>
      <c r="AD178" s="142">
        <v>979</v>
      </c>
      <c r="AE178" s="142">
        <v>940</v>
      </c>
      <c r="AF178" s="142">
        <v>793.29463566034201</v>
      </c>
      <c r="AG178" s="142">
        <v>915.83727127866814</v>
      </c>
      <c r="AH178" s="142">
        <v>914</v>
      </c>
      <c r="AI178" s="142">
        <v>546.22038554784172</v>
      </c>
      <c r="AJ178" s="142">
        <v>955</v>
      </c>
      <c r="AK178" s="142">
        <v>693.0662285383471</v>
      </c>
      <c r="AL178" s="142">
        <v>781.39764083674709</v>
      </c>
      <c r="AM178" s="142">
        <v>701.43241190232231</v>
      </c>
      <c r="AN178" s="142">
        <v>915.83727127866814</v>
      </c>
      <c r="AO178" s="142">
        <v>915.83727127866814</v>
      </c>
      <c r="AP178" s="142">
        <v>1017.5372712786682</v>
      </c>
      <c r="AQ178" s="142">
        <v>915.83727127866814</v>
      </c>
      <c r="AR178" s="142">
        <v>915.83727127866814</v>
      </c>
      <c r="AS178" s="142">
        <v>915.83727127866814</v>
      </c>
      <c r="AT178" s="142">
        <v>271.68311426917353</v>
      </c>
      <c r="AU178" s="142">
        <v>1231</v>
      </c>
      <c r="AV178" s="142">
        <v>557.06962295155654</v>
      </c>
      <c r="AW178" s="142">
        <v>695.23925858073164</v>
      </c>
      <c r="AX178" s="142">
        <v>1058.1002866932763</v>
      </c>
      <c r="AY178" s="142">
        <v>724.38311426917357</v>
      </c>
    </row>
    <row r="179" spans="1:51" x14ac:dyDescent="0.2">
      <c r="A179" s="152" t="s">
        <v>134</v>
      </c>
      <c r="B179" s="152" t="s">
        <v>298</v>
      </c>
      <c r="C179" s="141" t="s">
        <v>293</v>
      </c>
      <c r="D179" s="141">
        <f t="shared" ref="D179:AY179" si="3">SUM(D109:D120)</f>
        <v>32342.711181099145</v>
      </c>
      <c r="E179" s="141">
        <f t="shared" si="3"/>
        <v>30907.415594912261</v>
      </c>
      <c r="F179" s="141">
        <f t="shared" si="3"/>
        <v>30791.457681951142</v>
      </c>
      <c r="G179" s="141">
        <f t="shared" si="3"/>
        <v>30729.196553994119</v>
      </c>
      <c r="H179" s="141">
        <f t="shared" si="3"/>
        <v>30478.707217665113</v>
      </c>
      <c r="I179" s="141">
        <f t="shared" si="3"/>
        <v>30163.019254899325</v>
      </c>
      <c r="J179" s="141">
        <f t="shared" si="3"/>
        <v>30705.759892889298</v>
      </c>
      <c r="K179" s="141">
        <f t="shared" si="3"/>
        <v>31612.535337797057</v>
      </c>
      <c r="L179" s="141">
        <f t="shared" si="3"/>
        <v>30531.699883491885</v>
      </c>
      <c r="M179" s="141">
        <f t="shared" si="3"/>
        <v>31477.111183824269</v>
      </c>
      <c r="N179" s="141">
        <f t="shared" si="3"/>
        <v>30686.807775744517</v>
      </c>
      <c r="O179" s="141">
        <f t="shared" si="3"/>
        <v>30783.082203386075</v>
      </c>
      <c r="P179" s="141">
        <f t="shared" si="3"/>
        <v>30819.486751365876</v>
      </c>
      <c r="Q179" s="141">
        <f t="shared" si="3"/>
        <v>31033.652041819434</v>
      </c>
      <c r="R179" s="141">
        <f t="shared" si="3"/>
        <v>31563.56238804484</v>
      </c>
      <c r="S179" s="141">
        <f t="shared" si="3"/>
        <v>31641.920853244239</v>
      </c>
      <c r="T179" s="141">
        <f t="shared" si="3"/>
        <v>30682.55255462314</v>
      </c>
      <c r="U179" s="141">
        <f t="shared" si="3"/>
        <v>31161.871036632994</v>
      </c>
      <c r="V179" s="141">
        <f t="shared" si="3"/>
        <v>30830.226699124618</v>
      </c>
      <c r="W179" s="141">
        <f t="shared" si="3"/>
        <v>30939.49050347435</v>
      </c>
      <c r="X179" s="141">
        <f t="shared" si="3"/>
        <v>31020.008809569234</v>
      </c>
      <c r="Y179" s="141">
        <f t="shared" si="3"/>
        <v>31874.567867553811</v>
      </c>
      <c r="Z179" s="141">
        <f t="shared" si="3"/>
        <v>30797.19383684768</v>
      </c>
      <c r="AA179" s="141">
        <f t="shared" si="3"/>
        <v>31076.688781295346</v>
      </c>
      <c r="AB179" s="141">
        <f t="shared" si="3"/>
        <v>31574.570940580208</v>
      </c>
      <c r="AC179" s="141">
        <f t="shared" si="3"/>
        <v>30864.795389111161</v>
      </c>
      <c r="AD179" s="141">
        <f t="shared" si="3"/>
        <v>31350.096487791896</v>
      </c>
      <c r="AE179" s="141">
        <f t="shared" si="3"/>
        <v>31482.669220244486</v>
      </c>
      <c r="AF179" s="141">
        <f t="shared" si="3"/>
        <v>31629.236102663228</v>
      </c>
      <c r="AG179" s="141">
        <f t="shared" si="3"/>
        <v>31456.5880575111</v>
      </c>
      <c r="AH179" s="141">
        <f t="shared" si="3"/>
        <v>31572.170264591368</v>
      </c>
      <c r="AI179" s="141">
        <f t="shared" si="3"/>
        <v>31895.340775301476</v>
      </c>
      <c r="AJ179" s="141">
        <f t="shared" si="3"/>
        <v>32154.835512321035</v>
      </c>
      <c r="AK179" s="141">
        <f t="shared" si="3"/>
        <v>31848.438917403018</v>
      </c>
      <c r="AL179" s="141">
        <f t="shared" si="3"/>
        <v>32203.805233988216</v>
      </c>
      <c r="AM179" s="141">
        <f t="shared" si="3"/>
        <v>32143.418145192561</v>
      </c>
      <c r="AN179" s="141">
        <f t="shared" si="3"/>
        <v>31664.111040506421</v>
      </c>
      <c r="AO179" s="141">
        <f t="shared" si="3"/>
        <v>31575.86903627522</v>
      </c>
      <c r="AP179" s="141">
        <f t="shared" si="3"/>
        <v>31163.821685572057</v>
      </c>
      <c r="AQ179" s="141">
        <f t="shared" si="3"/>
        <v>31121.805027340404</v>
      </c>
      <c r="AR179" s="141">
        <f t="shared" si="3"/>
        <v>31227.294662077627</v>
      </c>
      <c r="AS179" s="141">
        <f t="shared" si="3"/>
        <v>31185.124181944477</v>
      </c>
      <c r="AT179" s="141">
        <f t="shared" si="3"/>
        <v>32566.660921994418</v>
      </c>
      <c r="AU179" s="141">
        <f t="shared" si="3"/>
        <v>30608.32704423687</v>
      </c>
      <c r="AV179" s="141">
        <f t="shared" si="3"/>
        <v>32320.451768359377</v>
      </c>
      <c r="AW179" s="141">
        <f t="shared" si="3"/>
        <v>31234.240979247654</v>
      </c>
      <c r="AX179" s="141">
        <f t="shared" si="3"/>
        <v>31095.591943612744</v>
      </c>
      <c r="AY179" s="141">
        <f t="shared" si="3"/>
        <v>31659.567718836912</v>
      </c>
    </row>
    <row r="180" spans="1:51" x14ac:dyDescent="0.2">
      <c r="A180" s="142"/>
      <c r="B180" s="153" t="s">
        <v>299</v>
      </c>
      <c r="C180" s="142" t="s">
        <v>293</v>
      </c>
      <c r="D180" s="142">
        <v>1698.6170171860813</v>
      </c>
      <c r="E180" s="142">
        <v>1540</v>
      </c>
      <c r="F180" s="142">
        <v>1659.1979150597576</v>
      </c>
      <c r="G180" s="142">
        <v>1588.533583168894</v>
      </c>
      <c r="H180" s="142">
        <v>1148</v>
      </c>
      <c r="I180" s="142">
        <v>1620</v>
      </c>
      <c r="J180" s="142">
        <v>1624</v>
      </c>
      <c r="K180" s="142">
        <v>1444</v>
      </c>
      <c r="L180" s="142">
        <v>1679</v>
      </c>
      <c r="M180" s="142">
        <v>1459</v>
      </c>
      <c r="N180" s="142">
        <v>1394</v>
      </c>
      <c r="O180" s="142">
        <v>1643</v>
      </c>
      <c r="P180" s="142">
        <v>1741</v>
      </c>
      <c r="Q180" s="142">
        <v>1385</v>
      </c>
      <c r="R180" s="142">
        <v>1363</v>
      </c>
      <c r="S180" s="142">
        <v>1298</v>
      </c>
      <c r="T180" s="142">
        <v>1700</v>
      </c>
      <c r="U180" s="142">
        <v>1410</v>
      </c>
      <c r="V180" s="142">
        <v>1325</v>
      </c>
      <c r="W180" s="142">
        <v>1721</v>
      </c>
      <c r="X180" s="142">
        <v>1835</v>
      </c>
      <c r="Y180" s="142">
        <v>1477</v>
      </c>
      <c r="Z180" s="142">
        <v>1464</v>
      </c>
      <c r="AA180" s="142">
        <v>1535</v>
      </c>
      <c r="AB180" s="142">
        <v>1421</v>
      </c>
      <c r="AC180" s="142">
        <v>1466</v>
      </c>
      <c r="AD180" s="142">
        <v>1829</v>
      </c>
      <c r="AE180" s="142">
        <v>1681</v>
      </c>
      <c r="AF180" s="142">
        <v>1339</v>
      </c>
      <c r="AG180" s="142">
        <v>1926</v>
      </c>
      <c r="AH180" s="142">
        <v>1891</v>
      </c>
      <c r="AI180" s="142">
        <v>1587</v>
      </c>
      <c r="AJ180" s="142">
        <v>1903</v>
      </c>
      <c r="AK180" s="142">
        <v>1472</v>
      </c>
      <c r="AL180" s="142">
        <v>1797</v>
      </c>
      <c r="AM180" s="142">
        <v>1613</v>
      </c>
      <c r="AN180" s="142">
        <v>1421</v>
      </c>
      <c r="AO180" s="142">
        <v>1591</v>
      </c>
      <c r="AP180" s="142">
        <v>1456</v>
      </c>
      <c r="AQ180" s="142">
        <v>1826</v>
      </c>
      <c r="AR180" s="142">
        <v>1488</v>
      </c>
      <c r="AS180" s="142">
        <v>1686</v>
      </c>
      <c r="AT180" s="142">
        <v>1570</v>
      </c>
      <c r="AU180" s="142">
        <v>1531</v>
      </c>
      <c r="AV180" s="142">
        <v>1742</v>
      </c>
      <c r="AW180" s="142">
        <v>1606</v>
      </c>
      <c r="AX180" s="142">
        <v>1320</v>
      </c>
      <c r="AY180" s="142">
        <v>1488</v>
      </c>
    </row>
    <row r="181" spans="1:51" x14ac:dyDescent="0.2">
      <c r="A181" s="152" t="s">
        <v>123</v>
      </c>
      <c r="B181" s="152" t="s">
        <v>298</v>
      </c>
      <c r="C181" s="141" t="s">
        <v>293</v>
      </c>
      <c r="D181" s="141">
        <f t="shared" ref="D181:AY181" si="4">(1-D172)*SUM(D122:D169)</f>
        <v>4553.6817756729915</v>
      </c>
      <c r="E181" s="141">
        <f t="shared" si="4"/>
        <v>4981.806145233948</v>
      </c>
      <c r="F181" s="141">
        <f t="shared" si="4"/>
        <v>5342.3325986442278</v>
      </c>
      <c r="G181" s="141">
        <f t="shared" si="4"/>
        <v>5540.6279821989438</v>
      </c>
      <c r="H181" s="141">
        <f t="shared" si="4"/>
        <v>6073.4846372111115</v>
      </c>
      <c r="I181" s="141">
        <f t="shared" si="4"/>
        <v>6397.7028957287966</v>
      </c>
      <c r="J181" s="141">
        <f t="shared" si="4"/>
        <v>6283.090179542377</v>
      </c>
      <c r="K181" s="141">
        <f t="shared" si="4"/>
        <v>5978.0075084355713</v>
      </c>
      <c r="L181" s="141">
        <f t="shared" si="4"/>
        <v>6428.0589368245128</v>
      </c>
      <c r="M181" s="141">
        <f t="shared" si="4"/>
        <v>6065.89961618294</v>
      </c>
      <c r="N181" s="141">
        <f t="shared" si="4"/>
        <v>6340.0879172627083</v>
      </c>
      <c r="O181" s="141">
        <f t="shared" si="4"/>
        <v>6249.84609800424</v>
      </c>
      <c r="P181" s="141">
        <f t="shared" si="4"/>
        <v>6212.8435362720084</v>
      </c>
      <c r="Q181" s="141">
        <f t="shared" si="4"/>
        <v>6198.0959187679446</v>
      </c>
      <c r="R181" s="141">
        <f t="shared" si="4"/>
        <v>6026.7865386832191</v>
      </c>
      <c r="S181" s="141">
        <f t="shared" si="4"/>
        <v>5958.1548373043051</v>
      </c>
      <c r="T181" s="141">
        <f t="shared" si="4"/>
        <v>6342.5013092253675</v>
      </c>
      <c r="U181" s="141">
        <f t="shared" si="4"/>
        <v>6279.2784675932726</v>
      </c>
      <c r="V181" s="141">
        <f t="shared" si="4"/>
        <v>6228.6965029052644</v>
      </c>
      <c r="W181" s="141">
        <f t="shared" si="4"/>
        <v>6192.3409255317119</v>
      </c>
      <c r="X181" s="141">
        <f t="shared" si="4"/>
        <v>6154.1395243736442</v>
      </c>
      <c r="Y181" s="141">
        <f t="shared" si="4"/>
        <v>5914.5135550797686</v>
      </c>
      <c r="Z181" s="141">
        <f t="shared" si="4"/>
        <v>6277.4813393534332</v>
      </c>
      <c r="AA181" s="141">
        <f t="shared" si="4"/>
        <v>6138.3386765568121</v>
      </c>
      <c r="AB181" s="141">
        <f t="shared" si="4"/>
        <v>6114.7097776067239</v>
      </c>
      <c r="AC181" s="141">
        <f t="shared" si="4"/>
        <v>6209.0905185877191</v>
      </c>
      <c r="AD181" s="141">
        <f t="shared" si="4"/>
        <v>6023.3805148564597</v>
      </c>
      <c r="AE181" s="141">
        <f t="shared" si="4"/>
        <v>5984.0139248825426</v>
      </c>
      <c r="AF181" s="141">
        <f t="shared" si="4"/>
        <v>5999.1193344163539</v>
      </c>
      <c r="AG181" s="141">
        <f t="shared" si="4"/>
        <v>6027.5371273360843</v>
      </c>
      <c r="AH181" s="141">
        <f t="shared" si="4"/>
        <v>5961.9835023568085</v>
      </c>
      <c r="AI181" s="141">
        <f t="shared" si="4"/>
        <v>5988.3260366159166</v>
      </c>
      <c r="AJ181" s="141">
        <f t="shared" si="4"/>
        <v>5593.0395172647513</v>
      </c>
      <c r="AK181" s="141">
        <f t="shared" si="4"/>
        <v>5931.6417883811591</v>
      </c>
      <c r="AL181" s="141">
        <f t="shared" si="4"/>
        <v>5679.9941061112404</v>
      </c>
      <c r="AM181" s="141">
        <f t="shared" si="4"/>
        <v>5759.5963514210252</v>
      </c>
      <c r="AN181" s="141">
        <f t="shared" si="4"/>
        <v>5909.8383556522313</v>
      </c>
      <c r="AO181" s="141">
        <f t="shared" si="4"/>
        <v>5959.885706355396</v>
      </c>
      <c r="AP181" s="141">
        <f t="shared" si="4"/>
        <v>6135.9023645870448</v>
      </c>
      <c r="AQ181" s="141">
        <f t="shared" si="4"/>
        <v>6217.4127298498352</v>
      </c>
      <c r="AR181" s="141">
        <f t="shared" si="4"/>
        <v>6157.5832099829795</v>
      </c>
      <c r="AS181" s="141">
        <f t="shared" si="4"/>
        <v>6181.500626942533</v>
      </c>
      <c r="AT181" s="141">
        <f t="shared" si="4"/>
        <v>5763.2865909247421</v>
      </c>
      <c r="AU181" s="141">
        <f t="shared" si="4"/>
        <v>6205.3232718951922</v>
      </c>
      <c r="AV181" s="141">
        <f t="shared" si="4"/>
        <v>5741.0667553174344</v>
      </c>
      <c r="AW181" s="141">
        <f t="shared" si="4"/>
        <v>6278.7579433491283</v>
      </c>
      <c r="AX181" s="141">
        <f t="shared" si="4"/>
        <v>6151.5938301000397</v>
      </c>
      <c r="AY181" s="141">
        <f t="shared" si="4"/>
        <v>6021.0003202726584</v>
      </c>
    </row>
    <row r="182" spans="1:51" x14ac:dyDescent="0.2">
      <c r="A182" s="142"/>
      <c r="B182" s="153" t="s">
        <v>299</v>
      </c>
      <c r="C182" s="142" t="s">
        <v>293</v>
      </c>
      <c r="D182" s="142">
        <v>1143.6170171860813</v>
      </c>
      <c r="E182" s="142">
        <v>996</v>
      </c>
      <c r="F182" s="142">
        <v>1223.1979150597576</v>
      </c>
      <c r="G182" s="142">
        <v>1071.533583168894</v>
      </c>
      <c r="H182" s="142">
        <v>1052</v>
      </c>
      <c r="I182" s="142">
        <v>1215</v>
      </c>
      <c r="J182" s="142">
        <v>1128</v>
      </c>
      <c r="K182" s="142">
        <v>1050</v>
      </c>
      <c r="L182" s="142">
        <v>1118</v>
      </c>
      <c r="M182" s="142">
        <v>1293</v>
      </c>
      <c r="N182" s="142">
        <v>1216</v>
      </c>
      <c r="O182" s="142">
        <v>1191</v>
      </c>
      <c r="P182" s="142">
        <v>1180</v>
      </c>
      <c r="Q182" s="142">
        <v>1104</v>
      </c>
      <c r="R182" s="142">
        <v>1270</v>
      </c>
      <c r="S182" s="142">
        <v>1181</v>
      </c>
      <c r="T182" s="142">
        <v>1068</v>
      </c>
      <c r="U182" s="142">
        <v>1291</v>
      </c>
      <c r="V182" s="142">
        <v>1206</v>
      </c>
      <c r="W182" s="142">
        <v>1237</v>
      </c>
      <c r="X182" s="142">
        <v>1111</v>
      </c>
      <c r="Y182" s="142">
        <v>1252</v>
      </c>
      <c r="Z182" s="142">
        <v>1350</v>
      </c>
      <c r="AA182" s="142">
        <v>1154</v>
      </c>
      <c r="AB182" s="142">
        <v>1161</v>
      </c>
      <c r="AC182" s="142">
        <v>1121</v>
      </c>
      <c r="AD182" s="142">
        <v>1368</v>
      </c>
      <c r="AE182" s="142">
        <v>1029</v>
      </c>
      <c r="AF182" s="142">
        <v>1267</v>
      </c>
      <c r="AG182" s="142">
        <v>1411</v>
      </c>
      <c r="AH182" s="142">
        <v>1299</v>
      </c>
      <c r="AI182" s="142">
        <v>1386</v>
      </c>
      <c r="AJ182" s="142">
        <v>1030</v>
      </c>
      <c r="AK182" s="142">
        <v>1176</v>
      </c>
      <c r="AL182" s="142">
        <v>1183</v>
      </c>
      <c r="AM182" s="142">
        <v>1235</v>
      </c>
      <c r="AN182" s="142">
        <v>1297</v>
      </c>
      <c r="AO182" s="142">
        <v>1274</v>
      </c>
      <c r="AP182" s="142">
        <v>1069</v>
      </c>
      <c r="AQ182" s="142">
        <v>1256</v>
      </c>
      <c r="AR182" s="142">
        <v>1154</v>
      </c>
      <c r="AS182" s="142">
        <v>1279</v>
      </c>
      <c r="AT182" s="142">
        <v>1354</v>
      </c>
      <c r="AU182" s="142">
        <v>1342</v>
      </c>
      <c r="AV182" s="142">
        <v>918</v>
      </c>
      <c r="AW182" s="142">
        <v>1044</v>
      </c>
      <c r="AX182" s="142">
        <v>1431</v>
      </c>
      <c r="AY182" s="142">
        <v>1594</v>
      </c>
    </row>
    <row r="184" spans="1:51" x14ac:dyDescent="0.2">
      <c r="A184" s="1" t="s">
        <v>300</v>
      </c>
    </row>
    <row r="185" spans="1:51" x14ac:dyDescent="0.2">
      <c r="A185" s="143" t="s">
        <v>125</v>
      </c>
      <c r="B185" s="140">
        <v>1</v>
      </c>
      <c r="C185" s="141">
        <v>1013</v>
      </c>
      <c r="D185" s="141">
        <v>973</v>
      </c>
      <c r="E185" s="141">
        <v>1007</v>
      </c>
      <c r="F185" s="141">
        <v>976</v>
      </c>
      <c r="G185" s="141">
        <v>881</v>
      </c>
      <c r="H185" s="141">
        <v>290.50132481315154</v>
      </c>
      <c r="I185" s="141">
        <v>0</v>
      </c>
      <c r="J185" s="141">
        <v>0</v>
      </c>
      <c r="K185" s="141">
        <v>0</v>
      </c>
      <c r="L185" s="141">
        <v>0</v>
      </c>
      <c r="M185" s="141">
        <v>0</v>
      </c>
      <c r="N185" s="141">
        <v>0</v>
      </c>
      <c r="O185" s="141">
        <v>0</v>
      </c>
      <c r="P185" s="141">
        <v>0</v>
      </c>
      <c r="Q185" s="141">
        <v>0</v>
      </c>
      <c r="R185" s="141">
        <v>0</v>
      </c>
      <c r="S185" s="141">
        <v>0</v>
      </c>
      <c r="T185" s="141">
        <v>0</v>
      </c>
      <c r="U185" s="141">
        <v>0</v>
      </c>
      <c r="V185" s="141">
        <v>0</v>
      </c>
      <c r="W185" s="141">
        <v>0</v>
      </c>
      <c r="X185" s="141">
        <v>0</v>
      </c>
      <c r="Y185" s="141">
        <v>0</v>
      </c>
      <c r="Z185" s="141">
        <v>0</v>
      </c>
      <c r="AA185" s="141">
        <v>0</v>
      </c>
      <c r="AB185" s="141">
        <v>0</v>
      </c>
      <c r="AC185" s="141">
        <v>0</v>
      </c>
      <c r="AD185" s="141">
        <v>0</v>
      </c>
      <c r="AE185" s="141">
        <v>0</v>
      </c>
      <c r="AF185" s="141">
        <v>0</v>
      </c>
      <c r="AG185" s="141">
        <v>0</v>
      </c>
      <c r="AH185" s="141">
        <v>0</v>
      </c>
      <c r="AI185" s="141">
        <v>0</v>
      </c>
      <c r="AJ185" s="141">
        <v>0</v>
      </c>
      <c r="AK185" s="141">
        <v>0</v>
      </c>
      <c r="AL185" s="141">
        <v>0</v>
      </c>
      <c r="AM185" s="141">
        <v>0</v>
      </c>
      <c r="AN185" s="141">
        <v>0</v>
      </c>
      <c r="AO185" s="141">
        <v>0</v>
      </c>
      <c r="AP185" s="141">
        <v>0</v>
      </c>
      <c r="AQ185" s="141">
        <v>0</v>
      </c>
      <c r="AR185" s="141">
        <v>0</v>
      </c>
      <c r="AS185" s="141">
        <v>0</v>
      </c>
      <c r="AT185" s="141">
        <v>0</v>
      </c>
      <c r="AU185" s="141">
        <v>0</v>
      </c>
      <c r="AV185" s="141">
        <v>0</v>
      </c>
      <c r="AW185" s="141">
        <v>0</v>
      </c>
      <c r="AX185" s="141">
        <v>0</v>
      </c>
      <c r="AY185" s="141">
        <v>0</v>
      </c>
    </row>
    <row r="186" spans="1:51" x14ac:dyDescent="0.2">
      <c r="A186" s="127"/>
      <c r="B186" s="137">
        <v>2</v>
      </c>
      <c r="C186" s="124">
        <v>0</v>
      </c>
      <c r="D186" s="124">
        <v>0</v>
      </c>
      <c r="E186" s="124">
        <v>0</v>
      </c>
      <c r="F186" s="124">
        <v>0</v>
      </c>
      <c r="G186" s="124">
        <v>0</v>
      </c>
      <c r="H186" s="124">
        <v>0</v>
      </c>
      <c r="I186" s="124">
        <v>0</v>
      </c>
      <c r="J186" s="124">
        <v>0</v>
      </c>
      <c r="K186" s="124">
        <v>0</v>
      </c>
      <c r="L186" s="124">
        <v>0</v>
      </c>
      <c r="M186" s="124">
        <v>0</v>
      </c>
      <c r="N186" s="124">
        <v>0</v>
      </c>
      <c r="O186" s="124">
        <v>0</v>
      </c>
      <c r="P186" s="124">
        <v>0</v>
      </c>
      <c r="Q186" s="124">
        <v>0</v>
      </c>
      <c r="R186" s="124">
        <v>0</v>
      </c>
      <c r="S186" s="124">
        <v>0</v>
      </c>
      <c r="T186" s="124">
        <v>0</v>
      </c>
      <c r="U186" s="124">
        <v>0</v>
      </c>
      <c r="V186" s="124">
        <v>0</v>
      </c>
      <c r="W186" s="124">
        <v>0</v>
      </c>
      <c r="X186" s="124">
        <v>0</v>
      </c>
      <c r="Y186" s="124">
        <v>0</v>
      </c>
      <c r="Z186" s="124">
        <v>0</v>
      </c>
      <c r="AA186" s="124">
        <v>0</v>
      </c>
      <c r="AB186" s="124">
        <v>0</v>
      </c>
      <c r="AC186" s="124">
        <v>0</v>
      </c>
      <c r="AD186" s="124">
        <v>0</v>
      </c>
      <c r="AE186" s="124">
        <v>0</v>
      </c>
      <c r="AF186" s="124">
        <v>0</v>
      </c>
      <c r="AG186" s="124">
        <v>0</v>
      </c>
      <c r="AH186" s="124">
        <v>0</v>
      </c>
      <c r="AI186" s="124">
        <v>0</v>
      </c>
      <c r="AJ186" s="124">
        <v>0</v>
      </c>
      <c r="AK186" s="124">
        <v>0</v>
      </c>
      <c r="AL186" s="124">
        <v>0</v>
      </c>
      <c r="AM186" s="124">
        <v>0</v>
      </c>
      <c r="AN186" s="124">
        <v>0</v>
      </c>
      <c r="AO186" s="124">
        <v>0</v>
      </c>
      <c r="AP186" s="124">
        <v>0</v>
      </c>
      <c r="AQ186" s="124">
        <v>0</v>
      </c>
      <c r="AR186" s="124">
        <v>0</v>
      </c>
      <c r="AS186" s="124">
        <v>0</v>
      </c>
      <c r="AT186" s="124">
        <v>0</v>
      </c>
      <c r="AU186" s="124">
        <v>0</v>
      </c>
      <c r="AV186" s="124">
        <v>0</v>
      </c>
      <c r="AW186" s="124">
        <v>0</v>
      </c>
      <c r="AX186" s="124">
        <v>0</v>
      </c>
      <c r="AY186" s="124">
        <v>0</v>
      </c>
    </row>
    <row r="187" spans="1:51" x14ac:dyDescent="0.2">
      <c r="A187" s="127"/>
      <c r="B187" s="144">
        <v>3</v>
      </c>
      <c r="C187" s="124">
        <v>0</v>
      </c>
      <c r="D187" s="124">
        <v>0</v>
      </c>
      <c r="E187" s="124">
        <v>0</v>
      </c>
      <c r="F187" s="124">
        <v>0</v>
      </c>
      <c r="G187" s="124">
        <v>0</v>
      </c>
      <c r="H187" s="124">
        <v>0</v>
      </c>
      <c r="I187" s="124">
        <v>0</v>
      </c>
      <c r="J187" s="124">
        <v>0</v>
      </c>
      <c r="K187" s="124">
        <v>0</v>
      </c>
      <c r="L187" s="124">
        <v>0</v>
      </c>
      <c r="M187" s="124">
        <v>0</v>
      </c>
      <c r="N187" s="124">
        <v>0</v>
      </c>
      <c r="O187" s="124">
        <v>0</v>
      </c>
      <c r="P187" s="124">
        <v>0</v>
      </c>
      <c r="Q187" s="124">
        <v>0</v>
      </c>
      <c r="R187" s="124">
        <v>0</v>
      </c>
      <c r="S187" s="124">
        <v>0</v>
      </c>
      <c r="T187" s="124">
        <v>0</v>
      </c>
      <c r="U187" s="124">
        <v>0</v>
      </c>
      <c r="V187" s="124">
        <v>0</v>
      </c>
      <c r="W187" s="124">
        <v>0</v>
      </c>
      <c r="X187" s="124">
        <v>0</v>
      </c>
      <c r="Y187" s="124">
        <v>0</v>
      </c>
      <c r="Z187" s="124">
        <v>0</v>
      </c>
      <c r="AA187" s="124">
        <v>0</v>
      </c>
      <c r="AB187" s="124">
        <v>0</v>
      </c>
      <c r="AC187" s="124">
        <v>0</v>
      </c>
      <c r="AD187" s="124">
        <v>0</v>
      </c>
      <c r="AE187" s="124">
        <v>0</v>
      </c>
      <c r="AF187" s="124">
        <v>0</v>
      </c>
      <c r="AG187" s="124">
        <v>0</v>
      </c>
      <c r="AH187" s="124">
        <v>0</v>
      </c>
      <c r="AI187" s="124">
        <v>0</v>
      </c>
      <c r="AJ187" s="124">
        <v>0</v>
      </c>
      <c r="AK187" s="124">
        <v>0</v>
      </c>
      <c r="AL187" s="124">
        <v>0</v>
      </c>
      <c r="AM187" s="124">
        <v>0</v>
      </c>
      <c r="AN187" s="124">
        <v>0</v>
      </c>
      <c r="AO187" s="124">
        <v>0</v>
      </c>
      <c r="AP187" s="124">
        <v>0</v>
      </c>
      <c r="AQ187" s="124">
        <v>0</v>
      </c>
      <c r="AR187" s="124">
        <v>0</v>
      </c>
      <c r="AS187" s="124">
        <v>0</v>
      </c>
      <c r="AT187" s="124">
        <v>0</v>
      </c>
      <c r="AU187" s="124">
        <v>0</v>
      </c>
      <c r="AV187" s="124">
        <v>0</v>
      </c>
      <c r="AW187" s="124">
        <v>0</v>
      </c>
      <c r="AX187" s="124">
        <v>0</v>
      </c>
      <c r="AY187" s="124">
        <v>0</v>
      </c>
    </row>
    <row r="188" spans="1:51" x14ac:dyDescent="0.2">
      <c r="A188" s="145"/>
      <c r="B188" s="146">
        <v>4</v>
      </c>
      <c r="C188" s="124">
        <v>0</v>
      </c>
      <c r="D188" s="124">
        <v>0</v>
      </c>
      <c r="E188" s="124">
        <v>0</v>
      </c>
      <c r="F188" s="124">
        <v>0</v>
      </c>
      <c r="G188" s="124">
        <v>0</v>
      </c>
      <c r="H188" s="124">
        <v>0</v>
      </c>
      <c r="I188" s="124">
        <v>0</v>
      </c>
      <c r="J188" s="124">
        <v>0</v>
      </c>
      <c r="K188" s="124">
        <v>0</v>
      </c>
      <c r="L188" s="124">
        <v>0</v>
      </c>
      <c r="M188" s="124">
        <v>0</v>
      </c>
      <c r="N188" s="124">
        <v>0</v>
      </c>
      <c r="O188" s="124">
        <v>0</v>
      </c>
      <c r="P188" s="124">
        <v>0</v>
      </c>
      <c r="Q188" s="124">
        <v>0</v>
      </c>
      <c r="R188" s="124">
        <v>0</v>
      </c>
      <c r="S188" s="124">
        <v>0</v>
      </c>
      <c r="T188" s="124">
        <v>0</v>
      </c>
      <c r="U188" s="124">
        <v>0</v>
      </c>
      <c r="V188" s="124">
        <v>0</v>
      </c>
      <c r="W188" s="124">
        <v>0</v>
      </c>
      <c r="X188" s="124">
        <v>0</v>
      </c>
      <c r="Y188" s="124">
        <v>0</v>
      </c>
      <c r="Z188" s="124">
        <v>0</v>
      </c>
      <c r="AA188" s="124">
        <v>0</v>
      </c>
      <c r="AB188" s="124">
        <v>0</v>
      </c>
      <c r="AC188" s="124">
        <v>0</v>
      </c>
      <c r="AD188" s="124">
        <v>0</v>
      </c>
      <c r="AE188" s="124">
        <v>0</v>
      </c>
      <c r="AF188" s="124">
        <v>0</v>
      </c>
      <c r="AG188" s="124">
        <v>0</v>
      </c>
      <c r="AH188" s="124">
        <v>0</v>
      </c>
      <c r="AI188" s="124">
        <v>0</v>
      </c>
      <c r="AJ188" s="124">
        <v>0</v>
      </c>
      <c r="AK188" s="124">
        <v>0</v>
      </c>
      <c r="AL188" s="124">
        <v>0</v>
      </c>
      <c r="AM188" s="124">
        <v>0</v>
      </c>
      <c r="AN188" s="124">
        <v>0</v>
      </c>
      <c r="AO188" s="124">
        <v>0</v>
      </c>
      <c r="AP188" s="124">
        <v>0</v>
      </c>
      <c r="AQ188" s="124">
        <v>0</v>
      </c>
      <c r="AR188" s="124">
        <v>0</v>
      </c>
      <c r="AS188" s="124">
        <v>0</v>
      </c>
      <c r="AT188" s="124">
        <v>0</v>
      </c>
      <c r="AU188" s="124">
        <v>0</v>
      </c>
      <c r="AV188" s="124">
        <v>0</v>
      </c>
      <c r="AW188" s="124">
        <v>0</v>
      </c>
      <c r="AX188" s="124">
        <v>0</v>
      </c>
      <c r="AY188" s="124">
        <v>0</v>
      </c>
    </row>
    <row r="189" spans="1:51" x14ac:dyDescent="0.2">
      <c r="A189" s="143" t="s">
        <v>133</v>
      </c>
      <c r="B189" s="140">
        <v>1</v>
      </c>
      <c r="C189" s="141">
        <v>536.17807282692706</v>
      </c>
      <c r="D189" s="141">
        <v>116.17807282692706</v>
      </c>
      <c r="E189" s="141">
        <v>884.5</v>
      </c>
      <c r="F189" s="141">
        <v>117</v>
      </c>
      <c r="G189" s="141">
        <v>296.24279961126308</v>
      </c>
      <c r="H189" s="141">
        <v>818.3</v>
      </c>
      <c r="I189" s="141">
        <v>305.09650018298498</v>
      </c>
      <c r="J189" s="141">
        <v>455.25922890431684</v>
      </c>
      <c r="K189" s="141">
        <v>697.13727127866809</v>
      </c>
      <c r="L189" s="141">
        <v>785.3</v>
      </c>
      <c r="M189" s="141">
        <v>697.13727127866809</v>
      </c>
      <c r="N189" s="141">
        <v>634.29999999999995</v>
      </c>
      <c r="O189" s="141">
        <v>605.46272872133181</v>
      </c>
      <c r="P189" s="141">
        <v>793.62545744266367</v>
      </c>
      <c r="Q189" s="141">
        <v>865.78818616399553</v>
      </c>
      <c r="R189" s="141">
        <v>760.13727127866809</v>
      </c>
      <c r="S189" s="141">
        <v>697.13727127866809</v>
      </c>
      <c r="T189" s="141">
        <v>793.3</v>
      </c>
      <c r="U189" s="141">
        <v>644.15415700949461</v>
      </c>
      <c r="V189" s="141">
        <v>961</v>
      </c>
      <c r="W189" s="141">
        <v>702.47961445215833</v>
      </c>
      <c r="X189" s="141">
        <v>915.83727127866814</v>
      </c>
      <c r="Y189" s="141">
        <v>697.13727127866809</v>
      </c>
      <c r="Z189" s="141">
        <v>731.3</v>
      </c>
      <c r="AA189" s="141">
        <v>915.83727127866814</v>
      </c>
      <c r="AB189" s="141">
        <v>644.15415700949461</v>
      </c>
      <c r="AC189" s="141">
        <v>918</v>
      </c>
      <c r="AD189" s="141">
        <v>709.47961445215833</v>
      </c>
      <c r="AE189" s="141">
        <v>889.34234317349024</v>
      </c>
      <c r="AF189" s="141">
        <v>643.13727127866809</v>
      </c>
      <c r="AG189" s="141">
        <v>915.83727127866814</v>
      </c>
      <c r="AH189" s="141">
        <v>914</v>
      </c>
      <c r="AI189" s="141">
        <v>544.38311426917357</v>
      </c>
      <c r="AJ189" s="141">
        <v>955</v>
      </c>
      <c r="AK189" s="141">
        <v>664.38311426917357</v>
      </c>
      <c r="AL189" s="141">
        <v>529.94348382725252</v>
      </c>
      <c r="AM189" s="141">
        <v>701.43241190232231</v>
      </c>
      <c r="AN189" s="141">
        <v>915.83727127866814</v>
      </c>
      <c r="AO189" s="141">
        <v>814.13727127866809</v>
      </c>
      <c r="AP189" s="141">
        <v>915.83727127866814</v>
      </c>
      <c r="AQ189" s="141">
        <v>915.83727127866814</v>
      </c>
      <c r="AR189" s="141">
        <v>915.83727127866814</v>
      </c>
      <c r="AS189" s="141">
        <v>915.83727127866814</v>
      </c>
      <c r="AT189" s="141">
        <v>271.68311426917353</v>
      </c>
      <c r="AU189" s="141">
        <v>958.3</v>
      </c>
      <c r="AV189" s="141">
        <v>337.43859490704858</v>
      </c>
      <c r="AW189" s="141">
        <v>422.5392585807316</v>
      </c>
      <c r="AX189" s="141">
        <v>1058.1002866932763</v>
      </c>
      <c r="AY189" s="141">
        <v>724.38311426917357</v>
      </c>
    </row>
    <row r="190" spans="1:51" x14ac:dyDescent="0.2">
      <c r="A190" s="127"/>
      <c r="B190" s="136">
        <v>2</v>
      </c>
      <c r="C190" s="124">
        <v>0</v>
      </c>
      <c r="D190" s="124">
        <v>36.5</v>
      </c>
      <c r="E190" s="124">
        <v>456.5</v>
      </c>
      <c r="F190" s="124">
        <v>336.28857111542834</v>
      </c>
      <c r="G190" s="124">
        <v>397.41302358654707</v>
      </c>
      <c r="H190" s="124">
        <v>218.70000000000005</v>
      </c>
      <c r="I190" s="124">
        <v>640.90349981701502</v>
      </c>
      <c r="J190" s="124">
        <v>610.74077109568316</v>
      </c>
      <c r="K190" s="124">
        <v>150.08187458802422</v>
      </c>
      <c r="L190" s="124">
        <v>218.70000000000005</v>
      </c>
      <c r="M190" s="124">
        <v>130.53727127866819</v>
      </c>
      <c r="N190" s="124">
        <v>218.70000000000005</v>
      </c>
      <c r="O190" s="124">
        <v>281.53727127866819</v>
      </c>
      <c r="P190" s="124">
        <v>310.37454255733633</v>
      </c>
      <c r="Q190" s="124">
        <v>122.21181383600447</v>
      </c>
      <c r="R190" s="124">
        <v>50.049085114672607</v>
      </c>
      <c r="S190" s="124">
        <v>155.70000000000005</v>
      </c>
      <c r="T190" s="124">
        <v>218.70000000000005</v>
      </c>
      <c r="U190" s="124">
        <v>122.53727127866819</v>
      </c>
      <c r="V190" s="124">
        <v>0</v>
      </c>
      <c r="W190" s="124">
        <v>226.52038554784167</v>
      </c>
      <c r="X190" s="124">
        <v>213.35765682650981</v>
      </c>
      <c r="Y190" s="124">
        <v>0</v>
      </c>
      <c r="Z190" s="124">
        <v>218.70000000000005</v>
      </c>
      <c r="AA190" s="124">
        <v>184.53727127866819</v>
      </c>
      <c r="AB190" s="124">
        <v>0</v>
      </c>
      <c r="AC190" s="124">
        <v>0</v>
      </c>
      <c r="AD190" s="124">
        <v>269.52038554784167</v>
      </c>
      <c r="AE190" s="124">
        <v>50.657656826509765</v>
      </c>
      <c r="AF190" s="124">
        <v>26.494928105177905</v>
      </c>
      <c r="AG190" s="124">
        <v>0</v>
      </c>
      <c r="AH190" s="124">
        <v>0</v>
      </c>
      <c r="AI190" s="124">
        <v>1.8372712786681404</v>
      </c>
      <c r="AJ190" s="124">
        <v>0</v>
      </c>
      <c r="AK190" s="124">
        <v>28.683114269173529</v>
      </c>
      <c r="AL190" s="124">
        <v>251.45415700949457</v>
      </c>
      <c r="AM190" s="124">
        <v>0</v>
      </c>
      <c r="AN190" s="124">
        <v>0</v>
      </c>
      <c r="AO190" s="124">
        <v>0</v>
      </c>
      <c r="AP190" s="124">
        <v>101.70000000000005</v>
      </c>
      <c r="AQ190" s="124">
        <v>0</v>
      </c>
      <c r="AR190" s="124">
        <v>0</v>
      </c>
      <c r="AS190" s="124">
        <v>0</v>
      </c>
      <c r="AT190" s="124">
        <v>0</v>
      </c>
      <c r="AU190" s="124">
        <v>272.70000000000005</v>
      </c>
      <c r="AV190" s="124">
        <v>219.63102804450796</v>
      </c>
      <c r="AW190" s="124">
        <v>272.70000000000005</v>
      </c>
      <c r="AX190" s="124">
        <v>0</v>
      </c>
      <c r="AY190" s="124">
        <v>0</v>
      </c>
    </row>
    <row r="191" spans="1:51" x14ac:dyDescent="0.2">
      <c r="A191" s="127"/>
      <c r="B191" s="137">
        <v>3</v>
      </c>
      <c r="C191" s="124">
        <v>36.5</v>
      </c>
      <c r="D191" s="124">
        <v>456.5</v>
      </c>
      <c r="E191" s="124">
        <v>0</v>
      </c>
      <c r="F191" s="124">
        <v>0</v>
      </c>
      <c r="G191" s="124">
        <v>0</v>
      </c>
      <c r="H191" s="124">
        <v>0</v>
      </c>
      <c r="I191" s="124">
        <v>0</v>
      </c>
      <c r="J191" s="124">
        <v>0</v>
      </c>
      <c r="K191" s="124">
        <v>0</v>
      </c>
      <c r="L191" s="124">
        <v>0</v>
      </c>
      <c r="M191" s="124">
        <v>0</v>
      </c>
      <c r="N191" s="124">
        <v>0</v>
      </c>
      <c r="O191" s="124">
        <v>0</v>
      </c>
      <c r="P191" s="124">
        <v>0</v>
      </c>
      <c r="Q191" s="124">
        <v>0</v>
      </c>
      <c r="R191" s="124">
        <v>0</v>
      </c>
      <c r="S191" s="124">
        <v>0</v>
      </c>
      <c r="T191" s="124">
        <v>0</v>
      </c>
      <c r="U191" s="124">
        <v>0</v>
      </c>
      <c r="V191" s="124">
        <v>0</v>
      </c>
      <c r="W191" s="124">
        <v>0</v>
      </c>
      <c r="X191" s="124">
        <v>0</v>
      </c>
      <c r="Y191" s="124">
        <v>0</v>
      </c>
      <c r="Z191" s="124">
        <v>0</v>
      </c>
      <c r="AA191" s="124">
        <v>0</v>
      </c>
      <c r="AB191" s="124">
        <v>0</v>
      </c>
      <c r="AC191" s="124">
        <v>0</v>
      </c>
      <c r="AD191" s="124">
        <v>0</v>
      </c>
      <c r="AE191" s="124">
        <v>0</v>
      </c>
      <c r="AF191" s="124">
        <v>123.66243627649601</v>
      </c>
      <c r="AG191" s="124">
        <v>0</v>
      </c>
      <c r="AH191" s="124">
        <v>0</v>
      </c>
      <c r="AI191" s="124">
        <v>0</v>
      </c>
      <c r="AJ191" s="124">
        <v>0</v>
      </c>
      <c r="AK191" s="124">
        <v>0</v>
      </c>
      <c r="AL191" s="124">
        <v>0</v>
      </c>
      <c r="AM191" s="124">
        <v>0</v>
      </c>
      <c r="AN191" s="124">
        <v>0</v>
      </c>
      <c r="AO191" s="124">
        <v>101.69999999999999</v>
      </c>
      <c r="AP191" s="124">
        <v>0</v>
      </c>
      <c r="AQ191" s="124">
        <v>0</v>
      </c>
      <c r="AR191" s="124">
        <v>0</v>
      </c>
      <c r="AS191" s="124">
        <v>0</v>
      </c>
      <c r="AT191" s="124">
        <v>0</v>
      </c>
      <c r="AU191" s="124">
        <v>0</v>
      </c>
      <c r="AV191" s="124">
        <v>0</v>
      </c>
      <c r="AW191" s="124">
        <v>0</v>
      </c>
      <c r="AX191" s="124">
        <v>0</v>
      </c>
      <c r="AY191" s="124">
        <v>0</v>
      </c>
    </row>
    <row r="192" spans="1:51" x14ac:dyDescent="0.2">
      <c r="A192" s="127"/>
      <c r="B192" s="137">
        <v>4</v>
      </c>
      <c r="C192" s="124">
        <v>456.5</v>
      </c>
      <c r="D192" s="124">
        <v>0</v>
      </c>
      <c r="E192" s="124">
        <v>0</v>
      </c>
      <c r="F192" s="124">
        <v>0</v>
      </c>
      <c r="G192" s="124">
        <v>0</v>
      </c>
      <c r="H192" s="124">
        <v>0</v>
      </c>
      <c r="I192" s="124">
        <v>0</v>
      </c>
      <c r="J192" s="124">
        <v>0</v>
      </c>
      <c r="K192" s="124">
        <v>0</v>
      </c>
      <c r="L192" s="124">
        <v>0</v>
      </c>
      <c r="M192" s="124">
        <v>0</v>
      </c>
      <c r="N192" s="124">
        <v>0</v>
      </c>
      <c r="O192" s="124">
        <v>0</v>
      </c>
      <c r="P192" s="124">
        <v>0</v>
      </c>
      <c r="Q192" s="124">
        <v>0</v>
      </c>
      <c r="R192" s="124">
        <v>0</v>
      </c>
      <c r="S192" s="124">
        <v>0</v>
      </c>
      <c r="T192" s="124">
        <v>0</v>
      </c>
      <c r="U192" s="124">
        <v>0</v>
      </c>
      <c r="V192" s="124">
        <v>0</v>
      </c>
      <c r="W192" s="124">
        <v>0</v>
      </c>
      <c r="X192" s="124">
        <v>0</v>
      </c>
      <c r="Y192" s="124">
        <v>0</v>
      </c>
      <c r="Z192" s="124">
        <v>0</v>
      </c>
      <c r="AA192" s="124">
        <v>0</v>
      </c>
      <c r="AB192" s="124">
        <v>0</v>
      </c>
      <c r="AC192" s="124">
        <v>0</v>
      </c>
      <c r="AD192" s="124">
        <v>0</v>
      </c>
      <c r="AE192" s="124">
        <v>0</v>
      </c>
      <c r="AF192" s="124">
        <v>0</v>
      </c>
      <c r="AG192" s="124">
        <v>0</v>
      </c>
      <c r="AH192" s="124">
        <v>0</v>
      </c>
      <c r="AI192" s="124">
        <v>0</v>
      </c>
      <c r="AJ192" s="124">
        <v>0</v>
      </c>
      <c r="AK192" s="124">
        <v>0</v>
      </c>
      <c r="AL192" s="124">
        <v>0</v>
      </c>
      <c r="AM192" s="124">
        <v>0</v>
      </c>
      <c r="AN192" s="124">
        <v>0</v>
      </c>
      <c r="AO192" s="124">
        <v>0</v>
      </c>
      <c r="AP192" s="124">
        <v>0</v>
      </c>
      <c r="AQ192" s="124">
        <v>0</v>
      </c>
      <c r="AR192" s="124">
        <v>0</v>
      </c>
      <c r="AS192" s="124">
        <v>0</v>
      </c>
      <c r="AT192" s="124">
        <v>0</v>
      </c>
      <c r="AU192" s="124">
        <v>0</v>
      </c>
      <c r="AV192" s="124">
        <v>0</v>
      </c>
      <c r="AW192" s="124">
        <v>0</v>
      </c>
      <c r="AX192" s="124">
        <v>0</v>
      </c>
      <c r="AY192" s="124">
        <v>0</v>
      </c>
    </row>
    <row r="193" spans="1:51" x14ac:dyDescent="0.2">
      <c r="A193" s="127"/>
      <c r="B193" s="144">
        <v>5</v>
      </c>
      <c r="C193" s="124">
        <v>0</v>
      </c>
      <c r="D193" s="124">
        <v>0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0</v>
      </c>
      <c r="K193" s="124">
        <v>0</v>
      </c>
      <c r="L193" s="124">
        <v>0</v>
      </c>
      <c r="M193" s="124">
        <v>0</v>
      </c>
      <c r="N193" s="124">
        <v>0</v>
      </c>
      <c r="O193" s="124">
        <v>0</v>
      </c>
      <c r="P193" s="124">
        <v>0</v>
      </c>
      <c r="Q193" s="124">
        <v>0</v>
      </c>
      <c r="R193" s="124">
        <v>0</v>
      </c>
      <c r="S193" s="124">
        <v>0</v>
      </c>
      <c r="T193" s="124">
        <v>0</v>
      </c>
      <c r="U193" s="124">
        <v>0</v>
      </c>
      <c r="V193" s="124">
        <v>0</v>
      </c>
      <c r="W193" s="124">
        <v>0</v>
      </c>
      <c r="X193" s="124">
        <v>0</v>
      </c>
      <c r="Y193" s="124">
        <v>0</v>
      </c>
      <c r="Z193" s="124">
        <v>0</v>
      </c>
      <c r="AA193" s="124">
        <v>0</v>
      </c>
      <c r="AB193" s="124">
        <v>0</v>
      </c>
      <c r="AC193" s="124">
        <v>0</v>
      </c>
      <c r="AD193" s="124">
        <v>0</v>
      </c>
      <c r="AE193" s="124">
        <v>0</v>
      </c>
      <c r="AF193" s="124">
        <v>0</v>
      </c>
      <c r="AG193" s="124">
        <v>0</v>
      </c>
      <c r="AH193" s="124">
        <v>0</v>
      </c>
      <c r="AI193" s="124">
        <v>0</v>
      </c>
      <c r="AJ193" s="124">
        <v>0</v>
      </c>
      <c r="AK193" s="124">
        <v>0</v>
      </c>
      <c r="AL193" s="124">
        <v>0</v>
      </c>
      <c r="AM193" s="124">
        <v>0</v>
      </c>
      <c r="AN193" s="124">
        <v>0</v>
      </c>
      <c r="AO193" s="124">
        <v>0</v>
      </c>
      <c r="AP193" s="124">
        <v>0</v>
      </c>
      <c r="AQ193" s="124">
        <v>0</v>
      </c>
      <c r="AR193" s="124">
        <v>0</v>
      </c>
      <c r="AS193" s="124">
        <v>0</v>
      </c>
      <c r="AT193" s="124">
        <v>0</v>
      </c>
      <c r="AU193" s="124">
        <v>0</v>
      </c>
      <c r="AV193" s="124">
        <v>0</v>
      </c>
      <c r="AW193" s="124">
        <v>0</v>
      </c>
      <c r="AX193" s="124">
        <v>0</v>
      </c>
      <c r="AY193" s="124">
        <v>0</v>
      </c>
    </row>
    <row r="194" spans="1:51" x14ac:dyDescent="0.2">
      <c r="A194" s="127"/>
      <c r="B194" s="144">
        <v>6</v>
      </c>
      <c r="C194" s="124">
        <v>0</v>
      </c>
      <c r="D194" s="124">
        <v>0</v>
      </c>
      <c r="E194" s="124">
        <v>0</v>
      </c>
      <c r="F194" s="124">
        <v>0</v>
      </c>
      <c r="G194" s="124">
        <v>0</v>
      </c>
      <c r="H194" s="124">
        <v>0</v>
      </c>
      <c r="I194" s="124">
        <v>0</v>
      </c>
      <c r="J194" s="124">
        <v>0</v>
      </c>
      <c r="K194" s="124">
        <v>0</v>
      </c>
      <c r="L194" s="124">
        <v>0</v>
      </c>
      <c r="M194" s="124">
        <v>0</v>
      </c>
      <c r="N194" s="124">
        <v>0</v>
      </c>
      <c r="O194" s="124">
        <v>0</v>
      </c>
      <c r="P194" s="124">
        <v>0</v>
      </c>
      <c r="Q194" s="124">
        <v>0</v>
      </c>
      <c r="R194" s="124">
        <v>0</v>
      </c>
      <c r="S194" s="124">
        <v>0</v>
      </c>
      <c r="T194" s="124">
        <v>0</v>
      </c>
      <c r="U194" s="124">
        <v>0</v>
      </c>
      <c r="V194" s="124">
        <v>0</v>
      </c>
      <c r="W194" s="124">
        <v>0</v>
      </c>
      <c r="X194" s="124">
        <v>0</v>
      </c>
      <c r="Y194" s="124">
        <v>0</v>
      </c>
      <c r="Z194" s="124">
        <v>0</v>
      </c>
      <c r="AA194" s="124">
        <v>0</v>
      </c>
      <c r="AB194" s="124">
        <v>0</v>
      </c>
      <c r="AC194" s="124">
        <v>0</v>
      </c>
      <c r="AD194" s="124">
        <v>0</v>
      </c>
      <c r="AE194" s="124">
        <v>0</v>
      </c>
      <c r="AF194" s="124">
        <v>0</v>
      </c>
      <c r="AG194" s="124">
        <v>0</v>
      </c>
      <c r="AH194" s="124">
        <v>0</v>
      </c>
      <c r="AI194" s="124">
        <v>0</v>
      </c>
      <c r="AJ194" s="124">
        <v>0</v>
      </c>
      <c r="AK194" s="124">
        <v>0</v>
      </c>
      <c r="AL194" s="124">
        <v>0</v>
      </c>
      <c r="AM194" s="124">
        <v>0</v>
      </c>
      <c r="AN194" s="124">
        <v>0</v>
      </c>
      <c r="AO194" s="124">
        <v>0</v>
      </c>
      <c r="AP194" s="124">
        <v>0</v>
      </c>
      <c r="AQ194" s="124">
        <v>0</v>
      </c>
      <c r="AR194" s="124">
        <v>0</v>
      </c>
      <c r="AS194" s="124">
        <v>0</v>
      </c>
      <c r="AT194" s="124">
        <v>0</v>
      </c>
      <c r="AU194" s="124">
        <v>0</v>
      </c>
      <c r="AV194" s="124">
        <v>0</v>
      </c>
      <c r="AW194" s="124">
        <v>0</v>
      </c>
      <c r="AX194" s="124">
        <v>0</v>
      </c>
      <c r="AY194" s="124">
        <v>0</v>
      </c>
    </row>
    <row r="195" spans="1:51" x14ac:dyDescent="0.2">
      <c r="A195" s="127"/>
      <c r="B195" s="147">
        <v>7</v>
      </c>
      <c r="C195" s="124">
        <v>0</v>
      </c>
      <c r="D195" s="124">
        <v>0</v>
      </c>
      <c r="E195" s="124">
        <v>0</v>
      </c>
      <c r="F195" s="124">
        <v>0</v>
      </c>
      <c r="G195" s="124">
        <v>0</v>
      </c>
      <c r="H195" s="124">
        <v>0</v>
      </c>
      <c r="I195" s="124">
        <v>0</v>
      </c>
      <c r="J195" s="124">
        <v>0</v>
      </c>
      <c r="K195" s="124">
        <v>0</v>
      </c>
      <c r="L195" s="124">
        <v>0</v>
      </c>
      <c r="M195" s="124">
        <v>0</v>
      </c>
      <c r="N195" s="124">
        <v>0</v>
      </c>
      <c r="O195" s="124">
        <v>0</v>
      </c>
      <c r="P195" s="124">
        <v>0</v>
      </c>
      <c r="Q195" s="124">
        <v>0</v>
      </c>
      <c r="R195" s="124">
        <v>0</v>
      </c>
      <c r="S195" s="124">
        <v>0</v>
      </c>
      <c r="T195" s="124">
        <v>0</v>
      </c>
      <c r="U195" s="124">
        <v>0</v>
      </c>
      <c r="V195" s="124">
        <v>0</v>
      </c>
      <c r="W195" s="124">
        <v>0</v>
      </c>
      <c r="X195" s="124">
        <v>0</v>
      </c>
      <c r="Y195" s="124">
        <v>0</v>
      </c>
      <c r="Z195" s="124">
        <v>0</v>
      </c>
      <c r="AA195" s="124">
        <v>0</v>
      </c>
      <c r="AB195" s="124">
        <v>0</v>
      </c>
      <c r="AC195" s="124">
        <v>0</v>
      </c>
      <c r="AD195" s="124">
        <v>0</v>
      </c>
      <c r="AE195" s="124">
        <v>0</v>
      </c>
      <c r="AF195" s="124">
        <v>0</v>
      </c>
      <c r="AG195" s="124">
        <v>0</v>
      </c>
      <c r="AH195" s="124">
        <v>0</v>
      </c>
      <c r="AI195" s="124">
        <v>0</v>
      </c>
      <c r="AJ195" s="124">
        <v>0</v>
      </c>
      <c r="AK195" s="124">
        <v>0</v>
      </c>
      <c r="AL195" s="124">
        <v>0</v>
      </c>
      <c r="AM195" s="124">
        <v>0</v>
      </c>
      <c r="AN195" s="124">
        <v>0</v>
      </c>
      <c r="AO195" s="124">
        <v>0</v>
      </c>
      <c r="AP195" s="124">
        <v>0</v>
      </c>
      <c r="AQ195" s="124">
        <v>0</v>
      </c>
      <c r="AR195" s="124">
        <v>0</v>
      </c>
      <c r="AS195" s="124">
        <v>0</v>
      </c>
      <c r="AT195" s="124">
        <v>0</v>
      </c>
      <c r="AU195" s="124">
        <v>0</v>
      </c>
      <c r="AV195" s="124">
        <v>0</v>
      </c>
      <c r="AW195" s="124">
        <v>0</v>
      </c>
      <c r="AX195" s="124">
        <v>0</v>
      </c>
      <c r="AY195" s="124">
        <v>0</v>
      </c>
    </row>
    <row r="196" spans="1:51" x14ac:dyDescent="0.2">
      <c r="A196" s="145"/>
      <c r="B196" s="146">
        <v>8</v>
      </c>
      <c r="C196" s="131">
        <v>0</v>
      </c>
      <c r="D196" s="131">
        <v>0</v>
      </c>
      <c r="E196" s="131">
        <v>0</v>
      </c>
      <c r="F196" s="131">
        <v>0</v>
      </c>
      <c r="G196" s="131">
        <v>0</v>
      </c>
      <c r="H196" s="131">
        <v>0</v>
      </c>
      <c r="I196" s="131">
        <v>0</v>
      </c>
      <c r="J196" s="131">
        <v>0</v>
      </c>
      <c r="K196" s="131">
        <v>0</v>
      </c>
      <c r="L196" s="131">
        <v>0</v>
      </c>
      <c r="M196" s="131">
        <v>0</v>
      </c>
      <c r="N196" s="131">
        <v>0</v>
      </c>
      <c r="O196" s="131">
        <v>0</v>
      </c>
      <c r="P196" s="131">
        <v>0</v>
      </c>
      <c r="Q196" s="131">
        <v>0</v>
      </c>
      <c r="R196" s="131">
        <v>0</v>
      </c>
      <c r="S196" s="131">
        <v>0</v>
      </c>
      <c r="T196" s="131">
        <v>0</v>
      </c>
      <c r="U196" s="131">
        <v>0</v>
      </c>
      <c r="V196" s="131">
        <v>0</v>
      </c>
      <c r="W196" s="131">
        <v>0</v>
      </c>
      <c r="X196" s="131">
        <v>0</v>
      </c>
      <c r="Y196" s="131">
        <v>0</v>
      </c>
      <c r="Z196" s="131">
        <v>0</v>
      </c>
      <c r="AA196" s="131">
        <v>0</v>
      </c>
      <c r="AB196" s="131">
        <v>0</v>
      </c>
      <c r="AC196" s="131">
        <v>0</v>
      </c>
      <c r="AD196" s="131">
        <v>0</v>
      </c>
      <c r="AE196" s="131">
        <v>0</v>
      </c>
      <c r="AF196" s="131">
        <v>0</v>
      </c>
      <c r="AG196" s="131">
        <v>0</v>
      </c>
      <c r="AH196" s="131">
        <v>0</v>
      </c>
      <c r="AI196" s="131">
        <v>0</v>
      </c>
      <c r="AJ196" s="131">
        <v>0</v>
      </c>
      <c r="AK196" s="131">
        <v>0</v>
      </c>
      <c r="AL196" s="131">
        <v>0</v>
      </c>
      <c r="AM196" s="131">
        <v>0</v>
      </c>
      <c r="AN196" s="131">
        <v>0</v>
      </c>
      <c r="AO196" s="131">
        <v>0</v>
      </c>
      <c r="AP196" s="131">
        <v>0</v>
      </c>
      <c r="AQ196" s="131">
        <v>0</v>
      </c>
      <c r="AR196" s="131">
        <v>0</v>
      </c>
      <c r="AS196" s="131">
        <v>0</v>
      </c>
      <c r="AT196" s="131">
        <v>0</v>
      </c>
      <c r="AU196" s="131">
        <v>0</v>
      </c>
      <c r="AV196" s="131">
        <v>0</v>
      </c>
      <c r="AW196" s="131">
        <v>0</v>
      </c>
      <c r="AX196" s="131">
        <v>0</v>
      </c>
      <c r="AY196" s="131">
        <v>0</v>
      </c>
    </row>
    <row r="197" spans="1:51" x14ac:dyDescent="0.2">
      <c r="A197" s="148" t="s">
        <v>134</v>
      </c>
      <c r="B197" s="136">
        <v>1</v>
      </c>
      <c r="C197" s="124">
        <v>0</v>
      </c>
      <c r="D197" s="124">
        <v>0</v>
      </c>
      <c r="E197" s="124">
        <v>0</v>
      </c>
      <c r="F197" s="124">
        <v>0</v>
      </c>
      <c r="G197" s="124">
        <v>0</v>
      </c>
      <c r="H197" s="124">
        <v>0</v>
      </c>
      <c r="I197" s="124">
        <v>0</v>
      </c>
      <c r="J197" s="124">
        <v>0</v>
      </c>
      <c r="K197" s="124">
        <v>0</v>
      </c>
      <c r="L197" s="124">
        <v>0</v>
      </c>
      <c r="M197" s="124">
        <v>0</v>
      </c>
      <c r="N197" s="124">
        <v>0</v>
      </c>
      <c r="O197" s="124">
        <v>0</v>
      </c>
      <c r="P197" s="124">
        <v>0</v>
      </c>
      <c r="Q197" s="124">
        <v>0</v>
      </c>
      <c r="R197" s="124">
        <v>0</v>
      </c>
      <c r="S197" s="124">
        <v>0</v>
      </c>
      <c r="T197" s="124">
        <v>0</v>
      </c>
      <c r="U197" s="124">
        <v>0</v>
      </c>
      <c r="V197" s="124">
        <v>0</v>
      </c>
      <c r="W197" s="124">
        <v>0</v>
      </c>
      <c r="X197" s="124">
        <v>0</v>
      </c>
      <c r="Y197" s="124">
        <v>0</v>
      </c>
      <c r="Z197" s="124">
        <v>0</v>
      </c>
      <c r="AA197" s="124">
        <v>0</v>
      </c>
      <c r="AB197" s="124">
        <v>0</v>
      </c>
      <c r="AC197" s="124">
        <v>0</v>
      </c>
      <c r="AD197" s="124">
        <v>0</v>
      </c>
      <c r="AE197" s="124">
        <v>0</v>
      </c>
      <c r="AF197" s="124">
        <v>0</v>
      </c>
      <c r="AG197" s="124">
        <v>0</v>
      </c>
      <c r="AH197" s="124">
        <v>0</v>
      </c>
      <c r="AI197" s="124">
        <v>0</v>
      </c>
      <c r="AJ197" s="124">
        <v>0</v>
      </c>
      <c r="AK197" s="124">
        <v>0</v>
      </c>
      <c r="AL197" s="124">
        <v>0</v>
      </c>
      <c r="AM197" s="124">
        <v>0</v>
      </c>
      <c r="AN197" s="124">
        <v>0</v>
      </c>
      <c r="AO197" s="124">
        <v>0</v>
      </c>
      <c r="AP197" s="124">
        <v>0</v>
      </c>
      <c r="AQ197" s="124">
        <v>0</v>
      </c>
      <c r="AR197" s="124">
        <v>0</v>
      </c>
      <c r="AS197" s="124">
        <v>0</v>
      </c>
      <c r="AT197" s="124">
        <v>0</v>
      </c>
      <c r="AU197" s="124">
        <v>0</v>
      </c>
      <c r="AV197" s="124">
        <v>0</v>
      </c>
      <c r="AW197" s="124">
        <v>0</v>
      </c>
      <c r="AX197" s="124">
        <v>0</v>
      </c>
      <c r="AY197" s="124">
        <v>0</v>
      </c>
    </row>
    <row r="198" spans="1:51" x14ac:dyDescent="0.2">
      <c r="A198" s="127"/>
      <c r="B198" s="136">
        <v>2</v>
      </c>
      <c r="C198" s="124">
        <v>0</v>
      </c>
      <c r="D198" s="124">
        <v>0</v>
      </c>
      <c r="E198" s="124">
        <v>0</v>
      </c>
      <c r="F198" s="124">
        <v>0</v>
      </c>
      <c r="G198" s="124">
        <v>0</v>
      </c>
      <c r="H198" s="124">
        <v>0</v>
      </c>
      <c r="I198" s="124">
        <v>0</v>
      </c>
      <c r="J198" s="124">
        <v>0</v>
      </c>
      <c r="K198" s="124">
        <v>0</v>
      </c>
      <c r="L198" s="124">
        <v>0</v>
      </c>
      <c r="M198" s="124">
        <v>0</v>
      </c>
      <c r="N198" s="124">
        <v>0</v>
      </c>
      <c r="O198" s="124">
        <v>0</v>
      </c>
      <c r="P198" s="124">
        <v>0</v>
      </c>
      <c r="Q198" s="124">
        <v>0</v>
      </c>
      <c r="R198" s="124">
        <v>0</v>
      </c>
      <c r="S198" s="124">
        <v>0</v>
      </c>
      <c r="T198" s="124">
        <v>0</v>
      </c>
      <c r="U198" s="124">
        <v>0</v>
      </c>
      <c r="V198" s="124">
        <v>0</v>
      </c>
      <c r="W198" s="124">
        <v>0</v>
      </c>
      <c r="X198" s="124">
        <v>0</v>
      </c>
      <c r="Y198" s="124">
        <v>0</v>
      </c>
      <c r="Z198" s="124">
        <v>0</v>
      </c>
      <c r="AA198" s="124">
        <v>0</v>
      </c>
      <c r="AB198" s="124">
        <v>0</v>
      </c>
      <c r="AC198" s="124">
        <v>0</v>
      </c>
      <c r="AD198" s="124">
        <v>0</v>
      </c>
      <c r="AE198" s="124">
        <v>0</v>
      </c>
      <c r="AF198" s="124">
        <v>0</v>
      </c>
      <c r="AG198" s="124">
        <v>0</v>
      </c>
      <c r="AH198" s="124">
        <v>0</v>
      </c>
      <c r="AI198" s="124">
        <v>0</v>
      </c>
      <c r="AJ198" s="124">
        <v>0</v>
      </c>
      <c r="AK198" s="124">
        <v>0</v>
      </c>
      <c r="AL198" s="124">
        <v>0</v>
      </c>
      <c r="AM198" s="124">
        <v>0</v>
      </c>
      <c r="AN198" s="124">
        <v>0</v>
      </c>
      <c r="AO198" s="124">
        <v>0</v>
      </c>
      <c r="AP198" s="124">
        <v>0</v>
      </c>
      <c r="AQ198" s="124">
        <v>0</v>
      </c>
      <c r="AR198" s="124">
        <v>0</v>
      </c>
      <c r="AS198" s="124">
        <v>0</v>
      </c>
      <c r="AT198" s="124">
        <v>0</v>
      </c>
      <c r="AU198" s="124">
        <v>0</v>
      </c>
      <c r="AV198" s="124">
        <v>0</v>
      </c>
      <c r="AW198" s="124">
        <v>0</v>
      </c>
      <c r="AX198" s="124">
        <v>0</v>
      </c>
      <c r="AY198" s="124">
        <v>0</v>
      </c>
    </row>
    <row r="199" spans="1:51" x14ac:dyDescent="0.2">
      <c r="A199" s="127"/>
      <c r="B199" s="136">
        <v>3</v>
      </c>
      <c r="C199" s="124">
        <v>0</v>
      </c>
      <c r="D199" s="124">
        <v>0</v>
      </c>
      <c r="E199" s="124">
        <v>0</v>
      </c>
      <c r="F199" s="124">
        <v>0</v>
      </c>
      <c r="G199" s="124">
        <v>0</v>
      </c>
      <c r="H199" s="124">
        <v>0</v>
      </c>
      <c r="I199" s="124">
        <v>0</v>
      </c>
      <c r="J199" s="124">
        <v>0</v>
      </c>
      <c r="K199" s="124">
        <v>0</v>
      </c>
      <c r="L199" s="124">
        <v>0</v>
      </c>
      <c r="M199" s="124">
        <v>0</v>
      </c>
      <c r="N199" s="124">
        <v>0</v>
      </c>
      <c r="O199" s="124">
        <v>0</v>
      </c>
      <c r="P199" s="124">
        <v>0</v>
      </c>
      <c r="Q199" s="124">
        <v>0</v>
      </c>
      <c r="R199" s="124">
        <v>0</v>
      </c>
      <c r="S199" s="124">
        <v>0</v>
      </c>
      <c r="T199" s="124">
        <v>0</v>
      </c>
      <c r="U199" s="124">
        <v>0</v>
      </c>
      <c r="V199" s="124">
        <v>0</v>
      </c>
      <c r="W199" s="124">
        <v>0</v>
      </c>
      <c r="X199" s="124">
        <v>0</v>
      </c>
      <c r="Y199" s="124">
        <v>0</v>
      </c>
      <c r="Z199" s="124">
        <v>0</v>
      </c>
      <c r="AA199" s="124">
        <v>0</v>
      </c>
      <c r="AB199" s="124">
        <v>0</v>
      </c>
      <c r="AC199" s="124">
        <v>0</v>
      </c>
      <c r="AD199" s="124">
        <v>0</v>
      </c>
      <c r="AE199" s="124">
        <v>0</v>
      </c>
      <c r="AF199" s="124">
        <v>0</v>
      </c>
      <c r="AG199" s="124">
        <v>0</v>
      </c>
      <c r="AH199" s="124">
        <v>0</v>
      </c>
      <c r="AI199" s="124">
        <v>0</v>
      </c>
      <c r="AJ199" s="124">
        <v>0</v>
      </c>
      <c r="AK199" s="124">
        <v>0</v>
      </c>
      <c r="AL199" s="124">
        <v>0</v>
      </c>
      <c r="AM199" s="124">
        <v>0</v>
      </c>
      <c r="AN199" s="124">
        <v>0</v>
      </c>
      <c r="AO199" s="124">
        <v>0</v>
      </c>
      <c r="AP199" s="124">
        <v>0</v>
      </c>
      <c r="AQ199" s="124">
        <v>0</v>
      </c>
      <c r="AR199" s="124">
        <v>0</v>
      </c>
      <c r="AS199" s="124">
        <v>0</v>
      </c>
      <c r="AT199" s="124">
        <v>0</v>
      </c>
      <c r="AU199" s="124">
        <v>0</v>
      </c>
      <c r="AV199" s="124">
        <v>0</v>
      </c>
      <c r="AW199" s="124">
        <v>0</v>
      </c>
      <c r="AX199" s="124">
        <v>0</v>
      </c>
      <c r="AY199" s="124">
        <v>0</v>
      </c>
    </row>
    <row r="200" spans="1:51" x14ac:dyDescent="0.2">
      <c r="A200" s="127"/>
      <c r="B200" s="137">
        <v>4</v>
      </c>
      <c r="C200" s="124">
        <v>0</v>
      </c>
      <c r="D200" s="124">
        <v>0</v>
      </c>
      <c r="E200" s="124">
        <v>0</v>
      </c>
      <c r="F200" s="124">
        <v>0</v>
      </c>
      <c r="G200" s="124">
        <v>0</v>
      </c>
      <c r="H200" s="124">
        <v>0</v>
      </c>
      <c r="I200" s="124">
        <v>0</v>
      </c>
      <c r="J200" s="124">
        <v>0</v>
      </c>
      <c r="K200" s="124">
        <v>0</v>
      </c>
      <c r="L200" s="124">
        <v>0</v>
      </c>
      <c r="M200" s="124">
        <v>0</v>
      </c>
      <c r="N200" s="124">
        <v>0</v>
      </c>
      <c r="O200" s="124">
        <v>0</v>
      </c>
      <c r="P200" s="124">
        <v>0</v>
      </c>
      <c r="Q200" s="124">
        <v>0</v>
      </c>
      <c r="R200" s="124">
        <v>0</v>
      </c>
      <c r="S200" s="124">
        <v>0</v>
      </c>
      <c r="T200" s="124">
        <v>0</v>
      </c>
      <c r="U200" s="124">
        <v>0</v>
      </c>
      <c r="V200" s="124">
        <v>0</v>
      </c>
      <c r="W200" s="124">
        <v>0</v>
      </c>
      <c r="X200" s="124">
        <v>0</v>
      </c>
      <c r="Y200" s="124">
        <v>0</v>
      </c>
      <c r="Z200" s="124">
        <v>0</v>
      </c>
      <c r="AA200" s="124">
        <v>0</v>
      </c>
      <c r="AB200" s="124">
        <v>0</v>
      </c>
      <c r="AC200" s="124">
        <v>0</v>
      </c>
      <c r="AD200" s="124">
        <v>0</v>
      </c>
      <c r="AE200" s="124">
        <v>0</v>
      </c>
      <c r="AF200" s="124">
        <v>0</v>
      </c>
      <c r="AG200" s="124">
        <v>0</v>
      </c>
      <c r="AH200" s="124">
        <v>0</v>
      </c>
      <c r="AI200" s="124">
        <v>0</v>
      </c>
      <c r="AJ200" s="124">
        <v>0</v>
      </c>
      <c r="AK200" s="124">
        <v>0</v>
      </c>
      <c r="AL200" s="124">
        <v>0</v>
      </c>
      <c r="AM200" s="124">
        <v>0</v>
      </c>
      <c r="AN200" s="124">
        <v>0</v>
      </c>
      <c r="AO200" s="124">
        <v>0</v>
      </c>
      <c r="AP200" s="124">
        <v>0</v>
      </c>
      <c r="AQ200" s="124">
        <v>0</v>
      </c>
      <c r="AR200" s="124">
        <v>0</v>
      </c>
      <c r="AS200" s="124">
        <v>0</v>
      </c>
      <c r="AT200" s="124">
        <v>0</v>
      </c>
      <c r="AU200" s="124">
        <v>0</v>
      </c>
      <c r="AV200" s="124">
        <v>0</v>
      </c>
      <c r="AW200" s="124">
        <v>0</v>
      </c>
      <c r="AX200" s="124">
        <v>0</v>
      </c>
      <c r="AY200" s="124">
        <v>0</v>
      </c>
    </row>
    <row r="201" spans="1:51" x14ac:dyDescent="0.2">
      <c r="A201" s="127"/>
      <c r="B201" s="137">
        <v>5</v>
      </c>
      <c r="C201" s="124">
        <v>0</v>
      </c>
      <c r="D201" s="124">
        <v>0</v>
      </c>
      <c r="E201" s="124">
        <v>0</v>
      </c>
      <c r="F201" s="124">
        <v>0</v>
      </c>
      <c r="G201" s="124">
        <v>0</v>
      </c>
      <c r="H201" s="124">
        <v>0</v>
      </c>
      <c r="I201" s="124">
        <v>0</v>
      </c>
      <c r="J201" s="124">
        <v>0</v>
      </c>
      <c r="K201" s="124">
        <v>0</v>
      </c>
      <c r="L201" s="124">
        <v>0</v>
      </c>
      <c r="M201" s="124">
        <v>0</v>
      </c>
      <c r="N201" s="124">
        <v>0</v>
      </c>
      <c r="O201" s="124">
        <v>0</v>
      </c>
      <c r="P201" s="124">
        <v>0</v>
      </c>
      <c r="Q201" s="124">
        <v>0</v>
      </c>
      <c r="R201" s="124">
        <v>0</v>
      </c>
      <c r="S201" s="124">
        <v>0</v>
      </c>
      <c r="T201" s="124">
        <v>0</v>
      </c>
      <c r="U201" s="124">
        <v>0</v>
      </c>
      <c r="V201" s="124">
        <v>0</v>
      </c>
      <c r="W201" s="124">
        <v>0</v>
      </c>
      <c r="X201" s="124">
        <v>0</v>
      </c>
      <c r="Y201" s="124">
        <v>0</v>
      </c>
      <c r="Z201" s="124">
        <v>0</v>
      </c>
      <c r="AA201" s="124">
        <v>0</v>
      </c>
      <c r="AB201" s="124">
        <v>0</v>
      </c>
      <c r="AC201" s="124">
        <v>0</v>
      </c>
      <c r="AD201" s="124">
        <v>0</v>
      </c>
      <c r="AE201" s="124">
        <v>0</v>
      </c>
      <c r="AF201" s="124">
        <v>0</v>
      </c>
      <c r="AG201" s="124">
        <v>0</v>
      </c>
      <c r="AH201" s="124">
        <v>0</v>
      </c>
      <c r="AI201" s="124">
        <v>0</v>
      </c>
      <c r="AJ201" s="124">
        <v>0</v>
      </c>
      <c r="AK201" s="124">
        <v>0</v>
      </c>
      <c r="AL201" s="124">
        <v>0</v>
      </c>
      <c r="AM201" s="124">
        <v>0</v>
      </c>
      <c r="AN201" s="124">
        <v>0</v>
      </c>
      <c r="AO201" s="124">
        <v>0</v>
      </c>
      <c r="AP201" s="124">
        <v>0</v>
      </c>
      <c r="AQ201" s="124">
        <v>0</v>
      </c>
      <c r="AR201" s="124">
        <v>0</v>
      </c>
      <c r="AS201" s="124">
        <v>0</v>
      </c>
      <c r="AT201" s="124">
        <v>0</v>
      </c>
      <c r="AU201" s="124">
        <v>0</v>
      </c>
      <c r="AV201" s="124">
        <v>0</v>
      </c>
      <c r="AW201" s="124">
        <v>0</v>
      </c>
      <c r="AX201" s="124">
        <v>0</v>
      </c>
      <c r="AY201" s="124">
        <v>0</v>
      </c>
    </row>
    <row r="202" spans="1:51" x14ac:dyDescent="0.2">
      <c r="A202" s="127"/>
      <c r="B202" s="137">
        <v>6</v>
      </c>
      <c r="C202" s="124">
        <v>0</v>
      </c>
      <c r="D202" s="124">
        <v>0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0</v>
      </c>
      <c r="L202" s="124">
        <v>0</v>
      </c>
      <c r="M202" s="124">
        <v>0</v>
      </c>
      <c r="N202" s="124">
        <v>0</v>
      </c>
      <c r="O202" s="124">
        <v>0</v>
      </c>
      <c r="P202" s="124">
        <v>0</v>
      </c>
      <c r="Q202" s="124">
        <v>0</v>
      </c>
      <c r="R202" s="124">
        <v>0</v>
      </c>
      <c r="S202" s="124">
        <v>0</v>
      </c>
      <c r="T202" s="124">
        <v>0</v>
      </c>
      <c r="U202" s="124">
        <v>0</v>
      </c>
      <c r="V202" s="124">
        <v>0</v>
      </c>
      <c r="W202" s="124">
        <v>0</v>
      </c>
      <c r="X202" s="124">
        <v>0</v>
      </c>
      <c r="Y202" s="124">
        <v>0</v>
      </c>
      <c r="Z202" s="124">
        <v>0</v>
      </c>
      <c r="AA202" s="124">
        <v>0</v>
      </c>
      <c r="AB202" s="124">
        <v>0</v>
      </c>
      <c r="AC202" s="124">
        <v>0</v>
      </c>
      <c r="AD202" s="124">
        <v>0</v>
      </c>
      <c r="AE202" s="124">
        <v>0</v>
      </c>
      <c r="AF202" s="124">
        <v>0</v>
      </c>
      <c r="AG202" s="124">
        <v>0</v>
      </c>
      <c r="AH202" s="124">
        <v>0</v>
      </c>
      <c r="AI202" s="124">
        <v>0</v>
      </c>
      <c r="AJ202" s="124">
        <v>0</v>
      </c>
      <c r="AK202" s="124">
        <v>0</v>
      </c>
      <c r="AL202" s="124">
        <v>0</v>
      </c>
      <c r="AM202" s="124">
        <v>0</v>
      </c>
      <c r="AN202" s="124">
        <v>0</v>
      </c>
      <c r="AO202" s="124">
        <v>0</v>
      </c>
      <c r="AP202" s="124">
        <v>0</v>
      </c>
      <c r="AQ202" s="124">
        <v>0</v>
      </c>
      <c r="AR202" s="124">
        <v>0</v>
      </c>
      <c r="AS202" s="124">
        <v>0</v>
      </c>
      <c r="AT202" s="124">
        <v>0</v>
      </c>
      <c r="AU202" s="124">
        <v>0</v>
      </c>
      <c r="AV202" s="124">
        <v>0</v>
      </c>
      <c r="AW202" s="124">
        <v>0</v>
      </c>
      <c r="AX202" s="124">
        <v>0</v>
      </c>
      <c r="AY202" s="124">
        <v>0</v>
      </c>
    </row>
    <row r="203" spans="1:51" x14ac:dyDescent="0.2">
      <c r="A203" s="127"/>
      <c r="B203" s="144">
        <v>7</v>
      </c>
      <c r="C203" s="124">
        <v>0</v>
      </c>
      <c r="D203" s="124">
        <v>0</v>
      </c>
      <c r="E203" s="124">
        <v>0</v>
      </c>
      <c r="F203" s="124">
        <v>0</v>
      </c>
      <c r="G203" s="124">
        <v>0</v>
      </c>
      <c r="H203" s="124">
        <v>0</v>
      </c>
      <c r="I203" s="124">
        <v>0</v>
      </c>
      <c r="J203" s="124">
        <v>0</v>
      </c>
      <c r="K203" s="124">
        <v>0</v>
      </c>
      <c r="L203" s="124">
        <v>1679</v>
      </c>
      <c r="M203" s="124">
        <v>1459</v>
      </c>
      <c r="N203" s="124">
        <v>1394</v>
      </c>
      <c r="O203" s="124">
        <v>1643</v>
      </c>
      <c r="P203" s="124">
        <v>1741</v>
      </c>
      <c r="Q203" s="124">
        <v>1385</v>
      </c>
      <c r="R203" s="124">
        <v>1363</v>
      </c>
      <c r="S203" s="124">
        <v>1298</v>
      </c>
      <c r="T203" s="124">
        <v>1700</v>
      </c>
      <c r="U203" s="124">
        <v>1410</v>
      </c>
      <c r="V203" s="124">
        <v>1325</v>
      </c>
      <c r="W203" s="124">
        <v>1721</v>
      </c>
      <c r="X203" s="124">
        <v>1835</v>
      </c>
      <c r="Y203" s="124">
        <v>1477</v>
      </c>
      <c r="Z203" s="124">
        <v>1464</v>
      </c>
      <c r="AA203" s="124">
        <v>1535</v>
      </c>
      <c r="AB203" s="124">
        <v>1421</v>
      </c>
      <c r="AC203" s="124">
        <v>1466</v>
      </c>
      <c r="AD203" s="124">
        <v>1829</v>
      </c>
      <c r="AE203" s="124">
        <v>1681</v>
      </c>
      <c r="AF203" s="124">
        <v>1339</v>
      </c>
      <c r="AG203" s="124">
        <v>1926</v>
      </c>
      <c r="AH203" s="124">
        <v>1891</v>
      </c>
      <c r="AI203" s="124">
        <v>1587</v>
      </c>
      <c r="AJ203" s="124">
        <v>1903</v>
      </c>
      <c r="AK203" s="124">
        <v>1354.1994414770911</v>
      </c>
      <c r="AL203" s="124">
        <v>1253.8208500442229</v>
      </c>
      <c r="AM203" s="124">
        <v>898.18903113588249</v>
      </c>
      <c r="AN203" s="124">
        <v>1002.6993000460457</v>
      </c>
      <c r="AO203" s="124">
        <v>1171.1170929657769</v>
      </c>
      <c r="AP203" s="124">
        <v>1446.5634679864947</v>
      </c>
      <c r="AQ203" s="124">
        <v>1826</v>
      </c>
      <c r="AR203" s="124">
        <v>1488</v>
      </c>
      <c r="AS203" s="124">
        <v>1686</v>
      </c>
      <c r="AT203" s="124">
        <v>1302.0199147314295</v>
      </c>
      <c r="AU203" s="124">
        <v>1531</v>
      </c>
      <c r="AV203" s="124">
        <v>1742</v>
      </c>
      <c r="AW203" s="124">
        <v>1606</v>
      </c>
      <c r="AX203" s="124">
        <v>1320</v>
      </c>
      <c r="AY203" s="124">
        <v>1488</v>
      </c>
    </row>
    <row r="204" spans="1:51" x14ac:dyDescent="0.2">
      <c r="A204" s="127"/>
      <c r="B204" s="144">
        <v>8</v>
      </c>
      <c r="C204" s="124">
        <v>0</v>
      </c>
      <c r="D204" s="124">
        <v>0</v>
      </c>
      <c r="E204" s="124">
        <v>0</v>
      </c>
      <c r="F204" s="124">
        <v>0</v>
      </c>
      <c r="G204" s="124">
        <v>0</v>
      </c>
      <c r="H204" s="124">
        <v>501.59405191005453</v>
      </c>
      <c r="I204" s="124">
        <v>1620</v>
      </c>
      <c r="J204" s="124">
        <v>1624</v>
      </c>
      <c r="K204" s="124">
        <v>1444</v>
      </c>
      <c r="L204" s="124">
        <v>0</v>
      </c>
      <c r="M204" s="124">
        <v>0</v>
      </c>
      <c r="N204" s="124">
        <v>0</v>
      </c>
      <c r="O204" s="124">
        <v>0</v>
      </c>
      <c r="P204" s="124">
        <v>0</v>
      </c>
      <c r="Q204" s="124">
        <v>0</v>
      </c>
      <c r="R204" s="124">
        <v>0</v>
      </c>
      <c r="S204" s="124">
        <v>0</v>
      </c>
      <c r="T204" s="124">
        <v>0</v>
      </c>
      <c r="U204" s="124">
        <v>0</v>
      </c>
      <c r="V204" s="124">
        <v>0</v>
      </c>
      <c r="W204" s="124">
        <v>0</v>
      </c>
      <c r="X204" s="124">
        <v>0</v>
      </c>
      <c r="Y204" s="124">
        <v>0</v>
      </c>
      <c r="Z204" s="124">
        <v>0</v>
      </c>
      <c r="AA204" s="124">
        <v>0</v>
      </c>
      <c r="AB204" s="124">
        <v>0</v>
      </c>
      <c r="AC204" s="124">
        <v>0</v>
      </c>
      <c r="AD204" s="124">
        <v>0</v>
      </c>
      <c r="AE204" s="124">
        <v>0</v>
      </c>
      <c r="AF204" s="124">
        <v>0</v>
      </c>
      <c r="AG204" s="124">
        <v>0</v>
      </c>
      <c r="AH204" s="124">
        <v>0</v>
      </c>
      <c r="AI204" s="124">
        <v>0</v>
      </c>
      <c r="AJ204" s="124">
        <v>0</v>
      </c>
      <c r="AK204" s="124">
        <v>117.80055852290889</v>
      </c>
      <c r="AL204" s="124">
        <v>543.17914995577712</v>
      </c>
      <c r="AM204" s="124">
        <v>714.81096886411751</v>
      </c>
      <c r="AN204" s="124">
        <v>418.30069995395434</v>
      </c>
      <c r="AO204" s="124">
        <v>419.88290703422308</v>
      </c>
      <c r="AP204" s="124">
        <v>9.4365320135052571</v>
      </c>
      <c r="AQ204" s="124">
        <v>0</v>
      </c>
      <c r="AR204" s="124">
        <v>0</v>
      </c>
      <c r="AS204" s="124">
        <v>0</v>
      </c>
      <c r="AT204" s="124">
        <v>267.98008526857052</v>
      </c>
      <c r="AU204" s="124">
        <v>0</v>
      </c>
      <c r="AV204" s="124">
        <v>0</v>
      </c>
      <c r="AW204" s="124">
        <v>0</v>
      </c>
      <c r="AX204" s="124">
        <v>0</v>
      </c>
      <c r="AY204" s="124">
        <v>0</v>
      </c>
    </row>
    <row r="205" spans="1:51" x14ac:dyDescent="0.2">
      <c r="A205" s="127"/>
      <c r="B205" s="144">
        <v>9</v>
      </c>
      <c r="C205" s="124">
        <v>1356.0775696129933</v>
      </c>
      <c r="D205" s="124">
        <v>1698.6170171860813</v>
      </c>
      <c r="E205" s="124">
        <v>1540</v>
      </c>
      <c r="F205" s="124">
        <v>1659.1979150597576</v>
      </c>
      <c r="G205" s="124">
        <v>1588.533583168894</v>
      </c>
      <c r="H205" s="124">
        <v>646.40594808994547</v>
      </c>
      <c r="I205" s="124">
        <v>0</v>
      </c>
      <c r="J205" s="124">
        <v>0</v>
      </c>
      <c r="K205" s="124">
        <v>0</v>
      </c>
      <c r="L205" s="124">
        <v>0</v>
      </c>
      <c r="M205" s="124">
        <v>0</v>
      </c>
      <c r="N205" s="124">
        <v>0</v>
      </c>
      <c r="O205" s="124">
        <v>0</v>
      </c>
      <c r="P205" s="124">
        <v>0</v>
      </c>
      <c r="Q205" s="124">
        <v>0</v>
      </c>
      <c r="R205" s="124">
        <v>0</v>
      </c>
      <c r="S205" s="124">
        <v>0</v>
      </c>
      <c r="T205" s="124">
        <v>0</v>
      </c>
      <c r="U205" s="124">
        <v>0</v>
      </c>
      <c r="V205" s="124">
        <v>0</v>
      </c>
      <c r="W205" s="124">
        <v>0</v>
      </c>
      <c r="X205" s="124">
        <v>0</v>
      </c>
      <c r="Y205" s="124">
        <v>0</v>
      </c>
      <c r="Z205" s="124">
        <v>0</v>
      </c>
      <c r="AA205" s="124">
        <v>0</v>
      </c>
      <c r="AB205" s="124">
        <v>0</v>
      </c>
      <c r="AC205" s="124">
        <v>0</v>
      </c>
      <c r="AD205" s="124">
        <v>0</v>
      </c>
      <c r="AE205" s="124">
        <v>0</v>
      </c>
      <c r="AF205" s="124">
        <v>0</v>
      </c>
      <c r="AG205" s="124">
        <v>0</v>
      </c>
      <c r="AH205" s="124">
        <v>0</v>
      </c>
      <c r="AI205" s="124">
        <v>0</v>
      </c>
      <c r="AJ205" s="124">
        <v>0</v>
      </c>
      <c r="AK205" s="124">
        <v>0</v>
      </c>
      <c r="AL205" s="124">
        <v>0</v>
      </c>
      <c r="AM205" s="124">
        <v>0</v>
      </c>
      <c r="AN205" s="124">
        <v>0</v>
      </c>
      <c r="AO205" s="124">
        <v>0</v>
      </c>
      <c r="AP205" s="124">
        <v>0</v>
      </c>
      <c r="AQ205" s="124">
        <v>0</v>
      </c>
      <c r="AR205" s="124">
        <v>0</v>
      </c>
      <c r="AS205" s="124">
        <v>0</v>
      </c>
      <c r="AT205" s="124">
        <v>0</v>
      </c>
      <c r="AU205" s="124">
        <v>0</v>
      </c>
      <c r="AV205" s="124">
        <v>0</v>
      </c>
      <c r="AW205" s="124">
        <v>0</v>
      </c>
      <c r="AX205" s="124">
        <v>0</v>
      </c>
      <c r="AY205" s="124">
        <v>0</v>
      </c>
    </row>
    <row r="206" spans="1:51" x14ac:dyDescent="0.2">
      <c r="A206" s="127"/>
      <c r="B206" s="147">
        <v>10</v>
      </c>
      <c r="C206" s="124">
        <v>0</v>
      </c>
      <c r="D206" s="124">
        <v>0</v>
      </c>
      <c r="E206" s="124">
        <v>0</v>
      </c>
      <c r="F206" s="124">
        <v>0</v>
      </c>
      <c r="G206" s="124">
        <v>0</v>
      </c>
      <c r="H206" s="124">
        <v>0</v>
      </c>
      <c r="I206" s="124">
        <v>0</v>
      </c>
      <c r="J206" s="124">
        <v>0</v>
      </c>
      <c r="K206" s="124">
        <v>0</v>
      </c>
      <c r="L206" s="124">
        <v>0</v>
      </c>
      <c r="M206" s="124">
        <v>0</v>
      </c>
      <c r="N206" s="124">
        <v>0</v>
      </c>
      <c r="O206" s="124">
        <v>0</v>
      </c>
      <c r="P206" s="124">
        <v>0</v>
      </c>
      <c r="Q206" s="124">
        <v>0</v>
      </c>
      <c r="R206" s="124">
        <v>0</v>
      </c>
      <c r="S206" s="124">
        <v>0</v>
      </c>
      <c r="T206" s="124">
        <v>0</v>
      </c>
      <c r="U206" s="124">
        <v>0</v>
      </c>
      <c r="V206" s="124">
        <v>0</v>
      </c>
      <c r="W206" s="124">
        <v>0</v>
      </c>
      <c r="X206" s="124">
        <v>0</v>
      </c>
      <c r="Y206" s="124">
        <v>0</v>
      </c>
      <c r="Z206" s="124">
        <v>0</v>
      </c>
      <c r="AA206" s="124">
        <v>0</v>
      </c>
      <c r="AB206" s="124">
        <v>0</v>
      </c>
      <c r="AC206" s="124">
        <v>0</v>
      </c>
      <c r="AD206" s="124">
        <v>0</v>
      </c>
      <c r="AE206" s="124">
        <v>0</v>
      </c>
      <c r="AF206" s="124">
        <v>0</v>
      </c>
      <c r="AG206" s="124">
        <v>0</v>
      </c>
      <c r="AH206" s="124">
        <v>0</v>
      </c>
      <c r="AI206" s="124">
        <v>0</v>
      </c>
      <c r="AJ206" s="124">
        <v>0</v>
      </c>
      <c r="AK206" s="124">
        <v>0</v>
      </c>
      <c r="AL206" s="124">
        <v>0</v>
      </c>
      <c r="AM206" s="124">
        <v>0</v>
      </c>
      <c r="AN206" s="124">
        <v>0</v>
      </c>
      <c r="AO206" s="124">
        <v>0</v>
      </c>
      <c r="AP206" s="124">
        <v>0</v>
      </c>
      <c r="AQ206" s="124">
        <v>0</v>
      </c>
      <c r="AR206" s="124">
        <v>0</v>
      </c>
      <c r="AS206" s="124">
        <v>0</v>
      </c>
      <c r="AT206" s="124">
        <v>0</v>
      </c>
      <c r="AU206" s="124">
        <v>0</v>
      </c>
      <c r="AV206" s="124">
        <v>0</v>
      </c>
      <c r="AW206" s="124">
        <v>0</v>
      </c>
      <c r="AX206" s="124">
        <v>0</v>
      </c>
      <c r="AY206" s="124">
        <v>0</v>
      </c>
    </row>
    <row r="207" spans="1:51" x14ac:dyDescent="0.2">
      <c r="A207" s="127"/>
      <c r="B207" s="147">
        <v>11</v>
      </c>
      <c r="C207" s="124">
        <v>0</v>
      </c>
      <c r="D207" s="124">
        <v>0</v>
      </c>
      <c r="E207" s="124">
        <v>0</v>
      </c>
      <c r="F207" s="124">
        <v>0</v>
      </c>
      <c r="G207" s="124">
        <v>0</v>
      </c>
      <c r="H207" s="124">
        <v>0</v>
      </c>
      <c r="I207" s="124">
        <v>0</v>
      </c>
      <c r="J207" s="124">
        <v>0</v>
      </c>
      <c r="K207" s="124">
        <v>0</v>
      </c>
      <c r="L207" s="124">
        <v>0</v>
      </c>
      <c r="M207" s="124">
        <v>0</v>
      </c>
      <c r="N207" s="124">
        <v>0</v>
      </c>
      <c r="O207" s="124">
        <v>0</v>
      </c>
      <c r="P207" s="124">
        <v>0</v>
      </c>
      <c r="Q207" s="124">
        <v>0</v>
      </c>
      <c r="R207" s="124">
        <v>0</v>
      </c>
      <c r="S207" s="124">
        <v>0</v>
      </c>
      <c r="T207" s="124">
        <v>0</v>
      </c>
      <c r="U207" s="124">
        <v>0</v>
      </c>
      <c r="V207" s="124">
        <v>0</v>
      </c>
      <c r="W207" s="124">
        <v>0</v>
      </c>
      <c r="X207" s="124">
        <v>0</v>
      </c>
      <c r="Y207" s="124">
        <v>0</v>
      </c>
      <c r="Z207" s="124">
        <v>0</v>
      </c>
      <c r="AA207" s="124">
        <v>0</v>
      </c>
      <c r="AB207" s="124">
        <v>0</v>
      </c>
      <c r="AC207" s="124">
        <v>0</v>
      </c>
      <c r="AD207" s="124">
        <v>0</v>
      </c>
      <c r="AE207" s="124">
        <v>0</v>
      </c>
      <c r="AF207" s="124">
        <v>0</v>
      </c>
      <c r="AG207" s="124">
        <v>0</v>
      </c>
      <c r="AH207" s="124">
        <v>0</v>
      </c>
      <c r="AI207" s="124">
        <v>0</v>
      </c>
      <c r="AJ207" s="124">
        <v>0</v>
      </c>
      <c r="AK207" s="124">
        <v>0</v>
      </c>
      <c r="AL207" s="124">
        <v>0</v>
      </c>
      <c r="AM207" s="124">
        <v>0</v>
      </c>
      <c r="AN207" s="124">
        <v>0</v>
      </c>
      <c r="AO207" s="124">
        <v>0</v>
      </c>
      <c r="AP207" s="124">
        <v>0</v>
      </c>
      <c r="AQ207" s="124">
        <v>0</v>
      </c>
      <c r="AR207" s="124">
        <v>0</v>
      </c>
      <c r="AS207" s="124">
        <v>0</v>
      </c>
      <c r="AT207" s="124">
        <v>0</v>
      </c>
      <c r="AU207" s="124">
        <v>0</v>
      </c>
      <c r="AV207" s="124">
        <v>0</v>
      </c>
      <c r="AW207" s="124">
        <v>0</v>
      </c>
      <c r="AX207" s="124">
        <v>0</v>
      </c>
      <c r="AY207" s="124">
        <v>0</v>
      </c>
    </row>
    <row r="208" spans="1:51" x14ac:dyDescent="0.2">
      <c r="A208" s="127"/>
      <c r="B208" s="147">
        <v>12</v>
      </c>
      <c r="C208" s="124">
        <v>0</v>
      </c>
      <c r="D208" s="124">
        <v>0</v>
      </c>
      <c r="E208" s="124">
        <v>0</v>
      </c>
      <c r="F208" s="124">
        <v>0</v>
      </c>
      <c r="G208" s="124">
        <v>0</v>
      </c>
      <c r="H208" s="124">
        <v>0</v>
      </c>
      <c r="I208" s="124">
        <v>0</v>
      </c>
      <c r="J208" s="124">
        <v>0</v>
      </c>
      <c r="K208" s="124">
        <v>0</v>
      </c>
      <c r="L208" s="124">
        <v>0</v>
      </c>
      <c r="M208" s="124">
        <v>0</v>
      </c>
      <c r="N208" s="124">
        <v>0</v>
      </c>
      <c r="O208" s="124">
        <v>0</v>
      </c>
      <c r="P208" s="124">
        <v>0</v>
      </c>
      <c r="Q208" s="124">
        <v>0</v>
      </c>
      <c r="R208" s="124">
        <v>0</v>
      </c>
      <c r="S208" s="124">
        <v>0</v>
      </c>
      <c r="T208" s="124">
        <v>0</v>
      </c>
      <c r="U208" s="124">
        <v>0</v>
      </c>
      <c r="V208" s="124">
        <v>0</v>
      </c>
      <c r="W208" s="124">
        <v>0</v>
      </c>
      <c r="X208" s="124">
        <v>0</v>
      </c>
      <c r="Y208" s="124">
        <v>0</v>
      </c>
      <c r="Z208" s="124">
        <v>0</v>
      </c>
      <c r="AA208" s="124">
        <v>0</v>
      </c>
      <c r="AB208" s="124">
        <v>0</v>
      </c>
      <c r="AC208" s="124">
        <v>0</v>
      </c>
      <c r="AD208" s="124">
        <v>0</v>
      </c>
      <c r="AE208" s="124">
        <v>0</v>
      </c>
      <c r="AF208" s="124">
        <v>0</v>
      </c>
      <c r="AG208" s="124">
        <v>0</v>
      </c>
      <c r="AH208" s="124">
        <v>0</v>
      </c>
      <c r="AI208" s="124">
        <v>0</v>
      </c>
      <c r="AJ208" s="124">
        <v>0</v>
      </c>
      <c r="AK208" s="124">
        <v>0</v>
      </c>
      <c r="AL208" s="124">
        <v>0</v>
      </c>
      <c r="AM208" s="124">
        <v>0</v>
      </c>
      <c r="AN208" s="124">
        <v>0</v>
      </c>
      <c r="AO208" s="124">
        <v>0</v>
      </c>
      <c r="AP208" s="124">
        <v>0</v>
      </c>
      <c r="AQ208" s="124">
        <v>0</v>
      </c>
      <c r="AR208" s="124">
        <v>0</v>
      </c>
      <c r="AS208" s="124">
        <v>0</v>
      </c>
      <c r="AT208" s="124">
        <v>0</v>
      </c>
      <c r="AU208" s="124">
        <v>0</v>
      </c>
      <c r="AV208" s="124">
        <v>0</v>
      </c>
      <c r="AW208" s="124">
        <v>0</v>
      </c>
      <c r="AX208" s="124">
        <v>0</v>
      </c>
      <c r="AY208" s="124">
        <v>0</v>
      </c>
    </row>
    <row r="209" spans="1:51" x14ac:dyDescent="0.2">
      <c r="A209" s="143" t="s">
        <v>123</v>
      </c>
      <c r="B209" s="140">
        <v>1</v>
      </c>
      <c r="C209" s="141">
        <v>179.48209905093813</v>
      </c>
      <c r="D209" s="141">
        <v>0</v>
      </c>
      <c r="E209" s="141">
        <v>0</v>
      </c>
      <c r="F209" s="141">
        <v>0</v>
      </c>
      <c r="G209" s="141">
        <v>0</v>
      </c>
      <c r="H209" s="141">
        <v>0</v>
      </c>
      <c r="I209" s="141">
        <v>0</v>
      </c>
      <c r="J209" s="141">
        <v>0</v>
      </c>
      <c r="K209" s="141">
        <v>0</v>
      </c>
      <c r="L209" s="141">
        <v>0</v>
      </c>
      <c r="M209" s="141">
        <v>0</v>
      </c>
      <c r="N209" s="141">
        <v>0</v>
      </c>
      <c r="O209" s="141">
        <v>0</v>
      </c>
      <c r="P209" s="141">
        <v>0</v>
      </c>
      <c r="Q209" s="141">
        <v>0</v>
      </c>
      <c r="R209" s="141">
        <v>0</v>
      </c>
      <c r="S209" s="141">
        <v>0</v>
      </c>
      <c r="T209" s="141">
        <v>0</v>
      </c>
      <c r="U209" s="141">
        <v>0</v>
      </c>
      <c r="V209" s="141">
        <v>0</v>
      </c>
      <c r="W209" s="141">
        <v>0</v>
      </c>
      <c r="X209" s="141">
        <v>0</v>
      </c>
      <c r="Y209" s="141">
        <v>0</v>
      </c>
      <c r="Z209" s="141">
        <v>0</v>
      </c>
      <c r="AA209" s="141">
        <v>0</v>
      </c>
      <c r="AB209" s="141">
        <v>0</v>
      </c>
      <c r="AC209" s="141">
        <v>0</v>
      </c>
      <c r="AD209" s="141">
        <v>0</v>
      </c>
      <c r="AE209" s="141">
        <v>0</v>
      </c>
      <c r="AF209" s="141">
        <v>0</v>
      </c>
      <c r="AG209" s="141">
        <v>0</v>
      </c>
      <c r="AH209" s="141">
        <v>0</v>
      </c>
      <c r="AI209" s="141">
        <v>0</v>
      </c>
      <c r="AJ209" s="141">
        <v>0</v>
      </c>
      <c r="AK209" s="141">
        <v>0</v>
      </c>
      <c r="AL209" s="141">
        <v>0</v>
      </c>
      <c r="AM209" s="141">
        <v>0</v>
      </c>
      <c r="AN209" s="141">
        <v>0</v>
      </c>
      <c r="AO209" s="141">
        <v>0</v>
      </c>
      <c r="AP209" s="141">
        <v>0</v>
      </c>
      <c r="AQ209" s="141">
        <v>0</v>
      </c>
      <c r="AR209" s="141">
        <v>0</v>
      </c>
      <c r="AS209" s="141">
        <v>0</v>
      </c>
      <c r="AT209" s="141">
        <v>0</v>
      </c>
      <c r="AU209" s="141">
        <v>0</v>
      </c>
      <c r="AV209" s="141">
        <v>0</v>
      </c>
      <c r="AW209" s="141">
        <v>0</v>
      </c>
      <c r="AX209" s="141">
        <v>0</v>
      </c>
      <c r="AY209" s="141">
        <v>0</v>
      </c>
    </row>
    <row r="210" spans="1:51" x14ac:dyDescent="0.2">
      <c r="A210" s="127"/>
      <c r="B210" s="136">
        <v>2</v>
      </c>
      <c r="C210" s="124">
        <v>1274.5954705620552</v>
      </c>
      <c r="D210" s="128">
        <v>1143.6170171860813</v>
      </c>
      <c r="E210" s="128">
        <v>721.97236070120562</v>
      </c>
      <c r="F210" s="128">
        <v>691.17164926198052</v>
      </c>
      <c r="G210" s="128">
        <v>483.16581172708311</v>
      </c>
      <c r="H210" s="128">
        <v>217.86342665364612</v>
      </c>
      <c r="I210" s="128">
        <v>209.92739357162725</v>
      </c>
      <c r="J210" s="128">
        <v>84.972354484355037</v>
      </c>
      <c r="K210" s="128">
        <v>22.633187473005592</v>
      </c>
      <c r="L210" s="128">
        <v>55.276894501852667</v>
      </c>
      <c r="M210" s="128">
        <v>177.74107972563729</v>
      </c>
      <c r="N210" s="128">
        <v>241.24791406365796</v>
      </c>
      <c r="O210" s="128">
        <v>181.21643602249208</v>
      </c>
      <c r="P210" s="128">
        <v>207.21899775472434</v>
      </c>
      <c r="Q210" s="128">
        <v>145.96661525878756</v>
      </c>
      <c r="R210" s="128">
        <v>277.22670318532039</v>
      </c>
      <c r="S210" s="128">
        <v>262.67219783405187</v>
      </c>
      <c r="T210" s="128">
        <v>90.834522100998925</v>
      </c>
      <c r="U210" s="128">
        <v>195.90795007418865</v>
      </c>
      <c r="V210" s="128">
        <v>241.55143945878228</v>
      </c>
      <c r="W210" s="128">
        <v>316.41231651697456</v>
      </c>
      <c r="X210" s="128">
        <v>196.92300965308857</v>
      </c>
      <c r="Y210" s="128">
        <v>288.12714082880905</v>
      </c>
      <c r="Z210" s="128">
        <v>437.85449197293258</v>
      </c>
      <c r="AA210" s="128">
        <v>255.72385746991972</v>
      </c>
      <c r="AB210" s="128">
        <v>230.47664006073751</v>
      </c>
      <c r="AC210" s="128">
        <v>176.15742377632796</v>
      </c>
      <c r="AD210" s="128">
        <v>410.32343503403649</v>
      </c>
      <c r="AE210" s="128">
        <v>168.18565621577693</v>
      </c>
      <c r="AF210" s="128">
        <v>147.05917924082746</v>
      </c>
      <c r="AG210" s="128">
        <v>418.84636196631925</v>
      </c>
      <c r="AH210" s="128">
        <v>577.07903166992378</v>
      </c>
      <c r="AI210" s="128">
        <v>637.73649741081556</v>
      </c>
      <c r="AJ210" s="128">
        <v>316.13899639243004</v>
      </c>
      <c r="AK210" s="128">
        <v>279.74170092124427</v>
      </c>
      <c r="AL210" s="128">
        <v>382.1844075459411</v>
      </c>
      <c r="AM210" s="128">
        <v>376.20002797458244</v>
      </c>
      <c r="AN210" s="128">
        <v>550.89172935189674</v>
      </c>
      <c r="AO210" s="128">
        <v>419.58971776453939</v>
      </c>
      <c r="AP210" s="128">
        <v>231.41483032387976</v>
      </c>
      <c r="AQ210" s="128">
        <v>278.64980417689742</v>
      </c>
      <c r="AR210" s="128">
        <v>236.47932404375206</v>
      </c>
      <c r="AS210" s="128">
        <v>337.56190708419888</v>
      </c>
      <c r="AT210" s="128">
        <v>469.8919227324393</v>
      </c>
      <c r="AU210" s="128">
        <v>532.94423777676195</v>
      </c>
      <c r="AV210" s="128">
        <v>56.111758339746416</v>
      </c>
      <c r="AW210" s="128">
        <v>0.26460666689467871</v>
      </c>
      <c r="AX210" s="128">
        <v>266.99708468911308</v>
      </c>
      <c r="AY210" s="128">
        <v>721.73813914983168</v>
      </c>
    </row>
    <row r="211" spans="1:51" x14ac:dyDescent="0.2">
      <c r="A211" s="127"/>
      <c r="B211" s="136">
        <v>3</v>
      </c>
      <c r="C211" s="124">
        <v>0</v>
      </c>
      <c r="D211" s="128">
        <v>0</v>
      </c>
      <c r="E211" s="128">
        <v>274.02763929879433</v>
      </c>
      <c r="F211" s="128">
        <v>532.02626579777711</v>
      </c>
      <c r="G211" s="128">
        <v>588.36777144181087</v>
      </c>
      <c r="H211" s="128">
        <v>834.13657334635388</v>
      </c>
      <c r="I211" s="128">
        <v>1005.0726064283728</v>
      </c>
      <c r="J211" s="128">
        <v>1043.027645515645</v>
      </c>
      <c r="K211" s="128">
        <v>1027.3668125269944</v>
      </c>
      <c r="L211" s="128">
        <v>1062.7231054981473</v>
      </c>
      <c r="M211" s="128">
        <v>1115.2589202743627</v>
      </c>
      <c r="N211" s="128">
        <v>974.75208593634204</v>
      </c>
      <c r="O211" s="128">
        <v>1009.7835639775079</v>
      </c>
      <c r="P211" s="128">
        <v>972.78100224527566</v>
      </c>
      <c r="Q211" s="128">
        <v>958.03338474121244</v>
      </c>
      <c r="R211" s="128">
        <v>992.77329681467961</v>
      </c>
      <c r="S211" s="128">
        <v>918.32780216594813</v>
      </c>
      <c r="T211" s="128">
        <v>977.16547789900108</v>
      </c>
      <c r="U211" s="128">
        <v>1095.0920499258114</v>
      </c>
      <c r="V211" s="128">
        <v>964.44856054121772</v>
      </c>
      <c r="W211" s="128">
        <v>920.58768348302544</v>
      </c>
      <c r="X211" s="128">
        <v>914.07699034691143</v>
      </c>
      <c r="Y211" s="128">
        <v>963.87285917119095</v>
      </c>
      <c r="Z211" s="128">
        <v>912.14550802706742</v>
      </c>
      <c r="AA211" s="128">
        <v>898.27614253008028</v>
      </c>
      <c r="AB211" s="128">
        <v>930.52335993926249</v>
      </c>
      <c r="AC211" s="128">
        <v>944.84257622367204</v>
      </c>
      <c r="AD211" s="128">
        <v>957.67656496596351</v>
      </c>
      <c r="AE211" s="128">
        <v>860.81434378422307</v>
      </c>
      <c r="AF211" s="128">
        <v>1119.9408207591725</v>
      </c>
      <c r="AG211" s="128">
        <v>992.15363803368075</v>
      </c>
      <c r="AH211" s="128">
        <v>721.92096833007622</v>
      </c>
      <c r="AI211" s="128">
        <v>748.26350258918444</v>
      </c>
      <c r="AJ211" s="128">
        <v>713.86100360756996</v>
      </c>
      <c r="AK211" s="128">
        <v>896.25829907875573</v>
      </c>
      <c r="AL211" s="128">
        <v>800.8155924540589</v>
      </c>
      <c r="AM211" s="128">
        <v>858.79997202541756</v>
      </c>
      <c r="AN211" s="128">
        <v>746.10827064810326</v>
      </c>
      <c r="AO211" s="128">
        <v>854.41028223546061</v>
      </c>
      <c r="AP211" s="128">
        <v>837.58516967612024</v>
      </c>
      <c r="AQ211" s="128">
        <v>977.35019582310258</v>
      </c>
      <c r="AR211" s="128">
        <v>917.52067595624794</v>
      </c>
      <c r="AS211" s="128">
        <v>941.43809291580112</v>
      </c>
      <c r="AT211" s="128">
        <v>884.1080772675607</v>
      </c>
      <c r="AU211" s="128">
        <v>809.05576222323805</v>
      </c>
      <c r="AV211" s="128">
        <v>861.88824166025358</v>
      </c>
      <c r="AW211" s="128">
        <v>1043.7353933331053</v>
      </c>
      <c r="AX211" s="128">
        <v>1164.0029153108869</v>
      </c>
      <c r="AY211" s="128">
        <v>872.26186085016832</v>
      </c>
    </row>
    <row r="212" spans="1:51" x14ac:dyDescent="0.2">
      <c r="A212" s="127"/>
      <c r="B212" s="136">
        <v>4</v>
      </c>
      <c r="C212" s="124">
        <v>0</v>
      </c>
      <c r="D212" s="128">
        <v>0</v>
      </c>
      <c r="E212" s="128">
        <v>0</v>
      </c>
      <c r="F212" s="128">
        <v>0</v>
      </c>
      <c r="G212" s="128">
        <v>0</v>
      </c>
      <c r="H212" s="128">
        <v>0</v>
      </c>
      <c r="I212" s="128">
        <v>0</v>
      </c>
      <c r="J212" s="128">
        <v>0</v>
      </c>
      <c r="K212" s="128">
        <v>0</v>
      </c>
      <c r="L212" s="128">
        <v>0</v>
      </c>
      <c r="M212" s="128">
        <v>0</v>
      </c>
      <c r="N212" s="128">
        <v>0</v>
      </c>
      <c r="O212" s="128">
        <v>0</v>
      </c>
      <c r="P212" s="128">
        <v>0</v>
      </c>
      <c r="Q212" s="128">
        <v>0</v>
      </c>
      <c r="R212" s="128">
        <v>0</v>
      </c>
      <c r="S212" s="128">
        <v>0</v>
      </c>
      <c r="T212" s="128">
        <v>0</v>
      </c>
      <c r="U212" s="128">
        <v>0</v>
      </c>
      <c r="V212" s="128">
        <v>0</v>
      </c>
      <c r="W212" s="128">
        <v>0</v>
      </c>
      <c r="X212" s="128">
        <v>0</v>
      </c>
      <c r="Y212" s="128">
        <v>0</v>
      </c>
      <c r="Z212" s="128">
        <v>0</v>
      </c>
      <c r="AA212" s="128">
        <v>0</v>
      </c>
      <c r="AB212" s="128">
        <v>0</v>
      </c>
      <c r="AC212" s="128">
        <v>0</v>
      </c>
      <c r="AD212" s="128">
        <v>0</v>
      </c>
      <c r="AE212" s="128">
        <v>0</v>
      </c>
      <c r="AF212" s="128">
        <v>0</v>
      </c>
      <c r="AG212" s="128">
        <v>0</v>
      </c>
      <c r="AH212" s="128">
        <v>0</v>
      </c>
      <c r="AI212" s="128">
        <v>0</v>
      </c>
      <c r="AJ212" s="128">
        <v>0</v>
      </c>
      <c r="AK212" s="128">
        <v>0</v>
      </c>
      <c r="AL212" s="128">
        <v>0</v>
      </c>
      <c r="AM212" s="128">
        <v>0</v>
      </c>
      <c r="AN212" s="128">
        <v>0</v>
      </c>
      <c r="AO212" s="128">
        <v>0</v>
      </c>
      <c r="AP212" s="128">
        <v>0</v>
      </c>
      <c r="AQ212" s="128">
        <v>0</v>
      </c>
      <c r="AR212" s="128">
        <v>0</v>
      </c>
      <c r="AS212" s="128">
        <v>0</v>
      </c>
      <c r="AT212" s="128">
        <v>0</v>
      </c>
      <c r="AU212" s="128">
        <v>0</v>
      </c>
      <c r="AV212" s="128">
        <v>0</v>
      </c>
      <c r="AW212" s="128">
        <v>0</v>
      </c>
      <c r="AX212" s="128">
        <v>0</v>
      </c>
      <c r="AY212" s="128">
        <v>0</v>
      </c>
    </row>
    <row r="213" spans="1:51" x14ac:dyDescent="0.2">
      <c r="A213" s="127"/>
      <c r="B213" s="136">
        <v>5</v>
      </c>
      <c r="C213" s="124">
        <v>0</v>
      </c>
      <c r="D213" s="128">
        <v>0</v>
      </c>
      <c r="E213" s="128">
        <v>0</v>
      </c>
      <c r="F213" s="128">
        <v>0</v>
      </c>
      <c r="G213" s="128">
        <v>0</v>
      </c>
      <c r="H213" s="128">
        <v>0</v>
      </c>
      <c r="I213" s="128">
        <v>0</v>
      </c>
      <c r="J213" s="128">
        <v>0</v>
      </c>
      <c r="K213" s="128">
        <v>0</v>
      </c>
      <c r="L213" s="128">
        <v>0</v>
      </c>
      <c r="M213" s="128">
        <v>0</v>
      </c>
      <c r="N213" s="128">
        <v>0</v>
      </c>
      <c r="O213" s="128">
        <v>0</v>
      </c>
      <c r="P213" s="128">
        <v>0</v>
      </c>
      <c r="Q213" s="128">
        <v>0</v>
      </c>
      <c r="R213" s="128">
        <v>0</v>
      </c>
      <c r="S213" s="128">
        <v>0</v>
      </c>
      <c r="T213" s="128">
        <v>0</v>
      </c>
      <c r="U213" s="128">
        <v>0</v>
      </c>
      <c r="V213" s="128">
        <v>0</v>
      </c>
      <c r="W213" s="128">
        <v>0</v>
      </c>
      <c r="X213" s="128">
        <v>0</v>
      </c>
      <c r="Y213" s="128">
        <v>0</v>
      </c>
      <c r="Z213" s="128">
        <v>0</v>
      </c>
      <c r="AA213" s="128">
        <v>0</v>
      </c>
      <c r="AB213" s="128">
        <v>0</v>
      </c>
      <c r="AC213" s="128">
        <v>0</v>
      </c>
      <c r="AD213" s="128">
        <v>0</v>
      </c>
      <c r="AE213" s="128">
        <v>0</v>
      </c>
      <c r="AF213" s="128">
        <v>0</v>
      </c>
      <c r="AG213" s="128">
        <v>0</v>
      </c>
      <c r="AH213" s="128">
        <v>0</v>
      </c>
      <c r="AI213" s="128">
        <v>0</v>
      </c>
      <c r="AJ213" s="128">
        <v>0</v>
      </c>
      <c r="AK213" s="128">
        <v>0</v>
      </c>
      <c r="AL213" s="128">
        <v>0</v>
      </c>
      <c r="AM213" s="128">
        <v>0</v>
      </c>
      <c r="AN213" s="128">
        <v>0</v>
      </c>
      <c r="AO213" s="128">
        <v>0</v>
      </c>
      <c r="AP213" s="128">
        <v>0</v>
      </c>
      <c r="AQ213" s="128">
        <v>0</v>
      </c>
      <c r="AR213" s="128">
        <v>0</v>
      </c>
      <c r="AS213" s="128">
        <v>0</v>
      </c>
      <c r="AT213" s="128">
        <v>0</v>
      </c>
      <c r="AU213" s="128">
        <v>0</v>
      </c>
      <c r="AV213" s="128">
        <v>0</v>
      </c>
      <c r="AW213" s="128">
        <v>0</v>
      </c>
      <c r="AX213" s="128">
        <v>0</v>
      </c>
      <c r="AY213" s="128">
        <v>0</v>
      </c>
    </row>
    <row r="214" spans="1:51" x14ac:dyDescent="0.2">
      <c r="A214" s="127"/>
      <c r="B214" s="136">
        <v>6</v>
      </c>
      <c r="C214" s="124">
        <v>0</v>
      </c>
      <c r="D214" s="128">
        <v>0</v>
      </c>
      <c r="E214" s="128">
        <v>0</v>
      </c>
      <c r="F214" s="128">
        <v>0</v>
      </c>
      <c r="G214" s="128">
        <v>0</v>
      </c>
      <c r="H214" s="128">
        <v>0</v>
      </c>
      <c r="I214" s="128">
        <v>0</v>
      </c>
      <c r="J214" s="128">
        <v>0</v>
      </c>
      <c r="K214" s="128">
        <v>0</v>
      </c>
      <c r="L214" s="128">
        <v>0</v>
      </c>
      <c r="M214" s="128">
        <v>0</v>
      </c>
      <c r="N214" s="128">
        <v>0</v>
      </c>
      <c r="O214" s="128">
        <v>0</v>
      </c>
      <c r="P214" s="128">
        <v>0</v>
      </c>
      <c r="Q214" s="128">
        <v>0</v>
      </c>
      <c r="R214" s="128">
        <v>0</v>
      </c>
      <c r="S214" s="128">
        <v>0</v>
      </c>
      <c r="T214" s="128">
        <v>0</v>
      </c>
      <c r="U214" s="128">
        <v>0</v>
      </c>
      <c r="V214" s="128">
        <v>0</v>
      </c>
      <c r="W214" s="128">
        <v>0</v>
      </c>
      <c r="X214" s="128">
        <v>0</v>
      </c>
      <c r="Y214" s="128">
        <v>0</v>
      </c>
      <c r="Z214" s="128">
        <v>0</v>
      </c>
      <c r="AA214" s="128">
        <v>0</v>
      </c>
      <c r="AB214" s="128">
        <v>0</v>
      </c>
      <c r="AC214" s="128">
        <v>0</v>
      </c>
      <c r="AD214" s="128">
        <v>0</v>
      </c>
      <c r="AE214" s="128">
        <v>0</v>
      </c>
      <c r="AF214" s="128">
        <v>0</v>
      </c>
      <c r="AG214" s="128">
        <v>0</v>
      </c>
      <c r="AH214" s="128">
        <v>0</v>
      </c>
      <c r="AI214" s="128">
        <v>0</v>
      </c>
      <c r="AJ214" s="128">
        <v>0</v>
      </c>
      <c r="AK214" s="128">
        <v>0</v>
      </c>
      <c r="AL214" s="128">
        <v>0</v>
      </c>
      <c r="AM214" s="128">
        <v>0</v>
      </c>
      <c r="AN214" s="128">
        <v>0</v>
      </c>
      <c r="AO214" s="128">
        <v>0</v>
      </c>
      <c r="AP214" s="128">
        <v>0</v>
      </c>
      <c r="AQ214" s="128">
        <v>0</v>
      </c>
      <c r="AR214" s="128">
        <v>0</v>
      </c>
      <c r="AS214" s="128">
        <v>0</v>
      </c>
      <c r="AT214" s="128">
        <v>0</v>
      </c>
      <c r="AU214" s="128">
        <v>0</v>
      </c>
      <c r="AV214" s="128">
        <v>0</v>
      </c>
      <c r="AW214" s="128">
        <v>0</v>
      </c>
      <c r="AX214" s="128">
        <v>0</v>
      </c>
      <c r="AY214" s="128">
        <v>0</v>
      </c>
    </row>
    <row r="215" spans="1:51" x14ac:dyDescent="0.2">
      <c r="A215" s="127"/>
      <c r="B215" s="136">
        <v>7</v>
      </c>
      <c r="C215" s="124">
        <v>0</v>
      </c>
      <c r="D215" s="128">
        <v>0</v>
      </c>
      <c r="E215" s="128">
        <v>0</v>
      </c>
      <c r="F215" s="128">
        <v>0</v>
      </c>
      <c r="G215" s="128">
        <v>0</v>
      </c>
      <c r="H215" s="128">
        <v>0</v>
      </c>
      <c r="I215" s="128">
        <v>0</v>
      </c>
      <c r="J215" s="128">
        <v>0</v>
      </c>
      <c r="K215" s="128">
        <v>0</v>
      </c>
      <c r="L215" s="128">
        <v>0</v>
      </c>
      <c r="M215" s="128">
        <v>0</v>
      </c>
      <c r="N215" s="128">
        <v>0</v>
      </c>
      <c r="O215" s="128">
        <v>0</v>
      </c>
      <c r="P215" s="128">
        <v>0</v>
      </c>
      <c r="Q215" s="128">
        <v>0</v>
      </c>
      <c r="R215" s="128">
        <v>0</v>
      </c>
      <c r="S215" s="128">
        <v>0</v>
      </c>
      <c r="T215" s="128">
        <v>0</v>
      </c>
      <c r="U215" s="128">
        <v>0</v>
      </c>
      <c r="V215" s="128">
        <v>0</v>
      </c>
      <c r="W215" s="128">
        <v>0</v>
      </c>
      <c r="X215" s="128">
        <v>0</v>
      </c>
      <c r="Y215" s="128">
        <v>0</v>
      </c>
      <c r="Z215" s="128">
        <v>0</v>
      </c>
      <c r="AA215" s="128">
        <v>0</v>
      </c>
      <c r="AB215" s="128">
        <v>0</v>
      </c>
      <c r="AC215" s="128">
        <v>0</v>
      </c>
      <c r="AD215" s="128">
        <v>0</v>
      </c>
      <c r="AE215" s="128">
        <v>0</v>
      </c>
      <c r="AF215" s="128">
        <v>0</v>
      </c>
      <c r="AG215" s="128">
        <v>0</v>
      </c>
      <c r="AH215" s="128">
        <v>0</v>
      </c>
      <c r="AI215" s="128">
        <v>0</v>
      </c>
      <c r="AJ215" s="128">
        <v>0</v>
      </c>
      <c r="AK215" s="128">
        <v>0</v>
      </c>
      <c r="AL215" s="128">
        <v>0</v>
      </c>
      <c r="AM215" s="128">
        <v>0</v>
      </c>
      <c r="AN215" s="128">
        <v>0</v>
      </c>
      <c r="AO215" s="128">
        <v>0</v>
      </c>
      <c r="AP215" s="128">
        <v>0</v>
      </c>
      <c r="AQ215" s="128">
        <v>0</v>
      </c>
      <c r="AR215" s="128">
        <v>0</v>
      </c>
      <c r="AS215" s="128">
        <v>0</v>
      </c>
      <c r="AT215" s="128">
        <v>0</v>
      </c>
      <c r="AU215" s="128">
        <v>0</v>
      </c>
      <c r="AV215" s="128">
        <v>0</v>
      </c>
      <c r="AW215" s="128">
        <v>0</v>
      </c>
      <c r="AX215" s="128">
        <v>0</v>
      </c>
      <c r="AY215" s="128">
        <v>0</v>
      </c>
    </row>
    <row r="216" spans="1:51" x14ac:dyDescent="0.2">
      <c r="A216" s="127"/>
      <c r="B216" s="136">
        <v>8</v>
      </c>
      <c r="C216" s="124">
        <v>0</v>
      </c>
      <c r="D216" s="128">
        <v>0</v>
      </c>
      <c r="E216" s="128">
        <v>0</v>
      </c>
      <c r="F216" s="128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8">
        <v>0</v>
      </c>
      <c r="M216" s="128">
        <v>0</v>
      </c>
      <c r="N216" s="128">
        <v>0</v>
      </c>
      <c r="O216" s="128">
        <v>0</v>
      </c>
      <c r="P216" s="128">
        <v>0</v>
      </c>
      <c r="Q216" s="128">
        <v>0</v>
      </c>
      <c r="R216" s="128">
        <v>0</v>
      </c>
      <c r="S216" s="128">
        <v>0</v>
      </c>
      <c r="T216" s="128">
        <v>0</v>
      </c>
      <c r="U216" s="128">
        <v>0</v>
      </c>
      <c r="V216" s="128">
        <v>0</v>
      </c>
      <c r="W216" s="128">
        <v>0</v>
      </c>
      <c r="X216" s="128">
        <v>0</v>
      </c>
      <c r="Y216" s="128">
        <v>0</v>
      </c>
      <c r="Z216" s="128">
        <v>0</v>
      </c>
      <c r="AA216" s="128">
        <v>0</v>
      </c>
      <c r="AB216" s="128">
        <v>0</v>
      </c>
      <c r="AC216" s="128">
        <v>0</v>
      </c>
      <c r="AD216" s="128">
        <v>0</v>
      </c>
      <c r="AE216" s="128">
        <v>0</v>
      </c>
      <c r="AF216" s="128">
        <v>0</v>
      </c>
      <c r="AG216" s="128">
        <v>0</v>
      </c>
      <c r="AH216" s="128">
        <v>0</v>
      </c>
      <c r="AI216" s="128">
        <v>0</v>
      </c>
      <c r="AJ216" s="128">
        <v>0</v>
      </c>
      <c r="AK216" s="128">
        <v>0</v>
      </c>
      <c r="AL216" s="128">
        <v>0</v>
      </c>
      <c r="AM216" s="128">
        <v>0</v>
      </c>
      <c r="AN216" s="128">
        <v>0</v>
      </c>
      <c r="AO216" s="128">
        <v>0</v>
      </c>
      <c r="AP216" s="128">
        <v>0</v>
      </c>
      <c r="AQ216" s="128">
        <v>0</v>
      </c>
      <c r="AR216" s="128">
        <v>0</v>
      </c>
      <c r="AS216" s="128">
        <v>0</v>
      </c>
      <c r="AT216" s="128">
        <v>0</v>
      </c>
      <c r="AU216" s="128">
        <v>0</v>
      </c>
      <c r="AV216" s="128">
        <v>0</v>
      </c>
      <c r="AW216" s="128">
        <v>0</v>
      </c>
      <c r="AX216" s="128">
        <v>0</v>
      </c>
      <c r="AY216" s="128">
        <v>0</v>
      </c>
    </row>
    <row r="217" spans="1:51" x14ac:dyDescent="0.2">
      <c r="A217" s="127"/>
      <c r="B217" s="136">
        <v>9</v>
      </c>
      <c r="C217" s="124">
        <v>0</v>
      </c>
      <c r="D217" s="128">
        <v>0</v>
      </c>
      <c r="E217" s="128">
        <v>0</v>
      </c>
      <c r="F217" s="128">
        <v>0</v>
      </c>
      <c r="G217" s="128">
        <v>0</v>
      </c>
      <c r="H217" s="128">
        <v>0</v>
      </c>
      <c r="I217" s="128">
        <v>0</v>
      </c>
      <c r="J217" s="128">
        <v>0</v>
      </c>
      <c r="K217" s="128">
        <v>0</v>
      </c>
      <c r="L217" s="128">
        <v>0</v>
      </c>
      <c r="M217" s="128">
        <v>0</v>
      </c>
      <c r="N217" s="128">
        <v>0</v>
      </c>
      <c r="O217" s="128">
        <v>0</v>
      </c>
      <c r="P217" s="128">
        <v>0</v>
      </c>
      <c r="Q217" s="128">
        <v>0</v>
      </c>
      <c r="R217" s="128">
        <v>0</v>
      </c>
      <c r="S217" s="128">
        <v>0</v>
      </c>
      <c r="T217" s="128">
        <v>0</v>
      </c>
      <c r="U217" s="128">
        <v>0</v>
      </c>
      <c r="V217" s="128">
        <v>0</v>
      </c>
      <c r="W217" s="128">
        <v>0</v>
      </c>
      <c r="X217" s="128">
        <v>0</v>
      </c>
      <c r="Y217" s="128">
        <v>0</v>
      </c>
      <c r="Z217" s="128">
        <v>0</v>
      </c>
      <c r="AA217" s="128">
        <v>0</v>
      </c>
      <c r="AB217" s="128">
        <v>0</v>
      </c>
      <c r="AC217" s="128">
        <v>0</v>
      </c>
      <c r="AD217" s="128">
        <v>0</v>
      </c>
      <c r="AE217" s="128">
        <v>0</v>
      </c>
      <c r="AF217" s="128">
        <v>0</v>
      </c>
      <c r="AG217" s="128">
        <v>0</v>
      </c>
      <c r="AH217" s="128">
        <v>0</v>
      </c>
      <c r="AI217" s="128">
        <v>0</v>
      </c>
      <c r="AJ217" s="128">
        <v>0</v>
      </c>
      <c r="AK217" s="128">
        <v>0</v>
      </c>
      <c r="AL217" s="128">
        <v>0</v>
      </c>
      <c r="AM217" s="128">
        <v>0</v>
      </c>
      <c r="AN217" s="128">
        <v>0</v>
      </c>
      <c r="AO217" s="128">
        <v>0</v>
      </c>
      <c r="AP217" s="128">
        <v>0</v>
      </c>
      <c r="AQ217" s="128">
        <v>0</v>
      </c>
      <c r="AR217" s="128">
        <v>0</v>
      </c>
      <c r="AS217" s="128">
        <v>0</v>
      </c>
      <c r="AT217" s="128">
        <v>0</v>
      </c>
      <c r="AU217" s="128">
        <v>0</v>
      </c>
      <c r="AV217" s="128">
        <v>0</v>
      </c>
      <c r="AW217" s="128">
        <v>0</v>
      </c>
      <c r="AX217" s="128">
        <v>0</v>
      </c>
      <c r="AY217" s="128">
        <v>0</v>
      </c>
    </row>
    <row r="218" spans="1:51" x14ac:dyDescent="0.2">
      <c r="A218" s="127"/>
      <c r="B218" s="136">
        <v>10</v>
      </c>
      <c r="C218" s="124">
        <v>0</v>
      </c>
      <c r="D218" s="128">
        <v>0</v>
      </c>
      <c r="E218" s="128">
        <v>0</v>
      </c>
      <c r="F218" s="128">
        <v>0</v>
      </c>
      <c r="G218" s="128">
        <v>0</v>
      </c>
      <c r="H218" s="128">
        <v>0</v>
      </c>
      <c r="I218" s="128">
        <v>0</v>
      </c>
      <c r="J218" s="128">
        <v>0</v>
      </c>
      <c r="K218" s="128">
        <v>0</v>
      </c>
      <c r="L218" s="128">
        <v>0</v>
      </c>
      <c r="M218" s="128">
        <v>0</v>
      </c>
      <c r="N218" s="128">
        <v>0</v>
      </c>
      <c r="O218" s="128">
        <v>0</v>
      </c>
      <c r="P218" s="128">
        <v>0</v>
      </c>
      <c r="Q218" s="128">
        <v>0</v>
      </c>
      <c r="R218" s="128">
        <v>0</v>
      </c>
      <c r="S218" s="128">
        <v>0</v>
      </c>
      <c r="T218" s="128">
        <v>0</v>
      </c>
      <c r="U218" s="128">
        <v>0</v>
      </c>
      <c r="V218" s="128">
        <v>0</v>
      </c>
      <c r="W218" s="128">
        <v>0</v>
      </c>
      <c r="X218" s="128">
        <v>0</v>
      </c>
      <c r="Y218" s="128">
        <v>0</v>
      </c>
      <c r="Z218" s="128">
        <v>0</v>
      </c>
      <c r="AA218" s="128">
        <v>0</v>
      </c>
      <c r="AB218" s="128">
        <v>0</v>
      </c>
      <c r="AC218" s="128">
        <v>0</v>
      </c>
      <c r="AD218" s="128">
        <v>0</v>
      </c>
      <c r="AE218" s="128">
        <v>0</v>
      </c>
      <c r="AF218" s="128">
        <v>0</v>
      </c>
      <c r="AG218" s="128">
        <v>0</v>
      </c>
      <c r="AH218" s="128">
        <v>0</v>
      </c>
      <c r="AI218" s="128">
        <v>0</v>
      </c>
      <c r="AJ218" s="128">
        <v>0</v>
      </c>
      <c r="AK218" s="128">
        <v>0</v>
      </c>
      <c r="AL218" s="128">
        <v>0</v>
      </c>
      <c r="AM218" s="128">
        <v>0</v>
      </c>
      <c r="AN218" s="128">
        <v>0</v>
      </c>
      <c r="AO218" s="128">
        <v>0</v>
      </c>
      <c r="AP218" s="128">
        <v>0</v>
      </c>
      <c r="AQ218" s="128">
        <v>0</v>
      </c>
      <c r="AR218" s="128">
        <v>0</v>
      </c>
      <c r="AS218" s="128">
        <v>0</v>
      </c>
      <c r="AT218" s="128">
        <v>0</v>
      </c>
      <c r="AU218" s="128">
        <v>0</v>
      </c>
      <c r="AV218" s="128">
        <v>0</v>
      </c>
      <c r="AW218" s="128">
        <v>0</v>
      </c>
      <c r="AX218" s="128">
        <v>0</v>
      </c>
      <c r="AY218" s="128">
        <v>0</v>
      </c>
    </row>
    <row r="219" spans="1:51" x14ac:dyDescent="0.2">
      <c r="A219" s="127"/>
      <c r="B219" s="136">
        <v>11</v>
      </c>
      <c r="C219" s="124">
        <v>0</v>
      </c>
      <c r="D219" s="128">
        <v>0</v>
      </c>
      <c r="E219" s="128">
        <v>0</v>
      </c>
      <c r="F219" s="128">
        <v>0</v>
      </c>
      <c r="G219" s="128">
        <v>0</v>
      </c>
      <c r="H219" s="128">
        <v>0</v>
      </c>
      <c r="I219" s="128">
        <v>0</v>
      </c>
      <c r="J219" s="128">
        <v>0</v>
      </c>
      <c r="K219" s="128">
        <v>0</v>
      </c>
      <c r="L219" s="128">
        <v>0</v>
      </c>
      <c r="M219" s="128">
        <v>0</v>
      </c>
      <c r="N219" s="128">
        <v>0</v>
      </c>
      <c r="O219" s="128">
        <v>0</v>
      </c>
      <c r="P219" s="128">
        <v>0</v>
      </c>
      <c r="Q219" s="128">
        <v>0</v>
      </c>
      <c r="R219" s="128">
        <v>0</v>
      </c>
      <c r="S219" s="128">
        <v>0</v>
      </c>
      <c r="T219" s="128">
        <v>0</v>
      </c>
      <c r="U219" s="128">
        <v>0</v>
      </c>
      <c r="V219" s="128">
        <v>0</v>
      </c>
      <c r="W219" s="128">
        <v>0</v>
      </c>
      <c r="X219" s="128">
        <v>0</v>
      </c>
      <c r="Y219" s="128">
        <v>0</v>
      </c>
      <c r="Z219" s="128">
        <v>0</v>
      </c>
      <c r="AA219" s="128">
        <v>0</v>
      </c>
      <c r="AB219" s="128">
        <v>0</v>
      </c>
      <c r="AC219" s="128">
        <v>0</v>
      </c>
      <c r="AD219" s="128">
        <v>0</v>
      </c>
      <c r="AE219" s="128">
        <v>0</v>
      </c>
      <c r="AF219" s="128">
        <v>0</v>
      </c>
      <c r="AG219" s="128">
        <v>0</v>
      </c>
      <c r="AH219" s="128">
        <v>0</v>
      </c>
      <c r="AI219" s="128">
        <v>0</v>
      </c>
      <c r="AJ219" s="128">
        <v>0</v>
      </c>
      <c r="AK219" s="128">
        <v>0</v>
      </c>
      <c r="AL219" s="128">
        <v>0</v>
      </c>
      <c r="AM219" s="128">
        <v>0</v>
      </c>
      <c r="AN219" s="128">
        <v>0</v>
      </c>
      <c r="AO219" s="128">
        <v>0</v>
      </c>
      <c r="AP219" s="128">
        <v>0</v>
      </c>
      <c r="AQ219" s="128">
        <v>0</v>
      </c>
      <c r="AR219" s="128">
        <v>0</v>
      </c>
      <c r="AS219" s="128">
        <v>0</v>
      </c>
      <c r="AT219" s="128">
        <v>0</v>
      </c>
      <c r="AU219" s="128">
        <v>0</v>
      </c>
      <c r="AV219" s="128">
        <v>0</v>
      </c>
      <c r="AW219" s="128">
        <v>0</v>
      </c>
      <c r="AX219" s="128">
        <v>0</v>
      </c>
      <c r="AY219" s="128">
        <v>0</v>
      </c>
    </row>
    <row r="220" spans="1:51" x14ac:dyDescent="0.2">
      <c r="A220" s="127"/>
      <c r="B220" s="136">
        <v>12</v>
      </c>
      <c r="C220" s="124">
        <v>0</v>
      </c>
      <c r="D220" s="128">
        <v>0</v>
      </c>
      <c r="E220" s="128">
        <v>0</v>
      </c>
      <c r="F220" s="128">
        <v>0</v>
      </c>
      <c r="G220" s="128">
        <v>0</v>
      </c>
      <c r="H220" s="128">
        <v>0</v>
      </c>
      <c r="I220" s="128">
        <v>0</v>
      </c>
      <c r="J220" s="128">
        <v>0</v>
      </c>
      <c r="K220" s="128">
        <v>0</v>
      </c>
      <c r="L220" s="128">
        <v>0</v>
      </c>
      <c r="M220" s="128">
        <v>0</v>
      </c>
      <c r="N220" s="128">
        <v>0</v>
      </c>
      <c r="O220" s="128">
        <v>0</v>
      </c>
      <c r="P220" s="128">
        <v>0</v>
      </c>
      <c r="Q220" s="128">
        <v>0</v>
      </c>
      <c r="R220" s="128">
        <v>0</v>
      </c>
      <c r="S220" s="128">
        <v>0</v>
      </c>
      <c r="T220" s="128">
        <v>0</v>
      </c>
      <c r="U220" s="128">
        <v>0</v>
      </c>
      <c r="V220" s="128">
        <v>0</v>
      </c>
      <c r="W220" s="128">
        <v>0</v>
      </c>
      <c r="X220" s="128">
        <v>0</v>
      </c>
      <c r="Y220" s="128">
        <v>0</v>
      </c>
      <c r="Z220" s="128">
        <v>0</v>
      </c>
      <c r="AA220" s="128">
        <v>0</v>
      </c>
      <c r="AB220" s="128">
        <v>0</v>
      </c>
      <c r="AC220" s="128">
        <v>0</v>
      </c>
      <c r="AD220" s="128">
        <v>0</v>
      </c>
      <c r="AE220" s="128">
        <v>0</v>
      </c>
      <c r="AF220" s="128">
        <v>0</v>
      </c>
      <c r="AG220" s="128">
        <v>0</v>
      </c>
      <c r="AH220" s="128">
        <v>0</v>
      </c>
      <c r="AI220" s="128">
        <v>0</v>
      </c>
      <c r="AJ220" s="128">
        <v>0</v>
      </c>
      <c r="AK220" s="128">
        <v>0</v>
      </c>
      <c r="AL220" s="128">
        <v>0</v>
      </c>
      <c r="AM220" s="128">
        <v>0</v>
      </c>
      <c r="AN220" s="128">
        <v>0</v>
      </c>
      <c r="AO220" s="128">
        <v>0</v>
      </c>
      <c r="AP220" s="128">
        <v>0</v>
      </c>
      <c r="AQ220" s="128">
        <v>0</v>
      </c>
      <c r="AR220" s="128">
        <v>0</v>
      </c>
      <c r="AS220" s="128">
        <v>0</v>
      </c>
      <c r="AT220" s="128">
        <v>0</v>
      </c>
      <c r="AU220" s="128">
        <v>0</v>
      </c>
      <c r="AV220" s="128">
        <v>0</v>
      </c>
      <c r="AW220" s="128">
        <v>0</v>
      </c>
      <c r="AX220" s="128">
        <v>0</v>
      </c>
      <c r="AY220" s="128">
        <v>0</v>
      </c>
    </row>
    <row r="221" spans="1:51" x14ac:dyDescent="0.2">
      <c r="A221" s="127"/>
      <c r="B221" s="137">
        <v>13</v>
      </c>
      <c r="C221" s="124">
        <v>0</v>
      </c>
      <c r="D221" s="128">
        <v>0</v>
      </c>
      <c r="E221" s="128">
        <v>0</v>
      </c>
      <c r="F221" s="128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8">
        <v>0</v>
      </c>
      <c r="M221" s="128">
        <v>0</v>
      </c>
      <c r="N221" s="128">
        <v>0</v>
      </c>
      <c r="O221" s="128">
        <v>0</v>
      </c>
      <c r="P221" s="128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8">
        <v>0</v>
      </c>
      <c r="W221" s="128">
        <v>0</v>
      </c>
      <c r="X221" s="128">
        <v>0</v>
      </c>
      <c r="Y221" s="128">
        <v>0</v>
      </c>
      <c r="Z221" s="128">
        <v>0</v>
      </c>
      <c r="AA221" s="128">
        <v>0</v>
      </c>
      <c r="AB221" s="128">
        <v>0</v>
      </c>
      <c r="AC221" s="128">
        <v>0</v>
      </c>
      <c r="AD221" s="128">
        <v>0</v>
      </c>
      <c r="AE221" s="128">
        <v>0</v>
      </c>
      <c r="AF221" s="128">
        <v>0</v>
      </c>
      <c r="AG221" s="128">
        <v>0</v>
      </c>
      <c r="AH221" s="128">
        <v>0</v>
      </c>
      <c r="AI221" s="128">
        <v>0</v>
      </c>
      <c r="AJ221" s="128">
        <v>0</v>
      </c>
      <c r="AK221" s="128">
        <v>0</v>
      </c>
      <c r="AL221" s="128">
        <v>0</v>
      </c>
      <c r="AM221" s="128">
        <v>0</v>
      </c>
      <c r="AN221" s="128">
        <v>0</v>
      </c>
      <c r="AO221" s="128">
        <v>0</v>
      </c>
      <c r="AP221" s="128">
        <v>0</v>
      </c>
      <c r="AQ221" s="128">
        <v>0</v>
      </c>
      <c r="AR221" s="128">
        <v>0</v>
      </c>
      <c r="AS221" s="128">
        <v>0</v>
      </c>
      <c r="AT221" s="128">
        <v>0</v>
      </c>
      <c r="AU221" s="128">
        <v>0</v>
      </c>
      <c r="AV221" s="128">
        <v>0</v>
      </c>
      <c r="AW221" s="128">
        <v>0</v>
      </c>
      <c r="AX221" s="128">
        <v>0</v>
      </c>
      <c r="AY221" s="128">
        <v>0</v>
      </c>
    </row>
    <row r="222" spans="1:51" x14ac:dyDescent="0.2">
      <c r="A222" s="127"/>
      <c r="B222" s="137">
        <v>14</v>
      </c>
      <c r="C222" s="124">
        <v>0</v>
      </c>
      <c r="D222" s="128">
        <v>0</v>
      </c>
      <c r="E222" s="128">
        <v>0</v>
      </c>
      <c r="F222" s="128">
        <v>0</v>
      </c>
      <c r="G222" s="128">
        <v>0</v>
      </c>
      <c r="H222" s="128">
        <v>0</v>
      </c>
      <c r="I222" s="128">
        <v>0</v>
      </c>
      <c r="J222" s="128">
        <v>0</v>
      </c>
      <c r="K222" s="128">
        <v>0</v>
      </c>
      <c r="L222" s="128">
        <v>0</v>
      </c>
      <c r="M222" s="128">
        <v>0</v>
      </c>
      <c r="N222" s="128">
        <v>0</v>
      </c>
      <c r="O222" s="128">
        <v>0</v>
      </c>
      <c r="P222" s="128">
        <v>0</v>
      </c>
      <c r="Q222" s="128">
        <v>0</v>
      </c>
      <c r="R222" s="128">
        <v>0</v>
      </c>
      <c r="S222" s="128">
        <v>0</v>
      </c>
      <c r="T222" s="128">
        <v>0</v>
      </c>
      <c r="U222" s="128">
        <v>0</v>
      </c>
      <c r="V222" s="128">
        <v>0</v>
      </c>
      <c r="W222" s="128">
        <v>0</v>
      </c>
      <c r="X222" s="128">
        <v>0</v>
      </c>
      <c r="Y222" s="128">
        <v>0</v>
      </c>
      <c r="Z222" s="128">
        <v>0</v>
      </c>
      <c r="AA222" s="128">
        <v>0</v>
      </c>
      <c r="AB222" s="128">
        <v>0</v>
      </c>
      <c r="AC222" s="128">
        <v>0</v>
      </c>
      <c r="AD222" s="128">
        <v>0</v>
      </c>
      <c r="AE222" s="128">
        <v>0</v>
      </c>
      <c r="AF222" s="128">
        <v>0</v>
      </c>
      <c r="AG222" s="128">
        <v>0</v>
      </c>
      <c r="AH222" s="128">
        <v>0</v>
      </c>
      <c r="AI222" s="128">
        <v>0</v>
      </c>
      <c r="AJ222" s="128">
        <v>0</v>
      </c>
      <c r="AK222" s="128">
        <v>0</v>
      </c>
      <c r="AL222" s="128">
        <v>0</v>
      </c>
      <c r="AM222" s="128">
        <v>0</v>
      </c>
      <c r="AN222" s="128">
        <v>0</v>
      </c>
      <c r="AO222" s="128">
        <v>0</v>
      </c>
      <c r="AP222" s="128">
        <v>0</v>
      </c>
      <c r="AQ222" s="128">
        <v>0</v>
      </c>
      <c r="AR222" s="128">
        <v>0</v>
      </c>
      <c r="AS222" s="128">
        <v>0</v>
      </c>
      <c r="AT222" s="128">
        <v>0</v>
      </c>
      <c r="AU222" s="128">
        <v>0</v>
      </c>
      <c r="AV222" s="128">
        <v>0</v>
      </c>
      <c r="AW222" s="128">
        <v>0</v>
      </c>
      <c r="AX222" s="128">
        <v>0</v>
      </c>
      <c r="AY222" s="128">
        <v>0</v>
      </c>
    </row>
    <row r="223" spans="1:51" x14ac:dyDescent="0.2">
      <c r="A223" s="127"/>
      <c r="B223" s="137">
        <v>15</v>
      </c>
      <c r="C223" s="124">
        <v>0</v>
      </c>
      <c r="D223" s="128">
        <v>0</v>
      </c>
      <c r="E223" s="128">
        <v>0</v>
      </c>
      <c r="F223" s="128">
        <v>0</v>
      </c>
      <c r="G223" s="128">
        <v>0</v>
      </c>
      <c r="H223" s="128">
        <v>0</v>
      </c>
      <c r="I223" s="128">
        <v>0</v>
      </c>
      <c r="J223" s="128">
        <v>0</v>
      </c>
      <c r="K223" s="128">
        <v>0</v>
      </c>
      <c r="L223" s="128">
        <v>0</v>
      </c>
      <c r="M223" s="128">
        <v>0</v>
      </c>
      <c r="N223" s="128">
        <v>0</v>
      </c>
      <c r="O223" s="128">
        <v>0</v>
      </c>
      <c r="P223" s="128">
        <v>0</v>
      </c>
      <c r="Q223" s="128">
        <v>0</v>
      </c>
      <c r="R223" s="128">
        <v>0</v>
      </c>
      <c r="S223" s="128">
        <v>0</v>
      </c>
      <c r="T223" s="128">
        <v>0</v>
      </c>
      <c r="U223" s="128">
        <v>0</v>
      </c>
      <c r="V223" s="128">
        <v>0</v>
      </c>
      <c r="W223" s="128">
        <v>0</v>
      </c>
      <c r="X223" s="128">
        <v>0</v>
      </c>
      <c r="Y223" s="128">
        <v>0</v>
      </c>
      <c r="Z223" s="128">
        <v>0</v>
      </c>
      <c r="AA223" s="128">
        <v>0</v>
      </c>
      <c r="AB223" s="128">
        <v>0</v>
      </c>
      <c r="AC223" s="128">
        <v>0</v>
      </c>
      <c r="AD223" s="128">
        <v>0</v>
      </c>
      <c r="AE223" s="128">
        <v>0</v>
      </c>
      <c r="AF223" s="128">
        <v>0</v>
      </c>
      <c r="AG223" s="128">
        <v>0</v>
      </c>
      <c r="AH223" s="128">
        <v>0</v>
      </c>
      <c r="AI223" s="128">
        <v>0</v>
      </c>
      <c r="AJ223" s="128">
        <v>0</v>
      </c>
      <c r="AK223" s="128">
        <v>0</v>
      </c>
      <c r="AL223" s="128">
        <v>0</v>
      </c>
      <c r="AM223" s="128">
        <v>0</v>
      </c>
      <c r="AN223" s="128">
        <v>0</v>
      </c>
      <c r="AO223" s="128">
        <v>0</v>
      </c>
      <c r="AP223" s="128">
        <v>0</v>
      </c>
      <c r="AQ223" s="128">
        <v>0</v>
      </c>
      <c r="AR223" s="128">
        <v>0</v>
      </c>
      <c r="AS223" s="128">
        <v>0</v>
      </c>
      <c r="AT223" s="128">
        <v>0</v>
      </c>
      <c r="AU223" s="128">
        <v>0</v>
      </c>
      <c r="AV223" s="128">
        <v>0</v>
      </c>
      <c r="AW223" s="128">
        <v>0</v>
      </c>
      <c r="AX223" s="128">
        <v>0</v>
      </c>
      <c r="AY223" s="128">
        <v>0</v>
      </c>
    </row>
    <row r="224" spans="1:51" x14ac:dyDescent="0.2">
      <c r="A224" s="127"/>
      <c r="B224" s="137">
        <v>16</v>
      </c>
      <c r="C224" s="124">
        <v>0</v>
      </c>
      <c r="D224" s="128">
        <v>0</v>
      </c>
      <c r="E224" s="128">
        <v>0</v>
      </c>
      <c r="F224" s="128">
        <v>0</v>
      </c>
      <c r="G224" s="128">
        <v>0</v>
      </c>
      <c r="H224" s="128">
        <v>0</v>
      </c>
      <c r="I224" s="128">
        <v>0</v>
      </c>
      <c r="J224" s="128">
        <v>0</v>
      </c>
      <c r="K224" s="128">
        <v>0</v>
      </c>
      <c r="L224" s="128">
        <v>0</v>
      </c>
      <c r="M224" s="128">
        <v>0</v>
      </c>
      <c r="N224" s="128">
        <v>0</v>
      </c>
      <c r="O224" s="128">
        <v>0</v>
      </c>
      <c r="P224" s="128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8">
        <v>0</v>
      </c>
      <c r="W224" s="128">
        <v>0</v>
      </c>
      <c r="X224" s="128">
        <v>0</v>
      </c>
      <c r="Y224" s="128">
        <v>0</v>
      </c>
      <c r="Z224" s="128">
        <v>0</v>
      </c>
      <c r="AA224" s="128">
        <v>0</v>
      </c>
      <c r="AB224" s="128">
        <v>0</v>
      </c>
      <c r="AC224" s="128">
        <v>0</v>
      </c>
      <c r="AD224" s="128">
        <v>0</v>
      </c>
      <c r="AE224" s="128">
        <v>0</v>
      </c>
      <c r="AF224" s="128">
        <v>0</v>
      </c>
      <c r="AG224" s="128">
        <v>0</v>
      </c>
      <c r="AH224" s="128">
        <v>0</v>
      </c>
      <c r="AI224" s="128">
        <v>0</v>
      </c>
      <c r="AJ224" s="128">
        <v>0</v>
      </c>
      <c r="AK224" s="128">
        <v>0</v>
      </c>
      <c r="AL224" s="128">
        <v>0</v>
      </c>
      <c r="AM224" s="128">
        <v>0</v>
      </c>
      <c r="AN224" s="128">
        <v>0</v>
      </c>
      <c r="AO224" s="128">
        <v>0</v>
      </c>
      <c r="AP224" s="128">
        <v>0</v>
      </c>
      <c r="AQ224" s="128">
        <v>0</v>
      </c>
      <c r="AR224" s="128">
        <v>0</v>
      </c>
      <c r="AS224" s="128">
        <v>0</v>
      </c>
      <c r="AT224" s="128">
        <v>0</v>
      </c>
      <c r="AU224" s="128">
        <v>0</v>
      </c>
      <c r="AV224" s="128">
        <v>0</v>
      </c>
      <c r="AW224" s="128">
        <v>0</v>
      </c>
      <c r="AX224" s="128">
        <v>0</v>
      </c>
      <c r="AY224" s="128">
        <v>0</v>
      </c>
    </row>
    <row r="225" spans="1:51" x14ac:dyDescent="0.2">
      <c r="A225" s="127"/>
      <c r="B225" s="137">
        <v>17</v>
      </c>
      <c r="C225" s="124">
        <v>0</v>
      </c>
      <c r="D225" s="128">
        <v>0</v>
      </c>
      <c r="E225" s="128">
        <v>0</v>
      </c>
      <c r="F225" s="128">
        <v>0</v>
      </c>
      <c r="G225" s="128">
        <v>0</v>
      </c>
      <c r="H225" s="128">
        <v>0</v>
      </c>
      <c r="I225" s="128">
        <v>0</v>
      </c>
      <c r="J225" s="128">
        <v>0</v>
      </c>
      <c r="K225" s="128">
        <v>0</v>
      </c>
      <c r="L225" s="128">
        <v>0</v>
      </c>
      <c r="M225" s="128">
        <v>0</v>
      </c>
      <c r="N225" s="128">
        <v>0</v>
      </c>
      <c r="O225" s="128">
        <v>0</v>
      </c>
      <c r="P225" s="128">
        <v>0</v>
      </c>
      <c r="Q225" s="128">
        <v>0</v>
      </c>
      <c r="R225" s="128">
        <v>0</v>
      </c>
      <c r="S225" s="128">
        <v>0</v>
      </c>
      <c r="T225" s="128">
        <v>0</v>
      </c>
      <c r="U225" s="128">
        <v>0</v>
      </c>
      <c r="V225" s="128">
        <v>0</v>
      </c>
      <c r="W225" s="128">
        <v>0</v>
      </c>
      <c r="X225" s="128">
        <v>0</v>
      </c>
      <c r="Y225" s="128">
        <v>0</v>
      </c>
      <c r="Z225" s="128">
        <v>0</v>
      </c>
      <c r="AA225" s="128">
        <v>0</v>
      </c>
      <c r="AB225" s="128">
        <v>0</v>
      </c>
      <c r="AC225" s="128">
        <v>0</v>
      </c>
      <c r="AD225" s="128">
        <v>0</v>
      </c>
      <c r="AE225" s="128">
        <v>0</v>
      </c>
      <c r="AF225" s="128">
        <v>0</v>
      </c>
      <c r="AG225" s="128">
        <v>0</v>
      </c>
      <c r="AH225" s="128">
        <v>0</v>
      </c>
      <c r="AI225" s="128">
        <v>0</v>
      </c>
      <c r="AJ225" s="128">
        <v>0</v>
      </c>
      <c r="AK225" s="128">
        <v>0</v>
      </c>
      <c r="AL225" s="128">
        <v>0</v>
      </c>
      <c r="AM225" s="128">
        <v>0</v>
      </c>
      <c r="AN225" s="128">
        <v>0</v>
      </c>
      <c r="AO225" s="128">
        <v>0</v>
      </c>
      <c r="AP225" s="128">
        <v>0</v>
      </c>
      <c r="AQ225" s="128">
        <v>0</v>
      </c>
      <c r="AR225" s="128">
        <v>0</v>
      </c>
      <c r="AS225" s="128">
        <v>0</v>
      </c>
      <c r="AT225" s="128">
        <v>0</v>
      </c>
      <c r="AU225" s="128">
        <v>0</v>
      </c>
      <c r="AV225" s="128">
        <v>0</v>
      </c>
      <c r="AW225" s="128">
        <v>0</v>
      </c>
      <c r="AX225" s="128">
        <v>0</v>
      </c>
      <c r="AY225" s="128">
        <v>0</v>
      </c>
    </row>
    <row r="226" spans="1:51" x14ac:dyDescent="0.2">
      <c r="A226" s="127"/>
      <c r="B226" s="137">
        <v>18</v>
      </c>
      <c r="C226" s="124">
        <v>0</v>
      </c>
      <c r="D226" s="128">
        <v>0</v>
      </c>
      <c r="E226" s="128">
        <v>0</v>
      </c>
      <c r="F226" s="128">
        <v>0</v>
      </c>
      <c r="G226" s="128">
        <v>0</v>
      </c>
      <c r="H226" s="128">
        <v>0</v>
      </c>
      <c r="I226" s="128">
        <v>0</v>
      </c>
      <c r="J226" s="128">
        <v>0</v>
      </c>
      <c r="K226" s="128">
        <v>0</v>
      </c>
      <c r="L226" s="128">
        <v>0</v>
      </c>
      <c r="M226" s="128">
        <v>0</v>
      </c>
      <c r="N226" s="128">
        <v>0</v>
      </c>
      <c r="O226" s="128">
        <v>0</v>
      </c>
      <c r="P226" s="128">
        <v>0</v>
      </c>
      <c r="Q226" s="128">
        <v>0</v>
      </c>
      <c r="R226" s="128">
        <v>0</v>
      </c>
      <c r="S226" s="128">
        <v>0</v>
      </c>
      <c r="T226" s="128">
        <v>0</v>
      </c>
      <c r="U226" s="128">
        <v>0</v>
      </c>
      <c r="V226" s="128">
        <v>0</v>
      </c>
      <c r="W226" s="128">
        <v>0</v>
      </c>
      <c r="X226" s="128">
        <v>0</v>
      </c>
      <c r="Y226" s="128">
        <v>0</v>
      </c>
      <c r="Z226" s="128">
        <v>0</v>
      </c>
      <c r="AA226" s="128">
        <v>0</v>
      </c>
      <c r="AB226" s="128">
        <v>0</v>
      </c>
      <c r="AC226" s="128">
        <v>0</v>
      </c>
      <c r="AD226" s="128">
        <v>0</v>
      </c>
      <c r="AE226" s="128">
        <v>0</v>
      </c>
      <c r="AF226" s="128">
        <v>0</v>
      </c>
      <c r="AG226" s="128">
        <v>0</v>
      </c>
      <c r="AH226" s="128">
        <v>0</v>
      </c>
      <c r="AI226" s="128">
        <v>0</v>
      </c>
      <c r="AJ226" s="128">
        <v>0</v>
      </c>
      <c r="AK226" s="128">
        <v>0</v>
      </c>
      <c r="AL226" s="128">
        <v>0</v>
      </c>
      <c r="AM226" s="128">
        <v>0</v>
      </c>
      <c r="AN226" s="128">
        <v>0</v>
      </c>
      <c r="AO226" s="128">
        <v>0</v>
      </c>
      <c r="AP226" s="128">
        <v>0</v>
      </c>
      <c r="AQ226" s="128">
        <v>0</v>
      </c>
      <c r="AR226" s="128">
        <v>0</v>
      </c>
      <c r="AS226" s="128">
        <v>0</v>
      </c>
      <c r="AT226" s="128">
        <v>0</v>
      </c>
      <c r="AU226" s="128">
        <v>0</v>
      </c>
      <c r="AV226" s="128">
        <v>0</v>
      </c>
      <c r="AW226" s="128">
        <v>0</v>
      </c>
      <c r="AX226" s="128">
        <v>0</v>
      </c>
      <c r="AY226" s="128">
        <v>0</v>
      </c>
    </row>
    <row r="227" spans="1:51" x14ac:dyDescent="0.2">
      <c r="A227" s="127"/>
      <c r="B227" s="137">
        <v>19</v>
      </c>
      <c r="C227" s="124">
        <v>0</v>
      </c>
      <c r="D227" s="128">
        <v>0</v>
      </c>
      <c r="E227" s="128">
        <v>0</v>
      </c>
      <c r="F227" s="128">
        <v>0</v>
      </c>
      <c r="G227" s="128">
        <v>0</v>
      </c>
      <c r="H227" s="128">
        <v>0</v>
      </c>
      <c r="I227" s="128">
        <v>0</v>
      </c>
      <c r="J227" s="128">
        <v>0</v>
      </c>
      <c r="K227" s="128">
        <v>0</v>
      </c>
      <c r="L227" s="128">
        <v>0</v>
      </c>
      <c r="M227" s="128">
        <v>0</v>
      </c>
      <c r="N227" s="128">
        <v>0</v>
      </c>
      <c r="O227" s="128">
        <v>0</v>
      </c>
      <c r="P227" s="128">
        <v>0</v>
      </c>
      <c r="Q227" s="128">
        <v>0</v>
      </c>
      <c r="R227" s="128">
        <v>0</v>
      </c>
      <c r="S227" s="128">
        <v>0</v>
      </c>
      <c r="T227" s="128">
        <v>0</v>
      </c>
      <c r="U227" s="128">
        <v>0</v>
      </c>
      <c r="V227" s="128">
        <v>0</v>
      </c>
      <c r="W227" s="128">
        <v>0</v>
      </c>
      <c r="X227" s="128">
        <v>0</v>
      </c>
      <c r="Y227" s="128">
        <v>0</v>
      </c>
      <c r="Z227" s="128">
        <v>0</v>
      </c>
      <c r="AA227" s="128">
        <v>0</v>
      </c>
      <c r="AB227" s="128">
        <v>0</v>
      </c>
      <c r="AC227" s="128">
        <v>0</v>
      </c>
      <c r="AD227" s="128">
        <v>0</v>
      </c>
      <c r="AE227" s="128">
        <v>0</v>
      </c>
      <c r="AF227" s="128">
        <v>0</v>
      </c>
      <c r="AG227" s="128">
        <v>0</v>
      </c>
      <c r="AH227" s="128">
        <v>0</v>
      </c>
      <c r="AI227" s="128">
        <v>0</v>
      </c>
      <c r="AJ227" s="128">
        <v>0</v>
      </c>
      <c r="AK227" s="128">
        <v>0</v>
      </c>
      <c r="AL227" s="128">
        <v>0</v>
      </c>
      <c r="AM227" s="128">
        <v>0</v>
      </c>
      <c r="AN227" s="128">
        <v>0</v>
      </c>
      <c r="AO227" s="128">
        <v>0</v>
      </c>
      <c r="AP227" s="128">
        <v>0</v>
      </c>
      <c r="AQ227" s="128">
        <v>0</v>
      </c>
      <c r="AR227" s="128">
        <v>0</v>
      </c>
      <c r="AS227" s="128">
        <v>0</v>
      </c>
      <c r="AT227" s="128">
        <v>0</v>
      </c>
      <c r="AU227" s="128">
        <v>0</v>
      </c>
      <c r="AV227" s="128">
        <v>0</v>
      </c>
      <c r="AW227" s="128">
        <v>0</v>
      </c>
      <c r="AX227" s="128">
        <v>0</v>
      </c>
      <c r="AY227" s="128">
        <v>0</v>
      </c>
    </row>
    <row r="228" spans="1:51" x14ac:dyDescent="0.2">
      <c r="A228" s="127"/>
      <c r="B228" s="137">
        <v>20</v>
      </c>
      <c r="C228" s="124">
        <v>0</v>
      </c>
      <c r="D228" s="128">
        <v>0</v>
      </c>
      <c r="E228" s="128">
        <v>0</v>
      </c>
      <c r="F228" s="128">
        <v>0</v>
      </c>
      <c r="G228" s="128">
        <v>0</v>
      </c>
      <c r="H228" s="128">
        <v>0</v>
      </c>
      <c r="I228" s="128">
        <v>0</v>
      </c>
      <c r="J228" s="128">
        <v>0</v>
      </c>
      <c r="K228" s="128">
        <v>0</v>
      </c>
      <c r="L228" s="128">
        <v>0</v>
      </c>
      <c r="M228" s="128">
        <v>0</v>
      </c>
      <c r="N228" s="128">
        <v>0</v>
      </c>
      <c r="O228" s="128">
        <v>0</v>
      </c>
      <c r="P228" s="128">
        <v>0</v>
      </c>
      <c r="Q228" s="128">
        <v>0</v>
      </c>
      <c r="R228" s="128">
        <v>0</v>
      </c>
      <c r="S228" s="128">
        <v>0</v>
      </c>
      <c r="T228" s="128">
        <v>0</v>
      </c>
      <c r="U228" s="128">
        <v>0</v>
      </c>
      <c r="V228" s="128">
        <v>0</v>
      </c>
      <c r="W228" s="128">
        <v>0</v>
      </c>
      <c r="X228" s="128">
        <v>0</v>
      </c>
      <c r="Y228" s="128">
        <v>0</v>
      </c>
      <c r="Z228" s="128">
        <v>0</v>
      </c>
      <c r="AA228" s="128">
        <v>0</v>
      </c>
      <c r="AB228" s="128">
        <v>0</v>
      </c>
      <c r="AC228" s="128">
        <v>0</v>
      </c>
      <c r="AD228" s="128">
        <v>0</v>
      </c>
      <c r="AE228" s="128">
        <v>0</v>
      </c>
      <c r="AF228" s="128">
        <v>0</v>
      </c>
      <c r="AG228" s="128">
        <v>0</v>
      </c>
      <c r="AH228" s="128">
        <v>0</v>
      </c>
      <c r="AI228" s="128">
        <v>0</v>
      </c>
      <c r="AJ228" s="128">
        <v>0</v>
      </c>
      <c r="AK228" s="128">
        <v>0</v>
      </c>
      <c r="AL228" s="128">
        <v>0</v>
      </c>
      <c r="AM228" s="128">
        <v>0</v>
      </c>
      <c r="AN228" s="128">
        <v>0</v>
      </c>
      <c r="AO228" s="128">
        <v>0</v>
      </c>
      <c r="AP228" s="128">
        <v>0</v>
      </c>
      <c r="AQ228" s="128">
        <v>0</v>
      </c>
      <c r="AR228" s="128">
        <v>0</v>
      </c>
      <c r="AS228" s="128">
        <v>0</v>
      </c>
      <c r="AT228" s="128">
        <v>0</v>
      </c>
      <c r="AU228" s="128">
        <v>0</v>
      </c>
      <c r="AV228" s="128">
        <v>0</v>
      </c>
      <c r="AW228" s="128">
        <v>0</v>
      </c>
      <c r="AX228" s="128">
        <v>0</v>
      </c>
      <c r="AY228" s="128">
        <v>0</v>
      </c>
    </row>
    <row r="229" spans="1:51" x14ac:dyDescent="0.2">
      <c r="A229" s="127"/>
      <c r="B229" s="137">
        <v>21</v>
      </c>
      <c r="C229" s="124">
        <v>0</v>
      </c>
      <c r="D229" s="128">
        <v>0</v>
      </c>
      <c r="E229" s="128">
        <v>0</v>
      </c>
      <c r="F229" s="128">
        <v>0</v>
      </c>
      <c r="G229" s="128">
        <v>0</v>
      </c>
      <c r="H229" s="128">
        <v>0</v>
      </c>
      <c r="I229" s="128">
        <v>0</v>
      </c>
      <c r="J229" s="128">
        <v>0</v>
      </c>
      <c r="K229" s="128">
        <v>0</v>
      </c>
      <c r="L229" s="128">
        <v>0</v>
      </c>
      <c r="M229" s="128">
        <v>0</v>
      </c>
      <c r="N229" s="128">
        <v>0</v>
      </c>
      <c r="O229" s="128">
        <v>0</v>
      </c>
      <c r="P229" s="128">
        <v>0</v>
      </c>
      <c r="Q229" s="128">
        <v>0</v>
      </c>
      <c r="R229" s="128">
        <v>0</v>
      </c>
      <c r="S229" s="128">
        <v>0</v>
      </c>
      <c r="T229" s="128">
        <v>0</v>
      </c>
      <c r="U229" s="128">
        <v>0</v>
      </c>
      <c r="V229" s="128">
        <v>0</v>
      </c>
      <c r="W229" s="128">
        <v>0</v>
      </c>
      <c r="X229" s="128">
        <v>0</v>
      </c>
      <c r="Y229" s="128">
        <v>0</v>
      </c>
      <c r="Z229" s="128">
        <v>0</v>
      </c>
      <c r="AA229" s="128">
        <v>0</v>
      </c>
      <c r="AB229" s="128">
        <v>0</v>
      </c>
      <c r="AC229" s="128">
        <v>0</v>
      </c>
      <c r="AD229" s="128">
        <v>0</v>
      </c>
      <c r="AE229" s="128">
        <v>0</v>
      </c>
      <c r="AF229" s="128">
        <v>0</v>
      </c>
      <c r="AG229" s="128">
        <v>0</v>
      </c>
      <c r="AH229" s="128">
        <v>0</v>
      </c>
      <c r="AI229" s="128">
        <v>0</v>
      </c>
      <c r="AJ229" s="128">
        <v>0</v>
      </c>
      <c r="AK229" s="128">
        <v>0</v>
      </c>
      <c r="AL229" s="128">
        <v>0</v>
      </c>
      <c r="AM229" s="128">
        <v>0</v>
      </c>
      <c r="AN229" s="128">
        <v>0</v>
      </c>
      <c r="AO229" s="128">
        <v>0</v>
      </c>
      <c r="AP229" s="128">
        <v>0</v>
      </c>
      <c r="AQ229" s="128">
        <v>0</v>
      </c>
      <c r="AR229" s="128">
        <v>0</v>
      </c>
      <c r="AS229" s="128">
        <v>0</v>
      </c>
      <c r="AT229" s="128">
        <v>0</v>
      </c>
      <c r="AU229" s="128">
        <v>0</v>
      </c>
      <c r="AV229" s="128">
        <v>0</v>
      </c>
      <c r="AW229" s="128">
        <v>0</v>
      </c>
      <c r="AX229" s="128">
        <v>0</v>
      </c>
      <c r="AY229" s="128">
        <v>0</v>
      </c>
    </row>
    <row r="230" spans="1:51" x14ac:dyDescent="0.2">
      <c r="A230" s="127"/>
      <c r="B230" s="137">
        <v>22</v>
      </c>
      <c r="C230" s="124">
        <v>0</v>
      </c>
      <c r="D230" s="128">
        <v>0</v>
      </c>
      <c r="E230" s="128">
        <v>0</v>
      </c>
      <c r="F230" s="128">
        <v>0</v>
      </c>
      <c r="G230" s="128">
        <v>0</v>
      </c>
      <c r="H230" s="128">
        <v>0</v>
      </c>
      <c r="I230" s="128">
        <v>0</v>
      </c>
      <c r="J230" s="128">
        <v>0</v>
      </c>
      <c r="K230" s="128">
        <v>0</v>
      </c>
      <c r="L230" s="128">
        <v>0</v>
      </c>
      <c r="M230" s="128">
        <v>0</v>
      </c>
      <c r="N230" s="128">
        <v>0</v>
      </c>
      <c r="O230" s="128">
        <v>0</v>
      </c>
      <c r="P230" s="128">
        <v>0</v>
      </c>
      <c r="Q230" s="128">
        <v>0</v>
      </c>
      <c r="R230" s="128">
        <v>0</v>
      </c>
      <c r="S230" s="128">
        <v>0</v>
      </c>
      <c r="T230" s="128">
        <v>0</v>
      </c>
      <c r="U230" s="128">
        <v>0</v>
      </c>
      <c r="V230" s="128">
        <v>0</v>
      </c>
      <c r="W230" s="128">
        <v>0</v>
      </c>
      <c r="X230" s="128">
        <v>0</v>
      </c>
      <c r="Y230" s="128">
        <v>0</v>
      </c>
      <c r="Z230" s="128">
        <v>0</v>
      </c>
      <c r="AA230" s="128">
        <v>0</v>
      </c>
      <c r="AB230" s="128">
        <v>0</v>
      </c>
      <c r="AC230" s="128">
        <v>0</v>
      </c>
      <c r="AD230" s="128">
        <v>0</v>
      </c>
      <c r="AE230" s="128">
        <v>0</v>
      </c>
      <c r="AF230" s="128">
        <v>0</v>
      </c>
      <c r="AG230" s="128">
        <v>0</v>
      </c>
      <c r="AH230" s="128">
        <v>0</v>
      </c>
      <c r="AI230" s="128">
        <v>0</v>
      </c>
      <c r="AJ230" s="128">
        <v>0</v>
      </c>
      <c r="AK230" s="128">
        <v>0</v>
      </c>
      <c r="AL230" s="128">
        <v>0</v>
      </c>
      <c r="AM230" s="128">
        <v>0</v>
      </c>
      <c r="AN230" s="128">
        <v>0</v>
      </c>
      <c r="AO230" s="128">
        <v>0</v>
      </c>
      <c r="AP230" s="128">
        <v>0</v>
      </c>
      <c r="AQ230" s="128">
        <v>0</v>
      </c>
      <c r="AR230" s="128">
        <v>0</v>
      </c>
      <c r="AS230" s="128">
        <v>0</v>
      </c>
      <c r="AT230" s="128">
        <v>0</v>
      </c>
      <c r="AU230" s="128">
        <v>0</v>
      </c>
      <c r="AV230" s="128">
        <v>0</v>
      </c>
      <c r="AW230" s="128">
        <v>0</v>
      </c>
      <c r="AX230" s="128">
        <v>0</v>
      </c>
      <c r="AY230" s="128">
        <v>0</v>
      </c>
    </row>
    <row r="231" spans="1:51" x14ac:dyDescent="0.2">
      <c r="A231" s="127"/>
      <c r="B231" s="137">
        <v>23</v>
      </c>
      <c r="C231" s="124">
        <v>0</v>
      </c>
      <c r="D231" s="128">
        <v>0</v>
      </c>
      <c r="E231" s="128">
        <v>0</v>
      </c>
      <c r="F231" s="128">
        <v>0</v>
      </c>
      <c r="G231" s="128">
        <v>0</v>
      </c>
      <c r="H231" s="128">
        <v>0</v>
      </c>
      <c r="I231" s="128">
        <v>0</v>
      </c>
      <c r="J231" s="128">
        <v>0</v>
      </c>
      <c r="K231" s="128">
        <v>0</v>
      </c>
      <c r="L231" s="128">
        <v>0</v>
      </c>
      <c r="M231" s="128">
        <v>0</v>
      </c>
      <c r="N231" s="128">
        <v>0</v>
      </c>
      <c r="O231" s="128">
        <v>0</v>
      </c>
      <c r="P231" s="128">
        <v>0</v>
      </c>
      <c r="Q231" s="128">
        <v>0</v>
      </c>
      <c r="R231" s="128">
        <v>0</v>
      </c>
      <c r="S231" s="128">
        <v>0</v>
      </c>
      <c r="T231" s="128">
        <v>0</v>
      </c>
      <c r="U231" s="128">
        <v>0</v>
      </c>
      <c r="V231" s="128">
        <v>0</v>
      </c>
      <c r="W231" s="128">
        <v>0</v>
      </c>
      <c r="X231" s="128">
        <v>0</v>
      </c>
      <c r="Y231" s="128">
        <v>0</v>
      </c>
      <c r="Z231" s="128">
        <v>0</v>
      </c>
      <c r="AA231" s="128">
        <v>0</v>
      </c>
      <c r="AB231" s="128">
        <v>0</v>
      </c>
      <c r="AC231" s="128">
        <v>0</v>
      </c>
      <c r="AD231" s="128">
        <v>0</v>
      </c>
      <c r="AE231" s="128">
        <v>0</v>
      </c>
      <c r="AF231" s="128">
        <v>0</v>
      </c>
      <c r="AG231" s="128">
        <v>0</v>
      </c>
      <c r="AH231" s="128">
        <v>0</v>
      </c>
      <c r="AI231" s="128">
        <v>0</v>
      </c>
      <c r="AJ231" s="128">
        <v>0</v>
      </c>
      <c r="AK231" s="128">
        <v>0</v>
      </c>
      <c r="AL231" s="128">
        <v>0</v>
      </c>
      <c r="AM231" s="128">
        <v>0</v>
      </c>
      <c r="AN231" s="128">
        <v>0</v>
      </c>
      <c r="AO231" s="128">
        <v>0</v>
      </c>
      <c r="AP231" s="128">
        <v>0</v>
      </c>
      <c r="AQ231" s="128">
        <v>0</v>
      </c>
      <c r="AR231" s="128">
        <v>0</v>
      </c>
      <c r="AS231" s="128">
        <v>0</v>
      </c>
      <c r="AT231" s="128">
        <v>0</v>
      </c>
      <c r="AU231" s="128">
        <v>0</v>
      </c>
      <c r="AV231" s="128">
        <v>0</v>
      </c>
      <c r="AW231" s="128">
        <v>0</v>
      </c>
      <c r="AX231" s="128">
        <v>0</v>
      </c>
      <c r="AY231" s="128">
        <v>0</v>
      </c>
    </row>
    <row r="232" spans="1:51" x14ac:dyDescent="0.2">
      <c r="A232" s="127"/>
      <c r="B232" s="137">
        <v>24</v>
      </c>
      <c r="C232" s="124">
        <v>0</v>
      </c>
      <c r="D232" s="128">
        <v>0</v>
      </c>
      <c r="E232" s="128">
        <v>0</v>
      </c>
      <c r="F232" s="128">
        <v>0</v>
      </c>
      <c r="G232" s="128">
        <v>0</v>
      </c>
      <c r="H232" s="128">
        <v>0</v>
      </c>
      <c r="I232" s="128">
        <v>0</v>
      </c>
      <c r="J232" s="128">
        <v>0</v>
      </c>
      <c r="K232" s="128">
        <v>0</v>
      </c>
      <c r="L232" s="128">
        <v>0</v>
      </c>
      <c r="M232" s="128">
        <v>0</v>
      </c>
      <c r="N232" s="128">
        <v>0</v>
      </c>
      <c r="O232" s="128">
        <v>0</v>
      </c>
      <c r="P232" s="128">
        <v>0</v>
      </c>
      <c r="Q232" s="128">
        <v>0</v>
      </c>
      <c r="R232" s="128">
        <v>0</v>
      </c>
      <c r="S232" s="128">
        <v>0</v>
      </c>
      <c r="T232" s="128">
        <v>0</v>
      </c>
      <c r="U232" s="128">
        <v>0</v>
      </c>
      <c r="V232" s="128">
        <v>0</v>
      </c>
      <c r="W232" s="128">
        <v>0</v>
      </c>
      <c r="X232" s="128">
        <v>0</v>
      </c>
      <c r="Y232" s="128">
        <v>0</v>
      </c>
      <c r="Z232" s="128">
        <v>0</v>
      </c>
      <c r="AA232" s="128">
        <v>0</v>
      </c>
      <c r="AB232" s="128">
        <v>0</v>
      </c>
      <c r="AC232" s="128">
        <v>0</v>
      </c>
      <c r="AD232" s="128">
        <v>0</v>
      </c>
      <c r="AE232" s="128">
        <v>0</v>
      </c>
      <c r="AF232" s="128">
        <v>0</v>
      </c>
      <c r="AG232" s="128">
        <v>0</v>
      </c>
      <c r="AH232" s="128">
        <v>0</v>
      </c>
      <c r="AI232" s="128">
        <v>0</v>
      </c>
      <c r="AJ232" s="128">
        <v>0</v>
      </c>
      <c r="AK232" s="128">
        <v>0</v>
      </c>
      <c r="AL232" s="128">
        <v>0</v>
      </c>
      <c r="AM232" s="128">
        <v>0</v>
      </c>
      <c r="AN232" s="128">
        <v>0</v>
      </c>
      <c r="AO232" s="128">
        <v>0</v>
      </c>
      <c r="AP232" s="128">
        <v>0</v>
      </c>
      <c r="AQ232" s="128">
        <v>0</v>
      </c>
      <c r="AR232" s="128">
        <v>0</v>
      </c>
      <c r="AS232" s="128">
        <v>0</v>
      </c>
      <c r="AT232" s="128">
        <v>0</v>
      </c>
      <c r="AU232" s="128">
        <v>0</v>
      </c>
      <c r="AV232" s="128">
        <v>0</v>
      </c>
      <c r="AW232" s="128">
        <v>0</v>
      </c>
      <c r="AX232" s="128">
        <v>0</v>
      </c>
      <c r="AY232" s="128">
        <v>0</v>
      </c>
    </row>
    <row r="233" spans="1:51" x14ac:dyDescent="0.2">
      <c r="A233" s="127"/>
      <c r="B233" s="144">
        <v>25</v>
      </c>
      <c r="C233" s="124">
        <v>0</v>
      </c>
      <c r="D233" s="128">
        <v>0</v>
      </c>
      <c r="E233" s="128">
        <v>0</v>
      </c>
      <c r="F233" s="128">
        <v>0</v>
      </c>
      <c r="G233" s="128">
        <v>0</v>
      </c>
      <c r="H233" s="128">
        <v>0</v>
      </c>
      <c r="I233" s="128">
        <v>0</v>
      </c>
      <c r="J233" s="128">
        <v>0</v>
      </c>
      <c r="K233" s="128">
        <v>0</v>
      </c>
      <c r="L233" s="128">
        <v>0</v>
      </c>
      <c r="M233" s="128">
        <v>0</v>
      </c>
      <c r="N233" s="128">
        <v>0</v>
      </c>
      <c r="O233" s="128">
        <v>0</v>
      </c>
      <c r="P233" s="128">
        <v>0</v>
      </c>
      <c r="Q233" s="128">
        <v>0</v>
      </c>
      <c r="R233" s="128">
        <v>0</v>
      </c>
      <c r="S233" s="128">
        <v>0</v>
      </c>
      <c r="T233" s="128">
        <v>0</v>
      </c>
      <c r="U233" s="128">
        <v>0</v>
      </c>
      <c r="V233" s="128">
        <v>0</v>
      </c>
      <c r="W233" s="128">
        <v>0</v>
      </c>
      <c r="X233" s="128">
        <v>0</v>
      </c>
      <c r="Y233" s="128">
        <v>0</v>
      </c>
      <c r="Z233" s="128">
        <v>0</v>
      </c>
      <c r="AA233" s="128">
        <v>0</v>
      </c>
      <c r="AB233" s="128">
        <v>0</v>
      </c>
      <c r="AC233" s="128">
        <v>0</v>
      </c>
      <c r="AD233" s="128">
        <v>0</v>
      </c>
      <c r="AE233" s="128">
        <v>0</v>
      </c>
      <c r="AF233" s="128">
        <v>0</v>
      </c>
      <c r="AG233" s="128">
        <v>0</v>
      </c>
      <c r="AH233" s="128">
        <v>0</v>
      </c>
      <c r="AI233" s="128">
        <v>0</v>
      </c>
      <c r="AJ233" s="128">
        <v>0</v>
      </c>
      <c r="AK233" s="128">
        <v>0</v>
      </c>
      <c r="AL233" s="128">
        <v>0</v>
      </c>
      <c r="AM233" s="128">
        <v>0</v>
      </c>
      <c r="AN233" s="128">
        <v>0</v>
      </c>
      <c r="AO233" s="128">
        <v>0</v>
      </c>
      <c r="AP233" s="128">
        <v>0</v>
      </c>
      <c r="AQ233" s="128">
        <v>0</v>
      </c>
      <c r="AR233" s="128">
        <v>0</v>
      </c>
      <c r="AS233" s="128">
        <v>0</v>
      </c>
      <c r="AT233" s="128">
        <v>0</v>
      </c>
      <c r="AU233" s="128">
        <v>0</v>
      </c>
      <c r="AV233" s="128">
        <v>0</v>
      </c>
      <c r="AW233" s="128">
        <v>0</v>
      </c>
      <c r="AX233" s="128">
        <v>0</v>
      </c>
      <c r="AY233" s="128">
        <v>0</v>
      </c>
    </row>
    <row r="234" spans="1:51" x14ac:dyDescent="0.2">
      <c r="A234" s="127"/>
      <c r="B234" s="144">
        <v>26</v>
      </c>
      <c r="C234" s="124">
        <v>0</v>
      </c>
      <c r="D234" s="128">
        <v>0</v>
      </c>
      <c r="E234" s="128">
        <v>0</v>
      </c>
      <c r="F234" s="128">
        <v>0</v>
      </c>
      <c r="G234" s="128">
        <v>0</v>
      </c>
      <c r="H234" s="128">
        <v>0</v>
      </c>
      <c r="I234" s="128">
        <v>0</v>
      </c>
      <c r="J234" s="128">
        <v>0</v>
      </c>
      <c r="K234" s="128">
        <v>0</v>
      </c>
      <c r="L234" s="128">
        <v>0</v>
      </c>
      <c r="M234" s="128">
        <v>0</v>
      </c>
      <c r="N234" s="128">
        <v>0</v>
      </c>
      <c r="O234" s="128">
        <v>0</v>
      </c>
      <c r="P234" s="128">
        <v>0</v>
      </c>
      <c r="Q234" s="128">
        <v>0</v>
      </c>
      <c r="R234" s="128">
        <v>0</v>
      </c>
      <c r="S234" s="128">
        <v>0</v>
      </c>
      <c r="T234" s="128">
        <v>0</v>
      </c>
      <c r="U234" s="128">
        <v>0</v>
      </c>
      <c r="V234" s="128">
        <v>0</v>
      </c>
      <c r="W234" s="128">
        <v>0</v>
      </c>
      <c r="X234" s="128">
        <v>0</v>
      </c>
      <c r="Y234" s="128">
        <v>0</v>
      </c>
      <c r="Z234" s="128">
        <v>0</v>
      </c>
      <c r="AA234" s="128">
        <v>0</v>
      </c>
      <c r="AB234" s="128">
        <v>0</v>
      </c>
      <c r="AC234" s="128">
        <v>0</v>
      </c>
      <c r="AD234" s="128">
        <v>0</v>
      </c>
      <c r="AE234" s="128">
        <v>0</v>
      </c>
      <c r="AF234" s="128">
        <v>0</v>
      </c>
      <c r="AG234" s="128">
        <v>0</v>
      </c>
      <c r="AH234" s="128">
        <v>0</v>
      </c>
      <c r="AI234" s="128">
        <v>0</v>
      </c>
      <c r="AJ234" s="128">
        <v>0</v>
      </c>
      <c r="AK234" s="128">
        <v>0</v>
      </c>
      <c r="AL234" s="128">
        <v>0</v>
      </c>
      <c r="AM234" s="128">
        <v>0</v>
      </c>
      <c r="AN234" s="128">
        <v>0</v>
      </c>
      <c r="AO234" s="128">
        <v>0</v>
      </c>
      <c r="AP234" s="128">
        <v>0</v>
      </c>
      <c r="AQ234" s="128">
        <v>0</v>
      </c>
      <c r="AR234" s="128">
        <v>0</v>
      </c>
      <c r="AS234" s="128">
        <v>0</v>
      </c>
      <c r="AT234" s="128">
        <v>0</v>
      </c>
      <c r="AU234" s="128">
        <v>0</v>
      </c>
      <c r="AV234" s="128">
        <v>0</v>
      </c>
      <c r="AW234" s="128">
        <v>0</v>
      </c>
      <c r="AX234" s="128">
        <v>0</v>
      </c>
      <c r="AY234" s="128">
        <v>0</v>
      </c>
    </row>
    <row r="235" spans="1:51" x14ac:dyDescent="0.2">
      <c r="A235" s="127"/>
      <c r="B235" s="144">
        <v>27</v>
      </c>
      <c r="C235" s="124">
        <v>0</v>
      </c>
      <c r="D235" s="128">
        <v>0</v>
      </c>
      <c r="E235" s="128">
        <v>0</v>
      </c>
      <c r="F235" s="128">
        <v>0</v>
      </c>
      <c r="G235" s="128">
        <v>0</v>
      </c>
      <c r="H235" s="128">
        <v>0</v>
      </c>
      <c r="I235" s="128">
        <v>0</v>
      </c>
      <c r="J235" s="128">
        <v>0</v>
      </c>
      <c r="K235" s="128">
        <v>0</v>
      </c>
      <c r="L235" s="128">
        <v>0</v>
      </c>
      <c r="M235" s="128">
        <v>0</v>
      </c>
      <c r="N235" s="128">
        <v>0</v>
      </c>
      <c r="O235" s="128">
        <v>0</v>
      </c>
      <c r="P235" s="128">
        <v>0</v>
      </c>
      <c r="Q235" s="128">
        <v>0</v>
      </c>
      <c r="R235" s="128">
        <v>0</v>
      </c>
      <c r="S235" s="128">
        <v>0</v>
      </c>
      <c r="T235" s="128">
        <v>0</v>
      </c>
      <c r="U235" s="128">
        <v>0</v>
      </c>
      <c r="V235" s="128">
        <v>0</v>
      </c>
      <c r="W235" s="128">
        <v>0</v>
      </c>
      <c r="X235" s="128">
        <v>0</v>
      </c>
      <c r="Y235" s="128">
        <v>0</v>
      </c>
      <c r="Z235" s="128">
        <v>0</v>
      </c>
      <c r="AA235" s="128">
        <v>0</v>
      </c>
      <c r="AB235" s="128">
        <v>0</v>
      </c>
      <c r="AC235" s="128">
        <v>0</v>
      </c>
      <c r="AD235" s="128">
        <v>0</v>
      </c>
      <c r="AE235" s="128">
        <v>0</v>
      </c>
      <c r="AF235" s="128">
        <v>0</v>
      </c>
      <c r="AG235" s="128">
        <v>0</v>
      </c>
      <c r="AH235" s="128">
        <v>0</v>
      </c>
      <c r="AI235" s="128">
        <v>0</v>
      </c>
      <c r="AJ235" s="128">
        <v>0</v>
      </c>
      <c r="AK235" s="128">
        <v>0</v>
      </c>
      <c r="AL235" s="128">
        <v>0</v>
      </c>
      <c r="AM235" s="128">
        <v>0</v>
      </c>
      <c r="AN235" s="128">
        <v>0</v>
      </c>
      <c r="AO235" s="128">
        <v>0</v>
      </c>
      <c r="AP235" s="128">
        <v>0</v>
      </c>
      <c r="AQ235" s="128">
        <v>0</v>
      </c>
      <c r="AR235" s="128">
        <v>0</v>
      </c>
      <c r="AS235" s="128">
        <v>0</v>
      </c>
      <c r="AT235" s="128">
        <v>0</v>
      </c>
      <c r="AU235" s="128">
        <v>0</v>
      </c>
      <c r="AV235" s="128">
        <v>0</v>
      </c>
      <c r="AW235" s="128">
        <v>0</v>
      </c>
      <c r="AX235" s="128">
        <v>0</v>
      </c>
      <c r="AY235" s="128">
        <v>0</v>
      </c>
    </row>
    <row r="236" spans="1:51" x14ac:dyDescent="0.2">
      <c r="A236" s="127"/>
      <c r="B236" s="144">
        <v>28</v>
      </c>
      <c r="C236" s="124">
        <v>0</v>
      </c>
      <c r="D236" s="128">
        <v>0</v>
      </c>
      <c r="E236" s="128">
        <v>0</v>
      </c>
      <c r="F236" s="128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8">
        <v>0</v>
      </c>
      <c r="M236" s="128">
        <v>0</v>
      </c>
      <c r="N236" s="128">
        <v>0</v>
      </c>
      <c r="O236" s="128">
        <v>0</v>
      </c>
      <c r="P236" s="128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8">
        <v>0</v>
      </c>
      <c r="W236" s="128">
        <v>0</v>
      </c>
      <c r="X236" s="128">
        <v>0</v>
      </c>
      <c r="Y236" s="128">
        <v>0</v>
      </c>
      <c r="Z236" s="128">
        <v>0</v>
      </c>
      <c r="AA236" s="128">
        <v>0</v>
      </c>
      <c r="AB236" s="128">
        <v>0</v>
      </c>
      <c r="AC236" s="128">
        <v>0</v>
      </c>
      <c r="AD236" s="128">
        <v>0</v>
      </c>
      <c r="AE236" s="128">
        <v>0</v>
      </c>
      <c r="AF236" s="128">
        <v>0</v>
      </c>
      <c r="AG236" s="128">
        <v>0</v>
      </c>
      <c r="AH236" s="128">
        <v>0</v>
      </c>
      <c r="AI236" s="128">
        <v>0</v>
      </c>
      <c r="AJ236" s="128">
        <v>0</v>
      </c>
      <c r="AK236" s="128">
        <v>0</v>
      </c>
      <c r="AL236" s="128">
        <v>0</v>
      </c>
      <c r="AM236" s="128">
        <v>0</v>
      </c>
      <c r="AN236" s="128">
        <v>0</v>
      </c>
      <c r="AO236" s="128">
        <v>0</v>
      </c>
      <c r="AP236" s="128">
        <v>0</v>
      </c>
      <c r="AQ236" s="128">
        <v>0</v>
      </c>
      <c r="AR236" s="128">
        <v>0</v>
      </c>
      <c r="AS236" s="128">
        <v>0</v>
      </c>
      <c r="AT236" s="128">
        <v>0</v>
      </c>
      <c r="AU236" s="128">
        <v>0</v>
      </c>
      <c r="AV236" s="128">
        <v>0</v>
      </c>
      <c r="AW236" s="128">
        <v>0</v>
      </c>
      <c r="AX236" s="128">
        <v>0</v>
      </c>
      <c r="AY236" s="128">
        <v>0</v>
      </c>
    </row>
    <row r="237" spans="1:51" x14ac:dyDescent="0.2">
      <c r="A237" s="127"/>
      <c r="B237" s="144">
        <v>29</v>
      </c>
      <c r="C237" s="124">
        <v>0</v>
      </c>
      <c r="D237" s="128">
        <v>0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8">
        <v>0</v>
      </c>
      <c r="M237" s="128">
        <v>0</v>
      </c>
      <c r="N237" s="128">
        <v>0</v>
      </c>
      <c r="O237" s="128">
        <v>0</v>
      </c>
      <c r="P237" s="128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8">
        <v>0</v>
      </c>
      <c r="W237" s="128">
        <v>0</v>
      </c>
      <c r="X237" s="128">
        <v>0</v>
      </c>
      <c r="Y237" s="128">
        <v>0</v>
      </c>
      <c r="Z237" s="128">
        <v>0</v>
      </c>
      <c r="AA237" s="128">
        <v>0</v>
      </c>
      <c r="AB237" s="128">
        <v>0</v>
      </c>
      <c r="AC237" s="128">
        <v>0</v>
      </c>
      <c r="AD237" s="128">
        <v>0</v>
      </c>
      <c r="AE237" s="128">
        <v>0</v>
      </c>
      <c r="AF237" s="128">
        <v>0</v>
      </c>
      <c r="AG237" s="128">
        <v>0</v>
      </c>
      <c r="AH237" s="128">
        <v>0</v>
      </c>
      <c r="AI237" s="128">
        <v>0</v>
      </c>
      <c r="AJ237" s="128">
        <v>0</v>
      </c>
      <c r="AK237" s="128">
        <v>0</v>
      </c>
      <c r="AL237" s="128">
        <v>0</v>
      </c>
      <c r="AM237" s="128">
        <v>0</v>
      </c>
      <c r="AN237" s="128">
        <v>0</v>
      </c>
      <c r="AO237" s="128">
        <v>0</v>
      </c>
      <c r="AP237" s="128">
        <v>0</v>
      </c>
      <c r="AQ237" s="128">
        <v>0</v>
      </c>
      <c r="AR237" s="128">
        <v>0</v>
      </c>
      <c r="AS237" s="128">
        <v>0</v>
      </c>
      <c r="AT237" s="128">
        <v>0</v>
      </c>
      <c r="AU237" s="128">
        <v>0</v>
      </c>
      <c r="AV237" s="128">
        <v>0</v>
      </c>
      <c r="AW237" s="128">
        <v>0</v>
      </c>
      <c r="AX237" s="128">
        <v>0</v>
      </c>
      <c r="AY237" s="128">
        <v>0</v>
      </c>
    </row>
    <row r="238" spans="1:51" x14ac:dyDescent="0.2">
      <c r="A238" s="127"/>
      <c r="B238" s="144">
        <v>30</v>
      </c>
      <c r="C238" s="124">
        <v>0</v>
      </c>
      <c r="D238" s="128">
        <v>0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>
        <v>0</v>
      </c>
      <c r="L238" s="128">
        <v>0</v>
      </c>
      <c r="M238" s="128">
        <v>0</v>
      </c>
      <c r="N238" s="128">
        <v>0</v>
      </c>
      <c r="O238" s="128">
        <v>0</v>
      </c>
      <c r="P238" s="128">
        <v>0</v>
      </c>
      <c r="Q238" s="128">
        <v>0</v>
      </c>
      <c r="R238" s="128">
        <v>0</v>
      </c>
      <c r="S238" s="128">
        <v>0</v>
      </c>
      <c r="T238" s="128">
        <v>0</v>
      </c>
      <c r="U238" s="128">
        <v>0</v>
      </c>
      <c r="V238" s="128">
        <v>0</v>
      </c>
      <c r="W238" s="128">
        <v>0</v>
      </c>
      <c r="X238" s="128">
        <v>0</v>
      </c>
      <c r="Y238" s="128">
        <v>0</v>
      </c>
      <c r="Z238" s="128">
        <v>0</v>
      </c>
      <c r="AA238" s="128">
        <v>0</v>
      </c>
      <c r="AB238" s="128">
        <v>0</v>
      </c>
      <c r="AC238" s="128">
        <v>0</v>
      </c>
      <c r="AD238" s="128">
        <v>0</v>
      </c>
      <c r="AE238" s="128">
        <v>0</v>
      </c>
      <c r="AF238" s="128">
        <v>0</v>
      </c>
      <c r="AG238" s="128">
        <v>0</v>
      </c>
      <c r="AH238" s="128">
        <v>0</v>
      </c>
      <c r="AI238" s="128">
        <v>0</v>
      </c>
      <c r="AJ238" s="128">
        <v>0</v>
      </c>
      <c r="AK238" s="128">
        <v>0</v>
      </c>
      <c r="AL238" s="128">
        <v>0</v>
      </c>
      <c r="AM238" s="128">
        <v>0</v>
      </c>
      <c r="AN238" s="128">
        <v>0</v>
      </c>
      <c r="AO238" s="128">
        <v>0</v>
      </c>
      <c r="AP238" s="128">
        <v>0</v>
      </c>
      <c r="AQ238" s="128">
        <v>0</v>
      </c>
      <c r="AR238" s="128">
        <v>0</v>
      </c>
      <c r="AS238" s="128">
        <v>0</v>
      </c>
      <c r="AT238" s="128">
        <v>0</v>
      </c>
      <c r="AU238" s="128">
        <v>0</v>
      </c>
      <c r="AV238" s="128">
        <v>0</v>
      </c>
      <c r="AW238" s="128">
        <v>0</v>
      </c>
      <c r="AX238" s="128">
        <v>0</v>
      </c>
      <c r="AY238" s="128">
        <v>0</v>
      </c>
    </row>
    <row r="239" spans="1:51" x14ac:dyDescent="0.2">
      <c r="A239" s="127"/>
      <c r="B239" s="144">
        <v>31</v>
      </c>
      <c r="C239" s="124">
        <v>0</v>
      </c>
      <c r="D239" s="128">
        <v>0</v>
      </c>
      <c r="E239" s="128">
        <v>0</v>
      </c>
      <c r="F239" s="128">
        <v>0</v>
      </c>
      <c r="G239" s="128">
        <v>0</v>
      </c>
      <c r="H239" s="128">
        <v>0</v>
      </c>
      <c r="I239" s="128">
        <v>0</v>
      </c>
      <c r="J239" s="128">
        <v>0</v>
      </c>
      <c r="K239" s="128">
        <v>0</v>
      </c>
      <c r="L239" s="128">
        <v>0</v>
      </c>
      <c r="M239" s="128">
        <v>0</v>
      </c>
      <c r="N239" s="128">
        <v>0</v>
      </c>
      <c r="O239" s="128">
        <v>0</v>
      </c>
      <c r="P239" s="128">
        <v>0</v>
      </c>
      <c r="Q239" s="128">
        <v>0</v>
      </c>
      <c r="R239" s="128">
        <v>0</v>
      </c>
      <c r="S239" s="128">
        <v>0</v>
      </c>
      <c r="T239" s="128">
        <v>0</v>
      </c>
      <c r="U239" s="128">
        <v>0</v>
      </c>
      <c r="V239" s="128">
        <v>0</v>
      </c>
      <c r="W239" s="128">
        <v>0</v>
      </c>
      <c r="X239" s="128">
        <v>0</v>
      </c>
      <c r="Y239" s="128">
        <v>0</v>
      </c>
      <c r="Z239" s="128">
        <v>0</v>
      </c>
      <c r="AA239" s="128">
        <v>0</v>
      </c>
      <c r="AB239" s="128">
        <v>0</v>
      </c>
      <c r="AC239" s="128">
        <v>0</v>
      </c>
      <c r="AD239" s="128">
        <v>0</v>
      </c>
      <c r="AE239" s="128">
        <v>0</v>
      </c>
      <c r="AF239" s="128">
        <v>0</v>
      </c>
      <c r="AG239" s="128">
        <v>0</v>
      </c>
      <c r="AH239" s="128">
        <v>0</v>
      </c>
      <c r="AI239" s="128">
        <v>0</v>
      </c>
      <c r="AJ239" s="128">
        <v>0</v>
      </c>
      <c r="AK239" s="128">
        <v>0</v>
      </c>
      <c r="AL239" s="128">
        <v>0</v>
      </c>
      <c r="AM239" s="128">
        <v>0</v>
      </c>
      <c r="AN239" s="128">
        <v>0</v>
      </c>
      <c r="AO239" s="128">
        <v>0</v>
      </c>
      <c r="AP239" s="128">
        <v>0</v>
      </c>
      <c r="AQ239" s="128">
        <v>0</v>
      </c>
      <c r="AR239" s="128">
        <v>0</v>
      </c>
      <c r="AS239" s="128">
        <v>0</v>
      </c>
      <c r="AT239" s="128">
        <v>0</v>
      </c>
      <c r="AU239" s="128">
        <v>0</v>
      </c>
      <c r="AV239" s="128">
        <v>0</v>
      </c>
      <c r="AW239" s="128">
        <v>0</v>
      </c>
      <c r="AX239" s="128">
        <v>0</v>
      </c>
      <c r="AY239" s="128">
        <v>0</v>
      </c>
    </row>
    <row r="240" spans="1:51" x14ac:dyDescent="0.2">
      <c r="A240" s="127"/>
      <c r="B240" s="144">
        <v>32</v>
      </c>
      <c r="C240" s="124">
        <v>0</v>
      </c>
      <c r="D240" s="128">
        <v>0</v>
      </c>
      <c r="E240" s="128">
        <v>0</v>
      </c>
      <c r="F240" s="128">
        <v>0</v>
      </c>
      <c r="G240" s="128">
        <v>0</v>
      </c>
      <c r="H240" s="128">
        <v>0</v>
      </c>
      <c r="I240" s="128">
        <v>0</v>
      </c>
      <c r="J240" s="128">
        <v>0</v>
      </c>
      <c r="K240" s="128">
        <v>0</v>
      </c>
      <c r="L240" s="128">
        <v>0</v>
      </c>
      <c r="M240" s="128">
        <v>0</v>
      </c>
      <c r="N240" s="128">
        <v>0</v>
      </c>
      <c r="O240" s="128">
        <v>0</v>
      </c>
      <c r="P240" s="128">
        <v>0</v>
      </c>
      <c r="Q240" s="128">
        <v>0</v>
      </c>
      <c r="R240" s="128">
        <v>0</v>
      </c>
      <c r="S240" s="128">
        <v>0</v>
      </c>
      <c r="T240" s="128">
        <v>0</v>
      </c>
      <c r="U240" s="128">
        <v>0</v>
      </c>
      <c r="V240" s="128">
        <v>0</v>
      </c>
      <c r="W240" s="128">
        <v>0</v>
      </c>
      <c r="X240" s="128">
        <v>0</v>
      </c>
      <c r="Y240" s="128">
        <v>0</v>
      </c>
      <c r="Z240" s="128">
        <v>0</v>
      </c>
      <c r="AA240" s="128">
        <v>0</v>
      </c>
      <c r="AB240" s="128">
        <v>0</v>
      </c>
      <c r="AC240" s="128">
        <v>0</v>
      </c>
      <c r="AD240" s="128">
        <v>0</v>
      </c>
      <c r="AE240" s="128">
        <v>0</v>
      </c>
      <c r="AF240" s="128">
        <v>0</v>
      </c>
      <c r="AG240" s="128">
        <v>0</v>
      </c>
      <c r="AH240" s="128">
        <v>0</v>
      </c>
      <c r="AI240" s="128">
        <v>0</v>
      </c>
      <c r="AJ240" s="128">
        <v>0</v>
      </c>
      <c r="AK240" s="128">
        <v>0</v>
      </c>
      <c r="AL240" s="128">
        <v>0</v>
      </c>
      <c r="AM240" s="128">
        <v>0</v>
      </c>
      <c r="AN240" s="128">
        <v>0</v>
      </c>
      <c r="AO240" s="128">
        <v>0</v>
      </c>
      <c r="AP240" s="128">
        <v>0</v>
      </c>
      <c r="AQ240" s="128">
        <v>0</v>
      </c>
      <c r="AR240" s="128">
        <v>0</v>
      </c>
      <c r="AS240" s="128">
        <v>0</v>
      </c>
      <c r="AT240" s="128">
        <v>0</v>
      </c>
      <c r="AU240" s="128">
        <v>0</v>
      </c>
      <c r="AV240" s="128">
        <v>0</v>
      </c>
      <c r="AW240" s="128">
        <v>0</v>
      </c>
      <c r="AX240" s="128">
        <v>0</v>
      </c>
      <c r="AY240" s="128">
        <v>0</v>
      </c>
    </row>
    <row r="241" spans="1:51" x14ac:dyDescent="0.2">
      <c r="A241" s="127"/>
      <c r="B241" s="144">
        <v>33</v>
      </c>
      <c r="C241" s="124">
        <v>0</v>
      </c>
      <c r="D241" s="128">
        <v>0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>
        <v>0</v>
      </c>
      <c r="L241" s="128">
        <v>0</v>
      </c>
      <c r="M241" s="128">
        <v>0</v>
      </c>
      <c r="N241" s="128">
        <v>0</v>
      </c>
      <c r="O241" s="128">
        <v>0</v>
      </c>
      <c r="P241" s="128">
        <v>0</v>
      </c>
      <c r="Q241" s="128">
        <v>0</v>
      </c>
      <c r="R241" s="128">
        <v>0</v>
      </c>
      <c r="S241" s="128">
        <v>0</v>
      </c>
      <c r="T241" s="128">
        <v>0</v>
      </c>
      <c r="U241" s="128">
        <v>0</v>
      </c>
      <c r="V241" s="128">
        <v>0</v>
      </c>
      <c r="W241" s="128">
        <v>0</v>
      </c>
      <c r="X241" s="128">
        <v>0</v>
      </c>
      <c r="Y241" s="128">
        <v>0</v>
      </c>
      <c r="Z241" s="128">
        <v>0</v>
      </c>
      <c r="AA241" s="128">
        <v>0</v>
      </c>
      <c r="AB241" s="128">
        <v>0</v>
      </c>
      <c r="AC241" s="128">
        <v>0</v>
      </c>
      <c r="AD241" s="128">
        <v>0</v>
      </c>
      <c r="AE241" s="128">
        <v>0</v>
      </c>
      <c r="AF241" s="128">
        <v>0</v>
      </c>
      <c r="AG241" s="128">
        <v>0</v>
      </c>
      <c r="AH241" s="128">
        <v>0</v>
      </c>
      <c r="AI241" s="128">
        <v>0</v>
      </c>
      <c r="AJ241" s="128">
        <v>0</v>
      </c>
      <c r="AK241" s="128">
        <v>0</v>
      </c>
      <c r="AL241" s="128">
        <v>0</v>
      </c>
      <c r="AM241" s="128">
        <v>0</v>
      </c>
      <c r="AN241" s="128">
        <v>0</v>
      </c>
      <c r="AO241" s="128">
        <v>0</v>
      </c>
      <c r="AP241" s="128">
        <v>0</v>
      </c>
      <c r="AQ241" s="128">
        <v>0</v>
      </c>
      <c r="AR241" s="128">
        <v>0</v>
      </c>
      <c r="AS241" s="128">
        <v>0</v>
      </c>
      <c r="AT241" s="128">
        <v>0</v>
      </c>
      <c r="AU241" s="128">
        <v>0</v>
      </c>
      <c r="AV241" s="128">
        <v>0</v>
      </c>
      <c r="AW241" s="128">
        <v>0</v>
      </c>
      <c r="AX241" s="128">
        <v>0</v>
      </c>
      <c r="AY241" s="128">
        <v>0</v>
      </c>
    </row>
    <row r="242" spans="1:51" x14ac:dyDescent="0.2">
      <c r="A242" s="127"/>
      <c r="B242" s="144">
        <v>34</v>
      </c>
      <c r="C242" s="124">
        <v>0</v>
      </c>
      <c r="D242" s="128">
        <v>0</v>
      </c>
      <c r="E242" s="128">
        <v>0</v>
      </c>
      <c r="F242" s="128">
        <v>0</v>
      </c>
      <c r="G242" s="128">
        <v>0</v>
      </c>
      <c r="H242" s="128">
        <v>0</v>
      </c>
      <c r="I242" s="128">
        <v>0</v>
      </c>
      <c r="J242" s="128">
        <v>0</v>
      </c>
      <c r="K242" s="128">
        <v>0</v>
      </c>
      <c r="L242" s="128">
        <v>0</v>
      </c>
      <c r="M242" s="128">
        <v>0</v>
      </c>
      <c r="N242" s="128">
        <v>0</v>
      </c>
      <c r="O242" s="128">
        <v>0</v>
      </c>
      <c r="P242" s="128">
        <v>0</v>
      </c>
      <c r="Q242" s="128">
        <v>0</v>
      </c>
      <c r="R242" s="128">
        <v>0</v>
      </c>
      <c r="S242" s="128">
        <v>0</v>
      </c>
      <c r="T242" s="128">
        <v>0</v>
      </c>
      <c r="U242" s="128">
        <v>0</v>
      </c>
      <c r="V242" s="128">
        <v>0</v>
      </c>
      <c r="W242" s="128">
        <v>0</v>
      </c>
      <c r="X242" s="128">
        <v>0</v>
      </c>
      <c r="Y242" s="128">
        <v>0</v>
      </c>
      <c r="Z242" s="128">
        <v>0</v>
      </c>
      <c r="AA242" s="128">
        <v>0</v>
      </c>
      <c r="AB242" s="128">
        <v>0</v>
      </c>
      <c r="AC242" s="128">
        <v>0</v>
      </c>
      <c r="AD242" s="128">
        <v>0</v>
      </c>
      <c r="AE242" s="128">
        <v>0</v>
      </c>
      <c r="AF242" s="128">
        <v>0</v>
      </c>
      <c r="AG242" s="128">
        <v>0</v>
      </c>
      <c r="AH242" s="128">
        <v>0</v>
      </c>
      <c r="AI242" s="128">
        <v>0</v>
      </c>
      <c r="AJ242" s="128">
        <v>0</v>
      </c>
      <c r="AK242" s="128">
        <v>0</v>
      </c>
      <c r="AL242" s="128">
        <v>0</v>
      </c>
      <c r="AM242" s="128">
        <v>0</v>
      </c>
      <c r="AN242" s="128">
        <v>0</v>
      </c>
      <c r="AO242" s="128">
        <v>0</v>
      </c>
      <c r="AP242" s="128">
        <v>0</v>
      </c>
      <c r="AQ242" s="128">
        <v>0</v>
      </c>
      <c r="AR242" s="128">
        <v>0</v>
      </c>
      <c r="AS242" s="128">
        <v>0</v>
      </c>
      <c r="AT242" s="128">
        <v>0</v>
      </c>
      <c r="AU242" s="128">
        <v>0</v>
      </c>
      <c r="AV242" s="128">
        <v>0</v>
      </c>
      <c r="AW242" s="128">
        <v>0</v>
      </c>
      <c r="AX242" s="128">
        <v>0</v>
      </c>
      <c r="AY242" s="128">
        <v>0</v>
      </c>
    </row>
    <row r="243" spans="1:51" x14ac:dyDescent="0.2">
      <c r="A243" s="127"/>
      <c r="B243" s="144">
        <v>35</v>
      </c>
      <c r="C243" s="124">
        <v>0</v>
      </c>
      <c r="D243" s="128">
        <v>0</v>
      </c>
      <c r="E243" s="128">
        <v>0</v>
      </c>
      <c r="F243" s="128">
        <v>0</v>
      </c>
      <c r="G243" s="128">
        <v>0</v>
      </c>
      <c r="H243" s="128">
        <v>0</v>
      </c>
      <c r="I243" s="128">
        <v>0</v>
      </c>
      <c r="J243" s="128">
        <v>0</v>
      </c>
      <c r="K243" s="128">
        <v>0</v>
      </c>
      <c r="L243" s="128">
        <v>0</v>
      </c>
      <c r="M243" s="128">
        <v>0</v>
      </c>
      <c r="N243" s="128">
        <v>0</v>
      </c>
      <c r="O243" s="128">
        <v>0</v>
      </c>
      <c r="P243" s="128">
        <v>0</v>
      </c>
      <c r="Q243" s="128">
        <v>0</v>
      </c>
      <c r="R243" s="128">
        <v>0</v>
      </c>
      <c r="S243" s="128">
        <v>0</v>
      </c>
      <c r="T243" s="128">
        <v>0</v>
      </c>
      <c r="U243" s="128">
        <v>0</v>
      </c>
      <c r="V243" s="128">
        <v>0</v>
      </c>
      <c r="W243" s="128">
        <v>0</v>
      </c>
      <c r="X243" s="128">
        <v>0</v>
      </c>
      <c r="Y243" s="128">
        <v>0</v>
      </c>
      <c r="Z243" s="128">
        <v>0</v>
      </c>
      <c r="AA243" s="128">
        <v>0</v>
      </c>
      <c r="AB243" s="128">
        <v>0</v>
      </c>
      <c r="AC243" s="128">
        <v>0</v>
      </c>
      <c r="AD243" s="128">
        <v>0</v>
      </c>
      <c r="AE243" s="128">
        <v>0</v>
      </c>
      <c r="AF243" s="128">
        <v>0</v>
      </c>
      <c r="AG243" s="128">
        <v>0</v>
      </c>
      <c r="AH243" s="128">
        <v>0</v>
      </c>
      <c r="AI243" s="128">
        <v>0</v>
      </c>
      <c r="AJ243" s="128">
        <v>0</v>
      </c>
      <c r="AK243" s="128">
        <v>0</v>
      </c>
      <c r="AL243" s="128">
        <v>0</v>
      </c>
      <c r="AM243" s="128">
        <v>0</v>
      </c>
      <c r="AN243" s="128">
        <v>0</v>
      </c>
      <c r="AO243" s="128">
        <v>0</v>
      </c>
      <c r="AP243" s="128">
        <v>0</v>
      </c>
      <c r="AQ243" s="128">
        <v>0</v>
      </c>
      <c r="AR243" s="128">
        <v>0</v>
      </c>
      <c r="AS243" s="128">
        <v>0</v>
      </c>
      <c r="AT243" s="128">
        <v>0</v>
      </c>
      <c r="AU243" s="128">
        <v>0</v>
      </c>
      <c r="AV243" s="128">
        <v>0</v>
      </c>
      <c r="AW243" s="128">
        <v>0</v>
      </c>
      <c r="AX243" s="128">
        <v>0</v>
      </c>
      <c r="AY243" s="128">
        <v>0</v>
      </c>
    </row>
    <row r="244" spans="1:51" x14ac:dyDescent="0.2">
      <c r="A244" s="127"/>
      <c r="B244" s="144">
        <v>36</v>
      </c>
      <c r="C244" s="124">
        <v>0</v>
      </c>
      <c r="D244" s="128">
        <v>0</v>
      </c>
      <c r="E244" s="128">
        <v>0</v>
      </c>
      <c r="F244" s="128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8">
        <v>0</v>
      </c>
      <c r="M244" s="128">
        <v>0</v>
      </c>
      <c r="N244" s="128">
        <v>0</v>
      </c>
      <c r="O244" s="128">
        <v>0</v>
      </c>
      <c r="P244" s="128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8">
        <v>0</v>
      </c>
      <c r="W244" s="128">
        <v>0</v>
      </c>
      <c r="X244" s="128">
        <v>0</v>
      </c>
      <c r="Y244" s="128">
        <v>0</v>
      </c>
      <c r="Z244" s="128">
        <v>0</v>
      </c>
      <c r="AA244" s="128">
        <v>0</v>
      </c>
      <c r="AB244" s="128">
        <v>0</v>
      </c>
      <c r="AC244" s="128">
        <v>0</v>
      </c>
      <c r="AD244" s="128">
        <v>0</v>
      </c>
      <c r="AE244" s="128">
        <v>0</v>
      </c>
      <c r="AF244" s="128">
        <v>0</v>
      </c>
      <c r="AG244" s="128">
        <v>0</v>
      </c>
      <c r="AH244" s="128">
        <v>0</v>
      </c>
      <c r="AI244" s="128">
        <v>0</v>
      </c>
      <c r="AJ244" s="128">
        <v>0</v>
      </c>
      <c r="AK244" s="128">
        <v>0</v>
      </c>
      <c r="AL244" s="128">
        <v>0</v>
      </c>
      <c r="AM244" s="128">
        <v>0</v>
      </c>
      <c r="AN244" s="128">
        <v>0</v>
      </c>
      <c r="AO244" s="128">
        <v>0</v>
      </c>
      <c r="AP244" s="128">
        <v>0</v>
      </c>
      <c r="AQ244" s="128">
        <v>0</v>
      </c>
      <c r="AR244" s="128">
        <v>0</v>
      </c>
      <c r="AS244" s="128">
        <v>0</v>
      </c>
      <c r="AT244" s="128">
        <v>0</v>
      </c>
      <c r="AU244" s="128">
        <v>0</v>
      </c>
      <c r="AV244" s="128">
        <v>0</v>
      </c>
      <c r="AW244" s="128">
        <v>0</v>
      </c>
      <c r="AX244" s="128">
        <v>0</v>
      </c>
      <c r="AY244" s="128">
        <v>0</v>
      </c>
    </row>
    <row r="245" spans="1:51" x14ac:dyDescent="0.2">
      <c r="A245" s="127"/>
      <c r="B245" s="147">
        <v>37</v>
      </c>
      <c r="C245" s="124">
        <v>0</v>
      </c>
      <c r="D245" s="128">
        <v>0</v>
      </c>
      <c r="E245" s="128">
        <v>0</v>
      </c>
      <c r="F245" s="128">
        <v>0</v>
      </c>
      <c r="G245" s="128">
        <v>0</v>
      </c>
      <c r="H245" s="128">
        <v>0</v>
      </c>
      <c r="I245" s="128">
        <v>0</v>
      </c>
      <c r="J245" s="128">
        <v>0</v>
      </c>
      <c r="K245" s="128">
        <v>0</v>
      </c>
      <c r="L245" s="128">
        <v>0</v>
      </c>
      <c r="M245" s="128">
        <v>0</v>
      </c>
      <c r="N245" s="128">
        <v>0</v>
      </c>
      <c r="O245" s="128">
        <v>0</v>
      </c>
      <c r="P245" s="128">
        <v>0</v>
      </c>
      <c r="Q245" s="128">
        <v>0</v>
      </c>
      <c r="R245" s="128">
        <v>0</v>
      </c>
      <c r="S245" s="128">
        <v>0</v>
      </c>
      <c r="T245" s="128">
        <v>0</v>
      </c>
      <c r="U245" s="128">
        <v>0</v>
      </c>
      <c r="V245" s="128">
        <v>0</v>
      </c>
      <c r="W245" s="128">
        <v>0</v>
      </c>
      <c r="X245" s="128">
        <v>0</v>
      </c>
      <c r="Y245" s="128">
        <v>0</v>
      </c>
      <c r="Z245" s="128">
        <v>0</v>
      </c>
      <c r="AA245" s="128">
        <v>0</v>
      </c>
      <c r="AB245" s="128">
        <v>0</v>
      </c>
      <c r="AC245" s="128">
        <v>0</v>
      </c>
      <c r="AD245" s="128">
        <v>0</v>
      </c>
      <c r="AE245" s="128">
        <v>0</v>
      </c>
      <c r="AF245" s="128">
        <v>0</v>
      </c>
      <c r="AG245" s="128">
        <v>0</v>
      </c>
      <c r="AH245" s="128">
        <v>0</v>
      </c>
      <c r="AI245" s="128">
        <v>0</v>
      </c>
      <c r="AJ245" s="128">
        <v>0</v>
      </c>
      <c r="AK245" s="128">
        <v>0</v>
      </c>
      <c r="AL245" s="128">
        <v>0</v>
      </c>
      <c r="AM245" s="128">
        <v>0</v>
      </c>
      <c r="AN245" s="128">
        <v>0</v>
      </c>
      <c r="AO245" s="128">
        <v>0</v>
      </c>
      <c r="AP245" s="128">
        <v>0</v>
      </c>
      <c r="AQ245" s="128">
        <v>0</v>
      </c>
      <c r="AR245" s="128">
        <v>0</v>
      </c>
      <c r="AS245" s="128">
        <v>0</v>
      </c>
      <c r="AT245" s="128">
        <v>0</v>
      </c>
      <c r="AU245" s="128">
        <v>0</v>
      </c>
      <c r="AV245" s="128">
        <v>0</v>
      </c>
      <c r="AW245" s="128">
        <v>0</v>
      </c>
      <c r="AX245" s="128">
        <v>0</v>
      </c>
      <c r="AY245" s="128">
        <v>0</v>
      </c>
    </row>
    <row r="246" spans="1:51" x14ac:dyDescent="0.2">
      <c r="A246" s="127"/>
      <c r="B246" s="147">
        <v>38</v>
      </c>
      <c r="C246" s="124">
        <v>0</v>
      </c>
      <c r="D246" s="128">
        <v>0</v>
      </c>
      <c r="E246" s="128">
        <v>0</v>
      </c>
      <c r="F246" s="128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8">
        <v>0</v>
      </c>
      <c r="M246" s="128">
        <v>0</v>
      </c>
      <c r="N246" s="128">
        <v>0</v>
      </c>
      <c r="O246" s="128">
        <v>0</v>
      </c>
      <c r="P246" s="128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8">
        <v>0</v>
      </c>
      <c r="W246" s="128">
        <v>0</v>
      </c>
      <c r="X246" s="128">
        <v>0</v>
      </c>
      <c r="Y246" s="128">
        <v>0</v>
      </c>
      <c r="Z246" s="128">
        <v>0</v>
      </c>
      <c r="AA246" s="128">
        <v>0</v>
      </c>
      <c r="AB246" s="128">
        <v>0</v>
      </c>
      <c r="AC246" s="128">
        <v>0</v>
      </c>
      <c r="AD246" s="128">
        <v>0</v>
      </c>
      <c r="AE246" s="128">
        <v>0</v>
      </c>
      <c r="AF246" s="128">
        <v>0</v>
      </c>
      <c r="AG246" s="128">
        <v>0</v>
      </c>
      <c r="AH246" s="128">
        <v>0</v>
      </c>
      <c r="AI246" s="128">
        <v>0</v>
      </c>
      <c r="AJ246" s="128">
        <v>0</v>
      </c>
      <c r="AK246" s="128">
        <v>0</v>
      </c>
      <c r="AL246" s="128">
        <v>0</v>
      </c>
      <c r="AM246" s="128">
        <v>0</v>
      </c>
      <c r="AN246" s="128">
        <v>0</v>
      </c>
      <c r="AO246" s="128">
        <v>0</v>
      </c>
      <c r="AP246" s="128">
        <v>0</v>
      </c>
      <c r="AQ246" s="128">
        <v>0</v>
      </c>
      <c r="AR246" s="128">
        <v>0</v>
      </c>
      <c r="AS246" s="128">
        <v>0</v>
      </c>
      <c r="AT246" s="128">
        <v>0</v>
      </c>
      <c r="AU246" s="128">
        <v>0</v>
      </c>
      <c r="AV246" s="128">
        <v>0</v>
      </c>
      <c r="AW246" s="128">
        <v>0</v>
      </c>
      <c r="AX246" s="128">
        <v>0</v>
      </c>
      <c r="AY246" s="128">
        <v>0</v>
      </c>
    </row>
    <row r="247" spans="1:51" x14ac:dyDescent="0.2">
      <c r="A247" s="127"/>
      <c r="B247" s="147">
        <v>39</v>
      </c>
      <c r="C247" s="124">
        <v>0</v>
      </c>
      <c r="D247" s="128">
        <v>0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>
        <v>0</v>
      </c>
      <c r="L247" s="128">
        <v>0</v>
      </c>
      <c r="M247" s="128">
        <v>0</v>
      </c>
      <c r="N247" s="128">
        <v>0</v>
      </c>
      <c r="O247" s="128">
        <v>0</v>
      </c>
      <c r="P247" s="128">
        <v>0</v>
      </c>
      <c r="Q247" s="128">
        <v>0</v>
      </c>
      <c r="R247" s="128">
        <v>0</v>
      </c>
      <c r="S247" s="128">
        <v>0</v>
      </c>
      <c r="T247" s="128">
        <v>0</v>
      </c>
      <c r="U247" s="128">
        <v>0</v>
      </c>
      <c r="V247" s="128">
        <v>0</v>
      </c>
      <c r="W247" s="128">
        <v>0</v>
      </c>
      <c r="X247" s="128">
        <v>0</v>
      </c>
      <c r="Y247" s="128">
        <v>0</v>
      </c>
      <c r="Z247" s="128">
        <v>0</v>
      </c>
      <c r="AA247" s="128">
        <v>0</v>
      </c>
      <c r="AB247" s="128">
        <v>0</v>
      </c>
      <c r="AC247" s="128">
        <v>0</v>
      </c>
      <c r="AD247" s="128">
        <v>0</v>
      </c>
      <c r="AE247" s="128">
        <v>0</v>
      </c>
      <c r="AF247" s="128">
        <v>0</v>
      </c>
      <c r="AG247" s="128">
        <v>0</v>
      </c>
      <c r="AH247" s="128">
        <v>0</v>
      </c>
      <c r="AI247" s="128">
        <v>0</v>
      </c>
      <c r="AJ247" s="128">
        <v>0</v>
      </c>
      <c r="AK247" s="128">
        <v>0</v>
      </c>
      <c r="AL247" s="128">
        <v>0</v>
      </c>
      <c r="AM247" s="128">
        <v>0</v>
      </c>
      <c r="AN247" s="128">
        <v>0</v>
      </c>
      <c r="AO247" s="128">
        <v>0</v>
      </c>
      <c r="AP247" s="128">
        <v>0</v>
      </c>
      <c r="AQ247" s="128">
        <v>0</v>
      </c>
      <c r="AR247" s="128">
        <v>0</v>
      </c>
      <c r="AS247" s="128">
        <v>0</v>
      </c>
      <c r="AT247" s="128">
        <v>0</v>
      </c>
      <c r="AU247" s="128">
        <v>0</v>
      </c>
      <c r="AV247" s="128">
        <v>0</v>
      </c>
      <c r="AW247" s="128">
        <v>0</v>
      </c>
      <c r="AX247" s="128">
        <v>0</v>
      </c>
      <c r="AY247" s="128">
        <v>0</v>
      </c>
    </row>
    <row r="248" spans="1:51" x14ac:dyDescent="0.2">
      <c r="A248" s="127"/>
      <c r="B248" s="147">
        <v>40</v>
      </c>
      <c r="C248" s="124">
        <v>0</v>
      </c>
      <c r="D248" s="128">
        <v>0</v>
      </c>
      <c r="E248" s="128">
        <v>0</v>
      </c>
      <c r="F248" s="128">
        <v>0</v>
      </c>
      <c r="G248" s="128">
        <v>0</v>
      </c>
      <c r="H248" s="128">
        <v>0</v>
      </c>
      <c r="I248" s="128">
        <v>0</v>
      </c>
      <c r="J248" s="128">
        <v>0</v>
      </c>
      <c r="K248" s="128">
        <v>0</v>
      </c>
      <c r="L248" s="128">
        <v>0</v>
      </c>
      <c r="M248" s="128">
        <v>0</v>
      </c>
      <c r="N248" s="128">
        <v>0</v>
      </c>
      <c r="O248" s="128">
        <v>0</v>
      </c>
      <c r="P248" s="128">
        <v>0</v>
      </c>
      <c r="Q248" s="128">
        <v>0</v>
      </c>
      <c r="R248" s="128">
        <v>0</v>
      </c>
      <c r="S248" s="128">
        <v>0</v>
      </c>
      <c r="T248" s="128">
        <v>0</v>
      </c>
      <c r="U248" s="128">
        <v>0</v>
      </c>
      <c r="V248" s="128">
        <v>0</v>
      </c>
      <c r="W248" s="128">
        <v>0</v>
      </c>
      <c r="X248" s="128">
        <v>0</v>
      </c>
      <c r="Y248" s="128">
        <v>0</v>
      </c>
      <c r="Z248" s="128">
        <v>0</v>
      </c>
      <c r="AA248" s="128">
        <v>0</v>
      </c>
      <c r="AB248" s="128">
        <v>0</v>
      </c>
      <c r="AC248" s="128">
        <v>0</v>
      </c>
      <c r="AD248" s="128">
        <v>0</v>
      </c>
      <c r="AE248" s="128">
        <v>0</v>
      </c>
      <c r="AF248" s="128">
        <v>0</v>
      </c>
      <c r="AG248" s="128">
        <v>0</v>
      </c>
      <c r="AH248" s="128">
        <v>0</v>
      </c>
      <c r="AI248" s="128">
        <v>0</v>
      </c>
      <c r="AJ248" s="128">
        <v>0</v>
      </c>
      <c r="AK248" s="128">
        <v>0</v>
      </c>
      <c r="AL248" s="128">
        <v>0</v>
      </c>
      <c r="AM248" s="128">
        <v>0</v>
      </c>
      <c r="AN248" s="128">
        <v>0</v>
      </c>
      <c r="AO248" s="128">
        <v>0</v>
      </c>
      <c r="AP248" s="128">
        <v>0</v>
      </c>
      <c r="AQ248" s="128">
        <v>0</v>
      </c>
      <c r="AR248" s="128">
        <v>0</v>
      </c>
      <c r="AS248" s="128">
        <v>0</v>
      </c>
      <c r="AT248" s="128">
        <v>0</v>
      </c>
      <c r="AU248" s="128">
        <v>0</v>
      </c>
      <c r="AV248" s="128">
        <v>0</v>
      </c>
      <c r="AW248" s="128">
        <v>0</v>
      </c>
      <c r="AX248" s="128">
        <v>0</v>
      </c>
      <c r="AY248" s="128">
        <v>0</v>
      </c>
    </row>
    <row r="249" spans="1:51" x14ac:dyDescent="0.2">
      <c r="A249" s="127"/>
      <c r="B249" s="147">
        <v>41</v>
      </c>
      <c r="C249" s="124">
        <v>0</v>
      </c>
      <c r="D249" s="128">
        <v>0</v>
      </c>
      <c r="E249" s="128">
        <v>0</v>
      </c>
      <c r="F249" s="128">
        <v>0</v>
      </c>
      <c r="G249" s="128">
        <v>0</v>
      </c>
      <c r="H249" s="128">
        <v>0</v>
      </c>
      <c r="I249" s="128">
        <v>0</v>
      </c>
      <c r="J249" s="128">
        <v>0</v>
      </c>
      <c r="K249" s="128">
        <v>0</v>
      </c>
      <c r="L249" s="128">
        <v>0</v>
      </c>
      <c r="M249" s="128">
        <v>0</v>
      </c>
      <c r="N249" s="128">
        <v>0</v>
      </c>
      <c r="O249" s="128">
        <v>0</v>
      </c>
      <c r="P249" s="128">
        <v>0</v>
      </c>
      <c r="Q249" s="128">
        <v>0</v>
      </c>
      <c r="R249" s="128">
        <v>0</v>
      </c>
      <c r="S249" s="128">
        <v>0</v>
      </c>
      <c r="T249" s="128">
        <v>0</v>
      </c>
      <c r="U249" s="128">
        <v>0</v>
      </c>
      <c r="V249" s="128">
        <v>0</v>
      </c>
      <c r="W249" s="128">
        <v>0</v>
      </c>
      <c r="X249" s="128">
        <v>0</v>
      </c>
      <c r="Y249" s="128">
        <v>0</v>
      </c>
      <c r="Z249" s="128">
        <v>0</v>
      </c>
      <c r="AA249" s="128">
        <v>0</v>
      </c>
      <c r="AB249" s="128">
        <v>0</v>
      </c>
      <c r="AC249" s="128">
        <v>0</v>
      </c>
      <c r="AD249" s="128">
        <v>0</v>
      </c>
      <c r="AE249" s="128">
        <v>0</v>
      </c>
      <c r="AF249" s="128">
        <v>0</v>
      </c>
      <c r="AG249" s="128">
        <v>0</v>
      </c>
      <c r="AH249" s="128">
        <v>0</v>
      </c>
      <c r="AI249" s="128">
        <v>0</v>
      </c>
      <c r="AJ249" s="128">
        <v>0</v>
      </c>
      <c r="AK249" s="128">
        <v>0</v>
      </c>
      <c r="AL249" s="128">
        <v>0</v>
      </c>
      <c r="AM249" s="128">
        <v>0</v>
      </c>
      <c r="AN249" s="128">
        <v>0</v>
      </c>
      <c r="AO249" s="128">
        <v>0</v>
      </c>
      <c r="AP249" s="128">
        <v>0</v>
      </c>
      <c r="AQ249" s="128">
        <v>0</v>
      </c>
      <c r="AR249" s="128">
        <v>0</v>
      </c>
      <c r="AS249" s="128">
        <v>0</v>
      </c>
      <c r="AT249" s="128">
        <v>0</v>
      </c>
      <c r="AU249" s="128">
        <v>0</v>
      </c>
      <c r="AV249" s="128">
        <v>0</v>
      </c>
      <c r="AW249" s="128">
        <v>0</v>
      </c>
      <c r="AX249" s="128">
        <v>0</v>
      </c>
      <c r="AY249" s="128">
        <v>0</v>
      </c>
    </row>
    <row r="250" spans="1:51" x14ac:dyDescent="0.2">
      <c r="A250" s="127"/>
      <c r="B250" s="147">
        <v>42</v>
      </c>
      <c r="C250" s="124">
        <v>0</v>
      </c>
      <c r="D250" s="128">
        <v>0</v>
      </c>
      <c r="E250" s="128">
        <v>0</v>
      </c>
      <c r="F250" s="128">
        <v>0</v>
      </c>
      <c r="G250" s="128">
        <v>0</v>
      </c>
      <c r="H250" s="128">
        <v>0</v>
      </c>
      <c r="I250" s="128">
        <v>0</v>
      </c>
      <c r="J250" s="128">
        <v>0</v>
      </c>
      <c r="K250" s="128">
        <v>0</v>
      </c>
      <c r="L250" s="128">
        <v>0</v>
      </c>
      <c r="M250" s="128">
        <v>0</v>
      </c>
      <c r="N250" s="128">
        <v>0</v>
      </c>
      <c r="O250" s="128">
        <v>0</v>
      </c>
      <c r="P250" s="128">
        <v>0</v>
      </c>
      <c r="Q250" s="128">
        <v>0</v>
      </c>
      <c r="R250" s="128">
        <v>0</v>
      </c>
      <c r="S250" s="128">
        <v>0</v>
      </c>
      <c r="T250" s="128">
        <v>0</v>
      </c>
      <c r="U250" s="128">
        <v>0</v>
      </c>
      <c r="V250" s="128">
        <v>0</v>
      </c>
      <c r="W250" s="128">
        <v>0</v>
      </c>
      <c r="X250" s="128">
        <v>0</v>
      </c>
      <c r="Y250" s="128">
        <v>0</v>
      </c>
      <c r="Z250" s="128">
        <v>0</v>
      </c>
      <c r="AA250" s="128">
        <v>0</v>
      </c>
      <c r="AB250" s="128">
        <v>0</v>
      </c>
      <c r="AC250" s="128">
        <v>0</v>
      </c>
      <c r="AD250" s="128">
        <v>0</v>
      </c>
      <c r="AE250" s="128">
        <v>0</v>
      </c>
      <c r="AF250" s="128">
        <v>0</v>
      </c>
      <c r="AG250" s="128">
        <v>0</v>
      </c>
      <c r="AH250" s="128">
        <v>0</v>
      </c>
      <c r="AI250" s="128">
        <v>0</v>
      </c>
      <c r="AJ250" s="128">
        <v>0</v>
      </c>
      <c r="AK250" s="128">
        <v>0</v>
      </c>
      <c r="AL250" s="128">
        <v>0</v>
      </c>
      <c r="AM250" s="128">
        <v>0</v>
      </c>
      <c r="AN250" s="128">
        <v>0</v>
      </c>
      <c r="AO250" s="128">
        <v>0</v>
      </c>
      <c r="AP250" s="128">
        <v>0</v>
      </c>
      <c r="AQ250" s="128">
        <v>0</v>
      </c>
      <c r="AR250" s="128">
        <v>0</v>
      </c>
      <c r="AS250" s="128">
        <v>0</v>
      </c>
      <c r="AT250" s="128">
        <v>0</v>
      </c>
      <c r="AU250" s="128">
        <v>0</v>
      </c>
      <c r="AV250" s="128">
        <v>0</v>
      </c>
      <c r="AW250" s="128">
        <v>0</v>
      </c>
      <c r="AX250" s="128">
        <v>0</v>
      </c>
      <c r="AY250" s="128">
        <v>0</v>
      </c>
    </row>
    <row r="251" spans="1:51" x14ac:dyDescent="0.2">
      <c r="A251" s="127"/>
      <c r="B251" s="147">
        <v>43</v>
      </c>
      <c r="C251" s="124">
        <v>0</v>
      </c>
      <c r="D251" s="128">
        <v>0</v>
      </c>
      <c r="E251" s="128">
        <v>0</v>
      </c>
      <c r="F251" s="128">
        <v>0</v>
      </c>
      <c r="G251" s="128">
        <v>0</v>
      </c>
      <c r="H251" s="128">
        <v>0</v>
      </c>
      <c r="I251" s="128">
        <v>0</v>
      </c>
      <c r="J251" s="128">
        <v>0</v>
      </c>
      <c r="K251" s="128">
        <v>0</v>
      </c>
      <c r="L251" s="128">
        <v>0</v>
      </c>
      <c r="M251" s="128">
        <v>0</v>
      </c>
      <c r="N251" s="128">
        <v>0</v>
      </c>
      <c r="O251" s="128">
        <v>0</v>
      </c>
      <c r="P251" s="128">
        <v>0</v>
      </c>
      <c r="Q251" s="128">
        <v>0</v>
      </c>
      <c r="R251" s="128">
        <v>0</v>
      </c>
      <c r="S251" s="128">
        <v>0</v>
      </c>
      <c r="T251" s="128">
        <v>0</v>
      </c>
      <c r="U251" s="128">
        <v>0</v>
      </c>
      <c r="V251" s="128">
        <v>0</v>
      </c>
      <c r="W251" s="128">
        <v>0</v>
      </c>
      <c r="X251" s="128">
        <v>0</v>
      </c>
      <c r="Y251" s="128">
        <v>0</v>
      </c>
      <c r="Z251" s="128">
        <v>0</v>
      </c>
      <c r="AA251" s="128">
        <v>0</v>
      </c>
      <c r="AB251" s="128">
        <v>0</v>
      </c>
      <c r="AC251" s="128">
        <v>0</v>
      </c>
      <c r="AD251" s="128">
        <v>0</v>
      </c>
      <c r="AE251" s="128">
        <v>0</v>
      </c>
      <c r="AF251" s="128">
        <v>0</v>
      </c>
      <c r="AG251" s="128">
        <v>0</v>
      </c>
      <c r="AH251" s="128">
        <v>0</v>
      </c>
      <c r="AI251" s="128">
        <v>0</v>
      </c>
      <c r="AJ251" s="128">
        <v>0</v>
      </c>
      <c r="AK251" s="128">
        <v>0</v>
      </c>
      <c r="AL251" s="128">
        <v>0</v>
      </c>
      <c r="AM251" s="128">
        <v>0</v>
      </c>
      <c r="AN251" s="128">
        <v>0</v>
      </c>
      <c r="AO251" s="128">
        <v>0</v>
      </c>
      <c r="AP251" s="128">
        <v>0</v>
      </c>
      <c r="AQ251" s="128">
        <v>0</v>
      </c>
      <c r="AR251" s="128">
        <v>0</v>
      </c>
      <c r="AS251" s="128">
        <v>0</v>
      </c>
      <c r="AT251" s="128">
        <v>0</v>
      </c>
      <c r="AU251" s="128">
        <v>0</v>
      </c>
      <c r="AV251" s="128">
        <v>0</v>
      </c>
      <c r="AW251" s="128">
        <v>0</v>
      </c>
      <c r="AX251" s="128">
        <v>0</v>
      </c>
      <c r="AY251" s="128">
        <v>0</v>
      </c>
    </row>
    <row r="252" spans="1:51" x14ac:dyDescent="0.2">
      <c r="A252" s="127"/>
      <c r="B252" s="147">
        <v>44</v>
      </c>
      <c r="C252" s="124">
        <v>0</v>
      </c>
      <c r="D252" s="128">
        <v>0</v>
      </c>
      <c r="E252" s="128">
        <v>0</v>
      </c>
      <c r="F252" s="128">
        <v>0</v>
      </c>
      <c r="G252" s="128">
        <v>0</v>
      </c>
      <c r="H252" s="128">
        <v>0</v>
      </c>
      <c r="I252" s="128">
        <v>0</v>
      </c>
      <c r="J252" s="128">
        <v>0</v>
      </c>
      <c r="K252" s="128">
        <v>0</v>
      </c>
      <c r="L252" s="128">
        <v>0</v>
      </c>
      <c r="M252" s="128">
        <v>0</v>
      </c>
      <c r="N252" s="128">
        <v>0</v>
      </c>
      <c r="O252" s="128">
        <v>0</v>
      </c>
      <c r="P252" s="128">
        <v>0</v>
      </c>
      <c r="Q252" s="128">
        <v>0</v>
      </c>
      <c r="R252" s="128">
        <v>0</v>
      </c>
      <c r="S252" s="128">
        <v>0</v>
      </c>
      <c r="T252" s="128">
        <v>0</v>
      </c>
      <c r="U252" s="128">
        <v>0</v>
      </c>
      <c r="V252" s="128">
        <v>0</v>
      </c>
      <c r="W252" s="128">
        <v>0</v>
      </c>
      <c r="X252" s="128">
        <v>0</v>
      </c>
      <c r="Y252" s="128">
        <v>0</v>
      </c>
      <c r="Z252" s="128">
        <v>0</v>
      </c>
      <c r="AA252" s="128">
        <v>0</v>
      </c>
      <c r="AB252" s="128">
        <v>0</v>
      </c>
      <c r="AC252" s="128">
        <v>0</v>
      </c>
      <c r="AD252" s="128">
        <v>0</v>
      </c>
      <c r="AE252" s="128">
        <v>0</v>
      </c>
      <c r="AF252" s="128">
        <v>0</v>
      </c>
      <c r="AG252" s="128">
        <v>0</v>
      </c>
      <c r="AH252" s="128">
        <v>0</v>
      </c>
      <c r="AI252" s="128">
        <v>0</v>
      </c>
      <c r="AJ252" s="128">
        <v>0</v>
      </c>
      <c r="AK252" s="128">
        <v>0</v>
      </c>
      <c r="AL252" s="128">
        <v>0</v>
      </c>
      <c r="AM252" s="128">
        <v>0</v>
      </c>
      <c r="AN252" s="128">
        <v>0</v>
      </c>
      <c r="AO252" s="128">
        <v>0</v>
      </c>
      <c r="AP252" s="128">
        <v>0</v>
      </c>
      <c r="AQ252" s="128">
        <v>0</v>
      </c>
      <c r="AR252" s="128">
        <v>0</v>
      </c>
      <c r="AS252" s="128">
        <v>0</v>
      </c>
      <c r="AT252" s="128">
        <v>0</v>
      </c>
      <c r="AU252" s="128">
        <v>0</v>
      </c>
      <c r="AV252" s="128">
        <v>0</v>
      </c>
      <c r="AW252" s="128">
        <v>0</v>
      </c>
      <c r="AX252" s="128">
        <v>0</v>
      </c>
      <c r="AY252" s="128">
        <v>0</v>
      </c>
    </row>
    <row r="253" spans="1:51" x14ac:dyDescent="0.2">
      <c r="A253" s="127"/>
      <c r="B253" s="147">
        <v>45</v>
      </c>
      <c r="C253" s="124">
        <v>0</v>
      </c>
      <c r="D253" s="128">
        <v>0</v>
      </c>
      <c r="E253" s="128">
        <v>0</v>
      </c>
      <c r="F253" s="128">
        <v>0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8">
        <v>0</v>
      </c>
      <c r="M253" s="128">
        <v>0</v>
      </c>
      <c r="N253" s="128">
        <v>0</v>
      </c>
      <c r="O253" s="128">
        <v>0</v>
      </c>
      <c r="P253" s="128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8">
        <v>0</v>
      </c>
      <c r="W253" s="128">
        <v>0</v>
      </c>
      <c r="X253" s="128">
        <v>0</v>
      </c>
      <c r="Y253" s="128">
        <v>0</v>
      </c>
      <c r="Z253" s="128">
        <v>0</v>
      </c>
      <c r="AA253" s="128">
        <v>0</v>
      </c>
      <c r="AB253" s="128">
        <v>0</v>
      </c>
      <c r="AC253" s="128">
        <v>0</v>
      </c>
      <c r="AD253" s="128">
        <v>0</v>
      </c>
      <c r="AE253" s="128">
        <v>0</v>
      </c>
      <c r="AF253" s="128">
        <v>0</v>
      </c>
      <c r="AG253" s="128">
        <v>0</v>
      </c>
      <c r="AH253" s="128">
        <v>0</v>
      </c>
      <c r="AI253" s="128">
        <v>0</v>
      </c>
      <c r="AJ253" s="128">
        <v>0</v>
      </c>
      <c r="AK253" s="128">
        <v>0</v>
      </c>
      <c r="AL253" s="128">
        <v>0</v>
      </c>
      <c r="AM253" s="128">
        <v>0</v>
      </c>
      <c r="AN253" s="128">
        <v>0</v>
      </c>
      <c r="AO253" s="128">
        <v>0</v>
      </c>
      <c r="AP253" s="128">
        <v>0</v>
      </c>
      <c r="AQ253" s="128">
        <v>0</v>
      </c>
      <c r="AR253" s="128">
        <v>0</v>
      </c>
      <c r="AS253" s="128">
        <v>0</v>
      </c>
      <c r="AT253" s="128">
        <v>0</v>
      </c>
      <c r="AU253" s="128">
        <v>0</v>
      </c>
      <c r="AV253" s="128">
        <v>0</v>
      </c>
      <c r="AW253" s="128">
        <v>0</v>
      </c>
      <c r="AX253" s="128">
        <v>0</v>
      </c>
      <c r="AY253" s="128">
        <v>0</v>
      </c>
    </row>
    <row r="254" spans="1:51" x14ac:dyDescent="0.2">
      <c r="A254" s="127"/>
      <c r="B254" s="147">
        <v>46</v>
      </c>
      <c r="C254" s="124">
        <v>0</v>
      </c>
      <c r="D254" s="128">
        <v>0</v>
      </c>
      <c r="E254" s="128">
        <v>0</v>
      </c>
      <c r="F254" s="128">
        <v>0</v>
      </c>
      <c r="G254" s="128">
        <v>0</v>
      </c>
      <c r="H254" s="128">
        <v>0</v>
      </c>
      <c r="I254" s="128">
        <v>0</v>
      </c>
      <c r="J254" s="128">
        <v>0</v>
      </c>
      <c r="K254" s="128">
        <v>0</v>
      </c>
      <c r="L254" s="128">
        <v>0</v>
      </c>
      <c r="M254" s="128">
        <v>0</v>
      </c>
      <c r="N254" s="128">
        <v>0</v>
      </c>
      <c r="O254" s="128">
        <v>0</v>
      </c>
      <c r="P254" s="128">
        <v>0</v>
      </c>
      <c r="Q254" s="128">
        <v>0</v>
      </c>
      <c r="R254" s="128">
        <v>0</v>
      </c>
      <c r="S254" s="128">
        <v>0</v>
      </c>
      <c r="T254" s="128">
        <v>0</v>
      </c>
      <c r="U254" s="128">
        <v>0</v>
      </c>
      <c r="V254" s="128">
        <v>0</v>
      </c>
      <c r="W254" s="128">
        <v>0</v>
      </c>
      <c r="X254" s="128">
        <v>0</v>
      </c>
      <c r="Y254" s="128">
        <v>0</v>
      </c>
      <c r="Z254" s="128">
        <v>0</v>
      </c>
      <c r="AA254" s="128">
        <v>0</v>
      </c>
      <c r="AB254" s="128">
        <v>0</v>
      </c>
      <c r="AC254" s="128">
        <v>0</v>
      </c>
      <c r="AD254" s="128">
        <v>0</v>
      </c>
      <c r="AE254" s="128">
        <v>0</v>
      </c>
      <c r="AF254" s="128">
        <v>0</v>
      </c>
      <c r="AG254" s="128">
        <v>0</v>
      </c>
      <c r="AH254" s="128">
        <v>0</v>
      </c>
      <c r="AI254" s="128">
        <v>0</v>
      </c>
      <c r="AJ254" s="128">
        <v>0</v>
      </c>
      <c r="AK254" s="128">
        <v>0</v>
      </c>
      <c r="AL254" s="128">
        <v>0</v>
      </c>
      <c r="AM254" s="128">
        <v>0</v>
      </c>
      <c r="AN254" s="128">
        <v>0</v>
      </c>
      <c r="AO254" s="128">
        <v>0</v>
      </c>
      <c r="AP254" s="128">
        <v>0</v>
      </c>
      <c r="AQ254" s="128">
        <v>0</v>
      </c>
      <c r="AR254" s="128">
        <v>0</v>
      </c>
      <c r="AS254" s="128">
        <v>0</v>
      </c>
      <c r="AT254" s="128">
        <v>0</v>
      </c>
      <c r="AU254" s="128">
        <v>0</v>
      </c>
      <c r="AV254" s="128">
        <v>0</v>
      </c>
      <c r="AW254" s="128">
        <v>0</v>
      </c>
      <c r="AX254" s="128">
        <v>0</v>
      </c>
      <c r="AY254" s="128">
        <v>0</v>
      </c>
    </row>
    <row r="255" spans="1:51" x14ac:dyDescent="0.2">
      <c r="A255" s="127"/>
      <c r="B255" s="147">
        <v>47</v>
      </c>
      <c r="C255" s="124">
        <v>0</v>
      </c>
      <c r="D255" s="128">
        <v>0</v>
      </c>
      <c r="E255" s="128">
        <v>0</v>
      </c>
      <c r="F255" s="128">
        <v>0</v>
      </c>
      <c r="G255" s="128">
        <v>0</v>
      </c>
      <c r="H255" s="128">
        <v>0</v>
      </c>
      <c r="I255" s="128">
        <v>0</v>
      </c>
      <c r="J255" s="128">
        <v>0</v>
      </c>
      <c r="K255" s="128">
        <v>0</v>
      </c>
      <c r="L255" s="128">
        <v>0</v>
      </c>
      <c r="M255" s="128">
        <v>0</v>
      </c>
      <c r="N255" s="128">
        <v>0</v>
      </c>
      <c r="O255" s="128">
        <v>0</v>
      </c>
      <c r="P255" s="128">
        <v>0</v>
      </c>
      <c r="Q255" s="128">
        <v>0</v>
      </c>
      <c r="R255" s="128">
        <v>0</v>
      </c>
      <c r="S255" s="128">
        <v>0</v>
      </c>
      <c r="T255" s="128">
        <v>0</v>
      </c>
      <c r="U255" s="128">
        <v>0</v>
      </c>
      <c r="V255" s="128">
        <v>0</v>
      </c>
      <c r="W255" s="128">
        <v>0</v>
      </c>
      <c r="X255" s="128">
        <v>0</v>
      </c>
      <c r="Y255" s="128">
        <v>0</v>
      </c>
      <c r="Z255" s="128">
        <v>0</v>
      </c>
      <c r="AA255" s="128">
        <v>0</v>
      </c>
      <c r="AB255" s="128">
        <v>0</v>
      </c>
      <c r="AC255" s="128">
        <v>0</v>
      </c>
      <c r="AD255" s="128">
        <v>0</v>
      </c>
      <c r="AE255" s="128">
        <v>0</v>
      </c>
      <c r="AF255" s="128">
        <v>0</v>
      </c>
      <c r="AG255" s="128">
        <v>0</v>
      </c>
      <c r="AH255" s="128">
        <v>0</v>
      </c>
      <c r="AI255" s="128">
        <v>0</v>
      </c>
      <c r="AJ255" s="128">
        <v>0</v>
      </c>
      <c r="AK255" s="128">
        <v>0</v>
      </c>
      <c r="AL255" s="128">
        <v>0</v>
      </c>
      <c r="AM255" s="128">
        <v>0</v>
      </c>
      <c r="AN255" s="128">
        <v>0</v>
      </c>
      <c r="AO255" s="128">
        <v>0</v>
      </c>
      <c r="AP255" s="128">
        <v>0</v>
      </c>
      <c r="AQ255" s="128">
        <v>0</v>
      </c>
      <c r="AR255" s="128">
        <v>0</v>
      </c>
      <c r="AS255" s="128">
        <v>0</v>
      </c>
      <c r="AT255" s="128">
        <v>0</v>
      </c>
      <c r="AU255" s="128">
        <v>0</v>
      </c>
      <c r="AV255" s="128">
        <v>0</v>
      </c>
      <c r="AW255" s="128">
        <v>0</v>
      </c>
      <c r="AX255" s="128">
        <v>0</v>
      </c>
      <c r="AY255" s="128">
        <v>0</v>
      </c>
    </row>
    <row r="256" spans="1:51" x14ac:dyDescent="0.2">
      <c r="A256" s="145"/>
      <c r="B256" s="146">
        <v>48</v>
      </c>
      <c r="C256" s="131">
        <v>0</v>
      </c>
      <c r="D256" s="142">
        <v>0</v>
      </c>
      <c r="E256" s="142">
        <v>0</v>
      </c>
      <c r="F256" s="142">
        <v>0</v>
      </c>
      <c r="G256" s="142">
        <v>0</v>
      </c>
      <c r="H256" s="142">
        <v>0</v>
      </c>
      <c r="I256" s="142">
        <v>0</v>
      </c>
      <c r="J256" s="142">
        <v>0</v>
      </c>
      <c r="K256" s="142">
        <v>0</v>
      </c>
      <c r="L256" s="142">
        <v>0</v>
      </c>
      <c r="M256" s="142">
        <v>0</v>
      </c>
      <c r="N256" s="142">
        <v>0</v>
      </c>
      <c r="O256" s="142">
        <v>0</v>
      </c>
      <c r="P256" s="142">
        <v>0</v>
      </c>
      <c r="Q256" s="142">
        <v>0</v>
      </c>
      <c r="R256" s="142">
        <v>0</v>
      </c>
      <c r="S256" s="142">
        <v>0</v>
      </c>
      <c r="T256" s="142">
        <v>0</v>
      </c>
      <c r="U256" s="142">
        <v>0</v>
      </c>
      <c r="V256" s="142">
        <v>0</v>
      </c>
      <c r="W256" s="142">
        <v>0</v>
      </c>
      <c r="X256" s="142">
        <v>0</v>
      </c>
      <c r="Y256" s="142">
        <v>0</v>
      </c>
      <c r="Z256" s="142">
        <v>0</v>
      </c>
      <c r="AA256" s="142">
        <v>0</v>
      </c>
      <c r="AB256" s="142">
        <v>0</v>
      </c>
      <c r="AC256" s="142">
        <v>0</v>
      </c>
      <c r="AD256" s="142">
        <v>0</v>
      </c>
      <c r="AE256" s="142">
        <v>0</v>
      </c>
      <c r="AF256" s="142">
        <v>0</v>
      </c>
      <c r="AG256" s="142">
        <v>0</v>
      </c>
      <c r="AH256" s="142">
        <v>0</v>
      </c>
      <c r="AI256" s="142">
        <v>0</v>
      </c>
      <c r="AJ256" s="142">
        <v>0</v>
      </c>
      <c r="AK256" s="142">
        <v>0</v>
      </c>
      <c r="AL256" s="142">
        <v>0</v>
      </c>
      <c r="AM256" s="142">
        <v>0</v>
      </c>
      <c r="AN256" s="142">
        <v>0</v>
      </c>
      <c r="AO256" s="142">
        <v>0</v>
      </c>
      <c r="AP256" s="142">
        <v>0</v>
      </c>
      <c r="AQ256" s="142">
        <v>0</v>
      </c>
      <c r="AR256" s="142">
        <v>0</v>
      </c>
      <c r="AS256" s="142">
        <v>0</v>
      </c>
      <c r="AT256" s="142">
        <v>0</v>
      </c>
      <c r="AU256" s="142">
        <v>0</v>
      </c>
      <c r="AV256" s="142">
        <v>0</v>
      </c>
      <c r="AW256" s="142">
        <v>0</v>
      </c>
      <c r="AX256" s="142">
        <v>0</v>
      </c>
      <c r="AY256" s="142">
        <v>0</v>
      </c>
    </row>
    <row r="258" spans="1:52" x14ac:dyDescent="0.2">
      <c r="A258" s="1" t="s">
        <v>301</v>
      </c>
    </row>
    <row r="259" spans="1:52" x14ac:dyDescent="0.2">
      <c r="A259" s="154" t="s">
        <v>124</v>
      </c>
      <c r="B259" s="155">
        <v>650</v>
      </c>
      <c r="C259" s="141" t="s">
        <v>293</v>
      </c>
      <c r="D259" s="141">
        <f>E$14*$B$259</f>
        <v>2258902.6574998205</v>
      </c>
      <c r="E259" s="141">
        <f t="shared" ref="E259:AX259" si="5">F$14*$B$259</f>
        <v>2471278.3402513345</v>
      </c>
      <c r="F259" s="141">
        <f t="shared" si="5"/>
        <v>2650121.3520880821</v>
      </c>
      <c r="G259" s="141">
        <f t="shared" si="5"/>
        <v>2748487.902705356</v>
      </c>
      <c r="H259" s="141">
        <f t="shared" si="5"/>
        <v>3012817.1583208432</v>
      </c>
      <c r="I259" s="141">
        <f t="shared" si="5"/>
        <v>3173649.1008795267</v>
      </c>
      <c r="J259" s="141">
        <f t="shared" si="5"/>
        <v>3116794.2344371928</v>
      </c>
      <c r="K259" s="141">
        <f t="shared" si="5"/>
        <v>2965454.7051354437</v>
      </c>
      <c r="L259" s="141">
        <f t="shared" si="5"/>
        <v>3188707.5404632092</v>
      </c>
      <c r="M259" s="141">
        <f t="shared" si="5"/>
        <v>3009054.5273330431</v>
      </c>
      <c r="N259" s="141">
        <f t="shared" si="5"/>
        <v>3145068.5732141724</v>
      </c>
      <c r="O259" s="141">
        <f t="shared" si="5"/>
        <v>3100303.1514340243</v>
      </c>
      <c r="P259" s="141">
        <f t="shared" si="5"/>
        <v>3081947.634041972</v>
      </c>
      <c r="Q259" s="141">
        <f t="shared" si="5"/>
        <v>3074631.9202936613</v>
      </c>
      <c r="R259" s="141">
        <f t="shared" si="5"/>
        <v>2989652.0659710914</v>
      </c>
      <c r="S259" s="141">
        <f t="shared" si="5"/>
        <v>2955606.5748123135</v>
      </c>
      <c r="T259" s="141">
        <f t="shared" si="5"/>
        <v>3146265.7621673318</v>
      </c>
      <c r="U259" s="141">
        <f t="shared" si="5"/>
        <v>3114903.3938656244</v>
      </c>
      <c r="V259" s="141">
        <f t="shared" si="5"/>
        <v>3089811.6680744831</v>
      </c>
      <c r="W259" s="141">
        <f t="shared" si="5"/>
        <v>3071777.0942088291</v>
      </c>
      <c r="X259" s="141">
        <f t="shared" si="5"/>
        <v>3052826.8796687657</v>
      </c>
      <c r="Y259" s="141">
        <f t="shared" si="5"/>
        <v>2933957.8489570385</v>
      </c>
      <c r="Z259" s="141">
        <f t="shared" si="5"/>
        <v>3114011.9091381393</v>
      </c>
      <c r="AA259" s="141">
        <f t="shared" si="5"/>
        <v>3044988.699733824</v>
      </c>
      <c r="AB259" s="141">
        <f t="shared" si="5"/>
        <v>3033267.3311223206</v>
      </c>
      <c r="AC259" s="141">
        <f t="shared" si="5"/>
        <v>3080085.9093896309</v>
      </c>
      <c r="AD259" s="141">
        <f t="shared" si="5"/>
        <v>2987962.4713413399</v>
      </c>
      <c r="AE259" s="141">
        <f t="shared" si="5"/>
        <v>2968434.2523990655</v>
      </c>
      <c r="AF259" s="141">
        <f t="shared" si="5"/>
        <v>2975927.4527190435</v>
      </c>
      <c r="AG259" s="141">
        <f t="shared" si="5"/>
        <v>2990024.4035181957</v>
      </c>
      <c r="AH259" s="141">
        <f t="shared" si="5"/>
        <v>2957505.8251525499</v>
      </c>
      <c r="AI259" s="141">
        <f t="shared" si="5"/>
        <v>2970573.3216475998</v>
      </c>
      <c r="AJ259" s="141">
        <f t="shared" si="5"/>
        <v>2774487.2064942773</v>
      </c>
      <c r="AK259" s="141">
        <f t="shared" si="5"/>
        <v>2942454.4926903551</v>
      </c>
      <c r="AL259" s="141">
        <f t="shared" si="5"/>
        <v>2817621.9623914678</v>
      </c>
      <c r="AM259" s="141">
        <f t="shared" si="5"/>
        <v>2857109.5094646602</v>
      </c>
      <c r="AN259" s="141">
        <f t="shared" si="5"/>
        <v>2931638.6661657374</v>
      </c>
      <c r="AO259" s="141">
        <f t="shared" si="5"/>
        <v>2956465.1909589628</v>
      </c>
      <c r="AP259" s="141">
        <f t="shared" si="5"/>
        <v>3043780.1410654495</v>
      </c>
      <c r="AQ259" s="141">
        <f t="shared" si="5"/>
        <v>3084214.2314952067</v>
      </c>
      <c r="AR259" s="141">
        <f t="shared" si="5"/>
        <v>3054535.1568294764</v>
      </c>
      <c r="AS259" s="141">
        <f t="shared" si="5"/>
        <v>3066399.6478923107</v>
      </c>
      <c r="AT259" s="141">
        <f t="shared" si="5"/>
        <v>2858940.092327584</v>
      </c>
      <c r="AU259" s="141">
        <f t="shared" si="5"/>
        <v>3078217.1262852275</v>
      </c>
      <c r="AV259" s="141">
        <f t="shared" si="5"/>
        <v>2847917.7046915623</v>
      </c>
      <c r="AW259" s="141">
        <f t="shared" si="5"/>
        <v>3114645.182234616</v>
      </c>
      <c r="AX259" s="141">
        <f t="shared" si="5"/>
        <v>3051564.0607360625</v>
      </c>
      <c r="AY259" s="141">
        <f>AZ$14*$B$259</f>
        <v>2986781.7503038184</v>
      </c>
      <c r="AZ259" s="156">
        <f>SUM($D259:$AY259)</f>
        <v>142941573.78401163</v>
      </c>
    </row>
    <row r="260" spans="1:52" x14ac:dyDescent="0.2">
      <c r="A260" s="157" t="s">
        <v>302</v>
      </c>
      <c r="B260" s="131">
        <v>60</v>
      </c>
      <c r="C260" s="142" t="s">
        <v>293</v>
      </c>
      <c r="D260" s="142">
        <f>(D$175-D$176+D$177-D$178+D$179-D$180+D$181-D$182)*$B$260</f>
        <v>2106021.1821065331</v>
      </c>
      <c r="E260" s="142">
        <f t="shared" ref="E260:AY260" si="6">(E$175-E$176+E$177-E$178+E$179-E$180+E$181-E$182)*$B$260</f>
        <v>2058841.9993614152</v>
      </c>
      <c r="F260" s="142">
        <f t="shared" si="6"/>
        <v>2076672.349579311</v>
      </c>
      <c r="G260" s="142">
        <f t="shared" si="6"/>
        <v>2072210.0449935233</v>
      </c>
      <c r="H260" s="142">
        <f t="shared" si="6"/>
        <v>2090243.7212815944</v>
      </c>
      <c r="I260" s="142">
        <f t="shared" si="6"/>
        <v>2060187.7753034283</v>
      </c>
      <c r="J260" s="142">
        <f t="shared" si="6"/>
        <v>2063215.916821182</v>
      </c>
      <c r="K260" s="142">
        <f t="shared" si="6"/>
        <v>2105792.5707739578</v>
      </c>
      <c r="L260" s="142">
        <f t="shared" si="6"/>
        <v>2057597.765495704</v>
      </c>
      <c r="M260" s="142">
        <f t="shared" si="6"/>
        <v>2087460.6480004324</v>
      </c>
      <c r="N260" s="142">
        <f t="shared" si="6"/>
        <v>2081905.9778571536</v>
      </c>
      <c r="O260" s="142">
        <f t="shared" si="6"/>
        <v>2070558.1706368588</v>
      </c>
      <c r="P260" s="142">
        <f t="shared" si="6"/>
        <v>2054012.5260884333</v>
      </c>
      <c r="Q260" s="142">
        <f t="shared" si="6"/>
        <v>2087567.8227421229</v>
      </c>
      <c r="R260" s="142">
        <f t="shared" si="6"/>
        <v>2097440.9356036838</v>
      </c>
      <c r="S260" s="142">
        <f t="shared" si="6"/>
        <v>2107264.5414329129</v>
      </c>
      <c r="T260" s="142">
        <f t="shared" si="6"/>
        <v>2062775.4681076303</v>
      </c>
      <c r="U260" s="142">
        <f t="shared" si="6"/>
        <v>2084408.9702535761</v>
      </c>
      <c r="V260" s="142">
        <f t="shared" si="6"/>
        <v>2085266.6152546636</v>
      </c>
      <c r="W260" s="142">
        <f t="shared" si="6"/>
        <v>2063231.3451499543</v>
      </c>
      <c r="X260" s="142">
        <f t="shared" si="6"/>
        <v>2053688.9000365729</v>
      </c>
      <c r="Y260" s="142">
        <f t="shared" si="6"/>
        <v>2103604.8853580146</v>
      </c>
      <c r="Z260" s="142">
        <f t="shared" si="6"/>
        <v>2066712.7468487869</v>
      </c>
      <c r="AA260" s="142">
        <f t="shared" si="6"/>
        <v>2071561.6474711294</v>
      </c>
      <c r="AB260" s="142">
        <f t="shared" si="6"/>
        <v>2106436.8430912159</v>
      </c>
      <c r="AC260" s="142">
        <f t="shared" si="6"/>
        <v>2085384.3775948032</v>
      </c>
      <c r="AD260" s="142">
        <f t="shared" si="6"/>
        <v>2053628.0795684918</v>
      </c>
      <c r="AE260" s="142">
        <f t="shared" si="6"/>
        <v>2086990.6843939326</v>
      </c>
      <c r="AF260" s="142">
        <f t="shared" si="6"/>
        <v>2101341.3262247751</v>
      </c>
      <c r="AG260" s="142">
        <f t="shared" si="6"/>
        <v>2048827.5110908314</v>
      </c>
      <c r="AH260" s="142">
        <f t="shared" si="6"/>
        <v>2060759.4622936104</v>
      </c>
      <c r="AI260" s="142">
        <f t="shared" si="6"/>
        <v>2094640.0087150435</v>
      </c>
      <c r="AJ260" s="142">
        <f t="shared" si="6"/>
        <v>2090613.4886312974</v>
      </c>
      <c r="AK260" s="142">
        <f t="shared" si="6"/>
        <v>2107924.8423470506</v>
      </c>
      <c r="AL260" s="142">
        <f t="shared" si="6"/>
        <v>2094227.9604059677</v>
      </c>
      <c r="AM260" s="142">
        <f t="shared" si="6"/>
        <v>2103300.8697968153</v>
      </c>
      <c r="AN260" s="142">
        <f t="shared" si="6"/>
        <v>2091356.9637695192</v>
      </c>
      <c r="AO260" s="142">
        <f t="shared" si="6"/>
        <v>2080245.2845578371</v>
      </c>
      <c r="AP260" s="142">
        <f t="shared" si="6"/>
        <v>2086483.443009546</v>
      </c>
      <c r="AQ260" s="142">
        <f t="shared" si="6"/>
        <v>2055433.0654314146</v>
      </c>
      <c r="AR260" s="142">
        <f t="shared" si="6"/>
        <v>2084572.6723236362</v>
      </c>
      <c r="AS260" s="142">
        <f t="shared" si="6"/>
        <v>2064097.4885332207</v>
      </c>
      <c r="AT260" s="142">
        <f t="shared" si="6"/>
        <v>2124356.8507751497</v>
      </c>
      <c r="AU260" s="142">
        <f t="shared" si="6"/>
        <v>2049616.8806505941</v>
      </c>
      <c r="AV260" s="142">
        <f t="shared" si="6"/>
        <v>2124091.1114206086</v>
      </c>
      <c r="AW260" s="142">
        <f t="shared" si="6"/>
        <v>2091779.9353558067</v>
      </c>
      <c r="AX260" s="142">
        <f t="shared" si="6"/>
        <v>2069771.1464227671</v>
      </c>
      <c r="AY260" s="142">
        <f t="shared" si="6"/>
        <v>2075914.0823465739</v>
      </c>
      <c r="AZ260" s="158">
        <f>SUM($D260:$AY260)</f>
        <v>99900038.905309081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1" t="s">
        <v>283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6</v>
      </c>
      <c r="E6">
        <v>3470.3999999999996</v>
      </c>
      <c r="F6">
        <v>9</v>
      </c>
      <c r="G6">
        <v>5205.5999999999995</v>
      </c>
      <c r="H6">
        <v>5</v>
      </c>
      <c r="I6">
        <v>2892</v>
      </c>
      <c r="J6">
        <v>5</v>
      </c>
      <c r="K6">
        <v>2892</v>
      </c>
      <c r="L6">
        <v>1.9256716606932394</v>
      </c>
      <c r="M6">
        <v>1113.8084885449696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</row>
    <row r="7" spans="1:99" x14ac:dyDescent="0.2">
      <c r="C7" s="119" t="s">
        <v>173</v>
      </c>
      <c r="D7">
        <v>6</v>
      </c>
      <c r="E7">
        <v>4730.3999999999996</v>
      </c>
      <c r="F7">
        <v>9</v>
      </c>
      <c r="G7">
        <v>7095.5999999999995</v>
      </c>
      <c r="H7">
        <v>6</v>
      </c>
      <c r="I7">
        <v>4730.3999999999996</v>
      </c>
      <c r="J7">
        <v>6</v>
      </c>
      <c r="K7">
        <v>4730.3999999999996</v>
      </c>
      <c r="L7">
        <v>1.9256716606932394</v>
      </c>
      <c r="M7">
        <v>1518.1995372905499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</row>
    <row r="8" spans="1:99" x14ac:dyDescent="0.2">
      <c r="C8" s="119" t="s">
        <v>174</v>
      </c>
      <c r="D8">
        <v>6</v>
      </c>
      <c r="E8">
        <v>1857.6</v>
      </c>
      <c r="F8">
        <v>10</v>
      </c>
      <c r="G8">
        <v>3095.9999999999995</v>
      </c>
      <c r="H8">
        <v>6</v>
      </c>
      <c r="I8">
        <v>1857.6</v>
      </c>
      <c r="J8">
        <v>5</v>
      </c>
      <c r="K8">
        <v>1547.9999999999998</v>
      </c>
      <c r="L8">
        <v>1.9256716606932394</v>
      </c>
      <c r="M8">
        <v>596.18794615062689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</row>
    <row r="9" spans="1:99" x14ac:dyDescent="0.2">
      <c r="C9" s="119" t="s">
        <v>175</v>
      </c>
      <c r="D9">
        <v>6</v>
      </c>
      <c r="E9">
        <v>4212</v>
      </c>
      <c r="F9">
        <v>9</v>
      </c>
      <c r="G9">
        <v>6318</v>
      </c>
      <c r="H9">
        <v>6</v>
      </c>
      <c r="I9">
        <v>4212</v>
      </c>
      <c r="J9">
        <v>6</v>
      </c>
      <c r="K9">
        <v>4212</v>
      </c>
      <c r="L9">
        <v>1.9256716606932394</v>
      </c>
      <c r="M9">
        <v>1351.8215058066539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</row>
    <row r="10" spans="1:99" x14ac:dyDescent="0.2">
      <c r="C10" s="119" t="s">
        <v>176</v>
      </c>
      <c r="D10">
        <v>5</v>
      </c>
      <c r="E10">
        <v>2724</v>
      </c>
      <c r="F10">
        <v>11</v>
      </c>
      <c r="G10">
        <v>5992.7999999999993</v>
      </c>
      <c r="H10">
        <v>6</v>
      </c>
      <c r="I10">
        <v>3268.7999999999997</v>
      </c>
      <c r="J10">
        <v>6</v>
      </c>
      <c r="K10">
        <v>3268.7999999999997</v>
      </c>
      <c r="L10">
        <v>1.9256716606932394</v>
      </c>
      <c r="M10">
        <v>1049.1059207456767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</row>
    <row r="11" spans="1:99" x14ac:dyDescent="0.2">
      <c r="C11" s="119" t="s">
        <v>177</v>
      </c>
      <c r="D11">
        <v>6</v>
      </c>
      <c r="E11">
        <v>3196.7999999999997</v>
      </c>
      <c r="F11">
        <v>9</v>
      </c>
      <c r="G11">
        <v>4795.2</v>
      </c>
      <c r="H11">
        <v>5</v>
      </c>
      <c r="I11">
        <v>2664</v>
      </c>
      <c r="J11">
        <v>5</v>
      </c>
      <c r="K11">
        <v>2664</v>
      </c>
      <c r="L11">
        <v>1.9256716606932394</v>
      </c>
      <c r="M11">
        <v>1025.9978608173578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</row>
    <row r="12" spans="1:99" x14ac:dyDescent="0.2">
      <c r="C12" s="119" t="s">
        <v>178</v>
      </c>
      <c r="D12">
        <v>6</v>
      </c>
      <c r="E12">
        <v>3376.7999999999997</v>
      </c>
      <c r="F12">
        <v>9</v>
      </c>
      <c r="G12">
        <v>5065.2</v>
      </c>
      <c r="H12">
        <v>6</v>
      </c>
      <c r="I12">
        <v>3376.7999999999997</v>
      </c>
      <c r="J12">
        <v>6</v>
      </c>
      <c r="K12">
        <v>3376.7999999999997</v>
      </c>
      <c r="L12">
        <v>1.9256716606932394</v>
      </c>
      <c r="M12">
        <v>1083.7680106381549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2">
      <c r="C13" s="119" t="s">
        <v>179</v>
      </c>
      <c r="D13">
        <v>6</v>
      </c>
      <c r="E13">
        <v>511.20000000000005</v>
      </c>
      <c r="F13">
        <v>11</v>
      </c>
      <c r="G13">
        <v>937.2</v>
      </c>
      <c r="H13">
        <v>6</v>
      </c>
      <c r="I13">
        <v>511.20000000000005</v>
      </c>
      <c r="J13">
        <v>7</v>
      </c>
      <c r="K13">
        <v>596.4</v>
      </c>
      <c r="L13">
        <v>2.200767612220845</v>
      </c>
      <c r="M13">
        <v>187.50540056121599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</row>
    <row r="14" spans="1:99" x14ac:dyDescent="0.2">
      <c r="C14" s="119" t="s">
        <v>180</v>
      </c>
      <c r="D14">
        <v>5</v>
      </c>
      <c r="E14">
        <v>2442</v>
      </c>
      <c r="F14">
        <v>11</v>
      </c>
      <c r="G14">
        <v>5372.4</v>
      </c>
      <c r="H14">
        <v>6</v>
      </c>
      <c r="I14">
        <v>2930.3999999999996</v>
      </c>
      <c r="J14">
        <v>6</v>
      </c>
      <c r="K14">
        <v>2930.3999999999996</v>
      </c>
      <c r="L14">
        <v>1.9256716606932394</v>
      </c>
      <c r="M14">
        <v>940.49803908257809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</row>
    <row r="15" spans="1:99" x14ac:dyDescent="0.2">
      <c r="C15" s="119" t="s">
        <v>181</v>
      </c>
      <c r="D15">
        <v>5</v>
      </c>
      <c r="E15">
        <v>3815.9999999999995</v>
      </c>
      <c r="F15">
        <v>10</v>
      </c>
      <c r="G15">
        <v>7631.9999999999991</v>
      </c>
      <c r="H15">
        <v>6</v>
      </c>
      <c r="I15">
        <v>4579.2</v>
      </c>
      <c r="J15">
        <v>6</v>
      </c>
      <c r="K15">
        <v>4579.2</v>
      </c>
      <c r="L15">
        <v>1.6505757091656339</v>
      </c>
      <c r="M15">
        <v>1259.7193812352116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</row>
    <row r="16" spans="1:99" x14ac:dyDescent="0.2">
      <c r="C16" s="119" t="s">
        <v>182</v>
      </c>
      <c r="D16">
        <v>6</v>
      </c>
      <c r="E16">
        <v>2044.8000000000002</v>
      </c>
      <c r="F16">
        <v>11</v>
      </c>
      <c r="G16">
        <v>3748.8</v>
      </c>
      <c r="H16">
        <v>6</v>
      </c>
      <c r="I16">
        <v>2044.8000000000002</v>
      </c>
      <c r="J16">
        <v>6</v>
      </c>
      <c r="K16">
        <v>2044.8000000000002</v>
      </c>
      <c r="L16">
        <v>1.9256716606932394</v>
      </c>
      <c r="M16">
        <v>656.26890196425597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</row>
    <row r="17" spans="2:99" x14ac:dyDescent="0.2">
      <c r="C17" s="119" t="s">
        <v>183</v>
      </c>
      <c r="D17">
        <v>5</v>
      </c>
      <c r="E17">
        <v>2112</v>
      </c>
      <c r="F17">
        <v>10</v>
      </c>
      <c r="G17">
        <v>4224</v>
      </c>
      <c r="H17">
        <v>5</v>
      </c>
      <c r="I17">
        <v>2112</v>
      </c>
      <c r="J17">
        <v>6</v>
      </c>
      <c r="K17">
        <v>2534.3999999999996</v>
      </c>
      <c r="L17">
        <v>1.9256716606932394</v>
      </c>
      <c r="M17">
        <v>813.40370947682425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</row>
    <row r="18" spans="2:99" x14ac:dyDescent="0.2">
      <c r="C18" s="119" t="s">
        <v>184</v>
      </c>
      <c r="D18">
        <v>6</v>
      </c>
      <c r="E18">
        <v>3916.7999999999997</v>
      </c>
      <c r="F18">
        <v>10</v>
      </c>
      <c r="G18">
        <v>6528</v>
      </c>
      <c r="H18">
        <v>5</v>
      </c>
      <c r="I18">
        <v>3264</v>
      </c>
      <c r="J18">
        <v>6</v>
      </c>
      <c r="K18">
        <v>3916.7999999999997</v>
      </c>
      <c r="L18">
        <v>1.9256716606932394</v>
      </c>
      <c r="M18">
        <v>1257.0784601005466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</row>
    <row r="19" spans="2:99" x14ac:dyDescent="0.2">
      <c r="C19" s="119" t="s">
        <v>185</v>
      </c>
      <c r="D19">
        <v>5</v>
      </c>
      <c r="E19">
        <v>1650</v>
      </c>
      <c r="F19">
        <v>10</v>
      </c>
      <c r="G19">
        <v>3300</v>
      </c>
      <c r="H19">
        <v>6</v>
      </c>
      <c r="I19">
        <v>1980</v>
      </c>
      <c r="J19">
        <v>6</v>
      </c>
      <c r="K19">
        <v>1980</v>
      </c>
      <c r="L19">
        <v>1.9256716606932394</v>
      </c>
      <c r="M19">
        <v>635.47164802876898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</row>
    <row r="20" spans="2:99" x14ac:dyDescent="0.2">
      <c r="B20" s="119" t="s">
        <v>127</v>
      </c>
      <c r="C20" s="119" t="s">
        <v>186</v>
      </c>
      <c r="D20">
        <v>14</v>
      </c>
      <c r="E20">
        <v>4015.2000000000003</v>
      </c>
      <c r="F20">
        <v>19</v>
      </c>
      <c r="G20">
        <v>5449.2</v>
      </c>
      <c r="H20">
        <v>21</v>
      </c>
      <c r="I20">
        <v>6022.8</v>
      </c>
      <c r="J20">
        <v>20</v>
      </c>
      <c r="K20">
        <v>5736</v>
      </c>
      <c r="L20">
        <v>4.4015352244416901</v>
      </c>
      <c r="M20">
        <v>1262.3603023698768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</row>
    <row r="21" spans="2:99" x14ac:dyDescent="0.2">
      <c r="C21" s="119" t="s">
        <v>187</v>
      </c>
      <c r="D21">
        <v>15</v>
      </c>
      <c r="E21">
        <v>936</v>
      </c>
      <c r="F21">
        <v>21</v>
      </c>
      <c r="G21">
        <v>1310.3999999999999</v>
      </c>
      <c r="H21">
        <v>21</v>
      </c>
      <c r="I21">
        <v>1310.3999999999999</v>
      </c>
      <c r="J21">
        <v>23</v>
      </c>
      <c r="K21">
        <v>1435.2</v>
      </c>
      <c r="L21">
        <v>4.4015352244416901</v>
      </c>
      <c r="M21">
        <v>274.65579800516144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</row>
    <row r="22" spans="2:99" x14ac:dyDescent="0.2">
      <c r="C22" s="119" t="s">
        <v>188</v>
      </c>
      <c r="D22">
        <v>16</v>
      </c>
      <c r="E22">
        <v>2995.2</v>
      </c>
      <c r="F22">
        <v>20</v>
      </c>
      <c r="G22">
        <v>3744</v>
      </c>
      <c r="H22">
        <v>20</v>
      </c>
      <c r="I22">
        <v>3744</v>
      </c>
      <c r="J22">
        <v>21</v>
      </c>
      <c r="K22">
        <v>3931.2</v>
      </c>
      <c r="L22">
        <v>4.6766311759692956</v>
      </c>
      <c r="M22">
        <v>875.46535614145205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</row>
    <row r="23" spans="2:99" x14ac:dyDescent="0.2">
      <c r="C23" s="119" t="s">
        <v>189</v>
      </c>
      <c r="D23">
        <v>14</v>
      </c>
      <c r="E23">
        <v>4116</v>
      </c>
      <c r="F23">
        <v>21</v>
      </c>
      <c r="G23">
        <v>6174</v>
      </c>
      <c r="H23">
        <v>20</v>
      </c>
      <c r="I23">
        <v>5880</v>
      </c>
      <c r="J23">
        <v>21</v>
      </c>
      <c r="K23">
        <v>6174</v>
      </c>
      <c r="L23">
        <v>4.4015352244416901</v>
      </c>
      <c r="M23">
        <v>1294.0513559858568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</row>
    <row r="24" spans="2:99" x14ac:dyDescent="0.2">
      <c r="C24" s="119" t="s">
        <v>190</v>
      </c>
      <c r="D24">
        <v>15</v>
      </c>
      <c r="E24">
        <v>5508</v>
      </c>
      <c r="F24">
        <v>21</v>
      </c>
      <c r="G24">
        <v>7711.2</v>
      </c>
      <c r="H24">
        <v>20</v>
      </c>
      <c r="I24">
        <v>7344</v>
      </c>
      <c r="J24">
        <v>20</v>
      </c>
      <c r="K24">
        <v>7344</v>
      </c>
      <c r="L24">
        <v>4.1264392729140846</v>
      </c>
      <c r="M24">
        <v>1515.2285010140517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</row>
    <row r="25" spans="2:99" x14ac:dyDescent="0.2">
      <c r="C25" s="119" t="s">
        <v>191</v>
      </c>
      <c r="D25">
        <v>16</v>
      </c>
      <c r="E25">
        <v>8486.4</v>
      </c>
      <c r="F25">
        <v>18</v>
      </c>
      <c r="G25">
        <v>9547.1999999999989</v>
      </c>
      <c r="H25">
        <v>20</v>
      </c>
      <c r="I25">
        <v>10608</v>
      </c>
      <c r="J25">
        <v>21</v>
      </c>
      <c r="K25">
        <v>11138.4</v>
      </c>
      <c r="L25">
        <v>4.1264392729140846</v>
      </c>
      <c r="M25">
        <v>2188.6633903536303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</row>
    <row r="26" spans="2:99" x14ac:dyDescent="0.2">
      <c r="C26" s="119" t="s">
        <v>192</v>
      </c>
      <c r="D26">
        <v>15</v>
      </c>
      <c r="E26">
        <v>7290</v>
      </c>
      <c r="F26">
        <v>18</v>
      </c>
      <c r="G26">
        <v>8748</v>
      </c>
      <c r="H26">
        <v>20</v>
      </c>
      <c r="I26">
        <v>9720</v>
      </c>
      <c r="J26">
        <v>19</v>
      </c>
      <c r="K26">
        <v>9234</v>
      </c>
      <c r="L26">
        <v>4.4015352244416901</v>
      </c>
      <c r="M26">
        <v>2139.1461190786613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</row>
    <row r="27" spans="2:99" x14ac:dyDescent="0.2">
      <c r="C27" s="119" t="s">
        <v>193</v>
      </c>
      <c r="D27">
        <v>15</v>
      </c>
      <c r="E27">
        <v>6408</v>
      </c>
      <c r="F27">
        <v>19</v>
      </c>
      <c r="G27">
        <v>8116.8</v>
      </c>
      <c r="H27">
        <v>19</v>
      </c>
      <c r="I27">
        <v>8116.8</v>
      </c>
      <c r="J27">
        <v>19</v>
      </c>
      <c r="K27">
        <v>8116.8</v>
      </c>
      <c r="L27">
        <v>4.1264392729140846</v>
      </c>
      <c r="M27">
        <v>1762.8148573888968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2:99" x14ac:dyDescent="0.2">
      <c r="C28" s="119" t="s">
        <v>194</v>
      </c>
      <c r="D28">
        <v>15</v>
      </c>
      <c r="E28">
        <v>11070</v>
      </c>
      <c r="F28">
        <v>20</v>
      </c>
      <c r="G28">
        <v>14760</v>
      </c>
      <c r="H28">
        <v>19</v>
      </c>
      <c r="I28">
        <v>14022</v>
      </c>
      <c r="J28">
        <v>19</v>
      </c>
      <c r="K28">
        <v>14022</v>
      </c>
      <c r="L28">
        <v>4.1264392729140846</v>
      </c>
      <c r="M28">
        <v>3045.3121834105946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</row>
    <row r="29" spans="2:99" x14ac:dyDescent="0.2">
      <c r="C29" s="119" t="s">
        <v>195</v>
      </c>
      <c r="D29">
        <v>14</v>
      </c>
      <c r="E29">
        <v>4737.5999999999995</v>
      </c>
      <c r="F29">
        <v>21</v>
      </c>
      <c r="G29">
        <v>7106.4</v>
      </c>
      <c r="H29">
        <v>21</v>
      </c>
      <c r="I29">
        <v>7106.4</v>
      </c>
      <c r="J29">
        <v>19</v>
      </c>
      <c r="K29">
        <v>6429.5999999999995</v>
      </c>
      <c r="L29">
        <v>4.951727127496901</v>
      </c>
      <c r="M29">
        <v>1675.6644599449512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</row>
    <row r="30" spans="2:99" x14ac:dyDescent="0.2">
      <c r="C30" s="119" t="s">
        <v>196</v>
      </c>
      <c r="D30">
        <v>16</v>
      </c>
      <c r="E30">
        <v>2227.1999999999998</v>
      </c>
      <c r="F30">
        <v>22</v>
      </c>
      <c r="G30">
        <v>3062.3999999999996</v>
      </c>
      <c r="H30">
        <v>20</v>
      </c>
      <c r="I30">
        <v>2784</v>
      </c>
      <c r="J30">
        <v>21</v>
      </c>
      <c r="K30">
        <v>2923.2</v>
      </c>
      <c r="L30">
        <v>4.4015352244416901</v>
      </c>
      <c r="M30">
        <v>612.69370324228316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</row>
    <row r="31" spans="2:99" x14ac:dyDescent="0.2">
      <c r="C31" s="119" t="s">
        <v>197</v>
      </c>
      <c r="D31">
        <v>16</v>
      </c>
      <c r="E31">
        <v>5452.8</v>
      </c>
      <c r="F31">
        <v>18</v>
      </c>
      <c r="G31">
        <v>6134.4000000000005</v>
      </c>
      <c r="H31">
        <v>19</v>
      </c>
      <c r="I31">
        <v>6475.2</v>
      </c>
      <c r="J31">
        <v>23</v>
      </c>
      <c r="K31">
        <v>7838.4000000000005</v>
      </c>
      <c r="L31">
        <v>4.4015352244416901</v>
      </c>
      <c r="M31">
        <v>1500.0432044897279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</row>
    <row r="32" spans="2:99" x14ac:dyDescent="0.2">
      <c r="C32" s="119" t="s">
        <v>198</v>
      </c>
      <c r="D32">
        <v>16</v>
      </c>
      <c r="E32">
        <v>13440</v>
      </c>
      <c r="F32">
        <v>17</v>
      </c>
      <c r="G32">
        <v>14280</v>
      </c>
      <c r="H32">
        <v>19</v>
      </c>
      <c r="I32">
        <v>15960</v>
      </c>
      <c r="J32">
        <v>21</v>
      </c>
      <c r="K32">
        <v>17640</v>
      </c>
      <c r="L32">
        <v>4.1264392729140846</v>
      </c>
      <c r="M32">
        <v>3466.2089892478311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</row>
    <row r="33" spans="2:99" x14ac:dyDescent="0.2">
      <c r="C33" s="119" t="s">
        <v>199</v>
      </c>
      <c r="D33">
        <v>15</v>
      </c>
      <c r="E33">
        <v>7110</v>
      </c>
      <c r="F33">
        <v>20</v>
      </c>
      <c r="G33">
        <v>9480</v>
      </c>
      <c r="H33">
        <v>20</v>
      </c>
      <c r="I33">
        <v>9480</v>
      </c>
      <c r="J33">
        <v>22</v>
      </c>
      <c r="K33">
        <v>10428</v>
      </c>
      <c r="L33">
        <v>4.1264392729140846</v>
      </c>
      <c r="M33">
        <v>1955.9322153612761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</row>
    <row r="34" spans="2:99" x14ac:dyDescent="0.2">
      <c r="C34" s="119" t="s">
        <v>200</v>
      </c>
      <c r="D34">
        <v>14</v>
      </c>
      <c r="E34">
        <v>7677.5999999999995</v>
      </c>
      <c r="F34">
        <v>18</v>
      </c>
      <c r="G34">
        <v>9871.1999999999989</v>
      </c>
      <c r="H34">
        <v>20</v>
      </c>
      <c r="I34">
        <v>10968</v>
      </c>
      <c r="J34">
        <v>20</v>
      </c>
      <c r="K34">
        <v>10968</v>
      </c>
      <c r="L34">
        <v>4.6766311759692956</v>
      </c>
      <c r="M34">
        <v>2564.6645369015614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</row>
    <row r="35" spans="2:99" x14ac:dyDescent="0.2">
      <c r="C35" s="119" t="s">
        <v>201</v>
      </c>
      <c r="D35">
        <v>15</v>
      </c>
      <c r="E35">
        <v>7541.9999999999982</v>
      </c>
      <c r="F35">
        <v>21</v>
      </c>
      <c r="G35">
        <v>10558.799999999997</v>
      </c>
      <c r="H35">
        <v>19</v>
      </c>
      <c r="I35">
        <v>9553.1999999999989</v>
      </c>
      <c r="J35">
        <v>22</v>
      </c>
      <c r="K35">
        <v>11061.599999999999</v>
      </c>
      <c r="L35">
        <v>4.4015352244416901</v>
      </c>
      <c r="M35">
        <v>2213.0919108492812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2:99" x14ac:dyDescent="0.2">
      <c r="C36" s="119" t="s">
        <v>202</v>
      </c>
      <c r="D36">
        <v>15</v>
      </c>
      <c r="E36">
        <v>11412</v>
      </c>
      <c r="F36">
        <v>19</v>
      </c>
      <c r="G36">
        <v>14455.199999999999</v>
      </c>
      <c r="H36">
        <v>19</v>
      </c>
      <c r="I36">
        <v>14455.199999999999</v>
      </c>
      <c r="J36">
        <v>19</v>
      </c>
      <c r="K36">
        <v>14455.199999999999</v>
      </c>
      <c r="L36">
        <v>4.4015352244416901</v>
      </c>
      <c r="M36">
        <v>3348.6879987552375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</row>
    <row r="37" spans="2:99" x14ac:dyDescent="0.2">
      <c r="B37" s="119" t="s">
        <v>128</v>
      </c>
      <c r="C37" s="119" t="s">
        <v>203</v>
      </c>
      <c r="D37">
        <v>18</v>
      </c>
      <c r="E37">
        <v>15487.199999999999</v>
      </c>
      <c r="F37">
        <v>21</v>
      </c>
      <c r="G37">
        <v>18068.399999999998</v>
      </c>
      <c r="H37">
        <v>13</v>
      </c>
      <c r="I37">
        <v>11185.199999999999</v>
      </c>
      <c r="J37">
        <v>14</v>
      </c>
      <c r="K37">
        <v>12045.6</v>
      </c>
      <c r="L37">
        <v>6.0521109336073238</v>
      </c>
      <c r="M37">
        <v>5207.2362472757413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</row>
    <row r="38" spans="2:99" x14ac:dyDescent="0.2">
      <c r="C38" s="119" t="s">
        <v>204</v>
      </c>
      <c r="D38">
        <v>17</v>
      </c>
      <c r="E38">
        <v>21114</v>
      </c>
      <c r="F38">
        <v>18</v>
      </c>
      <c r="G38">
        <v>22356</v>
      </c>
      <c r="H38">
        <v>12</v>
      </c>
      <c r="I38">
        <v>14904</v>
      </c>
      <c r="J38">
        <v>14</v>
      </c>
      <c r="K38">
        <v>17388</v>
      </c>
      <c r="L38">
        <v>6.3272068851349301</v>
      </c>
      <c r="M38">
        <v>7858.3909513375829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</row>
    <row r="39" spans="2:99" x14ac:dyDescent="0.2">
      <c r="C39" s="119" t="s">
        <v>205</v>
      </c>
      <c r="D39">
        <v>16</v>
      </c>
      <c r="E39">
        <v>22771.200000000001</v>
      </c>
      <c r="F39">
        <v>17</v>
      </c>
      <c r="G39">
        <v>24194.400000000001</v>
      </c>
      <c r="H39">
        <v>13</v>
      </c>
      <c r="I39">
        <v>18501.600000000002</v>
      </c>
      <c r="J39">
        <v>13</v>
      </c>
      <c r="K39">
        <v>18501.600000000002</v>
      </c>
      <c r="L39">
        <v>6.6023028366625356</v>
      </c>
      <c r="M39">
        <v>9396.3973971381201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</row>
    <row r="40" spans="2:99" x14ac:dyDescent="0.2">
      <c r="C40" s="119" t="s">
        <v>206</v>
      </c>
      <c r="D40">
        <v>16</v>
      </c>
      <c r="E40">
        <v>11596.8</v>
      </c>
      <c r="F40">
        <v>20</v>
      </c>
      <c r="G40">
        <v>14496</v>
      </c>
      <c r="H40">
        <v>13</v>
      </c>
      <c r="I40">
        <v>9422.4</v>
      </c>
      <c r="J40">
        <v>12</v>
      </c>
      <c r="K40">
        <v>8697.5999999999985</v>
      </c>
      <c r="L40">
        <v>6.0521109336073238</v>
      </c>
      <c r="M40">
        <v>4386.5700046785878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</row>
    <row r="41" spans="2:99" x14ac:dyDescent="0.2">
      <c r="C41" s="119" t="s">
        <v>207</v>
      </c>
      <c r="D41">
        <v>16</v>
      </c>
      <c r="E41">
        <v>10560</v>
      </c>
      <c r="F41">
        <v>19</v>
      </c>
      <c r="G41">
        <v>12540</v>
      </c>
      <c r="H41">
        <v>14</v>
      </c>
      <c r="I41">
        <v>9240</v>
      </c>
      <c r="J41">
        <v>14</v>
      </c>
      <c r="K41">
        <v>9240</v>
      </c>
      <c r="L41">
        <v>6.6023028366625356</v>
      </c>
      <c r="M41">
        <v>4357.5198721972738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2:99" x14ac:dyDescent="0.2">
      <c r="C42" s="119" t="s">
        <v>208</v>
      </c>
      <c r="D42">
        <v>18</v>
      </c>
      <c r="E42">
        <v>15228</v>
      </c>
      <c r="F42">
        <v>18</v>
      </c>
      <c r="G42">
        <v>15228</v>
      </c>
      <c r="H42">
        <v>15</v>
      </c>
      <c r="I42">
        <v>12690</v>
      </c>
      <c r="J42">
        <v>13</v>
      </c>
      <c r="K42">
        <v>10998</v>
      </c>
      <c r="L42">
        <v>7.1524947397177456</v>
      </c>
      <c r="M42">
        <v>6051.0105498012126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</row>
    <row r="43" spans="2:99" x14ac:dyDescent="0.2">
      <c r="C43" s="119" t="s">
        <v>209</v>
      </c>
      <c r="D43">
        <v>16</v>
      </c>
      <c r="E43">
        <v>16358.4</v>
      </c>
      <c r="F43">
        <v>20</v>
      </c>
      <c r="G43">
        <v>20448</v>
      </c>
      <c r="H43">
        <v>14</v>
      </c>
      <c r="I43">
        <v>14313.6</v>
      </c>
      <c r="J43">
        <v>14</v>
      </c>
      <c r="K43">
        <v>14313.6</v>
      </c>
      <c r="L43">
        <v>6.0521109336073238</v>
      </c>
      <c r="M43">
        <v>6187.6782185201273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</row>
    <row r="44" spans="2:99" x14ac:dyDescent="0.2">
      <c r="C44" s="119" t="s">
        <v>210</v>
      </c>
      <c r="D44">
        <v>18</v>
      </c>
      <c r="E44">
        <v>18403.2</v>
      </c>
      <c r="F44">
        <v>19</v>
      </c>
      <c r="G44">
        <v>19425.599999999999</v>
      </c>
      <c r="H44">
        <v>14</v>
      </c>
      <c r="I44">
        <v>14313.6</v>
      </c>
      <c r="J44">
        <v>14</v>
      </c>
      <c r="K44">
        <v>14313.6</v>
      </c>
      <c r="L44">
        <v>6.0521109336073238</v>
      </c>
      <c r="M44">
        <v>6187.6782185201273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</row>
    <row r="45" spans="2:99" x14ac:dyDescent="0.2">
      <c r="C45" s="119" t="s">
        <v>211</v>
      </c>
      <c r="D45">
        <v>15</v>
      </c>
      <c r="E45">
        <v>18738</v>
      </c>
      <c r="F45">
        <v>19</v>
      </c>
      <c r="G45">
        <v>23734.799999999999</v>
      </c>
      <c r="H45">
        <v>14</v>
      </c>
      <c r="I45">
        <v>17488.8</v>
      </c>
      <c r="J45">
        <v>13</v>
      </c>
      <c r="K45">
        <v>16239.6</v>
      </c>
      <c r="L45">
        <v>6.8773987881901402</v>
      </c>
      <c r="M45">
        <v>8591.2465662071227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2:99" x14ac:dyDescent="0.2">
      <c r="C46" s="119" t="s">
        <v>212</v>
      </c>
      <c r="D46">
        <v>17</v>
      </c>
      <c r="E46">
        <v>20604</v>
      </c>
      <c r="F46">
        <v>18</v>
      </c>
      <c r="G46">
        <v>21816</v>
      </c>
      <c r="H46">
        <v>15</v>
      </c>
      <c r="I46">
        <v>18180</v>
      </c>
      <c r="J46">
        <v>12</v>
      </c>
      <c r="K46">
        <v>14544</v>
      </c>
      <c r="L46">
        <v>6.0521109336073238</v>
      </c>
      <c r="M46">
        <v>7335.1584515320765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</row>
    <row r="47" spans="2:99" x14ac:dyDescent="0.2">
      <c r="C47" s="119" t="s">
        <v>213</v>
      </c>
      <c r="D47">
        <v>15</v>
      </c>
      <c r="E47">
        <v>22914</v>
      </c>
      <c r="F47">
        <v>17</v>
      </c>
      <c r="G47">
        <v>25969.199999999997</v>
      </c>
      <c r="H47">
        <v>14</v>
      </c>
      <c r="I47">
        <v>21386.399999999998</v>
      </c>
      <c r="J47">
        <v>12</v>
      </c>
      <c r="K47">
        <v>18331.199999999997</v>
      </c>
      <c r="L47">
        <v>6.3272068851349301</v>
      </c>
      <c r="M47">
        <v>9665.4412377321187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</row>
    <row r="48" spans="2:99" x14ac:dyDescent="0.2">
      <c r="C48" s="119" t="s">
        <v>214</v>
      </c>
      <c r="D48">
        <v>19</v>
      </c>
      <c r="E48">
        <v>16484.400000000001</v>
      </c>
      <c r="F48">
        <v>20</v>
      </c>
      <c r="G48">
        <v>17352</v>
      </c>
      <c r="H48">
        <v>14</v>
      </c>
      <c r="I48">
        <v>12146.4</v>
      </c>
      <c r="J48">
        <v>13</v>
      </c>
      <c r="K48">
        <v>11278.800000000001</v>
      </c>
      <c r="L48">
        <v>6.6023028366625356</v>
      </c>
      <c r="M48">
        <v>5728.157941088416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2:99" x14ac:dyDescent="0.2">
      <c r="B49" s="119" t="s">
        <v>129</v>
      </c>
      <c r="C49" s="119" t="s">
        <v>215</v>
      </c>
      <c r="D49">
        <v>22</v>
      </c>
      <c r="E49">
        <v>21674.399999999998</v>
      </c>
      <c r="F49">
        <v>14</v>
      </c>
      <c r="G49">
        <v>13792.8</v>
      </c>
      <c r="H49">
        <v>22</v>
      </c>
      <c r="I49">
        <v>21674.399999999998</v>
      </c>
      <c r="J49">
        <v>14</v>
      </c>
      <c r="K49">
        <v>13792.8</v>
      </c>
      <c r="L49">
        <v>20</v>
      </c>
      <c r="M49">
        <v>19704</v>
      </c>
      <c r="N49">
        <v>14</v>
      </c>
      <c r="O49">
        <v>13792.8</v>
      </c>
      <c r="P49">
        <v>13</v>
      </c>
      <c r="Q49">
        <v>12807.599999999999</v>
      </c>
      <c r="R49">
        <v>20</v>
      </c>
      <c r="S49">
        <v>19704</v>
      </c>
      <c r="T49">
        <v>18</v>
      </c>
      <c r="U49">
        <v>17733.599999999999</v>
      </c>
      <c r="V49">
        <v>15</v>
      </c>
      <c r="W49">
        <v>14777.999999999998</v>
      </c>
      <c r="X49">
        <v>14</v>
      </c>
      <c r="Y49">
        <v>13792.8</v>
      </c>
      <c r="Z49">
        <v>22</v>
      </c>
      <c r="AA49">
        <v>21674.399999999998</v>
      </c>
      <c r="AB49">
        <v>19</v>
      </c>
      <c r="AC49">
        <v>18718.8</v>
      </c>
      <c r="AD49">
        <v>17</v>
      </c>
      <c r="AE49">
        <v>16748.399999999998</v>
      </c>
      <c r="AF49">
        <v>15</v>
      </c>
      <c r="AG49">
        <v>14777.999999999998</v>
      </c>
      <c r="AH49">
        <v>18</v>
      </c>
      <c r="AI49">
        <v>17733.599999999999</v>
      </c>
      <c r="AJ49">
        <v>13</v>
      </c>
      <c r="AK49">
        <v>12807.599999999999</v>
      </c>
      <c r="AL49">
        <v>22</v>
      </c>
      <c r="AM49">
        <v>21674.399999999998</v>
      </c>
      <c r="AN49">
        <v>14</v>
      </c>
      <c r="AO49">
        <v>13792.8</v>
      </c>
      <c r="AP49">
        <v>22</v>
      </c>
      <c r="AQ49">
        <v>21674.399999999998</v>
      </c>
      <c r="AR49">
        <v>17</v>
      </c>
      <c r="AS49">
        <v>16748.399999999998</v>
      </c>
      <c r="AT49">
        <v>23</v>
      </c>
      <c r="AU49">
        <v>22659.599999999999</v>
      </c>
      <c r="AV49">
        <v>13</v>
      </c>
      <c r="AW49">
        <v>12807.599999999999</v>
      </c>
      <c r="AX49">
        <v>17</v>
      </c>
      <c r="AY49">
        <v>16748.399999999998</v>
      </c>
      <c r="AZ49">
        <v>20</v>
      </c>
      <c r="BA49">
        <v>19704</v>
      </c>
      <c r="BB49">
        <v>16</v>
      </c>
      <c r="BC49">
        <v>15763.199999999999</v>
      </c>
      <c r="BD49">
        <v>18</v>
      </c>
      <c r="BE49">
        <v>17733.599999999999</v>
      </c>
      <c r="BF49">
        <v>15</v>
      </c>
      <c r="BG49">
        <v>14777.999999999998</v>
      </c>
      <c r="BH49">
        <v>18</v>
      </c>
      <c r="BI49">
        <v>17733.599999999999</v>
      </c>
      <c r="BJ49">
        <v>21</v>
      </c>
      <c r="BK49">
        <v>20689.199999999997</v>
      </c>
      <c r="BL49">
        <v>20</v>
      </c>
      <c r="BM49">
        <v>19704</v>
      </c>
      <c r="BN49">
        <v>13</v>
      </c>
      <c r="BO49">
        <v>12807.599999999999</v>
      </c>
      <c r="BP49">
        <v>12</v>
      </c>
      <c r="BQ49">
        <v>11822.4</v>
      </c>
      <c r="BR49">
        <v>17</v>
      </c>
      <c r="BS49">
        <v>16748.399999999998</v>
      </c>
      <c r="BT49">
        <v>17</v>
      </c>
      <c r="BU49">
        <v>16748.399999999998</v>
      </c>
      <c r="BV49">
        <v>18</v>
      </c>
      <c r="BW49">
        <v>17733.599999999999</v>
      </c>
      <c r="BX49">
        <v>14</v>
      </c>
      <c r="BY49">
        <v>13792.8</v>
      </c>
      <c r="BZ49">
        <v>18</v>
      </c>
      <c r="CA49">
        <v>17733.599999999999</v>
      </c>
      <c r="CB49">
        <v>20</v>
      </c>
      <c r="CC49">
        <v>19704</v>
      </c>
      <c r="CD49">
        <v>21</v>
      </c>
      <c r="CE49">
        <v>20689.199999999997</v>
      </c>
      <c r="CF49">
        <v>18</v>
      </c>
      <c r="CG49">
        <v>17733.599999999999</v>
      </c>
      <c r="CH49">
        <v>11</v>
      </c>
      <c r="CI49">
        <v>10837.199999999999</v>
      </c>
      <c r="CJ49">
        <v>16</v>
      </c>
      <c r="CK49">
        <v>15763.199999999999</v>
      </c>
      <c r="CL49">
        <v>18</v>
      </c>
      <c r="CM49">
        <v>17733.599999999999</v>
      </c>
      <c r="CN49">
        <v>21</v>
      </c>
      <c r="CO49">
        <v>20689.199999999997</v>
      </c>
      <c r="CP49">
        <v>15</v>
      </c>
      <c r="CQ49">
        <v>14777.999999999998</v>
      </c>
      <c r="CR49">
        <v>20</v>
      </c>
      <c r="CS49">
        <v>19704</v>
      </c>
      <c r="CT49">
        <v>18</v>
      </c>
      <c r="CU49">
        <v>17733.599999999999</v>
      </c>
    </row>
    <row r="50" spans="2:99" x14ac:dyDescent="0.2">
      <c r="C50" s="119" t="s">
        <v>216</v>
      </c>
      <c r="D50">
        <v>25</v>
      </c>
      <c r="E50">
        <v>7050</v>
      </c>
      <c r="F50">
        <v>16</v>
      </c>
      <c r="G50">
        <v>4512</v>
      </c>
      <c r="H50">
        <v>24</v>
      </c>
      <c r="I50">
        <v>6768</v>
      </c>
      <c r="J50">
        <v>16</v>
      </c>
      <c r="K50">
        <v>4512</v>
      </c>
      <c r="L50">
        <v>6.0521109336073238</v>
      </c>
      <c r="M50">
        <v>1706.6952832772654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</row>
    <row r="51" spans="2:99" x14ac:dyDescent="0.2">
      <c r="C51" s="119" t="s">
        <v>217</v>
      </c>
      <c r="D51">
        <v>23</v>
      </c>
      <c r="E51">
        <v>19651.2</v>
      </c>
      <c r="F51">
        <v>15</v>
      </c>
      <c r="G51">
        <v>12816</v>
      </c>
      <c r="H51">
        <v>22</v>
      </c>
      <c r="I51">
        <v>18796.8</v>
      </c>
      <c r="J51">
        <v>14</v>
      </c>
      <c r="K51">
        <v>11961.6</v>
      </c>
      <c r="L51">
        <v>5.5019190305521128</v>
      </c>
      <c r="M51">
        <v>4700.8396197037255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</row>
    <row r="52" spans="2:99" x14ac:dyDescent="0.2">
      <c r="C52" s="119" t="s">
        <v>218</v>
      </c>
      <c r="D52">
        <v>23</v>
      </c>
      <c r="E52">
        <v>12420</v>
      </c>
      <c r="F52">
        <v>18</v>
      </c>
      <c r="G52">
        <v>9720</v>
      </c>
      <c r="H52">
        <v>22</v>
      </c>
      <c r="I52">
        <v>11880</v>
      </c>
      <c r="J52">
        <v>17</v>
      </c>
      <c r="K52">
        <v>9180</v>
      </c>
      <c r="L52">
        <v>6.6023028366625356</v>
      </c>
      <c r="M52">
        <v>3565.2435317977693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</row>
    <row r="53" spans="2:99" x14ac:dyDescent="0.2">
      <c r="C53" s="119" t="s">
        <v>219</v>
      </c>
      <c r="D53">
        <v>23</v>
      </c>
      <c r="E53">
        <v>9356.4</v>
      </c>
      <c r="F53">
        <v>19</v>
      </c>
      <c r="G53">
        <v>7729.2</v>
      </c>
      <c r="H53">
        <v>22</v>
      </c>
      <c r="I53">
        <v>8949.6</v>
      </c>
      <c r="J53">
        <v>15</v>
      </c>
      <c r="K53">
        <v>6102</v>
      </c>
      <c r="L53">
        <v>6.6023028366625356</v>
      </c>
      <c r="M53">
        <v>2685.8167939543196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</row>
    <row r="54" spans="2:99" x14ac:dyDescent="0.2">
      <c r="C54" s="119" t="s">
        <v>220</v>
      </c>
      <c r="D54">
        <v>25</v>
      </c>
      <c r="E54">
        <v>8370</v>
      </c>
      <c r="F54">
        <v>19</v>
      </c>
      <c r="G54">
        <v>6361.2</v>
      </c>
      <c r="H54">
        <v>21</v>
      </c>
      <c r="I54">
        <v>7030.8</v>
      </c>
      <c r="J54">
        <v>16</v>
      </c>
      <c r="K54">
        <v>5356.8</v>
      </c>
      <c r="L54">
        <v>6.3272068851349301</v>
      </c>
      <c r="M54">
        <v>2118.3488651431749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</row>
    <row r="55" spans="2:99" x14ac:dyDescent="0.2">
      <c r="C55" s="119" t="s">
        <v>221</v>
      </c>
      <c r="D55">
        <v>23</v>
      </c>
      <c r="E55">
        <v>15262.800000000001</v>
      </c>
      <c r="F55">
        <v>17</v>
      </c>
      <c r="G55">
        <v>11281.2</v>
      </c>
      <c r="H55">
        <v>19</v>
      </c>
      <c r="I55">
        <v>12608.4</v>
      </c>
      <c r="J55">
        <v>14</v>
      </c>
      <c r="K55">
        <v>9290.4</v>
      </c>
      <c r="L55">
        <v>6.3272068851349301</v>
      </c>
      <c r="M55">
        <v>4198.7344889755395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</row>
    <row r="56" spans="2:99" x14ac:dyDescent="0.2">
      <c r="C56" s="119" t="s">
        <v>222</v>
      </c>
      <c r="D56">
        <v>20</v>
      </c>
      <c r="E56">
        <v>23016</v>
      </c>
      <c r="F56">
        <v>15</v>
      </c>
      <c r="G56">
        <v>17262</v>
      </c>
      <c r="H56">
        <v>20</v>
      </c>
      <c r="I56">
        <v>23016</v>
      </c>
      <c r="J56">
        <v>15</v>
      </c>
      <c r="K56">
        <v>17262</v>
      </c>
      <c r="L56">
        <v>21</v>
      </c>
      <c r="M56">
        <v>24166.799999999999</v>
      </c>
      <c r="N56">
        <v>14</v>
      </c>
      <c r="O56">
        <v>16111.199999999999</v>
      </c>
      <c r="P56">
        <v>14</v>
      </c>
      <c r="Q56">
        <v>16111.199999999999</v>
      </c>
      <c r="R56">
        <v>20</v>
      </c>
      <c r="S56">
        <v>23016</v>
      </c>
      <c r="T56">
        <v>18</v>
      </c>
      <c r="U56">
        <v>20714.399999999998</v>
      </c>
      <c r="V56">
        <v>15</v>
      </c>
      <c r="W56">
        <v>17262</v>
      </c>
      <c r="X56">
        <v>14</v>
      </c>
      <c r="Y56">
        <v>16111.199999999999</v>
      </c>
      <c r="Z56">
        <v>22</v>
      </c>
      <c r="AA56">
        <v>25317.599999999999</v>
      </c>
      <c r="AB56">
        <v>21</v>
      </c>
      <c r="AC56">
        <v>24166.799999999999</v>
      </c>
      <c r="AD56">
        <v>16</v>
      </c>
      <c r="AE56">
        <v>18412.8</v>
      </c>
      <c r="AF56">
        <v>13</v>
      </c>
      <c r="AG56">
        <v>14960.4</v>
      </c>
      <c r="AH56">
        <v>17</v>
      </c>
      <c r="AI56">
        <v>19563.599999999999</v>
      </c>
      <c r="AJ56">
        <v>13</v>
      </c>
      <c r="AK56">
        <v>14960.4</v>
      </c>
      <c r="AL56">
        <v>23</v>
      </c>
      <c r="AM56">
        <v>26468.399999999998</v>
      </c>
      <c r="AN56">
        <v>12</v>
      </c>
      <c r="AO56">
        <v>13809.599999999999</v>
      </c>
      <c r="AP56">
        <v>22</v>
      </c>
      <c r="AQ56">
        <v>25317.599999999999</v>
      </c>
      <c r="AR56">
        <v>18</v>
      </c>
      <c r="AS56">
        <v>20714.399999999998</v>
      </c>
      <c r="AT56">
        <v>22</v>
      </c>
      <c r="AU56">
        <v>25317.599999999999</v>
      </c>
      <c r="AV56">
        <v>13</v>
      </c>
      <c r="AW56">
        <v>14960.4</v>
      </c>
      <c r="AX56">
        <v>16</v>
      </c>
      <c r="AY56">
        <v>18412.8</v>
      </c>
      <c r="AZ56">
        <v>17</v>
      </c>
      <c r="BA56">
        <v>19563.599999999999</v>
      </c>
      <c r="BB56">
        <v>14</v>
      </c>
      <c r="BC56">
        <v>16111.199999999999</v>
      </c>
      <c r="BD56">
        <v>16</v>
      </c>
      <c r="BE56">
        <v>18412.8</v>
      </c>
      <c r="BF56">
        <v>15</v>
      </c>
      <c r="BG56">
        <v>17262</v>
      </c>
      <c r="BH56">
        <v>20</v>
      </c>
      <c r="BI56">
        <v>23016</v>
      </c>
      <c r="BJ56">
        <v>20</v>
      </c>
      <c r="BK56">
        <v>23016</v>
      </c>
      <c r="BL56">
        <v>22</v>
      </c>
      <c r="BM56">
        <v>25317.599999999999</v>
      </c>
      <c r="BN56">
        <v>14</v>
      </c>
      <c r="BO56">
        <v>16111.199999999999</v>
      </c>
      <c r="BP56">
        <v>13</v>
      </c>
      <c r="BQ56">
        <v>14960.4</v>
      </c>
      <c r="BR56">
        <v>17</v>
      </c>
      <c r="BS56">
        <v>19563.599999999999</v>
      </c>
      <c r="BT56">
        <v>17</v>
      </c>
      <c r="BU56">
        <v>19563.599999999999</v>
      </c>
      <c r="BV56">
        <v>17</v>
      </c>
      <c r="BW56">
        <v>19563.599999999999</v>
      </c>
      <c r="BX56">
        <v>12</v>
      </c>
      <c r="BY56">
        <v>13809.599999999999</v>
      </c>
      <c r="BZ56">
        <v>18</v>
      </c>
      <c r="CA56">
        <v>20714.399999999998</v>
      </c>
      <c r="CB56">
        <v>19</v>
      </c>
      <c r="CC56">
        <v>21865.200000000001</v>
      </c>
      <c r="CD56">
        <v>19</v>
      </c>
      <c r="CE56">
        <v>21865.200000000001</v>
      </c>
      <c r="CF56">
        <v>17</v>
      </c>
      <c r="CG56">
        <v>19563.599999999999</v>
      </c>
      <c r="CH56">
        <v>12</v>
      </c>
      <c r="CI56">
        <v>13809.599999999999</v>
      </c>
      <c r="CJ56">
        <v>17</v>
      </c>
      <c r="CK56">
        <v>19563.599999999999</v>
      </c>
      <c r="CL56">
        <v>16</v>
      </c>
      <c r="CM56">
        <v>18412.8</v>
      </c>
      <c r="CN56">
        <v>21</v>
      </c>
      <c r="CO56">
        <v>24166.799999999999</v>
      </c>
      <c r="CP56">
        <v>15</v>
      </c>
      <c r="CQ56">
        <v>17262</v>
      </c>
      <c r="CR56">
        <v>19</v>
      </c>
      <c r="CS56">
        <v>21865.200000000001</v>
      </c>
      <c r="CT56">
        <v>21</v>
      </c>
      <c r="CU56">
        <v>24166.799999999999</v>
      </c>
    </row>
    <row r="57" spans="2:99" x14ac:dyDescent="0.2">
      <c r="C57" s="119" t="s">
        <v>223</v>
      </c>
      <c r="D57">
        <v>22</v>
      </c>
      <c r="E57">
        <v>31046.400000000001</v>
      </c>
      <c r="F57">
        <v>17</v>
      </c>
      <c r="G57">
        <v>23990.400000000001</v>
      </c>
      <c r="H57">
        <v>19</v>
      </c>
      <c r="I57">
        <v>26812.799999999999</v>
      </c>
      <c r="J57">
        <v>15</v>
      </c>
      <c r="K57">
        <v>21168</v>
      </c>
      <c r="L57">
        <v>5.5019190305521128</v>
      </c>
      <c r="M57">
        <v>7764.308135915142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</row>
    <row r="58" spans="2:99" x14ac:dyDescent="0.2">
      <c r="C58" s="119" t="s">
        <v>224</v>
      </c>
      <c r="D58">
        <v>21</v>
      </c>
      <c r="E58">
        <v>24721.200000000001</v>
      </c>
      <c r="F58">
        <v>16</v>
      </c>
      <c r="G58">
        <v>18835.2</v>
      </c>
      <c r="H58">
        <v>21</v>
      </c>
      <c r="I58">
        <v>24721.200000000001</v>
      </c>
      <c r="J58">
        <v>15</v>
      </c>
      <c r="K58">
        <v>17658</v>
      </c>
      <c r="L58">
        <v>19</v>
      </c>
      <c r="M58">
        <v>22366.799999999999</v>
      </c>
      <c r="N58">
        <v>14</v>
      </c>
      <c r="O58">
        <v>16480.8</v>
      </c>
      <c r="P58">
        <v>14</v>
      </c>
      <c r="Q58">
        <v>16480.8</v>
      </c>
      <c r="R58">
        <v>20</v>
      </c>
      <c r="S58">
        <v>23544</v>
      </c>
      <c r="T58">
        <v>16</v>
      </c>
      <c r="U58">
        <v>18835.2</v>
      </c>
      <c r="V58">
        <v>15</v>
      </c>
      <c r="W58">
        <v>17658</v>
      </c>
      <c r="X58">
        <v>13</v>
      </c>
      <c r="Y58">
        <v>15303.6</v>
      </c>
      <c r="Z58">
        <v>21</v>
      </c>
      <c r="AA58">
        <v>24721.200000000001</v>
      </c>
      <c r="AB58">
        <v>22</v>
      </c>
      <c r="AC58">
        <v>25898.400000000001</v>
      </c>
      <c r="AD58">
        <v>15</v>
      </c>
      <c r="AE58">
        <v>17658</v>
      </c>
      <c r="AF58">
        <v>14</v>
      </c>
      <c r="AG58">
        <v>16480.8</v>
      </c>
      <c r="AH58">
        <v>16</v>
      </c>
      <c r="AI58">
        <v>18835.2</v>
      </c>
      <c r="AJ58">
        <v>14</v>
      </c>
      <c r="AK58">
        <v>16480.8</v>
      </c>
      <c r="AL58">
        <v>21</v>
      </c>
      <c r="AM58">
        <v>24721.200000000001</v>
      </c>
      <c r="AN58">
        <v>12</v>
      </c>
      <c r="AO58">
        <v>14126.400000000001</v>
      </c>
      <c r="AP58">
        <v>20</v>
      </c>
      <c r="AQ58">
        <v>23544</v>
      </c>
      <c r="AR58">
        <v>18</v>
      </c>
      <c r="AS58">
        <v>21189.600000000002</v>
      </c>
      <c r="AT58">
        <v>23</v>
      </c>
      <c r="AU58">
        <v>27075.600000000002</v>
      </c>
      <c r="AV58">
        <v>14</v>
      </c>
      <c r="AW58">
        <v>16480.8</v>
      </c>
      <c r="AX58">
        <v>16</v>
      </c>
      <c r="AY58">
        <v>18835.2</v>
      </c>
      <c r="AZ58">
        <v>18</v>
      </c>
      <c r="BA58">
        <v>21189.600000000002</v>
      </c>
      <c r="BB58">
        <v>16</v>
      </c>
      <c r="BC58">
        <v>18835.2</v>
      </c>
      <c r="BD58">
        <v>16</v>
      </c>
      <c r="BE58">
        <v>18835.2</v>
      </c>
      <c r="BF58">
        <v>15</v>
      </c>
      <c r="BG58">
        <v>17658</v>
      </c>
      <c r="BH58">
        <v>17</v>
      </c>
      <c r="BI58">
        <v>20012.400000000001</v>
      </c>
      <c r="BJ58">
        <v>22</v>
      </c>
      <c r="BK58">
        <v>25898.400000000001</v>
      </c>
      <c r="BL58">
        <v>20</v>
      </c>
      <c r="BM58">
        <v>23544</v>
      </c>
      <c r="BN58">
        <v>13</v>
      </c>
      <c r="BO58">
        <v>15303.6</v>
      </c>
      <c r="BP58">
        <v>13</v>
      </c>
      <c r="BQ58">
        <v>15303.6</v>
      </c>
      <c r="BR58">
        <v>17</v>
      </c>
      <c r="BS58">
        <v>20012.400000000001</v>
      </c>
      <c r="BT58">
        <v>19</v>
      </c>
      <c r="BU58">
        <v>22366.799999999999</v>
      </c>
      <c r="BV58">
        <v>15</v>
      </c>
      <c r="BW58">
        <v>17658</v>
      </c>
      <c r="BX58">
        <v>12</v>
      </c>
      <c r="BY58">
        <v>14126.400000000001</v>
      </c>
      <c r="BZ58">
        <v>18</v>
      </c>
      <c r="CA58">
        <v>21189.600000000002</v>
      </c>
      <c r="CB58">
        <v>19</v>
      </c>
      <c r="CC58">
        <v>22366.799999999999</v>
      </c>
      <c r="CD58">
        <v>19</v>
      </c>
      <c r="CE58">
        <v>22366.799999999999</v>
      </c>
      <c r="CF58">
        <v>19</v>
      </c>
      <c r="CG58">
        <v>22366.799999999999</v>
      </c>
      <c r="CH58">
        <v>11</v>
      </c>
      <c r="CI58">
        <v>12949.2</v>
      </c>
      <c r="CJ58">
        <v>15</v>
      </c>
      <c r="CK58">
        <v>17658</v>
      </c>
      <c r="CL58">
        <v>16</v>
      </c>
      <c r="CM58">
        <v>18835.2</v>
      </c>
      <c r="CN58">
        <v>20</v>
      </c>
      <c r="CO58">
        <v>23544</v>
      </c>
      <c r="CP58">
        <v>15</v>
      </c>
      <c r="CQ58">
        <v>17658</v>
      </c>
      <c r="CR58">
        <v>17</v>
      </c>
      <c r="CS58">
        <v>20012.400000000001</v>
      </c>
      <c r="CT58">
        <v>19</v>
      </c>
      <c r="CU58">
        <v>22366.799999999999</v>
      </c>
    </row>
    <row r="59" spans="2:99" x14ac:dyDescent="0.2">
      <c r="C59" s="119" t="s">
        <v>225</v>
      </c>
      <c r="D59">
        <v>22</v>
      </c>
      <c r="E59">
        <v>6679.1999999999989</v>
      </c>
      <c r="F59">
        <v>18</v>
      </c>
      <c r="G59">
        <v>5464.7999999999993</v>
      </c>
      <c r="H59">
        <v>24</v>
      </c>
      <c r="I59">
        <v>7286.4</v>
      </c>
      <c r="J59">
        <v>17</v>
      </c>
      <c r="K59">
        <v>5161.2</v>
      </c>
      <c r="L59">
        <v>6.0521109336073238</v>
      </c>
      <c r="M59">
        <v>1837.4208794431834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</row>
    <row r="60" spans="2:99" x14ac:dyDescent="0.2">
      <c r="C60" s="119" t="s">
        <v>226</v>
      </c>
      <c r="D60">
        <v>24</v>
      </c>
      <c r="E60">
        <v>15638.400000000001</v>
      </c>
      <c r="F60">
        <v>18</v>
      </c>
      <c r="G60">
        <v>11728.800000000001</v>
      </c>
      <c r="H60">
        <v>21</v>
      </c>
      <c r="I60">
        <v>13683.6</v>
      </c>
      <c r="J60">
        <v>17</v>
      </c>
      <c r="K60">
        <v>11077.2</v>
      </c>
      <c r="L60">
        <v>6.3272068851349301</v>
      </c>
      <c r="M60">
        <v>4122.808006353921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</row>
    <row r="61" spans="2:99" x14ac:dyDescent="0.2">
      <c r="C61" s="119" t="s">
        <v>227</v>
      </c>
      <c r="D61">
        <v>21</v>
      </c>
      <c r="E61">
        <v>19983.599999999999</v>
      </c>
      <c r="F61">
        <v>15</v>
      </c>
      <c r="G61">
        <v>14273.999999999998</v>
      </c>
      <c r="H61">
        <v>20</v>
      </c>
      <c r="I61">
        <v>19032</v>
      </c>
      <c r="J61">
        <v>14</v>
      </c>
      <c r="K61">
        <v>13322.399999999998</v>
      </c>
      <c r="L61">
        <v>5.5019190305521128</v>
      </c>
      <c r="M61">
        <v>5235.6261494733899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</row>
    <row r="62" spans="2:99" x14ac:dyDescent="0.2">
      <c r="C62" s="119" t="s">
        <v>228</v>
      </c>
      <c r="D62">
        <v>23</v>
      </c>
      <c r="E62">
        <v>39219.599999999999</v>
      </c>
      <c r="F62">
        <v>13</v>
      </c>
      <c r="G62">
        <v>22167.600000000002</v>
      </c>
      <c r="H62">
        <v>20</v>
      </c>
      <c r="I62">
        <v>34104</v>
      </c>
      <c r="J62">
        <v>15</v>
      </c>
      <c r="K62">
        <v>25578</v>
      </c>
      <c r="L62">
        <v>5.5019190305521128</v>
      </c>
      <c r="M62">
        <v>9381.8723308974622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</row>
    <row r="63" spans="2:99" x14ac:dyDescent="0.2">
      <c r="C63" s="119" t="s">
        <v>229</v>
      </c>
      <c r="D63">
        <v>23</v>
      </c>
      <c r="E63">
        <v>18298.8</v>
      </c>
      <c r="F63">
        <v>17</v>
      </c>
      <c r="G63">
        <v>13525.2</v>
      </c>
      <c r="H63">
        <v>22</v>
      </c>
      <c r="I63">
        <v>17503.2</v>
      </c>
      <c r="J63">
        <v>14</v>
      </c>
      <c r="K63">
        <v>11138.4</v>
      </c>
      <c r="L63">
        <v>6.3272068851349301</v>
      </c>
      <c r="M63">
        <v>5033.925797813351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</row>
    <row r="64" spans="2:99" x14ac:dyDescent="0.2">
      <c r="C64" s="119" t="s">
        <v>230</v>
      </c>
      <c r="D64">
        <v>21</v>
      </c>
      <c r="E64">
        <v>21193.199999999997</v>
      </c>
      <c r="F64">
        <v>15</v>
      </c>
      <c r="G64">
        <v>15137.999999999996</v>
      </c>
      <c r="H64">
        <v>19</v>
      </c>
      <c r="I64">
        <v>19174.799999999996</v>
      </c>
      <c r="J64">
        <v>16</v>
      </c>
      <c r="K64">
        <v>16147.199999999997</v>
      </c>
      <c r="L64">
        <v>5.5019190305521128</v>
      </c>
      <c r="M64">
        <v>5552.5366856331912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</row>
    <row r="65" spans="2:99" x14ac:dyDescent="0.2">
      <c r="C65" s="119" t="s">
        <v>231</v>
      </c>
      <c r="D65">
        <v>23</v>
      </c>
      <c r="E65">
        <v>23598</v>
      </c>
      <c r="F65">
        <v>16</v>
      </c>
      <c r="G65">
        <v>16416</v>
      </c>
      <c r="H65">
        <v>21</v>
      </c>
      <c r="I65">
        <v>21546</v>
      </c>
      <c r="J65">
        <v>16</v>
      </c>
      <c r="K65">
        <v>16416</v>
      </c>
      <c r="L65">
        <v>6.0521109336073238</v>
      </c>
      <c r="M65">
        <v>6209.4658178811142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</row>
    <row r="66" spans="2:99" x14ac:dyDescent="0.2">
      <c r="C66" s="119" t="s">
        <v>232</v>
      </c>
      <c r="D66">
        <v>23</v>
      </c>
      <c r="E66">
        <v>27379.199999999997</v>
      </c>
      <c r="F66">
        <v>16</v>
      </c>
      <c r="G66">
        <v>19046.399999999998</v>
      </c>
      <c r="H66">
        <v>19</v>
      </c>
      <c r="I66">
        <v>22617.599999999999</v>
      </c>
      <c r="J66">
        <v>15</v>
      </c>
      <c r="K66">
        <v>17855.999999999996</v>
      </c>
      <c r="L66">
        <v>5.2268230790245074</v>
      </c>
      <c r="M66">
        <v>6222.010193270773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</row>
    <row r="67" spans="2:99" x14ac:dyDescent="0.2">
      <c r="C67" s="119" t="s">
        <v>233</v>
      </c>
      <c r="D67">
        <v>20</v>
      </c>
      <c r="E67">
        <v>22464</v>
      </c>
      <c r="F67">
        <v>15</v>
      </c>
      <c r="G67">
        <v>16848</v>
      </c>
      <c r="H67">
        <v>18</v>
      </c>
      <c r="I67">
        <v>20217.600000000002</v>
      </c>
      <c r="J67">
        <v>13</v>
      </c>
      <c r="K67">
        <v>14601.6</v>
      </c>
      <c r="L67">
        <v>5.2268230790245074</v>
      </c>
      <c r="M67">
        <v>5870.7676823603269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2:99" x14ac:dyDescent="0.2">
      <c r="C68" s="119" t="s">
        <v>234</v>
      </c>
      <c r="D68">
        <v>24</v>
      </c>
      <c r="E68">
        <v>24796.800000000003</v>
      </c>
      <c r="F68">
        <v>14</v>
      </c>
      <c r="G68">
        <v>14464.800000000001</v>
      </c>
      <c r="H68">
        <v>21</v>
      </c>
      <c r="I68">
        <v>21697.200000000001</v>
      </c>
      <c r="J68">
        <v>15</v>
      </c>
      <c r="K68">
        <v>15498</v>
      </c>
      <c r="L68">
        <v>5.5019190305521128</v>
      </c>
      <c r="M68">
        <v>5684.5827423664432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</row>
    <row r="69" spans="2:99" x14ac:dyDescent="0.2">
      <c r="C69" s="119" t="s">
        <v>235</v>
      </c>
      <c r="D69">
        <v>24</v>
      </c>
      <c r="E69">
        <v>18201.599999999999</v>
      </c>
      <c r="F69">
        <v>16</v>
      </c>
      <c r="G69">
        <v>12134.4</v>
      </c>
      <c r="H69">
        <v>20</v>
      </c>
      <c r="I69">
        <v>15168</v>
      </c>
      <c r="J69">
        <v>15</v>
      </c>
      <c r="K69">
        <v>11376</v>
      </c>
      <c r="L69">
        <v>5.7770149820797183</v>
      </c>
      <c r="M69">
        <v>4381.2881624092579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</row>
    <row r="70" spans="2:99" x14ac:dyDescent="0.2">
      <c r="C70" s="119" t="s">
        <v>236</v>
      </c>
      <c r="D70">
        <v>25</v>
      </c>
      <c r="E70">
        <v>13379.999999999998</v>
      </c>
      <c r="F70">
        <v>15</v>
      </c>
      <c r="G70">
        <v>8027.9999999999991</v>
      </c>
      <c r="H70">
        <v>20</v>
      </c>
      <c r="I70">
        <v>10703.999999999998</v>
      </c>
      <c r="J70">
        <v>17</v>
      </c>
      <c r="K70">
        <v>9098.4</v>
      </c>
      <c r="L70">
        <v>6.6023028366625356</v>
      </c>
      <c r="M70">
        <v>3533.5524781817885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</row>
    <row r="71" spans="2:99" x14ac:dyDescent="0.2">
      <c r="B71" s="119" t="s">
        <v>130</v>
      </c>
      <c r="C71" s="119" t="s">
        <v>237</v>
      </c>
      <c r="D71">
        <v>14</v>
      </c>
      <c r="E71">
        <v>7896</v>
      </c>
      <c r="F71">
        <v>13</v>
      </c>
      <c r="G71">
        <v>7332</v>
      </c>
      <c r="H71">
        <v>14</v>
      </c>
      <c r="I71">
        <v>7896</v>
      </c>
      <c r="J71">
        <v>11</v>
      </c>
      <c r="K71">
        <v>6204</v>
      </c>
      <c r="L71">
        <v>13</v>
      </c>
      <c r="M71">
        <v>7332</v>
      </c>
      <c r="N71">
        <v>10</v>
      </c>
      <c r="O71">
        <v>5640</v>
      </c>
      <c r="P71">
        <v>11</v>
      </c>
      <c r="Q71">
        <v>6204</v>
      </c>
      <c r="R71">
        <v>14</v>
      </c>
      <c r="S71">
        <v>7896</v>
      </c>
      <c r="T71">
        <v>10</v>
      </c>
      <c r="U71">
        <v>5640</v>
      </c>
      <c r="V71">
        <v>22</v>
      </c>
      <c r="W71">
        <v>12408</v>
      </c>
      <c r="X71">
        <v>12</v>
      </c>
      <c r="Y71">
        <v>6768</v>
      </c>
      <c r="Z71">
        <v>17</v>
      </c>
      <c r="AA71">
        <v>9588</v>
      </c>
      <c r="AB71">
        <v>10</v>
      </c>
      <c r="AC71">
        <v>5640</v>
      </c>
      <c r="AD71">
        <v>20</v>
      </c>
      <c r="AE71">
        <v>11280</v>
      </c>
      <c r="AF71">
        <v>21</v>
      </c>
      <c r="AG71">
        <v>11844</v>
      </c>
      <c r="AH71">
        <v>13</v>
      </c>
      <c r="AI71">
        <v>7332</v>
      </c>
      <c r="AJ71">
        <v>19</v>
      </c>
      <c r="AK71">
        <v>10716</v>
      </c>
      <c r="AL71">
        <v>17</v>
      </c>
      <c r="AM71">
        <v>9588</v>
      </c>
      <c r="AN71">
        <v>15</v>
      </c>
      <c r="AO71">
        <v>8460</v>
      </c>
      <c r="AP71">
        <v>13</v>
      </c>
      <c r="AQ71">
        <v>7332</v>
      </c>
      <c r="AR71">
        <v>14</v>
      </c>
      <c r="AS71">
        <v>7896</v>
      </c>
      <c r="AT71">
        <v>16</v>
      </c>
      <c r="AU71">
        <v>9024</v>
      </c>
      <c r="AV71">
        <v>18</v>
      </c>
      <c r="AW71">
        <v>10152</v>
      </c>
      <c r="AX71">
        <v>14</v>
      </c>
      <c r="AY71">
        <v>7896</v>
      </c>
      <c r="AZ71">
        <v>14</v>
      </c>
      <c r="BA71">
        <v>7896</v>
      </c>
      <c r="BB71">
        <v>16</v>
      </c>
      <c r="BC71">
        <v>9024</v>
      </c>
      <c r="BD71">
        <v>18</v>
      </c>
      <c r="BE71">
        <v>10152</v>
      </c>
      <c r="BF71">
        <v>19</v>
      </c>
      <c r="BG71">
        <v>10716</v>
      </c>
      <c r="BH71">
        <v>19</v>
      </c>
      <c r="BI71">
        <v>10716</v>
      </c>
      <c r="BJ71">
        <v>12</v>
      </c>
      <c r="BK71">
        <v>6768</v>
      </c>
      <c r="BL71">
        <v>18</v>
      </c>
      <c r="BM71">
        <v>10152</v>
      </c>
      <c r="BN71">
        <v>14</v>
      </c>
      <c r="BO71">
        <v>7896</v>
      </c>
      <c r="BP71">
        <v>15</v>
      </c>
      <c r="BQ71">
        <v>8460</v>
      </c>
      <c r="BR71">
        <v>16</v>
      </c>
      <c r="BS71">
        <v>9024</v>
      </c>
      <c r="BT71">
        <v>12</v>
      </c>
      <c r="BU71">
        <v>6768</v>
      </c>
      <c r="BV71">
        <v>16</v>
      </c>
      <c r="BW71">
        <v>9024</v>
      </c>
      <c r="BX71">
        <v>21</v>
      </c>
      <c r="BY71">
        <v>11844</v>
      </c>
      <c r="BZ71">
        <v>11</v>
      </c>
      <c r="CA71">
        <v>6204</v>
      </c>
      <c r="CB71">
        <v>15</v>
      </c>
      <c r="CC71">
        <v>8460</v>
      </c>
      <c r="CD71">
        <v>10</v>
      </c>
      <c r="CE71">
        <v>5640</v>
      </c>
      <c r="CF71">
        <v>16</v>
      </c>
      <c r="CG71">
        <v>9024</v>
      </c>
      <c r="CH71">
        <v>17</v>
      </c>
      <c r="CI71">
        <v>9588</v>
      </c>
      <c r="CJ71">
        <v>13</v>
      </c>
      <c r="CK71">
        <v>7332</v>
      </c>
      <c r="CL71">
        <v>12</v>
      </c>
      <c r="CM71">
        <v>6768</v>
      </c>
      <c r="CN71">
        <v>19</v>
      </c>
      <c r="CO71">
        <v>10716</v>
      </c>
      <c r="CP71">
        <v>17</v>
      </c>
      <c r="CQ71">
        <v>9588</v>
      </c>
      <c r="CR71">
        <v>17</v>
      </c>
      <c r="CS71">
        <v>9588</v>
      </c>
      <c r="CT71">
        <v>19</v>
      </c>
      <c r="CU71">
        <v>10716</v>
      </c>
    </row>
    <row r="72" spans="2:99" x14ac:dyDescent="0.2">
      <c r="C72" s="119" t="s">
        <v>238</v>
      </c>
      <c r="D72">
        <v>14</v>
      </c>
      <c r="E72">
        <v>1041.5999999999999</v>
      </c>
      <c r="F72">
        <v>13</v>
      </c>
      <c r="G72">
        <v>967.19999999999993</v>
      </c>
      <c r="H72">
        <v>17</v>
      </c>
      <c r="I72">
        <v>1264.8</v>
      </c>
      <c r="J72">
        <v>12</v>
      </c>
      <c r="K72">
        <v>892.8</v>
      </c>
      <c r="L72">
        <v>12</v>
      </c>
      <c r="M72">
        <v>892.8</v>
      </c>
      <c r="N72">
        <v>10</v>
      </c>
      <c r="O72">
        <v>743.99999999999989</v>
      </c>
      <c r="P72">
        <v>12</v>
      </c>
      <c r="Q72">
        <v>892.8</v>
      </c>
      <c r="R72">
        <v>15</v>
      </c>
      <c r="S72">
        <v>1115.9999999999998</v>
      </c>
      <c r="T72">
        <v>12</v>
      </c>
      <c r="U72">
        <v>892.8</v>
      </c>
      <c r="V72">
        <v>20</v>
      </c>
      <c r="W72">
        <v>1487.9999999999998</v>
      </c>
      <c r="X72">
        <v>13</v>
      </c>
      <c r="Y72">
        <v>967.19999999999993</v>
      </c>
      <c r="Z72">
        <v>19</v>
      </c>
      <c r="AA72">
        <v>1413.6</v>
      </c>
      <c r="AB72">
        <v>12</v>
      </c>
      <c r="AC72">
        <v>892.8</v>
      </c>
      <c r="AD72">
        <v>22</v>
      </c>
      <c r="AE72">
        <v>1636.7999999999997</v>
      </c>
      <c r="AF72">
        <v>21</v>
      </c>
      <c r="AG72">
        <v>1562.3999999999999</v>
      </c>
      <c r="AH72">
        <v>16</v>
      </c>
      <c r="AI72">
        <v>1190.3999999999999</v>
      </c>
      <c r="AJ72">
        <v>20</v>
      </c>
      <c r="AK72">
        <v>1487.9999999999998</v>
      </c>
      <c r="AL72">
        <v>17</v>
      </c>
      <c r="AM72">
        <v>1264.8</v>
      </c>
      <c r="AN72">
        <v>17</v>
      </c>
      <c r="AO72">
        <v>1264.8</v>
      </c>
      <c r="AP72">
        <v>14</v>
      </c>
      <c r="AQ72">
        <v>1041.5999999999999</v>
      </c>
      <c r="AR72">
        <v>14</v>
      </c>
      <c r="AS72">
        <v>1041.5999999999999</v>
      </c>
      <c r="AT72">
        <v>18</v>
      </c>
      <c r="AU72">
        <v>1339.1999999999998</v>
      </c>
      <c r="AV72">
        <v>17</v>
      </c>
      <c r="AW72">
        <v>1264.8</v>
      </c>
      <c r="AX72">
        <v>14</v>
      </c>
      <c r="AY72">
        <v>1041.5999999999999</v>
      </c>
      <c r="AZ72">
        <v>15</v>
      </c>
      <c r="BA72">
        <v>1115.9999999999998</v>
      </c>
      <c r="BB72">
        <v>17</v>
      </c>
      <c r="BC72">
        <v>1264.8</v>
      </c>
      <c r="BD72">
        <v>20</v>
      </c>
      <c r="BE72">
        <v>1487.9999999999998</v>
      </c>
      <c r="BF72">
        <v>18</v>
      </c>
      <c r="BG72">
        <v>1339.1999999999998</v>
      </c>
      <c r="BH72">
        <v>20</v>
      </c>
      <c r="BI72">
        <v>1487.9999999999998</v>
      </c>
      <c r="BJ72">
        <v>15</v>
      </c>
      <c r="BK72">
        <v>1115.9999999999998</v>
      </c>
      <c r="BL72">
        <v>21</v>
      </c>
      <c r="BM72">
        <v>1562.3999999999999</v>
      </c>
      <c r="BN72">
        <v>14</v>
      </c>
      <c r="BO72">
        <v>1041.5999999999999</v>
      </c>
      <c r="BP72">
        <v>14</v>
      </c>
      <c r="BQ72">
        <v>1041.5999999999999</v>
      </c>
      <c r="BR72">
        <v>19</v>
      </c>
      <c r="BS72">
        <v>1413.6</v>
      </c>
      <c r="BT72">
        <v>14</v>
      </c>
      <c r="BU72">
        <v>1041.5999999999999</v>
      </c>
      <c r="BV72">
        <v>15</v>
      </c>
      <c r="BW72">
        <v>1115.9999999999998</v>
      </c>
      <c r="BX72">
        <v>22</v>
      </c>
      <c r="BY72">
        <v>1636.7999999999997</v>
      </c>
      <c r="BZ72">
        <v>12</v>
      </c>
      <c r="CA72">
        <v>892.8</v>
      </c>
      <c r="CB72">
        <v>18</v>
      </c>
      <c r="CC72">
        <v>1339.1999999999998</v>
      </c>
      <c r="CD72">
        <v>12</v>
      </c>
      <c r="CE72">
        <v>892.8</v>
      </c>
      <c r="CF72">
        <v>15</v>
      </c>
      <c r="CG72">
        <v>1115.9999999999998</v>
      </c>
      <c r="CH72">
        <v>18</v>
      </c>
      <c r="CI72">
        <v>1339.1999999999998</v>
      </c>
      <c r="CJ72">
        <v>12</v>
      </c>
      <c r="CK72">
        <v>892.8</v>
      </c>
      <c r="CL72">
        <v>15</v>
      </c>
      <c r="CM72">
        <v>1115.9999999999998</v>
      </c>
      <c r="CN72">
        <v>18</v>
      </c>
      <c r="CO72">
        <v>1339.1999999999998</v>
      </c>
      <c r="CP72">
        <v>17</v>
      </c>
      <c r="CQ72">
        <v>1264.8</v>
      </c>
      <c r="CR72">
        <v>19</v>
      </c>
      <c r="CS72">
        <v>1413.6</v>
      </c>
      <c r="CT72">
        <v>21</v>
      </c>
      <c r="CU72">
        <v>1562.3999999999999</v>
      </c>
    </row>
    <row r="73" spans="2:99" x14ac:dyDescent="0.2">
      <c r="C73" s="119" t="s">
        <v>239</v>
      </c>
      <c r="D73">
        <v>14</v>
      </c>
      <c r="E73">
        <v>7828.7999999999993</v>
      </c>
      <c r="F73">
        <v>14</v>
      </c>
      <c r="G73">
        <v>7828.7999999999993</v>
      </c>
      <c r="H73">
        <v>14</v>
      </c>
      <c r="I73">
        <v>7828.7999999999993</v>
      </c>
      <c r="J73">
        <v>11</v>
      </c>
      <c r="K73">
        <v>6151.1999999999989</v>
      </c>
      <c r="L73">
        <v>13</v>
      </c>
      <c r="M73">
        <v>7269.5999999999995</v>
      </c>
      <c r="N73">
        <v>10</v>
      </c>
      <c r="O73">
        <v>5591.9999999999991</v>
      </c>
      <c r="P73">
        <v>11</v>
      </c>
      <c r="Q73">
        <v>6151.1999999999989</v>
      </c>
      <c r="R73">
        <v>13</v>
      </c>
      <c r="S73">
        <v>7269.5999999999995</v>
      </c>
      <c r="T73">
        <v>11</v>
      </c>
      <c r="U73">
        <v>6151.1999999999989</v>
      </c>
      <c r="V73">
        <v>21</v>
      </c>
      <c r="W73">
        <v>11743.199999999999</v>
      </c>
      <c r="X73">
        <v>12</v>
      </c>
      <c r="Y73">
        <v>6710.4</v>
      </c>
      <c r="Z73">
        <v>20</v>
      </c>
      <c r="AA73">
        <v>11183.999999999998</v>
      </c>
      <c r="AB73">
        <v>12</v>
      </c>
      <c r="AC73">
        <v>6710.4</v>
      </c>
      <c r="AD73">
        <v>18</v>
      </c>
      <c r="AE73">
        <v>10065.599999999999</v>
      </c>
      <c r="AF73">
        <v>18</v>
      </c>
      <c r="AG73">
        <v>10065.599999999999</v>
      </c>
      <c r="AH73">
        <v>14</v>
      </c>
      <c r="AI73">
        <v>7828.7999999999993</v>
      </c>
      <c r="AJ73">
        <v>20</v>
      </c>
      <c r="AK73">
        <v>11183.999999999998</v>
      </c>
      <c r="AL73">
        <v>14</v>
      </c>
      <c r="AM73">
        <v>7828.7999999999993</v>
      </c>
      <c r="AN73">
        <v>14</v>
      </c>
      <c r="AO73">
        <v>7828.7999999999993</v>
      </c>
      <c r="AP73">
        <v>11</v>
      </c>
      <c r="AQ73">
        <v>6151.1999999999989</v>
      </c>
      <c r="AR73">
        <v>14</v>
      </c>
      <c r="AS73">
        <v>7828.7999999999993</v>
      </c>
      <c r="AT73">
        <v>16</v>
      </c>
      <c r="AU73">
        <v>8947.1999999999989</v>
      </c>
      <c r="AV73">
        <v>17</v>
      </c>
      <c r="AW73">
        <v>9506.4</v>
      </c>
      <c r="AX73">
        <v>14</v>
      </c>
      <c r="AY73">
        <v>7828.7999999999993</v>
      </c>
      <c r="AZ73">
        <v>13</v>
      </c>
      <c r="BA73">
        <v>7269.5999999999995</v>
      </c>
      <c r="BB73">
        <v>16</v>
      </c>
      <c r="BC73">
        <v>8947.1999999999989</v>
      </c>
      <c r="BD73">
        <v>19</v>
      </c>
      <c r="BE73">
        <v>10624.8</v>
      </c>
      <c r="BF73">
        <v>16</v>
      </c>
      <c r="BG73">
        <v>8947.1999999999989</v>
      </c>
      <c r="BH73">
        <v>16</v>
      </c>
      <c r="BI73">
        <v>8947.1999999999989</v>
      </c>
      <c r="BJ73">
        <v>13</v>
      </c>
      <c r="BK73">
        <v>7269.5999999999995</v>
      </c>
      <c r="BL73">
        <v>19</v>
      </c>
      <c r="BM73">
        <v>10624.8</v>
      </c>
      <c r="BN73">
        <v>14</v>
      </c>
      <c r="BO73">
        <v>7828.7999999999993</v>
      </c>
      <c r="BP73">
        <v>15</v>
      </c>
      <c r="BQ73">
        <v>8387.9999999999982</v>
      </c>
      <c r="BR73">
        <v>18</v>
      </c>
      <c r="BS73">
        <v>10065.599999999999</v>
      </c>
      <c r="BT73">
        <v>13</v>
      </c>
      <c r="BU73">
        <v>7269.5999999999995</v>
      </c>
      <c r="BV73">
        <v>14</v>
      </c>
      <c r="BW73">
        <v>7828.7999999999993</v>
      </c>
      <c r="BX73">
        <v>20</v>
      </c>
      <c r="BY73">
        <v>11183.999999999998</v>
      </c>
      <c r="BZ73">
        <v>12</v>
      </c>
      <c r="CA73">
        <v>6710.4</v>
      </c>
      <c r="CB73">
        <v>18</v>
      </c>
      <c r="CC73">
        <v>10065.599999999999</v>
      </c>
      <c r="CD73">
        <v>11</v>
      </c>
      <c r="CE73">
        <v>6151.1999999999989</v>
      </c>
      <c r="CF73">
        <v>14</v>
      </c>
      <c r="CG73">
        <v>7828.7999999999993</v>
      </c>
      <c r="CH73">
        <v>17</v>
      </c>
      <c r="CI73">
        <v>9506.4</v>
      </c>
      <c r="CJ73">
        <v>13</v>
      </c>
      <c r="CK73">
        <v>7269.5999999999995</v>
      </c>
      <c r="CL73">
        <v>14</v>
      </c>
      <c r="CM73">
        <v>7828.7999999999993</v>
      </c>
      <c r="CN73">
        <v>18</v>
      </c>
      <c r="CO73">
        <v>10065.599999999999</v>
      </c>
      <c r="CP73">
        <v>17</v>
      </c>
      <c r="CQ73">
        <v>9506.4</v>
      </c>
      <c r="CR73">
        <v>17</v>
      </c>
      <c r="CS73">
        <v>9506.4</v>
      </c>
      <c r="CT73">
        <v>20</v>
      </c>
      <c r="CU73">
        <v>11183.999999999998</v>
      </c>
    </row>
    <row r="74" spans="2:99" x14ac:dyDescent="0.2">
      <c r="C74" s="119" t="s">
        <v>240</v>
      </c>
      <c r="D74">
        <v>14</v>
      </c>
      <c r="E74">
        <v>5644.8</v>
      </c>
      <c r="F74">
        <v>14</v>
      </c>
      <c r="G74">
        <v>5644.8</v>
      </c>
      <c r="H74">
        <v>16</v>
      </c>
      <c r="I74">
        <v>6451.2</v>
      </c>
      <c r="J74">
        <v>13</v>
      </c>
      <c r="K74">
        <v>5241.5999999999995</v>
      </c>
      <c r="L74">
        <v>11</v>
      </c>
      <c r="M74">
        <v>4435.2</v>
      </c>
      <c r="N74">
        <v>11</v>
      </c>
      <c r="O74">
        <v>4435.2</v>
      </c>
      <c r="P74">
        <v>11</v>
      </c>
      <c r="Q74">
        <v>4435.2</v>
      </c>
      <c r="R74">
        <v>14</v>
      </c>
      <c r="S74">
        <v>5644.8</v>
      </c>
      <c r="T74">
        <v>11</v>
      </c>
      <c r="U74">
        <v>4435.2</v>
      </c>
      <c r="V74">
        <v>20</v>
      </c>
      <c r="W74">
        <v>8064</v>
      </c>
      <c r="X74">
        <v>12</v>
      </c>
      <c r="Y74">
        <v>4838.3999999999996</v>
      </c>
      <c r="Z74">
        <v>18</v>
      </c>
      <c r="AA74">
        <v>7257.5999999999995</v>
      </c>
      <c r="AB74">
        <v>11</v>
      </c>
      <c r="AC74">
        <v>4435.2</v>
      </c>
      <c r="AD74">
        <v>20</v>
      </c>
      <c r="AE74">
        <v>8064</v>
      </c>
      <c r="AF74">
        <v>18</v>
      </c>
      <c r="AG74">
        <v>7257.5999999999995</v>
      </c>
      <c r="AH74">
        <v>15</v>
      </c>
      <c r="AI74">
        <v>6048</v>
      </c>
      <c r="AJ74">
        <v>20</v>
      </c>
      <c r="AK74">
        <v>8064</v>
      </c>
      <c r="AL74">
        <v>17</v>
      </c>
      <c r="AM74">
        <v>6854.4</v>
      </c>
      <c r="AN74">
        <v>15</v>
      </c>
      <c r="AO74">
        <v>6048</v>
      </c>
      <c r="AP74">
        <v>13</v>
      </c>
      <c r="AQ74">
        <v>5241.5999999999995</v>
      </c>
      <c r="AR74">
        <v>15</v>
      </c>
      <c r="AS74">
        <v>6048</v>
      </c>
      <c r="AT74">
        <v>18</v>
      </c>
      <c r="AU74">
        <v>7257.5999999999995</v>
      </c>
      <c r="AV74">
        <v>16</v>
      </c>
      <c r="AW74">
        <v>6451.2</v>
      </c>
      <c r="AX74">
        <v>13</v>
      </c>
      <c r="AY74">
        <v>5241.5999999999995</v>
      </c>
      <c r="AZ74">
        <v>13</v>
      </c>
      <c r="BA74">
        <v>5241.5999999999995</v>
      </c>
      <c r="BB74">
        <v>15</v>
      </c>
      <c r="BC74">
        <v>6048</v>
      </c>
      <c r="BD74">
        <v>19</v>
      </c>
      <c r="BE74">
        <v>7660.8</v>
      </c>
      <c r="BF74">
        <v>18</v>
      </c>
      <c r="BG74">
        <v>7257.5999999999995</v>
      </c>
      <c r="BH74">
        <v>17</v>
      </c>
      <c r="BI74">
        <v>6854.4</v>
      </c>
      <c r="BJ74">
        <v>12</v>
      </c>
      <c r="BK74">
        <v>4838.3999999999996</v>
      </c>
      <c r="BL74">
        <v>19</v>
      </c>
      <c r="BM74">
        <v>7660.8</v>
      </c>
      <c r="BN74">
        <v>14</v>
      </c>
      <c r="BO74">
        <v>5644.8</v>
      </c>
      <c r="BP74">
        <v>13</v>
      </c>
      <c r="BQ74">
        <v>5241.5999999999995</v>
      </c>
      <c r="BR74">
        <v>16</v>
      </c>
      <c r="BS74">
        <v>6451.2</v>
      </c>
      <c r="BT74">
        <v>14</v>
      </c>
      <c r="BU74">
        <v>5644.8</v>
      </c>
      <c r="BV74">
        <v>14</v>
      </c>
      <c r="BW74">
        <v>5644.8</v>
      </c>
      <c r="BX74">
        <v>21</v>
      </c>
      <c r="BY74">
        <v>8467.1999999999989</v>
      </c>
      <c r="BZ74">
        <v>13</v>
      </c>
      <c r="CA74">
        <v>5241.5999999999995</v>
      </c>
      <c r="CB74">
        <v>18</v>
      </c>
      <c r="CC74">
        <v>7257.5999999999995</v>
      </c>
      <c r="CD74">
        <v>11</v>
      </c>
      <c r="CE74">
        <v>4435.2</v>
      </c>
      <c r="CF74">
        <v>14</v>
      </c>
      <c r="CG74">
        <v>5644.8</v>
      </c>
      <c r="CH74">
        <v>17</v>
      </c>
      <c r="CI74">
        <v>6854.4</v>
      </c>
      <c r="CJ74">
        <v>13</v>
      </c>
      <c r="CK74">
        <v>5241.5999999999995</v>
      </c>
      <c r="CL74">
        <v>14</v>
      </c>
      <c r="CM74">
        <v>5644.8</v>
      </c>
      <c r="CN74">
        <v>19</v>
      </c>
      <c r="CO74">
        <v>7660.8</v>
      </c>
      <c r="CP74">
        <v>17</v>
      </c>
      <c r="CQ74">
        <v>6854.4</v>
      </c>
      <c r="CR74">
        <v>19</v>
      </c>
      <c r="CS74">
        <v>7660.8</v>
      </c>
      <c r="CT74">
        <v>18</v>
      </c>
      <c r="CU74">
        <v>7257.5999999999995</v>
      </c>
    </row>
    <row r="75" spans="2:99" x14ac:dyDescent="0.2">
      <c r="C75" s="119" t="s">
        <v>241</v>
      </c>
      <c r="D75">
        <v>14</v>
      </c>
      <c r="E75">
        <v>9004.7999999999993</v>
      </c>
      <c r="F75">
        <v>15</v>
      </c>
      <c r="G75">
        <v>9647.9999999999982</v>
      </c>
      <c r="H75">
        <v>14</v>
      </c>
      <c r="I75">
        <v>9004.7999999999993</v>
      </c>
      <c r="J75">
        <v>11</v>
      </c>
      <c r="K75">
        <v>7075.1999999999989</v>
      </c>
      <c r="L75">
        <v>12</v>
      </c>
      <c r="M75">
        <v>7718.4</v>
      </c>
      <c r="N75">
        <v>11</v>
      </c>
      <c r="O75">
        <v>7075.1999999999989</v>
      </c>
      <c r="P75">
        <v>11</v>
      </c>
      <c r="Q75">
        <v>7075.1999999999989</v>
      </c>
      <c r="R75">
        <v>13</v>
      </c>
      <c r="S75">
        <v>8361.5999999999985</v>
      </c>
      <c r="T75">
        <v>9</v>
      </c>
      <c r="U75">
        <v>5788.7999999999993</v>
      </c>
      <c r="V75">
        <v>21</v>
      </c>
      <c r="W75">
        <v>13507.199999999999</v>
      </c>
      <c r="X75">
        <v>12</v>
      </c>
      <c r="Y75">
        <v>7718.4</v>
      </c>
      <c r="Z75">
        <v>19</v>
      </c>
      <c r="AA75">
        <v>12220.8</v>
      </c>
      <c r="AB75">
        <v>11</v>
      </c>
      <c r="AC75">
        <v>7075.1999999999989</v>
      </c>
      <c r="AD75">
        <v>19</v>
      </c>
      <c r="AE75">
        <v>12220.8</v>
      </c>
      <c r="AF75">
        <v>19</v>
      </c>
      <c r="AG75">
        <v>12220.8</v>
      </c>
      <c r="AH75">
        <v>14</v>
      </c>
      <c r="AI75">
        <v>9004.7999999999993</v>
      </c>
      <c r="AJ75">
        <v>19</v>
      </c>
      <c r="AK75">
        <v>12220.8</v>
      </c>
      <c r="AL75">
        <v>15</v>
      </c>
      <c r="AM75">
        <v>9647.9999999999982</v>
      </c>
      <c r="AN75">
        <v>16</v>
      </c>
      <c r="AO75">
        <v>10291.199999999999</v>
      </c>
      <c r="AP75">
        <v>12</v>
      </c>
      <c r="AQ75">
        <v>7718.4</v>
      </c>
      <c r="AR75">
        <v>12</v>
      </c>
      <c r="AS75">
        <v>7718.4</v>
      </c>
      <c r="AT75">
        <v>16</v>
      </c>
      <c r="AU75">
        <v>10291.199999999999</v>
      </c>
      <c r="AV75">
        <v>15</v>
      </c>
      <c r="AW75">
        <v>9647.9999999999982</v>
      </c>
      <c r="AX75">
        <v>12</v>
      </c>
      <c r="AY75">
        <v>7718.4</v>
      </c>
      <c r="AZ75">
        <v>14</v>
      </c>
      <c r="BA75">
        <v>9004.7999999999993</v>
      </c>
      <c r="BB75">
        <v>14</v>
      </c>
      <c r="BC75">
        <v>9004.7999999999993</v>
      </c>
      <c r="BD75">
        <v>17</v>
      </c>
      <c r="BE75">
        <v>10934.4</v>
      </c>
      <c r="BF75">
        <v>18</v>
      </c>
      <c r="BG75">
        <v>11577.599999999999</v>
      </c>
      <c r="BH75">
        <v>17</v>
      </c>
      <c r="BI75">
        <v>10934.4</v>
      </c>
      <c r="BJ75">
        <v>14</v>
      </c>
      <c r="BK75">
        <v>9004.7999999999993</v>
      </c>
      <c r="BL75">
        <v>20</v>
      </c>
      <c r="BM75">
        <v>12863.999999999998</v>
      </c>
      <c r="BN75">
        <v>14</v>
      </c>
      <c r="BO75">
        <v>9004.7999999999993</v>
      </c>
      <c r="BP75">
        <v>14</v>
      </c>
      <c r="BQ75">
        <v>9004.7999999999993</v>
      </c>
      <c r="BR75">
        <v>18</v>
      </c>
      <c r="BS75">
        <v>11577.599999999999</v>
      </c>
      <c r="BT75">
        <v>15</v>
      </c>
      <c r="BU75">
        <v>9647.9999999999982</v>
      </c>
      <c r="BV75">
        <v>15</v>
      </c>
      <c r="BW75">
        <v>9647.9999999999982</v>
      </c>
      <c r="BX75">
        <v>20</v>
      </c>
      <c r="BY75">
        <v>12863.999999999998</v>
      </c>
      <c r="BZ75">
        <v>11</v>
      </c>
      <c r="CA75">
        <v>7075.1999999999989</v>
      </c>
      <c r="CB75">
        <v>16</v>
      </c>
      <c r="CC75">
        <v>10291.199999999999</v>
      </c>
      <c r="CD75">
        <v>12</v>
      </c>
      <c r="CE75">
        <v>7718.4</v>
      </c>
      <c r="CF75">
        <v>16</v>
      </c>
      <c r="CG75">
        <v>10291.199999999999</v>
      </c>
      <c r="CH75">
        <v>15</v>
      </c>
      <c r="CI75">
        <v>9647.9999999999982</v>
      </c>
      <c r="CJ75">
        <v>12</v>
      </c>
      <c r="CK75">
        <v>7718.4</v>
      </c>
      <c r="CL75">
        <v>14</v>
      </c>
      <c r="CM75">
        <v>9004.7999999999993</v>
      </c>
      <c r="CN75">
        <v>17</v>
      </c>
      <c r="CO75">
        <v>10934.4</v>
      </c>
      <c r="CP75">
        <v>15</v>
      </c>
      <c r="CQ75">
        <v>9647.9999999999982</v>
      </c>
      <c r="CR75">
        <v>20</v>
      </c>
      <c r="CS75">
        <v>12863.999999999998</v>
      </c>
      <c r="CT75">
        <v>18</v>
      </c>
      <c r="CU75">
        <v>11577.599999999999</v>
      </c>
    </row>
    <row r="76" spans="2:99" x14ac:dyDescent="0.2">
      <c r="C76" s="119" t="s">
        <v>242</v>
      </c>
      <c r="D76">
        <v>13</v>
      </c>
      <c r="E76">
        <v>10124.4</v>
      </c>
      <c r="F76">
        <v>15</v>
      </c>
      <c r="G76">
        <v>11682</v>
      </c>
      <c r="H76">
        <v>15</v>
      </c>
      <c r="I76">
        <v>11682</v>
      </c>
      <c r="J76">
        <v>11</v>
      </c>
      <c r="K76">
        <v>8566.7999999999993</v>
      </c>
      <c r="L76">
        <v>12</v>
      </c>
      <c r="M76">
        <v>9345.5999999999985</v>
      </c>
      <c r="N76">
        <v>10</v>
      </c>
      <c r="O76">
        <v>7788</v>
      </c>
      <c r="P76">
        <v>12</v>
      </c>
      <c r="Q76">
        <v>9345.5999999999985</v>
      </c>
      <c r="R76">
        <v>12</v>
      </c>
      <c r="S76">
        <v>9345.5999999999985</v>
      </c>
      <c r="T76">
        <v>11</v>
      </c>
      <c r="U76">
        <v>8566.7999999999993</v>
      </c>
      <c r="V76">
        <v>21</v>
      </c>
      <c r="W76">
        <v>16354.8</v>
      </c>
      <c r="X76">
        <v>12</v>
      </c>
      <c r="Y76">
        <v>9345.5999999999985</v>
      </c>
      <c r="Z76">
        <v>19</v>
      </c>
      <c r="AA76">
        <v>14797.199999999999</v>
      </c>
      <c r="AB76">
        <v>12</v>
      </c>
      <c r="AC76">
        <v>9345.5999999999985</v>
      </c>
      <c r="AD76">
        <v>19</v>
      </c>
      <c r="AE76">
        <v>14797.199999999999</v>
      </c>
      <c r="AF76">
        <v>19</v>
      </c>
      <c r="AG76">
        <v>14797.199999999999</v>
      </c>
      <c r="AH76">
        <v>14</v>
      </c>
      <c r="AI76">
        <v>10903.199999999999</v>
      </c>
      <c r="AJ76">
        <v>19</v>
      </c>
      <c r="AK76">
        <v>14797.199999999999</v>
      </c>
      <c r="AL76">
        <v>15</v>
      </c>
      <c r="AM76">
        <v>11682</v>
      </c>
      <c r="AN76">
        <v>14</v>
      </c>
      <c r="AO76">
        <v>10903.199999999999</v>
      </c>
      <c r="AP76">
        <v>13</v>
      </c>
      <c r="AQ76">
        <v>10124.4</v>
      </c>
      <c r="AR76">
        <v>12</v>
      </c>
      <c r="AS76">
        <v>9345.5999999999985</v>
      </c>
      <c r="AT76">
        <v>17</v>
      </c>
      <c r="AU76">
        <v>13239.599999999999</v>
      </c>
      <c r="AV76">
        <v>16</v>
      </c>
      <c r="AW76">
        <v>12460.8</v>
      </c>
      <c r="AX76">
        <v>14</v>
      </c>
      <c r="AY76">
        <v>10903.199999999999</v>
      </c>
      <c r="AZ76">
        <v>12</v>
      </c>
      <c r="BA76">
        <v>9345.5999999999985</v>
      </c>
      <c r="BB76">
        <v>14</v>
      </c>
      <c r="BC76">
        <v>10903.199999999999</v>
      </c>
      <c r="BD76">
        <v>20</v>
      </c>
      <c r="BE76">
        <v>15576</v>
      </c>
      <c r="BF76">
        <v>17</v>
      </c>
      <c r="BG76">
        <v>13239.599999999999</v>
      </c>
      <c r="BH76">
        <v>19</v>
      </c>
      <c r="BI76">
        <v>14797.199999999999</v>
      </c>
      <c r="BJ76">
        <v>14</v>
      </c>
      <c r="BK76">
        <v>10903.199999999999</v>
      </c>
      <c r="BL76">
        <v>17</v>
      </c>
      <c r="BM76">
        <v>13239.599999999999</v>
      </c>
      <c r="BN76">
        <v>12</v>
      </c>
      <c r="BO76">
        <v>9345.5999999999985</v>
      </c>
      <c r="BP76">
        <v>14</v>
      </c>
      <c r="BQ76">
        <v>10903.199999999999</v>
      </c>
      <c r="BR76">
        <v>17</v>
      </c>
      <c r="BS76">
        <v>13239.599999999999</v>
      </c>
      <c r="BT76">
        <v>14</v>
      </c>
      <c r="BU76">
        <v>10903.199999999999</v>
      </c>
      <c r="BV76">
        <v>16</v>
      </c>
      <c r="BW76">
        <v>12460.8</v>
      </c>
      <c r="BX76">
        <v>21</v>
      </c>
      <c r="BY76">
        <v>16354.8</v>
      </c>
      <c r="BZ76">
        <v>11</v>
      </c>
      <c r="CA76">
        <v>8566.7999999999993</v>
      </c>
      <c r="CB76">
        <v>17</v>
      </c>
      <c r="CC76">
        <v>13239.599999999999</v>
      </c>
      <c r="CD76">
        <v>10</v>
      </c>
      <c r="CE76">
        <v>7788</v>
      </c>
      <c r="CF76">
        <v>14</v>
      </c>
      <c r="CG76">
        <v>10903.199999999999</v>
      </c>
      <c r="CH76">
        <v>16</v>
      </c>
      <c r="CI76">
        <v>12460.8</v>
      </c>
      <c r="CJ76">
        <v>12</v>
      </c>
      <c r="CK76">
        <v>9345.5999999999985</v>
      </c>
      <c r="CL76">
        <v>13</v>
      </c>
      <c r="CM76">
        <v>10124.4</v>
      </c>
      <c r="CN76">
        <v>17</v>
      </c>
      <c r="CO76">
        <v>13239.599999999999</v>
      </c>
      <c r="CP76">
        <v>18</v>
      </c>
      <c r="CQ76">
        <v>14018.4</v>
      </c>
      <c r="CR76">
        <v>19</v>
      </c>
      <c r="CS76">
        <v>14797.199999999999</v>
      </c>
      <c r="CT76">
        <v>18</v>
      </c>
      <c r="CU76">
        <v>14018.4</v>
      </c>
    </row>
    <row r="77" spans="2:99" x14ac:dyDescent="0.2">
      <c r="C77" s="119" t="s">
        <v>243</v>
      </c>
      <c r="D77">
        <v>12</v>
      </c>
      <c r="E77">
        <v>3340.7999999999997</v>
      </c>
      <c r="F77">
        <v>14</v>
      </c>
      <c r="G77">
        <v>3897.5999999999995</v>
      </c>
      <c r="H77">
        <v>16</v>
      </c>
      <c r="I77">
        <v>4454.3999999999996</v>
      </c>
      <c r="J77">
        <v>13</v>
      </c>
      <c r="K77">
        <v>3619.2</v>
      </c>
      <c r="L77">
        <v>11</v>
      </c>
      <c r="M77">
        <v>3062.3999999999996</v>
      </c>
      <c r="N77">
        <v>12</v>
      </c>
      <c r="O77">
        <v>3340.7999999999997</v>
      </c>
      <c r="P77">
        <v>11</v>
      </c>
      <c r="Q77">
        <v>3062.3999999999996</v>
      </c>
      <c r="R77">
        <v>15</v>
      </c>
      <c r="S77">
        <v>4176</v>
      </c>
      <c r="T77">
        <v>11</v>
      </c>
      <c r="U77">
        <v>3062.3999999999996</v>
      </c>
      <c r="V77">
        <v>21</v>
      </c>
      <c r="W77">
        <v>5846.4</v>
      </c>
      <c r="X77">
        <v>12</v>
      </c>
      <c r="Y77">
        <v>3340.7999999999997</v>
      </c>
      <c r="Z77">
        <v>21</v>
      </c>
      <c r="AA77">
        <v>5846.4</v>
      </c>
      <c r="AB77">
        <v>12</v>
      </c>
      <c r="AC77">
        <v>3340.7999999999997</v>
      </c>
      <c r="AD77">
        <v>19</v>
      </c>
      <c r="AE77">
        <v>5289.5999999999995</v>
      </c>
      <c r="AF77">
        <v>21</v>
      </c>
      <c r="AG77">
        <v>5846.4</v>
      </c>
      <c r="AH77">
        <v>14</v>
      </c>
      <c r="AI77">
        <v>3897.5999999999995</v>
      </c>
      <c r="AJ77">
        <v>19</v>
      </c>
      <c r="AK77">
        <v>5289.5999999999995</v>
      </c>
      <c r="AL77">
        <v>16</v>
      </c>
      <c r="AM77">
        <v>4454.3999999999996</v>
      </c>
      <c r="AN77">
        <v>17</v>
      </c>
      <c r="AO77">
        <v>4732.7999999999993</v>
      </c>
      <c r="AP77">
        <v>13</v>
      </c>
      <c r="AQ77">
        <v>3619.2</v>
      </c>
      <c r="AR77">
        <v>13</v>
      </c>
      <c r="AS77">
        <v>3619.2</v>
      </c>
      <c r="AT77">
        <v>17</v>
      </c>
      <c r="AU77">
        <v>4732.7999999999993</v>
      </c>
      <c r="AV77">
        <v>17</v>
      </c>
      <c r="AW77">
        <v>4732.7999999999993</v>
      </c>
      <c r="AX77">
        <v>15</v>
      </c>
      <c r="AY77">
        <v>4176</v>
      </c>
      <c r="AZ77">
        <v>13</v>
      </c>
      <c r="BA77">
        <v>3619.2</v>
      </c>
      <c r="BB77">
        <v>17</v>
      </c>
      <c r="BC77">
        <v>4732.7999999999993</v>
      </c>
      <c r="BD77">
        <v>21</v>
      </c>
      <c r="BE77">
        <v>5846.4</v>
      </c>
      <c r="BF77">
        <v>17</v>
      </c>
      <c r="BG77">
        <v>4732.7999999999993</v>
      </c>
      <c r="BH77">
        <v>19</v>
      </c>
      <c r="BI77">
        <v>5289.5999999999995</v>
      </c>
      <c r="BJ77">
        <v>15</v>
      </c>
      <c r="BK77">
        <v>4176</v>
      </c>
      <c r="BL77">
        <v>19</v>
      </c>
      <c r="BM77">
        <v>5289.5999999999995</v>
      </c>
      <c r="BN77">
        <v>13</v>
      </c>
      <c r="BO77">
        <v>3619.2</v>
      </c>
      <c r="BP77">
        <v>14</v>
      </c>
      <c r="BQ77">
        <v>3897.5999999999995</v>
      </c>
      <c r="BR77">
        <v>17</v>
      </c>
      <c r="BS77">
        <v>4732.7999999999993</v>
      </c>
      <c r="BT77">
        <v>15</v>
      </c>
      <c r="BU77">
        <v>4176</v>
      </c>
      <c r="BV77">
        <v>17</v>
      </c>
      <c r="BW77">
        <v>4732.7999999999993</v>
      </c>
      <c r="BX77">
        <v>22</v>
      </c>
      <c r="BY77">
        <v>6124.7999999999993</v>
      </c>
      <c r="BZ77">
        <v>13</v>
      </c>
      <c r="CA77">
        <v>3619.2</v>
      </c>
      <c r="CB77">
        <v>15</v>
      </c>
      <c r="CC77">
        <v>4176</v>
      </c>
      <c r="CD77">
        <v>12</v>
      </c>
      <c r="CE77">
        <v>3340.7999999999997</v>
      </c>
      <c r="CF77">
        <v>15</v>
      </c>
      <c r="CG77">
        <v>4176</v>
      </c>
      <c r="CH77">
        <v>18</v>
      </c>
      <c r="CI77">
        <v>5011.2</v>
      </c>
      <c r="CJ77">
        <v>12</v>
      </c>
      <c r="CK77">
        <v>3340.7999999999997</v>
      </c>
      <c r="CL77">
        <v>12</v>
      </c>
      <c r="CM77">
        <v>3340.7999999999997</v>
      </c>
      <c r="CN77">
        <v>18</v>
      </c>
      <c r="CO77">
        <v>5011.2</v>
      </c>
      <c r="CP77">
        <v>17</v>
      </c>
      <c r="CQ77">
        <v>4732.7999999999993</v>
      </c>
      <c r="CR77">
        <v>18</v>
      </c>
      <c r="CS77">
        <v>5011.2</v>
      </c>
      <c r="CT77">
        <v>20</v>
      </c>
      <c r="CU77">
        <v>5568</v>
      </c>
    </row>
    <row r="78" spans="2:99" x14ac:dyDescent="0.2">
      <c r="C78" s="119" t="s">
        <v>244</v>
      </c>
      <c r="D78">
        <v>12</v>
      </c>
      <c r="E78">
        <v>6624</v>
      </c>
      <c r="F78">
        <v>14</v>
      </c>
      <c r="G78">
        <v>7728</v>
      </c>
      <c r="H78">
        <v>15</v>
      </c>
      <c r="I78">
        <v>8280</v>
      </c>
      <c r="J78">
        <v>12</v>
      </c>
      <c r="K78">
        <v>6624</v>
      </c>
      <c r="L78">
        <v>12</v>
      </c>
      <c r="M78">
        <v>6624</v>
      </c>
      <c r="N78">
        <v>11</v>
      </c>
      <c r="O78">
        <v>6072</v>
      </c>
      <c r="P78">
        <v>12</v>
      </c>
      <c r="Q78">
        <v>6624</v>
      </c>
      <c r="R78">
        <v>13</v>
      </c>
      <c r="S78">
        <v>7176</v>
      </c>
      <c r="T78">
        <v>11</v>
      </c>
      <c r="U78">
        <v>6072</v>
      </c>
      <c r="V78">
        <v>21</v>
      </c>
      <c r="W78">
        <v>11592</v>
      </c>
      <c r="X78">
        <v>12</v>
      </c>
      <c r="Y78">
        <v>6624</v>
      </c>
      <c r="Z78">
        <v>20</v>
      </c>
      <c r="AA78">
        <v>11040</v>
      </c>
      <c r="AB78">
        <v>12</v>
      </c>
      <c r="AC78">
        <v>6624</v>
      </c>
      <c r="AD78">
        <v>19</v>
      </c>
      <c r="AE78">
        <v>10488</v>
      </c>
      <c r="AF78">
        <v>18</v>
      </c>
      <c r="AG78">
        <v>9936</v>
      </c>
      <c r="AH78">
        <v>14</v>
      </c>
      <c r="AI78">
        <v>7728</v>
      </c>
      <c r="AJ78">
        <v>20</v>
      </c>
      <c r="AK78">
        <v>11040</v>
      </c>
      <c r="AL78">
        <v>15</v>
      </c>
      <c r="AM78">
        <v>8280</v>
      </c>
      <c r="AN78">
        <v>15</v>
      </c>
      <c r="AO78">
        <v>8280</v>
      </c>
      <c r="AP78">
        <v>13</v>
      </c>
      <c r="AQ78">
        <v>7176</v>
      </c>
      <c r="AR78">
        <v>13</v>
      </c>
      <c r="AS78">
        <v>7176</v>
      </c>
      <c r="AT78">
        <v>16</v>
      </c>
      <c r="AU78">
        <v>8832</v>
      </c>
      <c r="AV78">
        <v>17</v>
      </c>
      <c r="AW78">
        <v>9384</v>
      </c>
      <c r="AX78">
        <v>14</v>
      </c>
      <c r="AY78">
        <v>7728</v>
      </c>
      <c r="AZ78">
        <v>14</v>
      </c>
      <c r="BA78">
        <v>7728</v>
      </c>
      <c r="BB78">
        <v>16</v>
      </c>
      <c r="BC78">
        <v>8832</v>
      </c>
      <c r="BD78">
        <v>19</v>
      </c>
      <c r="BE78">
        <v>10488</v>
      </c>
      <c r="BF78">
        <v>17</v>
      </c>
      <c r="BG78">
        <v>9384</v>
      </c>
      <c r="BH78">
        <v>17</v>
      </c>
      <c r="BI78">
        <v>9384</v>
      </c>
      <c r="BJ78">
        <v>13</v>
      </c>
      <c r="BK78">
        <v>7176</v>
      </c>
      <c r="BL78">
        <v>19</v>
      </c>
      <c r="BM78">
        <v>10488</v>
      </c>
      <c r="BN78">
        <v>13</v>
      </c>
      <c r="BO78">
        <v>7176</v>
      </c>
      <c r="BP78">
        <v>13</v>
      </c>
      <c r="BQ78">
        <v>7176</v>
      </c>
      <c r="BR78">
        <v>19</v>
      </c>
      <c r="BS78">
        <v>10488</v>
      </c>
      <c r="BT78">
        <v>13</v>
      </c>
      <c r="BU78">
        <v>7176</v>
      </c>
      <c r="BV78">
        <v>16</v>
      </c>
      <c r="BW78">
        <v>8832</v>
      </c>
      <c r="BX78">
        <v>22</v>
      </c>
      <c r="BY78">
        <v>12144</v>
      </c>
      <c r="BZ78">
        <v>12</v>
      </c>
      <c r="CA78">
        <v>6624</v>
      </c>
      <c r="CB78">
        <v>16</v>
      </c>
      <c r="CC78">
        <v>8832</v>
      </c>
      <c r="CD78">
        <v>11</v>
      </c>
      <c r="CE78">
        <v>6072</v>
      </c>
      <c r="CF78">
        <v>15</v>
      </c>
      <c r="CG78">
        <v>8280</v>
      </c>
      <c r="CH78">
        <v>17</v>
      </c>
      <c r="CI78">
        <v>9384</v>
      </c>
      <c r="CJ78">
        <v>13</v>
      </c>
      <c r="CK78">
        <v>7176</v>
      </c>
      <c r="CL78">
        <v>13</v>
      </c>
      <c r="CM78">
        <v>7176</v>
      </c>
      <c r="CN78">
        <v>19</v>
      </c>
      <c r="CO78">
        <v>10488</v>
      </c>
      <c r="CP78">
        <v>17</v>
      </c>
      <c r="CQ78">
        <v>9384</v>
      </c>
      <c r="CR78">
        <v>20</v>
      </c>
      <c r="CS78">
        <v>11040</v>
      </c>
      <c r="CT78">
        <v>18</v>
      </c>
      <c r="CU78">
        <v>9936</v>
      </c>
    </row>
    <row r="79" spans="2:99" x14ac:dyDescent="0.2">
      <c r="C79" s="119" t="s">
        <v>245</v>
      </c>
      <c r="D79">
        <v>13</v>
      </c>
      <c r="E79">
        <v>9843.5999999999985</v>
      </c>
      <c r="F79">
        <v>13</v>
      </c>
      <c r="G79">
        <v>9843.5999999999985</v>
      </c>
      <c r="H79">
        <v>16</v>
      </c>
      <c r="I79">
        <v>12115.199999999999</v>
      </c>
      <c r="J79">
        <v>11</v>
      </c>
      <c r="K79">
        <v>8329.1999999999989</v>
      </c>
      <c r="L79">
        <v>10</v>
      </c>
      <c r="M79">
        <v>7571.9999999999991</v>
      </c>
      <c r="N79">
        <v>10</v>
      </c>
      <c r="O79">
        <v>7571.9999999999991</v>
      </c>
      <c r="P79">
        <v>11</v>
      </c>
      <c r="Q79">
        <v>8329.1999999999989</v>
      </c>
      <c r="R79">
        <v>13</v>
      </c>
      <c r="S79">
        <v>9843.5999999999985</v>
      </c>
      <c r="T79">
        <v>10</v>
      </c>
      <c r="U79">
        <v>7571.9999999999991</v>
      </c>
      <c r="V79">
        <v>21</v>
      </c>
      <c r="W79">
        <v>15901.199999999999</v>
      </c>
      <c r="X79">
        <v>12</v>
      </c>
      <c r="Y79">
        <v>9086.4</v>
      </c>
      <c r="Z79">
        <v>18</v>
      </c>
      <c r="AA79">
        <v>13629.599999999999</v>
      </c>
      <c r="AB79">
        <v>10</v>
      </c>
      <c r="AC79">
        <v>7571.9999999999991</v>
      </c>
      <c r="AD79">
        <v>21</v>
      </c>
      <c r="AE79">
        <v>15901.199999999999</v>
      </c>
      <c r="AF79">
        <v>17</v>
      </c>
      <c r="AG79">
        <v>12872.4</v>
      </c>
      <c r="AH79">
        <v>14</v>
      </c>
      <c r="AI79">
        <v>10600.8</v>
      </c>
      <c r="AJ79">
        <v>19</v>
      </c>
      <c r="AK79">
        <v>14386.8</v>
      </c>
      <c r="AL79">
        <v>14</v>
      </c>
      <c r="AM79">
        <v>10600.8</v>
      </c>
      <c r="AN79">
        <v>15</v>
      </c>
      <c r="AO79">
        <v>11357.999999999998</v>
      </c>
      <c r="AP79">
        <v>12</v>
      </c>
      <c r="AQ79">
        <v>9086.4</v>
      </c>
      <c r="AR79">
        <v>12</v>
      </c>
      <c r="AS79">
        <v>9086.4</v>
      </c>
      <c r="AT79">
        <v>16</v>
      </c>
      <c r="AU79">
        <v>12115.199999999999</v>
      </c>
      <c r="AV79">
        <v>16</v>
      </c>
      <c r="AW79">
        <v>12115.199999999999</v>
      </c>
      <c r="AX79">
        <v>14</v>
      </c>
      <c r="AY79">
        <v>10600.8</v>
      </c>
      <c r="AZ79">
        <v>13</v>
      </c>
      <c r="BA79">
        <v>9843.5999999999985</v>
      </c>
      <c r="BB79">
        <v>14</v>
      </c>
      <c r="BC79">
        <v>10600.8</v>
      </c>
      <c r="BD79">
        <v>19</v>
      </c>
      <c r="BE79">
        <v>14386.8</v>
      </c>
      <c r="BF79">
        <v>16</v>
      </c>
      <c r="BG79">
        <v>12115.199999999999</v>
      </c>
      <c r="BH79">
        <v>16</v>
      </c>
      <c r="BI79">
        <v>12115.199999999999</v>
      </c>
      <c r="BJ79">
        <v>12</v>
      </c>
      <c r="BK79">
        <v>9086.4</v>
      </c>
      <c r="BL79">
        <v>19</v>
      </c>
      <c r="BM79">
        <v>14386.8</v>
      </c>
      <c r="BN79">
        <v>14</v>
      </c>
      <c r="BO79">
        <v>10600.8</v>
      </c>
      <c r="BP79">
        <v>14</v>
      </c>
      <c r="BQ79">
        <v>10600.8</v>
      </c>
      <c r="BR79">
        <v>18</v>
      </c>
      <c r="BS79">
        <v>13629.599999999999</v>
      </c>
      <c r="BT79">
        <v>13</v>
      </c>
      <c r="BU79">
        <v>9843.5999999999985</v>
      </c>
      <c r="BV79">
        <v>14</v>
      </c>
      <c r="BW79">
        <v>10600.8</v>
      </c>
      <c r="BX79">
        <v>20</v>
      </c>
      <c r="BY79">
        <v>15143.999999999998</v>
      </c>
      <c r="BZ79">
        <v>10</v>
      </c>
      <c r="CA79">
        <v>7571.9999999999991</v>
      </c>
      <c r="CB79">
        <v>17</v>
      </c>
      <c r="CC79">
        <v>12872.4</v>
      </c>
      <c r="CD79">
        <v>11</v>
      </c>
      <c r="CE79">
        <v>8329.1999999999989</v>
      </c>
      <c r="CF79">
        <v>15</v>
      </c>
      <c r="CG79">
        <v>11357.999999999998</v>
      </c>
      <c r="CH79">
        <v>17</v>
      </c>
      <c r="CI79">
        <v>12872.4</v>
      </c>
      <c r="CJ79">
        <v>11</v>
      </c>
      <c r="CK79">
        <v>8329.1999999999989</v>
      </c>
      <c r="CL79">
        <v>12</v>
      </c>
      <c r="CM79">
        <v>9086.4</v>
      </c>
      <c r="CN79">
        <v>19</v>
      </c>
      <c r="CO79">
        <v>14386.8</v>
      </c>
      <c r="CP79">
        <v>17</v>
      </c>
      <c r="CQ79">
        <v>12872.4</v>
      </c>
      <c r="CR79">
        <v>19</v>
      </c>
      <c r="CS79">
        <v>14386.8</v>
      </c>
      <c r="CT79">
        <v>20</v>
      </c>
      <c r="CU79">
        <v>15143.999999999998</v>
      </c>
    </row>
    <row r="80" spans="2:99" x14ac:dyDescent="0.2">
      <c r="C80" s="119" t="s">
        <v>246</v>
      </c>
      <c r="D80">
        <v>12</v>
      </c>
      <c r="E80">
        <v>9662.4</v>
      </c>
      <c r="F80">
        <v>13</v>
      </c>
      <c r="G80">
        <v>10467.599999999999</v>
      </c>
      <c r="H80">
        <v>14</v>
      </c>
      <c r="I80">
        <v>11272.8</v>
      </c>
      <c r="J80">
        <v>12</v>
      </c>
      <c r="K80">
        <v>9662.4</v>
      </c>
      <c r="L80">
        <v>11</v>
      </c>
      <c r="M80">
        <v>8857.1999999999989</v>
      </c>
      <c r="N80">
        <v>10</v>
      </c>
      <c r="O80">
        <v>8051.9999999999991</v>
      </c>
      <c r="P80">
        <v>12</v>
      </c>
      <c r="Q80">
        <v>9662.4</v>
      </c>
      <c r="R80">
        <v>14</v>
      </c>
      <c r="S80">
        <v>11272.8</v>
      </c>
      <c r="T80">
        <v>9</v>
      </c>
      <c r="U80">
        <v>7246.7999999999993</v>
      </c>
      <c r="V80">
        <v>21</v>
      </c>
      <c r="W80">
        <v>16909.199999999997</v>
      </c>
      <c r="X80">
        <v>11</v>
      </c>
      <c r="Y80">
        <v>8857.1999999999989</v>
      </c>
      <c r="Z80">
        <v>18</v>
      </c>
      <c r="AA80">
        <v>14493.599999999999</v>
      </c>
      <c r="AB80">
        <v>11</v>
      </c>
      <c r="AC80">
        <v>8857.1999999999989</v>
      </c>
      <c r="AD80">
        <v>20</v>
      </c>
      <c r="AE80">
        <v>16103.999999999998</v>
      </c>
      <c r="AF80">
        <v>20</v>
      </c>
      <c r="AG80">
        <v>16103.999999999998</v>
      </c>
      <c r="AH80">
        <v>13</v>
      </c>
      <c r="AI80">
        <v>10467.599999999999</v>
      </c>
      <c r="AJ80">
        <v>20</v>
      </c>
      <c r="AK80">
        <v>16103.999999999998</v>
      </c>
      <c r="AL80">
        <v>13</v>
      </c>
      <c r="AM80">
        <v>10467.599999999999</v>
      </c>
      <c r="AN80">
        <v>14</v>
      </c>
      <c r="AO80">
        <v>11272.8</v>
      </c>
      <c r="AP80">
        <v>13</v>
      </c>
      <c r="AQ80">
        <v>10467.599999999999</v>
      </c>
      <c r="AR80">
        <v>13</v>
      </c>
      <c r="AS80">
        <v>10467.599999999999</v>
      </c>
      <c r="AT80">
        <v>17</v>
      </c>
      <c r="AU80">
        <v>13688.4</v>
      </c>
      <c r="AV80">
        <v>15</v>
      </c>
      <c r="AW80">
        <v>12077.999999999998</v>
      </c>
      <c r="AX80">
        <v>13</v>
      </c>
      <c r="AY80">
        <v>10467.599999999999</v>
      </c>
      <c r="AZ80">
        <v>12</v>
      </c>
      <c r="BA80">
        <v>9662.4</v>
      </c>
      <c r="BB80">
        <v>14</v>
      </c>
      <c r="BC80">
        <v>11272.8</v>
      </c>
      <c r="BD80">
        <v>19</v>
      </c>
      <c r="BE80">
        <v>15298.8</v>
      </c>
      <c r="BF80">
        <v>17</v>
      </c>
      <c r="BG80">
        <v>13688.4</v>
      </c>
      <c r="BH80">
        <v>16</v>
      </c>
      <c r="BI80">
        <v>12883.199999999999</v>
      </c>
      <c r="BJ80">
        <v>12</v>
      </c>
      <c r="BK80">
        <v>9662.4</v>
      </c>
      <c r="BL80">
        <v>18</v>
      </c>
      <c r="BM80">
        <v>14493.599999999999</v>
      </c>
      <c r="BN80">
        <v>14</v>
      </c>
      <c r="BO80">
        <v>11272.8</v>
      </c>
      <c r="BP80">
        <v>14</v>
      </c>
      <c r="BQ80">
        <v>11272.8</v>
      </c>
      <c r="BR80">
        <v>17</v>
      </c>
      <c r="BS80">
        <v>13688.4</v>
      </c>
      <c r="BT80">
        <v>12</v>
      </c>
      <c r="BU80">
        <v>9662.4</v>
      </c>
      <c r="BV80">
        <v>15</v>
      </c>
      <c r="BW80">
        <v>12077.999999999998</v>
      </c>
      <c r="BX80">
        <v>19</v>
      </c>
      <c r="BY80">
        <v>15298.8</v>
      </c>
      <c r="BZ80">
        <v>11</v>
      </c>
      <c r="CA80">
        <v>8857.1999999999989</v>
      </c>
      <c r="CB80">
        <v>17</v>
      </c>
      <c r="CC80">
        <v>13688.4</v>
      </c>
      <c r="CD80">
        <v>10</v>
      </c>
      <c r="CE80">
        <v>8051.9999999999991</v>
      </c>
      <c r="CF80">
        <v>14</v>
      </c>
      <c r="CG80">
        <v>11272.8</v>
      </c>
      <c r="CH80">
        <v>16</v>
      </c>
      <c r="CI80">
        <v>12883.199999999999</v>
      </c>
      <c r="CJ80">
        <v>11</v>
      </c>
      <c r="CK80">
        <v>8857.1999999999989</v>
      </c>
      <c r="CL80">
        <v>13</v>
      </c>
      <c r="CM80">
        <v>10467.599999999999</v>
      </c>
      <c r="CN80">
        <v>18</v>
      </c>
      <c r="CO80">
        <v>14493.599999999999</v>
      </c>
      <c r="CP80">
        <v>18</v>
      </c>
      <c r="CQ80">
        <v>14493.599999999999</v>
      </c>
      <c r="CR80">
        <v>17</v>
      </c>
      <c r="CS80">
        <v>13688.4</v>
      </c>
      <c r="CT80">
        <v>16</v>
      </c>
      <c r="CU80">
        <v>12883.199999999999</v>
      </c>
    </row>
    <row r="81" spans="2:99" x14ac:dyDescent="0.2">
      <c r="C81" s="119" t="s">
        <v>247</v>
      </c>
      <c r="D81">
        <v>13</v>
      </c>
      <c r="E81">
        <v>9796.8000000000011</v>
      </c>
      <c r="F81">
        <v>15</v>
      </c>
      <c r="G81">
        <v>11304</v>
      </c>
      <c r="H81">
        <v>13</v>
      </c>
      <c r="I81">
        <v>9796.8000000000011</v>
      </c>
      <c r="J81">
        <v>13</v>
      </c>
      <c r="K81">
        <v>9796.8000000000011</v>
      </c>
      <c r="L81">
        <v>12</v>
      </c>
      <c r="M81">
        <v>9043.2000000000007</v>
      </c>
      <c r="N81">
        <v>9</v>
      </c>
      <c r="O81">
        <v>6782.4000000000005</v>
      </c>
      <c r="P81">
        <v>12</v>
      </c>
      <c r="Q81">
        <v>9043.2000000000007</v>
      </c>
      <c r="R81">
        <v>14</v>
      </c>
      <c r="S81">
        <v>10550.4</v>
      </c>
      <c r="T81">
        <v>10</v>
      </c>
      <c r="U81">
        <v>7536</v>
      </c>
      <c r="V81">
        <v>21</v>
      </c>
      <c r="W81">
        <v>15825.6</v>
      </c>
      <c r="X81">
        <v>11</v>
      </c>
      <c r="Y81">
        <v>8289.6</v>
      </c>
      <c r="Z81">
        <v>17</v>
      </c>
      <c r="AA81">
        <v>12811.2</v>
      </c>
      <c r="AB81">
        <v>12</v>
      </c>
      <c r="AC81">
        <v>9043.2000000000007</v>
      </c>
      <c r="AD81">
        <v>20</v>
      </c>
      <c r="AE81">
        <v>15072</v>
      </c>
      <c r="AF81">
        <v>20</v>
      </c>
      <c r="AG81">
        <v>15072</v>
      </c>
      <c r="AH81">
        <v>15</v>
      </c>
      <c r="AI81">
        <v>11304</v>
      </c>
      <c r="AJ81">
        <v>21</v>
      </c>
      <c r="AK81">
        <v>15825.6</v>
      </c>
      <c r="AL81">
        <v>14</v>
      </c>
      <c r="AM81">
        <v>10550.4</v>
      </c>
      <c r="AN81">
        <v>13</v>
      </c>
      <c r="AO81">
        <v>9796.8000000000011</v>
      </c>
      <c r="AP81">
        <v>12</v>
      </c>
      <c r="AQ81">
        <v>9043.2000000000007</v>
      </c>
      <c r="AR81">
        <v>13</v>
      </c>
      <c r="AS81">
        <v>9796.8000000000011</v>
      </c>
      <c r="AT81">
        <v>17</v>
      </c>
      <c r="AU81">
        <v>12811.2</v>
      </c>
      <c r="AV81">
        <v>16</v>
      </c>
      <c r="AW81">
        <v>12057.6</v>
      </c>
      <c r="AX81">
        <v>14</v>
      </c>
      <c r="AY81">
        <v>10550.4</v>
      </c>
      <c r="AZ81">
        <v>12</v>
      </c>
      <c r="BA81">
        <v>9043.2000000000007</v>
      </c>
      <c r="BB81">
        <v>15</v>
      </c>
      <c r="BC81">
        <v>11304</v>
      </c>
      <c r="BD81">
        <v>17</v>
      </c>
      <c r="BE81">
        <v>12811.2</v>
      </c>
      <c r="BF81">
        <v>18</v>
      </c>
      <c r="BG81">
        <v>13564.800000000001</v>
      </c>
      <c r="BH81">
        <v>17</v>
      </c>
      <c r="BI81">
        <v>12811.2</v>
      </c>
      <c r="BJ81">
        <v>12</v>
      </c>
      <c r="BK81">
        <v>9043.2000000000007</v>
      </c>
      <c r="BL81">
        <v>19</v>
      </c>
      <c r="BM81">
        <v>14318.4</v>
      </c>
      <c r="BN81">
        <v>15</v>
      </c>
      <c r="BO81">
        <v>11304</v>
      </c>
      <c r="BP81">
        <v>13</v>
      </c>
      <c r="BQ81">
        <v>9796.8000000000011</v>
      </c>
      <c r="BR81">
        <v>17</v>
      </c>
      <c r="BS81">
        <v>12811.2</v>
      </c>
      <c r="BT81">
        <v>12</v>
      </c>
      <c r="BU81">
        <v>9043.2000000000007</v>
      </c>
      <c r="BV81">
        <v>15</v>
      </c>
      <c r="BW81">
        <v>11304</v>
      </c>
      <c r="BX81">
        <v>20</v>
      </c>
      <c r="BY81">
        <v>15072</v>
      </c>
      <c r="BZ81">
        <v>11</v>
      </c>
      <c r="CA81">
        <v>8289.6</v>
      </c>
      <c r="CB81">
        <v>17</v>
      </c>
      <c r="CC81">
        <v>12811.2</v>
      </c>
      <c r="CD81">
        <v>11</v>
      </c>
      <c r="CE81">
        <v>8289.6</v>
      </c>
      <c r="CF81">
        <v>16</v>
      </c>
      <c r="CG81">
        <v>12057.6</v>
      </c>
      <c r="CH81">
        <v>15</v>
      </c>
      <c r="CI81">
        <v>11304</v>
      </c>
      <c r="CJ81">
        <v>11</v>
      </c>
      <c r="CK81">
        <v>8289.6</v>
      </c>
      <c r="CL81">
        <v>12</v>
      </c>
      <c r="CM81">
        <v>9043.2000000000007</v>
      </c>
      <c r="CN81">
        <v>18</v>
      </c>
      <c r="CO81">
        <v>13564.800000000001</v>
      </c>
      <c r="CP81">
        <v>17</v>
      </c>
      <c r="CQ81">
        <v>12811.2</v>
      </c>
      <c r="CR81">
        <v>17</v>
      </c>
      <c r="CS81">
        <v>12811.2</v>
      </c>
      <c r="CT81">
        <v>17</v>
      </c>
      <c r="CU81">
        <v>12811.2</v>
      </c>
    </row>
    <row r="82" spans="2:99" x14ac:dyDescent="0.2">
      <c r="C82" s="119" t="s">
        <v>248</v>
      </c>
      <c r="D82">
        <v>12</v>
      </c>
      <c r="E82">
        <v>6105.5999999999985</v>
      </c>
      <c r="F82">
        <v>14</v>
      </c>
      <c r="G82">
        <v>7123.1999999999989</v>
      </c>
      <c r="H82">
        <v>16</v>
      </c>
      <c r="I82">
        <v>8140.7999999999984</v>
      </c>
      <c r="J82">
        <v>12</v>
      </c>
      <c r="K82">
        <v>6105.5999999999985</v>
      </c>
      <c r="L82">
        <v>11</v>
      </c>
      <c r="M82">
        <v>5596.7999999999993</v>
      </c>
      <c r="N82">
        <v>10</v>
      </c>
      <c r="O82">
        <v>5087.9999999999991</v>
      </c>
      <c r="P82">
        <v>11</v>
      </c>
      <c r="Q82">
        <v>5596.7999999999993</v>
      </c>
      <c r="R82">
        <v>12</v>
      </c>
      <c r="S82">
        <v>6105.5999999999985</v>
      </c>
      <c r="T82">
        <v>10</v>
      </c>
      <c r="U82">
        <v>5087.9999999999991</v>
      </c>
      <c r="V82">
        <v>20</v>
      </c>
      <c r="W82">
        <v>10175.999999999998</v>
      </c>
      <c r="X82">
        <v>11</v>
      </c>
      <c r="Y82">
        <v>5596.7999999999993</v>
      </c>
      <c r="Z82">
        <v>19</v>
      </c>
      <c r="AA82">
        <v>9667.1999999999989</v>
      </c>
      <c r="AB82">
        <v>13</v>
      </c>
      <c r="AC82">
        <v>6614.3999999999987</v>
      </c>
      <c r="AD82">
        <v>20</v>
      </c>
      <c r="AE82">
        <v>10175.999999999998</v>
      </c>
      <c r="AF82">
        <v>19</v>
      </c>
      <c r="AG82">
        <v>9667.1999999999989</v>
      </c>
      <c r="AH82">
        <v>15</v>
      </c>
      <c r="AI82">
        <v>7631.9999999999982</v>
      </c>
      <c r="AJ82">
        <v>20</v>
      </c>
      <c r="AK82">
        <v>10175.999999999998</v>
      </c>
      <c r="AL82">
        <v>15</v>
      </c>
      <c r="AM82">
        <v>7631.9999999999982</v>
      </c>
      <c r="AN82">
        <v>15</v>
      </c>
      <c r="AO82">
        <v>7631.9999999999982</v>
      </c>
      <c r="AP82">
        <v>13</v>
      </c>
      <c r="AQ82">
        <v>6614.3999999999987</v>
      </c>
      <c r="AR82">
        <v>13</v>
      </c>
      <c r="AS82">
        <v>6614.3999999999987</v>
      </c>
      <c r="AT82">
        <v>17</v>
      </c>
      <c r="AU82">
        <v>8649.5999999999985</v>
      </c>
      <c r="AV82">
        <v>15</v>
      </c>
      <c r="AW82">
        <v>7631.9999999999982</v>
      </c>
      <c r="AX82">
        <v>12</v>
      </c>
      <c r="AY82">
        <v>6105.5999999999985</v>
      </c>
      <c r="AZ82">
        <v>15</v>
      </c>
      <c r="BA82">
        <v>7631.9999999999982</v>
      </c>
      <c r="BB82">
        <v>14</v>
      </c>
      <c r="BC82">
        <v>7123.1999999999989</v>
      </c>
      <c r="BD82">
        <v>18</v>
      </c>
      <c r="BE82">
        <v>9158.3999999999978</v>
      </c>
      <c r="BF82">
        <v>18</v>
      </c>
      <c r="BG82">
        <v>9158.3999999999978</v>
      </c>
      <c r="BH82">
        <v>18</v>
      </c>
      <c r="BI82">
        <v>9158.3999999999978</v>
      </c>
      <c r="BJ82">
        <v>12</v>
      </c>
      <c r="BK82">
        <v>6105.5999999999985</v>
      </c>
      <c r="BL82">
        <v>19</v>
      </c>
      <c r="BM82">
        <v>9667.1999999999989</v>
      </c>
      <c r="BN82">
        <v>13</v>
      </c>
      <c r="BO82">
        <v>6614.3999999999987</v>
      </c>
      <c r="BP82">
        <v>12</v>
      </c>
      <c r="BQ82">
        <v>6105.5999999999985</v>
      </c>
      <c r="BR82">
        <v>16</v>
      </c>
      <c r="BS82">
        <v>8140.7999999999984</v>
      </c>
      <c r="BT82">
        <v>15</v>
      </c>
      <c r="BU82">
        <v>7631.9999999999982</v>
      </c>
      <c r="BV82">
        <v>14</v>
      </c>
      <c r="BW82">
        <v>7123.1999999999989</v>
      </c>
      <c r="BX82">
        <v>21</v>
      </c>
      <c r="BY82">
        <v>10684.799999999997</v>
      </c>
      <c r="BZ82">
        <v>12</v>
      </c>
      <c r="CA82">
        <v>6105.5999999999985</v>
      </c>
      <c r="CB82">
        <v>18</v>
      </c>
      <c r="CC82">
        <v>9158.3999999999978</v>
      </c>
      <c r="CD82">
        <v>11</v>
      </c>
      <c r="CE82">
        <v>5596.7999999999993</v>
      </c>
      <c r="CF82">
        <v>14</v>
      </c>
      <c r="CG82">
        <v>7123.1999999999989</v>
      </c>
      <c r="CH82">
        <v>18</v>
      </c>
      <c r="CI82">
        <v>9158.3999999999978</v>
      </c>
      <c r="CJ82">
        <v>13</v>
      </c>
      <c r="CK82">
        <v>6614.3999999999987</v>
      </c>
      <c r="CL82">
        <v>14</v>
      </c>
      <c r="CM82">
        <v>7123.1999999999989</v>
      </c>
      <c r="CN82">
        <v>18</v>
      </c>
      <c r="CO82">
        <v>9158.3999999999978</v>
      </c>
      <c r="CP82">
        <v>17</v>
      </c>
      <c r="CQ82">
        <v>8649.5999999999985</v>
      </c>
      <c r="CR82">
        <v>20</v>
      </c>
      <c r="CS82">
        <v>10175.999999999998</v>
      </c>
      <c r="CT82">
        <v>18</v>
      </c>
      <c r="CU82">
        <v>9158.3999999999978</v>
      </c>
    </row>
    <row r="83" spans="2:99" x14ac:dyDescent="0.2">
      <c r="C83" s="119" t="s">
        <v>249</v>
      </c>
      <c r="D83">
        <v>14</v>
      </c>
      <c r="E83">
        <v>12045.6</v>
      </c>
      <c r="F83">
        <v>14</v>
      </c>
      <c r="G83">
        <v>12045.6</v>
      </c>
      <c r="H83">
        <v>14</v>
      </c>
      <c r="I83">
        <v>12045.6</v>
      </c>
      <c r="J83">
        <v>12</v>
      </c>
      <c r="K83">
        <v>10324.799999999999</v>
      </c>
      <c r="L83">
        <v>12</v>
      </c>
      <c r="M83">
        <v>10324.799999999999</v>
      </c>
      <c r="N83">
        <v>10</v>
      </c>
      <c r="O83">
        <v>8604</v>
      </c>
      <c r="P83">
        <v>10</v>
      </c>
      <c r="Q83">
        <v>8604</v>
      </c>
      <c r="R83">
        <v>12</v>
      </c>
      <c r="S83">
        <v>10324.799999999999</v>
      </c>
      <c r="T83">
        <v>11</v>
      </c>
      <c r="U83">
        <v>9464.4</v>
      </c>
      <c r="V83">
        <v>19</v>
      </c>
      <c r="W83">
        <v>16347.6</v>
      </c>
      <c r="X83">
        <v>11</v>
      </c>
      <c r="Y83">
        <v>9464.4</v>
      </c>
      <c r="Z83">
        <v>18</v>
      </c>
      <c r="AA83">
        <v>15487.199999999999</v>
      </c>
      <c r="AB83">
        <v>11</v>
      </c>
      <c r="AC83">
        <v>9464.4</v>
      </c>
      <c r="AD83">
        <v>17</v>
      </c>
      <c r="AE83">
        <v>14626.8</v>
      </c>
      <c r="AF83">
        <v>17</v>
      </c>
      <c r="AG83">
        <v>14626.8</v>
      </c>
      <c r="AH83">
        <v>12</v>
      </c>
      <c r="AI83">
        <v>10324.799999999999</v>
      </c>
      <c r="AJ83">
        <v>18</v>
      </c>
      <c r="AK83">
        <v>15487.199999999999</v>
      </c>
      <c r="AL83">
        <v>15</v>
      </c>
      <c r="AM83">
        <v>12906</v>
      </c>
      <c r="AN83">
        <v>15</v>
      </c>
      <c r="AO83">
        <v>12906</v>
      </c>
      <c r="AP83">
        <v>11</v>
      </c>
      <c r="AQ83">
        <v>9464.4</v>
      </c>
      <c r="AR83">
        <v>12</v>
      </c>
      <c r="AS83">
        <v>10324.799999999999</v>
      </c>
      <c r="AT83">
        <v>15</v>
      </c>
      <c r="AU83">
        <v>12906</v>
      </c>
      <c r="AV83">
        <v>15</v>
      </c>
      <c r="AW83">
        <v>12906</v>
      </c>
      <c r="AX83">
        <v>14</v>
      </c>
      <c r="AY83">
        <v>12045.6</v>
      </c>
      <c r="AZ83">
        <v>14</v>
      </c>
      <c r="BA83">
        <v>12045.6</v>
      </c>
      <c r="BB83">
        <v>14</v>
      </c>
      <c r="BC83">
        <v>12045.6</v>
      </c>
      <c r="BD83">
        <v>18</v>
      </c>
      <c r="BE83">
        <v>15487.199999999999</v>
      </c>
      <c r="BF83">
        <v>17</v>
      </c>
      <c r="BG83">
        <v>14626.8</v>
      </c>
      <c r="BH83">
        <v>18</v>
      </c>
      <c r="BI83">
        <v>15487.199999999999</v>
      </c>
      <c r="BJ83">
        <v>13</v>
      </c>
      <c r="BK83">
        <v>11185.199999999999</v>
      </c>
      <c r="BL83">
        <v>20</v>
      </c>
      <c r="BM83">
        <v>17208</v>
      </c>
      <c r="BN83">
        <v>13</v>
      </c>
      <c r="BO83">
        <v>11185.199999999999</v>
      </c>
      <c r="BP83">
        <v>14</v>
      </c>
      <c r="BQ83">
        <v>12045.6</v>
      </c>
      <c r="BR83">
        <v>16</v>
      </c>
      <c r="BS83">
        <v>13766.4</v>
      </c>
      <c r="BT83">
        <v>14</v>
      </c>
      <c r="BU83">
        <v>12045.6</v>
      </c>
      <c r="BV83">
        <v>15</v>
      </c>
      <c r="BW83">
        <v>12906</v>
      </c>
      <c r="BX83">
        <v>21</v>
      </c>
      <c r="BY83">
        <v>18068.399999999998</v>
      </c>
      <c r="BZ83">
        <v>11</v>
      </c>
      <c r="CA83">
        <v>9464.4</v>
      </c>
      <c r="CB83">
        <v>14</v>
      </c>
      <c r="CC83">
        <v>12045.6</v>
      </c>
      <c r="CD83">
        <v>11</v>
      </c>
      <c r="CE83">
        <v>9464.4</v>
      </c>
      <c r="CF83">
        <v>14</v>
      </c>
      <c r="CG83">
        <v>12045.6</v>
      </c>
      <c r="CH83">
        <v>17</v>
      </c>
      <c r="CI83">
        <v>14626.8</v>
      </c>
      <c r="CJ83">
        <v>11</v>
      </c>
      <c r="CK83">
        <v>9464.4</v>
      </c>
      <c r="CL83">
        <v>12</v>
      </c>
      <c r="CM83">
        <v>10324.799999999999</v>
      </c>
      <c r="CN83">
        <v>19</v>
      </c>
      <c r="CO83">
        <v>16347.6</v>
      </c>
      <c r="CP83">
        <v>18</v>
      </c>
      <c r="CQ83">
        <v>15487.199999999999</v>
      </c>
      <c r="CR83">
        <v>17</v>
      </c>
      <c r="CS83">
        <v>14626.8</v>
      </c>
      <c r="CT83">
        <v>18</v>
      </c>
      <c r="CU83">
        <v>15487.199999999999</v>
      </c>
    </row>
    <row r="84" spans="2:99" x14ac:dyDescent="0.2">
      <c r="C84" s="119" t="s">
        <v>250</v>
      </c>
      <c r="D84">
        <v>13</v>
      </c>
      <c r="E84">
        <v>10155.599999999999</v>
      </c>
      <c r="F84">
        <v>14</v>
      </c>
      <c r="G84">
        <v>10936.8</v>
      </c>
      <c r="H84">
        <v>14</v>
      </c>
      <c r="I84">
        <v>10936.8</v>
      </c>
      <c r="J84">
        <v>12</v>
      </c>
      <c r="K84">
        <v>9374.4</v>
      </c>
      <c r="L84">
        <v>11</v>
      </c>
      <c r="M84">
        <v>8593.1999999999989</v>
      </c>
      <c r="N84">
        <v>10</v>
      </c>
      <c r="O84">
        <v>7811.9999999999991</v>
      </c>
      <c r="P84">
        <v>12</v>
      </c>
      <c r="Q84">
        <v>9374.4</v>
      </c>
      <c r="R84">
        <v>12</v>
      </c>
      <c r="S84">
        <v>9374.4</v>
      </c>
      <c r="T84">
        <v>10</v>
      </c>
      <c r="U84">
        <v>7811.9999999999991</v>
      </c>
      <c r="V84">
        <v>18</v>
      </c>
      <c r="W84">
        <v>14061.599999999999</v>
      </c>
      <c r="X84">
        <v>12</v>
      </c>
      <c r="Y84">
        <v>9374.4</v>
      </c>
      <c r="Z84">
        <v>17</v>
      </c>
      <c r="AA84">
        <v>13280.4</v>
      </c>
      <c r="AB84">
        <v>11</v>
      </c>
      <c r="AC84">
        <v>8593.1999999999989</v>
      </c>
      <c r="AD84">
        <v>18</v>
      </c>
      <c r="AE84">
        <v>14061.599999999999</v>
      </c>
      <c r="AF84">
        <v>18</v>
      </c>
      <c r="AG84">
        <v>14061.599999999999</v>
      </c>
      <c r="AH84">
        <v>14</v>
      </c>
      <c r="AI84">
        <v>10936.8</v>
      </c>
      <c r="AJ84">
        <v>20</v>
      </c>
      <c r="AK84">
        <v>15623.999999999998</v>
      </c>
      <c r="AL84">
        <v>15</v>
      </c>
      <c r="AM84">
        <v>11717.999999999998</v>
      </c>
      <c r="AN84">
        <v>13</v>
      </c>
      <c r="AO84">
        <v>10155.599999999999</v>
      </c>
      <c r="AP84">
        <v>12</v>
      </c>
      <c r="AQ84">
        <v>9374.4</v>
      </c>
      <c r="AR84">
        <v>14</v>
      </c>
      <c r="AS84">
        <v>10936.8</v>
      </c>
      <c r="AT84">
        <v>16</v>
      </c>
      <c r="AU84">
        <v>12499.199999999999</v>
      </c>
      <c r="AV84">
        <v>17</v>
      </c>
      <c r="AW84">
        <v>13280.4</v>
      </c>
      <c r="AX84">
        <v>12</v>
      </c>
      <c r="AY84">
        <v>9374.4</v>
      </c>
      <c r="AZ84">
        <v>13</v>
      </c>
      <c r="BA84">
        <v>10155.599999999999</v>
      </c>
      <c r="BB84">
        <v>14</v>
      </c>
      <c r="BC84">
        <v>10936.8</v>
      </c>
      <c r="BD84">
        <v>17</v>
      </c>
      <c r="BE84">
        <v>13280.4</v>
      </c>
      <c r="BF84">
        <v>18</v>
      </c>
      <c r="BG84">
        <v>14061.599999999999</v>
      </c>
      <c r="BH84">
        <v>18</v>
      </c>
      <c r="BI84">
        <v>14061.599999999999</v>
      </c>
      <c r="BJ84">
        <v>14</v>
      </c>
      <c r="BK84">
        <v>10936.8</v>
      </c>
      <c r="BL84">
        <v>18</v>
      </c>
      <c r="BM84">
        <v>14061.599999999999</v>
      </c>
      <c r="BN84">
        <v>14</v>
      </c>
      <c r="BO84">
        <v>10936.8</v>
      </c>
      <c r="BP84">
        <v>14</v>
      </c>
      <c r="BQ84">
        <v>10936.8</v>
      </c>
      <c r="BR84">
        <v>18</v>
      </c>
      <c r="BS84">
        <v>14061.599999999999</v>
      </c>
      <c r="BT84">
        <v>13</v>
      </c>
      <c r="BU84">
        <v>10155.599999999999</v>
      </c>
      <c r="BV84">
        <v>13</v>
      </c>
      <c r="BW84">
        <v>10155.599999999999</v>
      </c>
      <c r="BX84">
        <v>21</v>
      </c>
      <c r="BY84">
        <v>16405.199999999997</v>
      </c>
      <c r="BZ84">
        <v>12</v>
      </c>
      <c r="CA84">
        <v>9374.4</v>
      </c>
      <c r="CB84">
        <v>17</v>
      </c>
      <c r="CC84">
        <v>13280.4</v>
      </c>
      <c r="CD84">
        <v>10</v>
      </c>
      <c r="CE84">
        <v>7811.9999999999991</v>
      </c>
      <c r="CF84">
        <v>16</v>
      </c>
      <c r="CG84">
        <v>12499.199999999999</v>
      </c>
      <c r="CH84">
        <v>15</v>
      </c>
      <c r="CI84">
        <v>11717.999999999998</v>
      </c>
      <c r="CJ84">
        <v>13</v>
      </c>
      <c r="CK84">
        <v>10155.599999999999</v>
      </c>
      <c r="CL84">
        <v>14</v>
      </c>
      <c r="CM84">
        <v>10936.8</v>
      </c>
      <c r="CN84">
        <v>19</v>
      </c>
      <c r="CO84">
        <v>14842.8</v>
      </c>
      <c r="CP84">
        <v>15</v>
      </c>
      <c r="CQ84">
        <v>11717.999999999998</v>
      </c>
      <c r="CR84">
        <v>17</v>
      </c>
      <c r="CS84">
        <v>13280.4</v>
      </c>
      <c r="CT84">
        <v>16</v>
      </c>
      <c r="CU84">
        <v>12499.199999999999</v>
      </c>
    </row>
    <row r="85" spans="2:99" x14ac:dyDescent="0.2">
      <c r="C85" s="119" t="s">
        <v>251</v>
      </c>
      <c r="D85">
        <v>14</v>
      </c>
      <c r="E85">
        <v>2100</v>
      </c>
      <c r="F85">
        <v>13</v>
      </c>
      <c r="G85">
        <v>1950</v>
      </c>
      <c r="H85">
        <v>15</v>
      </c>
      <c r="I85">
        <v>2250</v>
      </c>
      <c r="J85">
        <v>14</v>
      </c>
      <c r="K85">
        <v>2100</v>
      </c>
      <c r="L85">
        <v>13</v>
      </c>
      <c r="M85">
        <v>1950</v>
      </c>
      <c r="N85">
        <v>12</v>
      </c>
      <c r="O85">
        <v>1800</v>
      </c>
      <c r="P85">
        <v>12</v>
      </c>
      <c r="Q85">
        <v>1800</v>
      </c>
      <c r="R85">
        <v>15</v>
      </c>
      <c r="S85">
        <v>2250</v>
      </c>
      <c r="T85">
        <v>11</v>
      </c>
      <c r="U85">
        <v>1650</v>
      </c>
      <c r="V85">
        <v>20</v>
      </c>
      <c r="W85">
        <v>3000</v>
      </c>
      <c r="X85">
        <v>11</v>
      </c>
      <c r="Y85">
        <v>1650</v>
      </c>
      <c r="Z85">
        <v>19</v>
      </c>
      <c r="AA85">
        <v>2850</v>
      </c>
      <c r="AB85">
        <v>12</v>
      </c>
      <c r="AC85">
        <v>1800</v>
      </c>
      <c r="AD85">
        <v>20</v>
      </c>
      <c r="AE85">
        <v>3000</v>
      </c>
      <c r="AF85">
        <v>21</v>
      </c>
      <c r="AG85">
        <v>3150</v>
      </c>
      <c r="AH85">
        <v>14</v>
      </c>
      <c r="AI85">
        <v>2100</v>
      </c>
      <c r="AJ85">
        <v>21</v>
      </c>
      <c r="AK85">
        <v>3150</v>
      </c>
      <c r="AL85">
        <v>17</v>
      </c>
      <c r="AM85">
        <v>2550</v>
      </c>
      <c r="AN85">
        <v>15</v>
      </c>
      <c r="AO85">
        <v>2250</v>
      </c>
      <c r="AP85">
        <v>14</v>
      </c>
      <c r="AQ85">
        <v>2100</v>
      </c>
      <c r="AR85">
        <v>13</v>
      </c>
      <c r="AS85">
        <v>1950</v>
      </c>
      <c r="AT85">
        <v>19</v>
      </c>
      <c r="AU85">
        <v>2850</v>
      </c>
      <c r="AV85">
        <v>18</v>
      </c>
      <c r="AW85">
        <v>2700</v>
      </c>
      <c r="AX85">
        <v>14</v>
      </c>
      <c r="AY85">
        <v>2100</v>
      </c>
      <c r="AZ85">
        <v>13</v>
      </c>
      <c r="BA85">
        <v>1950</v>
      </c>
      <c r="BB85">
        <v>16</v>
      </c>
      <c r="BC85">
        <v>2400</v>
      </c>
      <c r="BD85">
        <v>22</v>
      </c>
      <c r="BE85">
        <v>3300</v>
      </c>
      <c r="BF85">
        <v>20</v>
      </c>
      <c r="BG85">
        <v>3000</v>
      </c>
      <c r="BH85">
        <v>17</v>
      </c>
      <c r="BI85">
        <v>2550</v>
      </c>
      <c r="BJ85">
        <v>13</v>
      </c>
      <c r="BK85">
        <v>1950</v>
      </c>
      <c r="BL85">
        <v>21</v>
      </c>
      <c r="BM85">
        <v>3150</v>
      </c>
      <c r="BN85">
        <v>14</v>
      </c>
      <c r="BO85">
        <v>2100</v>
      </c>
      <c r="BP85">
        <v>14</v>
      </c>
      <c r="BQ85">
        <v>2100</v>
      </c>
      <c r="BR85">
        <v>17</v>
      </c>
      <c r="BS85">
        <v>2550</v>
      </c>
      <c r="BT85">
        <v>15</v>
      </c>
      <c r="BU85">
        <v>2250</v>
      </c>
      <c r="BV85">
        <v>14</v>
      </c>
      <c r="BW85">
        <v>2100</v>
      </c>
      <c r="BX85">
        <v>22</v>
      </c>
      <c r="BY85">
        <v>3300</v>
      </c>
      <c r="BZ85">
        <v>11</v>
      </c>
      <c r="CA85">
        <v>1650</v>
      </c>
      <c r="CB85">
        <v>17</v>
      </c>
      <c r="CC85">
        <v>2550</v>
      </c>
      <c r="CD85">
        <v>11</v>
      </c>
      <c r="CE85">
        <v>1650</v>
      </c>
      <c r="CF85">
        <v>16</v>
      </c>
      <c r="CG85">
        <v>2400</v>
      </c>
      <c r="CH85">
        <v>17</v>
      </c>
      <c r="CI85">
        <v>2550</v>
      </c>
      <c r="CJ85">
        <v>12</v>
      </c>
      <c r="CK85">
        <v>1800</v>
      </c>
      <c r="CL85">
        <v>15</v>
      </c>
      <c r="CM85">
        <v>2250</v>
      </c>
      <c r="CN85">
        <v>19</v>
      </c>
      <c r="CO85">
        <v>2850</v>
      </c>
      <c r="CP85">
        <v>17</v>
      </c>
      <c r="CQ85">
        <v>2550</v>
      </c>
      <c r="CR85">
        <v>20</v>
      </c>
      <c r="CS85">
        <v>3000</v>
      </c>
      <c r="CT85">
        <v>20</v>
      </c>
      <c r="CU85">
        <v>3000</v>
      </c>
    </row>
    <row r="86" spans="2:99" x14ac:dyDescent="0.2">
      <c r="C86" s="119" t="s">
        <v>252</v>
      </c>
      <c r="D86">
        <v>14</v>
      </c>
      <c r="E86">
        <v>7560</v>
      </c>
      <c r="F86">
        <v>15</v>
      </c>
      <c r="G86">
        <v>8100</v>
      </c>
      <c r="H86">
        <v>16</v>
      </c>
      <c r="I86">
        <v>8640</v>
      </c>
      <c r="J86">
        <v>13</v>
      </c>
      <c r="K86">
        <v>7020</v>
      </c>
      <c r="L86">
        <v>12</v>
      </c>
      <c r="M86">
        <v>6480</v>
      </c>
      <c r="N86">
        <v>11</v>
      </c>
      <c r="O86">
        <v>5940</v>
      </c>
      <c r="P86">
        <v>11</v>
      </c>
      <c r="Q86">
        <v>5940</v>
      </c>
      <c r="R86">
        <v>14</v>
      </c>
      <c r="S86">
        <v>7560</v>
      </c>
      <c r="T86">
        <v>11</v>
      </c>
      <c r="U86">
        <v>5940</v>
      </c>
      <c r="V86">
        <v>20</v>
      </c>
      <c r="W86">
        <v>10800</v>
      </c>
      <c r="X86">
        <v>12</v>
      </c>
      <c r="Y86">
        <v>6480</v>
      </c>
      <c r="Z86">
        <v>20</v>
      </c>
      <c r="AA86">
        <v>10800</v>
      </c>
      <c r="AB86">
        <v>12</v>
      </c>
      <c r="AC86">
        <v>6480</v>
      </c>
      <c r="AD86">
        <v>19</v>
      </c>
      <c r="AE86">
        <v>10260</v>
      </c>
      <c r="AF86">
        <v>19</v>
      </c>
      <c r="AG86">
        <v>10260</v>
      </c>
      <c r="AH86">
        <v>14</v>
      </c>
      <c r="AI86">
        <v>7560</v>
      </c>
      <c r="AJ86">
        <v>18</v>
      </c>
      <c r="AK86">
        <v>9720</v>
      </c>
      <c r="AL86">
        <v>17</v>
      </c>
      <c r="AM86">
        <v>9180</v>
      </c>
      <c r="AN86">
        <v>14</v>
      </c>
      <c r="AO86">
        <v>7560</v>
      </c>
      <c r="AP86">
        <v>13</v>
      </c>
      <c r="AQ86">
        <v>7020</v>
      </c>
      <c r="AR86">
        <v>13</v>
      </c>
      <c r="AS86">
        <v>7020</v>
      </c>
      <c r="AT86">
        <v>18</v>
      </c>
      <c r="AU86">
        <v>9720</v>
      </c>
      <c r="AV86">
        <v>15</v>
      </c>
      <c r="AW86">
        <v>8100</v>
      </c>
      <c r="AX86">
        <v>14</v>
      </c>
      <c r="AY86">
        <v>7560</v>
      </c>
      <c r="AZ86">
        <v>13</v>
      </c>
      <c r="BA86">
        <v>7020</v>
      </c>
      <c r="BB86">
        <v>16</v>
      </c>
      <c r="BC86">
        <v>8640</v>
      </c>
      <c r="BD86">
        <v>19</v>
      </c>
      <c r="BE86">
        <v>10260</v>
      </c>
      <c r="BF86">
        <v>17</v>
      </c>
      <c r="BG86">
        <v>9180</v>
      </c>
      <c r="BH86">
        <v>16</v>
      </c>
      <c r="BI86">
        <v>8640</v>
      </c>
      <c r="BJ86">
        <v>14</v>
      </c>
      <c r="BK86">
        <v>7560</v>
      </c>
      <c r="BL86">
        <v>19</v>
      </c>
      <c r="BM86">
        <v>10260</v>
      </c>
      <c r="BN86">
        <v>14</v>
      </c>
      <c r="BO86">
        <v>7560</v>
      </c>
      <c r="BP86">
        <v>12</v>
      </c>
      <c r="BQ86">
        <v>6480</v>
      </c>
      <c r="BR86">
        <v>18</v>
      </c>
      <c r="BS86">
        <v>9720</v>
      </c>
      <c r="BT86">
        <v>13</v>
      </c>
      <c r="BU86">
        <v>7020</v>
      </c>
      <c r="BV86">
        <v>14</v>
      </c>
      <c r="BW86">
        <v>7560</v>
      </c>
      <c r="BX86">
        <v>19</v>
      </c>
      <c r="BY86">
        <v>10260</v>
      </c>
      <c r="BZ86">
        <v>12</v>
      </c>
      <c r="CA86">
        <v>6480</v>
      </c>
      <c r="CB86">
        <v>15</v>
      </c>
      <c r="CC86">
        <v>8100</v>
      </c>
      <c r="CD86">
        <v>12</v>
      </c>
      <c r="CE86">
        <v>6480</v>
      </c>
      <c r="CF86">
        <v>14</v>
      </c>
      <c r="CG86">
        <v>7560</v>
      </c>
      <c r="CH86">
        <v>15</v>
      </c>
      <c r="CI86">
        <v>8100</v>
      </c>
      <c r="CJ86">
        <v>13</v>
      </c>
      <c r="CK86">
        <v>7020</v>
      </c>
      <c r="CL86">
        <v>13</v>
      </c>
      <c r="CM86">
        <v>7020</v>
      </c>
      <c r="CN86">
        <v>17</v>
      </c>
      <c r="CO86">
        <v>9180</v>
      </c>
      <c r="CP86">
        <v>18</v>
      </c>
      <c r="CQ86">
        <v>9720</v>
      </c>
      <c r="CR86">
        <v>20</v>
      </c>
      <c r="CS86">
        <v>10800</v>
      </c>
      <c r="CT86">
        <v>19</v>
      </c>
      <c r="CU86">
        <v>10260</v>
      </c>
    </row>
    <row r="87" spans="2:99" x14ac:dyDescent="0.2">
      <c r="B87" s="119" t="s">
        <v>131</v>
      </c>
      <c r="C87" s="119" t="s">
        <v>253</v>
      </c>
      <c r="D87">
        <v>17</v>
      </c>
      <c r="E87">
        <v>33231.599999999999</v>
      </c>
      <c r="F87">
        <v>11</v>
      </c>
      <c r="G87">
        <v>21502.799999999999</v>
      </c>
      <c r="H87">
        <v>22</v>
      </c>
      <c r="I87">
        <v>43005.599999999999</v>
      </c>
      <c r="J87">
        <v>14</v>
      </c>
      <c r="K87">
        <v>27367.200000000001</v>
      </c>
      <c r="L87">
        <v>10</v>
      </c>
      <c r="M87">
        <v>19548</v>
      </c>
      <c r="N87">
        <v>16</v>
      </c>
      <c r="O87">
        <v>31276.799999999999</v>
      </c>
      <c r="P87">
        <v>16</v>
      </c>
      <c r="Q87">
        <v>31276.799999999999</v>
      </c>
      <c r="R87">
        <v>17</v>
      </c>
      <c r="S87">
        <v>33231.599999999999</v>
      </c>
      <c r="T87">
        <v>20</v>
      </c>
      <c r="U87">
        <v>39096</v>
      </c>
      <c r="V87">
        <v>12</v>
      </c>
      <c r="W87">
        <v>23457.599999999999</v>
      </c>
      <c r="X87">
        <v>17</v>
      </c>
      <c r="Y87">
        <v>33231.599999999999</v>
      </c>
      <c r="Z87">
        <v>20</v>
      </c>
      <c r="AA87">
        <v>39096</v>
      </c>
      <c r="AB87">
        <v>18</v>
      </c>
      <c r="AC87">
        <v>35186.400000000001</v>
      </c>
      <c r="AD87">
        <v>13</v>
      </c>
      <c r="AE87">
        <v>25412.399999999998</v>
      </c>
      <c r="AF87">
        <v>18</v>
      </c>
      <c r="AG87">
        <v>35186.400000000001</v>
      </c>
      <c r="AH87">
        <v>16</v>
      </c>
      <c r="AI87">
        <v>31276.799999999999</v>
      </c>
      <c r="AJ87">
        <v>18</v>
      </c>
      <c r="AK87">
        <v>35186.400000000001</v>
      </c>
      <c r="AL87">
        <v>18</v>
      </c>
      <c r="AM87">
        <v>35186.400000000001</v>
      </c>
      <c r="AN87">
        <v>22</v>
      </c>
      <c r="AO87">
        <v>43005.599999999999</v>
      </c>
      <c r="AP87">
        <v>15</v>
      </c>
      <c r="AQ87">
        <v>29322</v>
      </c>
      <c r="AR87">
        <v>23</v>
      </c>
      <c r="AS87">
        <v>44960.4</v>
      </c>
      <c r="AT87">
        <v>18</v>
      </c>
      <c r="AU87">
        <v>35186.400000000001</v>
      </c>
      <c r="AV87">
        <v>11</v>
      </c>
      <c r="AW87">
        <v>21502.799999999999</v>
      </c>
      <c r="AX87">
        <v>23</v>
      </c>
      <c r="AY87">
        <v>44960.4</v>
      </c>
      <c r="AZ87">
        <v>14</v>
      </c>
      <c r="BA87">
        <v>27367.200000000001</v>
      </c>
      <c r="BB87">
        <v>16</v>
      </c>
      <c r="BC87">
        <v>31276.799999999999</v>
      </c>
      <c r="BD87">
        <v>25</v>
      </c>
      <c r="BE87">
        <v>48870</v>
      </c>
      <c r="BF87">
        <v>17</v>
      </c>
      <c r="BG87">
        <v>33231.599999999999</v>
      </c>
      <c r="BH87">
        <v>21</v>
      </c>
      <c r="BI87">
        <v>41050.799999999996</v>
      </c>
      <c r="BJ87">
        <v>21</v>
      </c>
      <c r="BK87">
        <v>41050.799999999996</v>
      </c>
      <c r="BL87">
        <v>17</v>
      </c>
      <c r="BM87">
        <v>33231.599999999999</v>
      </c>
      <c r="BN87">
        <v>20</v>
      </c>
      <c r="BO87">
        <v>39096</v>
      </c>
      <c r="BP87">
        <v>15</v>
      </c>
      <c r="BQ87">
        <v>29322</v>
      </c>
      <c r="BR87">
        <v>19</v>
      </c>
      <c r="BS87">
        <v>37141.199999999997</v>
      </c>
      <c r="BT87">
        <v>21</v>
      </c>
      <c r="BU87">
        <v>41050.799999999996</v>
      </c>
      <c r="BV87">
        <v>23</v>
      </c>
      <c r="BW87">
        <v>44960.4</v>
      </c>
      <c r="BX87">
        <v>25</v>
      </c>
      <c r="BY87">
        <v>48870</v>
      </c>
      <c r="BZ87">
        <v>17</v>
      </c>
      <c r="CA87">
        <v>33231.599999999999</v>
      </c>
      <c r="CB87">
        <v>15</v>
      </c>
      <c r="CC87">
        <v>29322</v>
      </c>
      <c r="CD87">
        <v>17</v>
      </c>
      <c r="CE87">
        <v>33231.599999999999</v>
      </c>
      <c r="CF87">
        <v>19</v>
      </c>
      <c r="CG87">
        <v>37141.199999999997</v>
      </c>
      <c r="CH87">
        <v>21</v>
      </c>
      <c r="CI87">
        <v>41050.799999999996</v>
      </c>
      <c r="CJ87">
        <v>22</v>
      </c>
      <c r="CK87">
        <v>43005.599999999999</v>
      </c>
      <c r="CL87">
        <v>15</v>
      </c>
      <c r="CM87">
        <v>29322</v>
      </c>
      <c r="CN87">
        <v>21</v>
      </c>
      <c r="CO87">
        <v>41050.799999999996</v>
      </c>
      <c r="CP87">
        <v>19</v>
      </c>
      <c r="CQ87">
        <v>37141.199999999997</v>
      </c>
      <c r="CR87">
        <v>12</v>
      </c>
      <c r="CS87">
        <v>23457.599999999999</v>
      </c>
      <c r="CT87">
        <v>20</v>
      </c>
      <c r="CU87">
        <v>39096</v>
      </c>
    </row>
    <row r="88" spans="2:99" x14ac:dyDescent="0.2">
      <c r="C88" s="119" t="s">
        <v>254</v>
      </c>
      <c r="D88">
        <v>15</v>
      </c>
      <c r="E88">
        <v>28385.999999999996</v>
      </c>
      <c r="F88">
        <v>11</v>
      </c>
      <c r="G88">
        <v>20816.399999999998</v>
      </c>
      <c r="H88">
        <v>22</v>
      </c>
      <c r="I88">
        <v>41632.799999999996</v>
      </c>
      <c r="J88">
        <v>13</v>
      </c>
      <c r="K88">
        <v>24601.199999999997</v>
      </c>
      <c r="L88">
        <v>12</v>
      </c>
      <c r="M88">
        <v>22708.799999999999</v>
      </c>
      <c r="N88">
        <v>17</v>
      </c>
      <c r="O88">
        <v>32170.799999999999</v>
      </c>
      <c r="P88">
        <v>19</v>
      </c>
      <c r="Q88">
        <v>35955.599999999999</v>
      </c>
      <c r="R88">
        <v>18</v>
      </c>
      <c r="S88">
        <v>34063.199999999997</v>
      </c>
      <c r="T88">
        <v>21</v>
      </c>
      <c r="U88">
        <v>39740.399999999994</v>
      </c>
      <c r="V88">
        <v>12</v>
      </c>
      <c r="W88">
        <v>22708.799999999999</v>
      </c>
      <c r="X88">
        <v>19</v>
      </c>
      <c r="Y88">
        <v>35955.599999999999</v>
      </c>
      <c r="Z88">
        <v>21</v>
      </c>
      <c r="AA88">
        <v>39740.399999999994</v>
      </c>
      <c r="AB88">
        <v>16</v>
      </c>
      <c r="AC88">
        <v>30278.399999999998</v>
      </c>
      <c r="AD88">
        <v>15</v>
      </c>
      <c r="AE88">
        <v>28385.999999999996</v>
      </c>
      <c r="AF88">
        <v>18</v>
      </c>
      <c r="AG88">
        <v>34063.199999999997</v>
      </c>
      <c r="AH88">
        <v>16</v>
      </c>
      <c r="AI88">
        <v>30278.399999999998</v>
      </c>
      <c r="AJ88">
        <v>17</v>
      </c>
      <c r="AK88">
        <v>32170.799999999999</v>
      </c>
      <c r="AL88">
        <v>20</v>
      </c>
      <c r="AM88">
        <v>37848</v>
      </c>
      <c r="AN88">
        <v>21</v>
      </c>
      <c r="AO88">
        <v>39740.399999999994</v>
      </c>
      <c r="AP88">
        <v>19</v>
      </c>
      <c r="AQ88">
        <v>35955.599999999999</v>
      </c>
      <c r="AR88">
        <v>20</v>
      </c>
      <c r="AS88">
        <v>37848</v>
      </c>
      <c r="AT88">
        <v>21</v>
      </c>
      <c r="AU88">
        <v>39740.399999999994</v>
      </c>
      <c r="AV88">
        <v>12</v>
      </c>
      <c r="AW88">
        <v>22708.799999999999</v>
      </c>
      <c r="AX88">
        <v>21</v>
      </c>
      <c r="AY88">
        <v>39740.399999999994</v>
      </c>
      <c r="AZ88">
        <v>16</v>
      </c>
      <c r="BA88">
        <v>30278.399999999998</v>
      </c>
      <c r="BB88">
        <v>18</v>
      </c>
      <c r="BC88">
        <v>34063.199999999997</v>
      </c>
      <c r="BD88">
        <v>22</v>
      </c>
      <c r="BE88">
        <v>41632.799999999996</v>
      </c>
      <c r="BF88">
        <v>19</v>
      </c>
      <c r="BG88">
        <v>35955.599999999999</v>
      </c>
      <c r="BH88">
        <v>19</v>
      </c>
      <c r="BI88">
        <v>35955.599999999999</v>
      </c>
      <c r="BJ88">
        <v>21</v>
      </c>
      <c r="BK88">
        <v>39740.399999999994</v>
      </c>
      <c r="BL88">
        <v>16</v>
      </c>
      <c r="BM88">
        <v>30278.399999999998</v>
      </c>
      <c r="BN88">
        <v>22</v>
      </c>
      <c r="BO88">
        <v>41632.799999999996</v>
      </c>
      <c r="BP88">
        <v>15</v>
      </c>
      <c r="BQ88">
        <v>28385.999999999996</v>
      </c>
      <c r="BR88">
        <v>21</v>
      </c>
      <c r="BS88">
        <v>39740.399999999994</v>
      </c>
      <c r="BT88">
        <v>23</v>
      </c>
      <c r="BU88">
        <v>43525.2</v>
      </c>
      <c r="BV88">
        <v>22</v>
      </c>
      <c r="BW88">
        <v>41632.799999999996</v>
      </c>
      <c r="BX88">
        <v>21</v>
      </c>
      <c r="BY88">
        <v>39740.399999999994</v>
      </c>
      <c r="BZ88">
        <v>15</v>
      </c>
      <c r="CA88">
        <v>28385.999999999996</v>
      </c>
      <c r="CB88">
        <v>18</v>
      </c>
      <c r="CC88">
        <v>34063.199999999997</v>
      </c>
      <c r="CD88">
        <v>21</v>
      </c>
      <c r="CE88">
        <v>39740.399999999994</v>
      </c>
      <c r="CF88">
        <v>21</v>
      </c>
      <c r="CG88">
        <v>39740.399999999994</v>
      </c>
      <c r="CH88">
        <v>20</v>
      </c>
      <c r="CI88">
        <v>37848</v>
      </c>
      <c r="CJ88">
        <v>24</v>
      </c>
      <c r="CK88">
        <v>45417.599999999999</v>
      </c>
      <c r="CL88">
        <v>14</v>
      </c>
      <c r="CM88">
        <v>26493.599999999999</v>
      </c>
      <c r="CN88">
        <v>23</v>
      </c>
      <c r="CO88">
        <v>43525.2</v>
      </c>
      <c r="CP88">
        <v>18</v>
      </c>
      <c r="CQ88">
        <v>34063.199999999997</v>
      </c>
      <c r="CR88">
        <v>12</v>
      </c>
      <c r="CS88">
        <v>22708.799999999999</v>
      </c>
      <c r="CT88">
        <v>22</v>
      </c>
      <c r="CU88">
        <v>41632.799999999996</v>
      </c>
    </row>
    <row r="89" spans="2:99" x14ac:dyDescent="0.2">
      <c r="C89" s="119" t="s">
        <v>255</v>
      </c>
      <c r="D89">
        <v>14</v>
      </c>
      <c r="E89">
        <v>33566.400000000001</v>
      </c>
      <c r="F89">
        <v>11</v>
      </c>
      <c r="G89">
        <v>26373.599999999999</v>
      </c>
      <c r="H89">
        <v>19</v>
      </c>
      <c r="I89">
        <v>45554.400000000001</v>
      </c>
      <c r="J89">
        <v>13</v>
      </c>
      <c r="K89">
        <v>31168.799999999999</v>
      </c>
      <c r="L89">
        <v>12</v>
      </c>
      <c r="M89">
        <v>28771.199999999997</v>
      </c>
      <c r="N89">
        <v>15</v>
      </c>
      <c r="O89">
        <v>35964</v>
      </c>
      <c r="P89">
        <v>16</v>
      </c>
      <c r="Q89">
        <v>38361.599999999999</v>
      </c>
      <c r="R89">
        <v>18</v>
      </c>
      <c r="S89">
        <v>43156.799999999996</v>
      </c>
      <c r="T89">
        <v>18</v>
      </c>
      <c r="U89">
        <v>43156.799999999996</v>
      </c>
      <c r="V89">
        <v>11</v>
      </c>
      <c r="W89">
        <v>26373.599999999999</v>
      </c>
      <c r="X89">
        <v>16</v>
      </c>
      <c r="Y89">
        <v>38361.599999999999</v>
      </c>
      <c r="Z89">
        <v>21</v>
      </c>
      <c r="AA89">
        <v>50349.599999999999</v>
      </c>
      <c r="AB89">
        <v>17</v>
      </c>
      <c r="AC89">
        <v>40759.199999999997</v>
      </c>
      <c r="AD89">
        <v>15</v>
      </c>
      <c r="AE89">
        <v>35964</v>
      </c>
      <c r="AF89">
        <v>18</v>
      </c>
      <c r="AG89">
        <v>43156.799999999996</v>
      </c>
      <c r="AH89">
        <v>14</v>
      </c>
      <c r="AI89">
        <v>33566.400000000001</v>
      </c>
      <c r="AJ89">
        <v>16</v>
      </c>
      <c r="AK89">
        <v>38361.599999999999</v>
      </c>
      <c r="AL89">
        <v>18</v>
      </c>
      <c r="AM89">
        <v>43156.799999999996</v>
      </c>
      <c r="AN89">
        <v>22</v>
      </c>
      <c r="AO89">
        <v>52747.199999999997</v>
      </c>
      <c r="AP89">
        <v>17</v>
      </c>
      <c r="AQ89">
        <v>40759.199999999997</v>
      </c>
      <c r="AR89">
        <v>20</v>
      </c>
      <c r="AS89">
        <v>47952</v>
      </c>
      <c r="AT89">
        <v>17</v>
      </c>
      <c r="AU89">
        <v>40759.199999999997</v>
      </c>
      <c r="AV89">
        <v>11</v>
      </c>
      <c r="AW89">
        <v>26373.599999999999</v>
      </c>
      <c r="AX89">
        <v>22</v>
      </c>
      <c r="AY89">
        <v>52747.199999999997</v>
      </c>
      <c r="AZ89">
        <v>15</v>
      </c>
      <c r="BA89">
        <v>35964</v>
      </c>
      <c r="BB89">
        <v>16</v>
      </c>
      <c r="BC89">
        <v>38361.599999999999</v>
      </c>
      <c r="BD89">
        <v>22</v>
      </c>
      <c r="BE89">
        <v>52747.199999999997</v>
      </c>
      <c r="BF89">
        <v>16</v>
      </c>
      <c r="BG89">
        <v>38361.599999999999</v>
      </c>
      <c r="BH89">
        <v>21</v>
      </c>
      <c r="BI89">
        <v>50349.599999999999</v>
      </c>
      <c r="BJ89">
        <v>20</v>
      </c>
      <c r="BK89">
        <v>47952</v>
      </c>
      <c r="BL89">
        <v>16</v>
      </c>
      <c r="BM89">
        <v>38361.599999999999</v>
      </c>
      <c r="BN89">
        <v>19</v>
      </c>
      <c r="BO89">
        <v>45554.400000000001</v>
      </c>
      <c r="BP89">
        <v>13</v>
      </c>
      <c r="BQ89">
        <v>31168.799999999999</v>
      </c>
      <c r="BR89">
        <v>19</v>
      </c>
      <c r="BS89">
        <v>45554.400000000001</v>
      </c>
      <c r="BT89">
        <v>21</v>
      </c>
      <c r="BU89">
        <v>50349.599999999999</v>
      </c>
      <c r="BV89">
        <v>22</v>
      </c>
      <c r="BW89">
        <v>52747.199999999997</v>
      </c>
      <c r="BX89">
        <v>20</v>
      </c>
      <c r="BY89">
        <v>47952</v>
      </c>
      <c r="BZ89">
        <v>16</v>
      </c>
      <c r="CA89">
        <v>38361.599999999999</v>
      </c>
      <c r="CB89">
        <v>15</v>
      </c>
      <c r="CC89">
        <v>35964</v>
      </c>
      <c r="CD89">
        <v>18</v>
      </c>
      <c r="CE89">
        <v>43156.799999999996</v>
      </c>
      <c r="CF89">
        <v>20</v>
      </c>
      <c r="CG89">
        <v>47952</v>
      </c>
      <c r="CH89">
        <v>17</v>
      </c>
      <c r="CI89">
        <v>40759.199999999997</v>
      </c>
      <c r="CJ89">
        <v>20</v>
      </c>
      <c r="CK89">
        <v>47952</v>
      </c>
      <c r="CL89">
        <v>15</v>
      </c>
      <c r="CM89">
        <v>35964</v>
      </c>
      <c r="CN89">
        <v>20</v>
      </c>
      <c r="CO89">
        <v>47952</v>
      </c>
      <c r="CP89">
        <v>19</v>
      </c>
      <c r="CQ89">
        <v>45554.400000000001</v>
      </c>
      <c r="CR89">
        <v>13</v>
      </c>
      <c r="CS89">
        <v>31168.799999999999</v>
      </c>
      <c r="CT89">
        <v>19</v>
      </c>
      <c r="CU89">
        <v>45554.400000000001</v>
      </c>
    </row>
    <row r="90" spans="2:99" x14ac:dyDescent="0.2">
      <c r="C90" s="119" t="s">
        <v>256</v>
      </c>
      <c r="D90">
        <v>15</v>
      </c>
      <c r="E90">
        <v>32958</v>
      </c>
      <c r="F90">
        <v>10</v>
      </c>
      <c r="G90">
        <v>21972</v>
      </c>
      <c r="H90">
        <v>19</v>
      </c>
      <c r="I90">
        <v>41746.799999999996</v>
      </c>
      <c r="J90">
        <v>13</v>
      </c>
      <c r="K90">
        <v>28563.599999999999</v>
      </c>
      <c r="L90">
        <v>11</v>
      </c>
      <c r="M90">
        <v>24169.199999999997</v>
      </c>
      <c r="N90">
        <v>16</v>
      </c>
      <c r="O90">
        <v>35155.199999999997</v>
      </c>
      <c r="P90">
        <v>16</v>
      </c>
      <c r="Q90">
        <v>35155.199999999997</v>
      </c>
      <c r="R90">
        <v>18</v>
      </c>
      <c r="S90">
        <v>39549.599999999999</v>
      </c>
      <c r="T90">
        <v>21</v>
      </c>
      <c r="U90">
        <v>46141.2</v>
      </c>
      <c r="V90">
        <v>12</v>
      </c>
      <c r="W90">
        <v>26366.399999999998</v>
      </c>
      <c r="X90">
        <v>18</v>
      </c>
      <c r="Y90">
        <v>39549.599999999999</v>
      </c>
      <c r="Z90">
        <v>22</v>
      </c>
      <c r="AA90">
        <v>48338.399999999994</v>
      </c>
      <c r="AB90">
        <v>16</v>
      </c>
      <c r="AC90">
        <v>35155.199999999997</v>
      </c>
      <c r="AD90">
        <v>15</v>
      </c>
      <c r="AE90">
        <v>32958</v>
      </c>
      <c r="AF90">
        <v>17</v>
      </c>
      <c r="AG90">
        <v>37352.399999999994</v>
      </c>
      <c r="AH90">
        <v>13</v>
      </c>
      <c r="AI90">
        <v>28563.599999999999</v>
      </c>
      <c r="AJ90">
        <v>15</v>
      </c>
      <c r="AK90">
        <v>32958</v>
      </c>
      <c r="AL90">
        <v>17</v>
      </c>
      <c r="AM90">
        <v>37352.399999999994</v>
      </c>
      <c r="AN90">
        <v>24</v>
      </c>
      <c r="AO90">
        <v>52732.799999999996</v>
      </c>
      <c r="AP90">
        <v>17</v>
      </c>
      <c r="AQ90">
        <v>37352.399999999994</v>
      </c>
      <c r="AR90">
        <v>22</v>
      </c>
      <c r="AS90">
        <v>48338.399999999994</v>
      </c>
      <c r="AT90">
        <v>19</v>
      </c>
      <c r="AU90">
        <v>41746.799999999996</v>
      </c>
      <c r="AV90">
        <v>12</v>
      </c>
      <c r="AW90">
        <v>26366.399999999998</v>
      </c>
      <c r="AX90">
        <v>20</v>
      </c>
      <c r="AY90">
        <v>43944</v>
      </c>
      <c r="AZ90">
        <v>16</v>
      </c>
      <c r="BA90">
        <v>35155.199999999997</v>
      </c>
      <c r="BB90">
        <v>15</v>
      </c>
      <c r="BC90">
        <v>32958</v>
      </c>
      <c r="BD90">
        <v>21</v>
      </c>
      <c r="BE90">
        <v>46141.2</v>
      </c>
      <c r="BF90">
        <v>18</v>
      </c>
      <c r="BG90">
        <v>39549.599999999999</v>
      </c>
      <c r="BH90">
        <v>20</v>
      </c>
      <c r="BI90">
        <v>43944</v>
      </c>
      <c r="BJ90">
        <v>21</v>
      </c>
      <c r="BK90">
        <v>46141.2</v>
      </c>
      <c r="BL90">
        <v>15</v>
      </c>
      <c r="BM90">
        <v>32958</v>
      </c>
      <c r="BN90">
        <v>18</v>
      </c>
      <c r="BO90">
        <v>39549.599999999999</v>
      </c>
      <c r="BP90">
        <v>15</v>
      </c>
      <c r="BQ90">
        <v>32958</v>
      </c>
      <c r="BR90">
        <v>20</v>
      </c>
      <c r="BS90">
        <v>43944</v>
      </c>
      <c r="BT90">
        <v>22</v>
      </c>
      <c r="BU90">
        <v>48338.399999999994</v>
      </c>
      <c r="BV90">
        <v>20</v>
      </c>
      <c r="BW90">
        <v>43944</v>
      </c>
      <c r="BX90">
        <v>21</v>
      </c>
      <c r="BY90">
        <v>46141.2</v>
      </c>
      <c r="BZ90">
        <v>15</v>
      </c>
      <c r="CA90">
        <v>32958</v>
      </c>
      <c r="CB90">
        <v>17</v>
      </c>
      <c r="CC90">
        <v>37352.399999999994</v>
      </c>
      <c r="CD90">
        <v>19</v>
      </c>
      <c r="CE90">
        <v>41746.799999999996</v>
      </c>
      <c r="CF90">
        <v>22</v>
      </c>
      <c r="CG90">
        <v>48338.399999999994</v>
      </c>
      <c r="CH90">
        <v>17</v>
      </c>
      <c r="CI90">
        <v>37352.399999999994</v>
      </c>
      <c r="CJ90">
        <v>25</v>
      </c>
      <c r="CK90">
        <v>54929.999999999993</v>
      </c>
      <c r="CL90">
        <v>16</v>
      </c>
      <c r="CM90">
        <v>35155.199999999997</v>
      </c>
      <c r="CN90">
        <v>23</v>
      </c>
      <c r="CO90">
        <v>50535.6</v>
      </c>
      <c r="CP90">
        <v>17</v>
      </c>
      <c r="CQ90">
        <v>37352.399999999994</v>
      </c>
      <c r="CR90">
        <v>13</v>
      </c>
      <c r="CS90">
        <v>28563.599999999999</v>
      </c>
      <c r="CT90">
        <v>19</v>
      </c>
      <c r="CU90">
        <v>41746.799999999996</v>
      </c>
    </row>
    <row r="91" spans="2:99" x14ac:dyDescent="0.2">
      <c r="C91" s="119" t="s">
        <v>257</v>
      </c>
      <c r="D91">
        <v>15</v>
      </c>
      <c r="E91">
        <v>34451.999999999993</v>
      </c>
      <c r="F91">
        <v>11</v>
      </c>
      <c r="G91">
        <v>25264.799999999996</v>
      </c>
      <c r="H91">
        <v>19</v>
      </c>
      <c r="I91">
        <v>43639.199999999997</v>
      </c>
      <c r="J91">
        <v>12</v>
      </c>
      <c r="K91">
        <v>27561.599999999999</v>
      </c>
      <c r="L91">
        <v>12</v>
      </c>
      <c r="M91">
        <v>27561.599999999999</v>
      </c>
      <c r="N91">
        <v>14</v>
      </c>
      <c r="O91">
        <v>32155.199999999997</v>
      </c>
      <c r="P91">
        <v>17</v>
      </c>
      <c r="Q91">
        <v>39045.599999999999</v>
      </c>
      <c r="R91">
        <v>17</v>
      </c>
      <c r="S91">
        <v>39045.599999999999</v>
      </c>
      <c r="T91">
        <v>20</v>
      </c>
      <c r="U91">
        <v>45935.999999999993</v>
      </c>
      <c r="V91">
        <v>12</v>
      </c>
      <c r="W91">
        <v>27561.599999999999</v>
      </c>
      <c r="X91">
        <v>18</v>
      </c>
      <c r="Y91">
        <v>41342.399999999994</v>
      </c>
      <c r="Z91">
        <v>20</v>
      </c>
      <c r="AA91">
        <v>45935.999999999993</v>
      </c>
      <c r="AB91">
        <v>17</v>
      </c>
      <c r="AC91">
        <v>39045.599999999999</v>
      </c>
      <c r="AD91">
        <v>15</v>
      </c>
      <c r="AE91">
        <v>34451.999999999993</v>
      </c>
      <c r="AF91">
        <v>16</v>
      </c>
      <c r="AG91">
        <v>36748.799999999996</v>
      </c>
      <c r="AH91">
        <v>15</v>
      </c>
      <c r="AI91">
        <v>34451.999999999993</v>
      </c>
      <c r="AJ91">
        <v>16</v>
      </c>
      <c r="AK91">
        <v>36748.799999999996</v>
      </c>
      <c r="AL91">
        <v>18</v>
      </c>
      <c r="AM91">
        <v>41342.399999999994</v>
      </c>
      <c r="AN91">
        <v>20</v>
      </c>
      <c r="AO91">
        <v>45935.999999999993</v>
      </c>
      <c r="AP91">
        <v>15</v>
      </c>
      <c r="AQ91">
        <v>34451.999999999993</v>
      </c>
      <c r="AR91">
        <v>22</v>
      </c>
      <c r="AS91">
        <v>50529.599999999991</v>
      </c>
      <c r="AT91">
        <v>17</v>
      </c>
      <c r="AU91">
        <v>39045.599999999999</v>
      </c>
      <c r="AV91">
        <v>12</v>
      </c>
      <c r="AW91">
        <v>27561.599999999999</v>
      </c>
      <c r="AX91">
        <v>20</v>
      </c>
      <c r="AY91">
        <v>45935.999999999993</v>
      </c>
      <c r="AZ91">
        <v>15</v>
      </c>
      <c r="BA91">
        <v>34451.999999999993</v>
      </c>
      <c r="BB91">
        <v>15</v>
      </c>
      <c r="BC91">
        <v>34451.999999999993</v>
      </c>
      <c r="BD91">
        <v>23</v>
      </c>
      <c r="BE91">
        <v>52826.399999999994</v>
      </c>
      <c r="BF91">
        <v>17</v>
      </c>
      <c r="BG91">
        <v>39045.599999999999</v>
      </c>
      <c r="BH91">
        <v>22</v>
      </c>
      <c r="BI91">
        <v>50529.599999999991</v>
      </c>
      <c r="BJ91">
        <v>23</v>
      </c>
      <c r="BK91">
        <v>52826.399999999994</v>
      </c>
      <c r="BL91">
        <v>15</v>
      </c>
      <c r="BM91">
        <v>34451.999999999993</v>
      </c>
      <c r="BN91">
        <v>19</v>
      </c>
      <c r="BO91">
        <v>43639.199999999997</v>
      </c>
      <c r="BP91">
        <v>15</v>
      </c>
      <c r="BQ91">
        <v>34451.999999999993</v>
      </c>
      <c r="BR91">
        <v>18</v>
      </c>
      <c r="BS91">
        <v>41342.399999999994</v>
      </c>
      <c r="BT91">
        <v>20</v>
      </c>
      <c r="BU91">
        <v>45935.999999999993</v>
      </c>
      <c r="BV91">
        <v>23</v>
      </c>
      <c r="BW91">
        <v>52826.399999999994</v>
      </c>
      <c r="BX91">
        <v>21</v>
      </c>
      <c r="BY91">
        <v>48232.799999999996</v>
      </c>
      <c r="BZ91">
        <v>17</v>
      </c>
      <c r="CA91">
        <v>39045.599999999999</v>
      </c>
      <c r="CB91">
        <v>17</v>
      </c>
      <c r="CC91">
        <v>39045.599999999999</v>
      </c>
      <c r="CD91">
        <v>19</v>
      </c>
      <c r="CE91">
        <v>43639.199999999997</v>
      </c>
      <c r="CF91">
        <v>19</v>
      </c>
      <c r="CG91">
        <v>43639.199999999997</v>
      </c>
      <c r="CH91">
        <v>19</v>
      </c>
      <c r="CI91">
        <v>43639.199999999997</v>
      </c>
      <c r="CJ91">
        <v>21</v>
      </c>
      <c r="CK91">
        <v>48232.799999999996</v>
      </c>
      <c r="CL91">
        <v>14</v>
      </c>
      <c r="CM91">
        <v>32155.199999999997</v>
      </c>
      <c r="CN91">
        <v>21</v>
      </c>
      <c r="CO91">
        <v>48232.799999999996</v>
      </c>
      <c r="CP91">
        <v>17</v>
      </c>
      <c r="CQ91">
        <v>39045.599999999999</v>
      </c>
      <c r="CR91">
        <v>13</v>
      </c>
      <c r="CS91">
        <v>29858.399999999998</v>
      </c>
      <c r="CT91">
        <v>21</v>
      </c>
      <c r="CU91">
        <v>48232.799999999996</v>
      </c>
    </row>
    <row r="92" spans="2:99" x14ac:dyDescent="0.2">
      <c r="C92" s="119" t="s">
        <v>258</v>
      </c>
      <c r="D92">
        <v>18</v>
      </c>
      <c r="E92">
        <v>25574.399999999998</v>
      </c>
      <c r="F92">
        <v>12</v>
      </c>
      <c r="G92">
        <v>17049.599999999999</v>
      </c>
      <c r="H92">
        <v>21</v>
      </c>
      <c r="I92">
        <v>29836.799999999999</v>
      </c>
      <c r="J92">
        <v>14</v>
      </c>
      <c r="K92">
        <v>19891.2</v>
      </c>
      <c r="L92">
        <v>13</v>
      </c>
      <c r="M92">
        <v>18470.399999999998</v>
      </c>
      <c r="N92">
        <v>15</v>
      </c>
      <c r="O92">
        <v>21312</v>
      </c>
      <c r="P92">
        <v>20</v>
      </c>
      <c r="Q92">
        <v>28416</v>
      </c>
      <c r="R92">
        <v>18</v>
      </c>
      <c r="S92">
        <v>25574.399999999998</v>
      </c>
      <c r="T92">
        <v>23</v>
      </c>
      <c r="U92">
        <v>32678.399999999998</v>
      </c>
      <c r="V92">
        <v>11</v>
      </c>
      <c r="W92">
        <v>15628.8</v>
      </c>
      <c r="X92">
        <v>20</v>
      </c>
      <c r="Y92">
        <v>28416</v>
      </c>
      <c r="Z92">
        <v>22</v>
      </c>
      <c r="AA92">
        <v>31257.599999999999</v>
      </c>
      <c r="AB92">
        <v>19</v>
      </c>
      <c r="AC92">
        <v>26995.200000000001</v>
      </c>
      <c r="AD92">
        <v>16</v>
      </c>
      <c r="AE92">
        <v>22732.799999999999</v>
      </c>
      <c r="AF92">
        <v>17</v>
      </c>
      <c r="AG92">
        <v>24153.599999999999</v>
      </c>
      <c r="AH92">
        <v>15</v>
      </c>
      <c r="AI92">
        <v>21312</v>
      </c>
      <c r="AJ92">
        <v>18</v>
      </c>
      <c r="AK92">
        <v>25574.399999999998</v>
      </c>
      <c r="AL92">
        <v>18</v>
      </c>
      <c r="AM92">
        <v>25574.399999999998</v>
      </c>
      <c r="AN92">
        <v>24</v>
      </c>
      <c r="AO92">
        <v>34099.199999999997</v>
      </c>
      <c r="AP92">
        <v>18</v>
      </c>
      <c r="AQ92">
        <v>25574.399999999998</v>
      </c>
      <c r="AR92">
        <v>21</v>
      </c>
      <c r="AS92">
        <v>29836.799999999999</v>
      </c>
      <c r="AT92">
        <v>21</v>
      </c>
      <c r="AU92">
        <v>29836.799999999999</v>
      </c>
      <c r="AV92">
        <v>14</v>
      </c>
      <c r="AW92">
        <v>19891.2</v>
      </c>
      <c r="AX92">
        <v>24</v>
      </c>
      <c r="AY92">
        <v>34099.199999999997</v>
      </c>
      <c r="AZ92">
        <v>15</v>
      </c>
      <c r="BA92">
        <v>21312</v>
      </c>
      <c r="BB92">
        <v>17</v>
      </c>
      <c r="BC92">
        <v>24153.599999999999</v>
      </c>
      <c r="BD92">
        <v>22</v>
      </c>
      <c r="BE92">
        <v>31257.599999999999</v>
      </c>
      <c r="BF92">
        <v>20</v>
      </c>
      <c r="BG92">
        <v>28416</v>
      </c>
      <c r="BH92">
        <v>22</v>
      </c>
      <c r="BI92">
        <v>31257.599999999999</v>
      </c>
      <c r="BJ92">
        <v>25</v>
      </c>
      <c r="BK92">
        <v>35520</v>
      </c>
      <c r="BL92">
        <v>18</v>
      </c>
      <c r="BM92">
        <v>25574.399999999998</v>
      </c>
      <c r="BN92">
        <v>23</v>
      </c>
      <c r="BO92">
        <v>32678.399999999998</v>
      </c>
      <c r="BP92">
        <v>16</v>
      </c>
      <c r="BQ92">
        <v>22732.799999999999</v>
      </c>
      <c r="BR92">
        <v>23</v>
      </c>
      <c r="BS92">
        <v>32678.399999999998</v>
      </c>
      <c r="BT92">
        <v>24</v>
      </c>
      <c r="BU92">
        <v>34099.199999999997</v>
      </c>
      <c r="BV92">
        <v>22</v>
      </c>
      <c r="BW92">
        <v>31257.599999999999</v>
      </c>
      <c r="BX92">
        <v>24</v>
      </c>
      <c r="BY92">
        <v>34099.199999999997</v>
      </c>
      <c r="BZ92">
        <v>18</v>
      </c>
      <c r="CA92">
        <v>25574.399999999998</v>
      </c>
      <c r="CB92">
        <v>19</v>
      </c>
      <c r="CC92">
        <v>26995.200000000001</v>
      </c>
      <c r="CD92">
        <v>21</v>
      </c>
      <c r="CE92">
        <v>29836.799999999999</v>
      </c>
      <c r="CF92">
        <v>23</v>
      </c>
      <c r="CG92">
        <v>32678.399999999998</v>
      </c>
      <c r="CH92">
        <v>20</v>
      </c>
      <c r="CI92">
        <v>28416</v>
      </c>
      <c r="CJ92">
        <v>23</v>
      </c>
      <c r="CK92">
        <v>32678.399999999998</v>
      </c>
      <c r="CL92">
        <v>17</v>
      </c>
      <c r="CM92">
        <v>24153.599999999999</v>
      </c>
      <c r="CN92">
        <v>23</v>
      </c>
      <c r="CO92">
        <v>32678.399999999998</v>
      </c>
      <c r="CP92">
        <v>19</v>
      </c>
      <c r="CQ92">
        <v>26995.200000000001</v>
      </c>
      <c r="CR92">
        <v>14</v>
      </c>
      <c r="CS92">
        <v>19891.2</v>
      </c>
      <c r="CT92">
        <v>23</v>
      </c>
      <c r="CU92">
        <v>32678.399999999998</v>
      </c>
    </row>
    <row r="93" spans="2:99" x14ac:dyDescent="0.2">
      <c r="C93" s="119" t="s">
        <v>259</v>
      </c>
      <c r="D93">
        <v>15</v>
      </c>
      <c r="E93">
        <v>26585.999999999996</v>
      </c>
      <c r="F93">
        <v>11</v>
      </c>
      <c r="G93">
        <v>19496.399999999998</v>
      </c>
      <c r="H93">
        <v>19</v>
      </c>
      <c r="I93">
        <v>33675.599999999999</v>
      </c>
      <c r="J93">
        <v>12</v>
      </c>
      <c r="K93">
        <v>21268.799999999999</v>
      </c>
      <c r="L93">
        <v>12</v>
      </c>
      <c r="M93">
        <v>21268.799999999999</v>
      </c>
      <c r="N93">
        <v>14</v>
      </c>
      <c r="O93">
        <v>24813.599999999999</v>
      </c>
      <c r="P93">
        <v>17</v>
      </c>
      <c r="Q93">
        <v>30130.799999999999</v>
      </c>
      <c r="R93">
        <v>17</v>
      </c>
      <c r="S93">
        <v>30130.799999999999</v>
      </c>
      <c r="T93">
        <v>23</v>
      </c>
      <c r="U93">
        <v>40765.199999999997</v>
      </c>
      <c r="V93">
        <v>12</v>
      </c>
      <c r="W93">
        <v>21268.799999999999</v>
      </c>
      <c r="X93">
        <v>18</v>
      </c>
      <c r="Y93">
        <v>31903.199999999997</v>
      </c>
      <c r="Z93">
        <v>21</v>
      </c>
      <c r="AA93">
        <v>37220.399999999994</v>
      </c>
      <c r="AB93">
        <v>16</v>
      </c>
      <c r="AC93">
        <v>28358.399999999998</v>
      </c>
      <c r="AD93">
        <v>13</v>
      </c>
      <c r="AE93">
        <v>23041.199999999997</v>
      </c>
      <c r="AF93">
        <v>16</v>
      </c>
      <c r="AG93">
        <v>28358.399999999998</v>
      </c>
      <c r="AH93">
        <v>16</v>
      </c>
      <c r="AI93">
        <v>28358.399999999998</v>
      </c>
      <c r="AJ93">
        <v>18</v>
      </c>
      <c r="AK93">
        <v>31903.199999999997</v>
      </c>
      <c r="AL93">
        <v>19</v>
      </c>
      <c r="AM93">
        <v>33675.599999999999</v>
      </c>
      <c r="AN93">
        <v>21</v>
      </c>
      <c r="AO93">
        <v>37220.399999999994</v>
      </c>
      <c r="AP93">
        <v>19</v>
      </c>
      <c r="AQ93">
        <v>33675.599999999999</v>
      </c>
      <c r="AR93">
        <v>21</v>
      </c>
      <c r="AS93">
        <v>37220.399999999994</v>
      </c>
      <c r="AT93">
        <v>19</v>
      </c>
      <c r="AU93">
        <v>33675.599999999999</v>
      </c>
      <c r="AV93">
        <v>13</v>
      </c>
      <c r="AW93">
        <v>23041.199999999997</v>
      </c>
      <c r="AX93">
        <v>24</v>
      </c>
      <c r="AY93">
        <v>42537.599999999999</v>
      </c>
      <c r="AZ93">
        <v>17</v>
      </c>
      <c r="BA93">
        <v>30130.799999999999</v>
      </c>
      <c r="BB93">
        <v>18</v>
      </c>
      <c r="BC93">
        <v>31903.199999999997</v>
      </c>
      <c r="BD93">
        <v>23</v>
      </c>
      <c r="BE93">
        <v>40765.199999999997</v>
      </c>
      <c r="BF93">
        <v>20</v>
      </c>
      <c r="BG93">
        <v>35448</v>
      </c>
      <c r="BH93">
        <v>23</v>
      </c>
      <c r="BI93">
        <v>40765.199999999997</v>
      </c>
      <c r="BJ93">
        <v>24</v>
      </c>
      <c r="BK93">
        <v>42537.599999999999</v>
      </c>
      <c r="BL93">
        <v>16</v>
      </c>
      <c r="BM93">
        <v>28358.399999999998</v>
      </c>
      <c r="BN93">
        <v>21</v>
      </c>
      <c r="BO93">
        <v>37220.399999999994</v>
      </c>
      <c r="BP93">
        <v>16</v>
      </c>
      <c r="BQ93">
        <v>28358.399999999998</v>
      </c>
      <c r="BR93">
        <v>20</v>
      </c>
      <c r="BS93">
        <v>35448</v>
      </c>
      <c r="BT93">
        <v>23</v>
      </c>
      <c r="BU93">
        <v>40765.199999999997</v>
      </c>
      <c r="BV93">
        <v>25</v>
      </c>
      <c r="BW93">
        <v>44310</v>
      </c>
      <c r="BX93">
        <v>23</v>
      </c>
      <c r="BY93">
        <v>40765.199999999997</v>
      </c>
      <c r="BZ93">
        <v>17</v>
      </c>
      <c r="CA93">
        <v>30130.799999999999</v>
      </c>
      <c r="CB93">
        <v>18</v>
      </c>
      <c r="CC93">
        <v>31903.199999999997</v>
      </c>
      <c r="CD93">
        <v>20</v>
      </c>
      <c r="CE93">
        <v>35448</v>
      </c>
      <c r="CF93">
        <v>21</v>
      </c>
      <c r="CG93">
        <v>37220.399999999994</v>
      </c>
      <c r="CH93">
        <v>18</v>
      </c>
      <c r="CI93">
        <v>31903.199999999997</v>
      </c>
      <c r="CJ93">
        <v>23</v>
      </c>
      <c r="CK93">
        <v>40765.199999999997</v>
      </c>
      <c r="CL93">
        <v>15</v>
      </c>
      <c r="CM93">
        <v>26585.999999999996</v>
      </c>
      <c r="CN93">
        <v>23</v>
      </c>
      <c r="CO93">
        <v>40765.199999999997</v>
      </c>
      <c r="CP93">
        <v>17</v>
      </c>
      <c r="CQ93">
        <v>30130.799999999999</v>
      </c>
      <c r="CR93">
        <v>13</v>
      </c>
      <c r="CS93">
        <v>23041.199999999997</v>
      </c>
      <c r="CT93">
        <v>21</v>
      </c>
      <c r="CU93">
        <v>37220.399999999994</v>
      </c>
    </row>
    <row r="94" spans="2:99" x14ac:dyDescent="0.2">
      <c r="C94" s="119" t="s">
        <v>260</v>
      </c>
      <c r="D94">
        <v>16</v>
      </c>
      <c r="E94">
        <v>38323.199999999997</v>
      </c>
      <c r="F94">
        <v>11</v>
      </c>
      <c r="G94">
        <v>26347.199999999997</v>
      </c>
      <c r="H94">
        <v>19</v>
      </c>
      <c r="I94">
        <v>45508.799999999996</v>
      </c>
      <c r="J94">
        <v>11</v>
      </c>
      <c r="K94">
        <v>26347.199999999997</v>
      </c>
      <c r="L94">
        <v>12</v>
      </c>
      <c r="M94">
        <v>28742.399999999998</v>
      </c>
      <c r="N94">
        <v>15</v>
      </c>
      <c r="O94">
        <v>35928</v>
      </c>
      <c r="P94">
        <v>15</v>
      </c>
      <c r="Q94">
        <v>35928</v>
      </c>
      <c r="R94">
        <v>18</v>
      </c>
      <c r="S94">
        <v>43113.599999999999</v>
      </c>
      <c r="T94">
        <v>19</v>
      </c>
      <c r="U94">
        <v>45508.799999999996</v>
      </c>
      <c r="V94">
        <v>11</v>
      </c>
      <c r="W94">
        <v>26347.199999999997</v>
      </c>
      <c r="X94">
        <v>16</v>
      </c>
      <c r="Y94">
        <v>38323.199999999997</v>
      </c>
      <c r="Z94">
        <v>19</v>
      </c>
      <c r="AA94">
        <v>45508.799999999996</v>
      </c>
      <c r="AB94">
        <v>14</v>
      </c>
      <c r="AC94">
        <v>33532.799999999996</v>
      </c>
      <c r="AD94">
        <v>14</v>
      </c>
      <c r="AE94">
        <v>33532.799999999996</v>
      </c>
      <c r="AF94">
        <v>16</v>
      </c>
      <c r="AG94">
        <v>38323.199999999997</v>
      </c>
      <c r="AH94">
        <v>15</v>
      </c>
      <c r="AI94">
        <v>35928</v>
      </c>
      <c r="AJ94">
        <v>16</v>
      </c>
      <c r="AK94">
        <v>38323.199999999997</v>
      </c>
      <c r="AL94">
        <v>16</v>
      </c>
      <c r="AM94">
        <v>38323.199999999997</v>
      </c>
      <c r="AN94">
        <v>23</v>
      </c>
      <c r="AO94">
        <v>55089.599999999999</v>
      </c>
      <c r="AP94">
        <v>15</v>
      </c>
      <c r="AQ94">
        <v>35928</v>
      </c>
      <c r="AR94">
        <v>22</v>
      </c>
      <c r="AS94">
        <v>52694.399999999994</v>
      </c>
      <c r="AT94">
        <v>17</v>
      </c>
      <c r="AU94">
        <v>40718.399999999994</v>
      </c>
      <c r="AV94">
        <v>11</v>
      </c>
      <c r="AW94">
        <v>26347.199999999997</v>
      </c>
      <c r="AX94">
        <v>23</v>
      </c>
      <c r="AY94">
        <v>55089.599999999999</v>
      </c>
      <c r="AZ94">
        <v>14</v>
      </c>
      <c r="BA94">
        <v>33532.799999999996</v>
      </c>
      <c r="BB94">
        <v>16</v>
      </c>
      <c r="BC94">
        <v>38323.199999999997</v>
      </c>
      <c r="BD94">
        <v>20</v>
      </c>
      <c r="BE94">
        <v>47904</v>
      </c>
      <c r="BF94">
        <v>16</v>
      </c>
      <c r="BG94">
        <v>38323.199999999997</v>
      </c>
      <c r="BH94">
        <v>19</v>
      </c>
      <c r="BI94">
        <v>45508.799999999996</v>
      </c>
      <c r="BJ94">
        <v>23</v>
      </c>
      <c r="BK94">
        <v>55089.599999999999</v>
      </c>
      <c r="BL94">
        <v>17</v>
      </c>
      <c r="BM94">
        <v>40718.399999999994</v>
      </c>
      <c r="BN94">
        <v>19</v>
      </c>
      <c r="BO94">
        <v>45508.799999999996</v>
      </c>
      <c r="BP94">
        <v>14</v>
      </c>
      <c r="BQ94">
        <v>33532.799999999996</v>
      </c>
      <c r="BR94">
        <v>17</v>
      </c>
      <c r="BS94">
        <v>40718.399999999994</v>
      </c>
      <c r="BT94">
        <v>20</v>
      </c>
      <c r="BU94">
        <v>47904</v>
      </c>
      <c r="BV94">
        <v>19</v>
      </c>
      <c r="BW94">
        <v>45508.799999999996</v>
      </c>
      <c r="BX94">
        <v>23</v>
      </c>
      <c r="BY94">
        <v>55089.599999999999</v>
      </c>
      <c r="BZ94">
        <v>15</v>
      </c>
      <c r="CA94">
        <v>35928</v>
      </c>
      <c r="CB94">
        <v>17</v>
      </c>
      <c r="CC94">
        <v>40718.399999999994</v>
      </c>
      <c r="CD94">
        <v>18</v>
      </c>
      <c r="CE94">
        <v>43113.599999999999</v>
      </c>
      <c r="CF94">
        <v>20</v>
      </c>
      <c r="CG94">
        <v>47904</v>
      </c>
      <c r="CH94">
        <v>19</v>
      </c>
      <c r="CI94">
        <v>45508.799999999996</v>
      </c>
      <c r="CJ94">
        <v>23</v>
      </c>
      <c r="CK94">
        <v>55089.599999999999</v>
      </c>
      <c r="CL94">
        <v>15</v>
      </c>
      <c r="CM94">
        <v>35928</v>
      </c>
      <c r="CN94">
        <v>23</v>
      </c>
      <c r="CO94">
        <v>55089.599999999999</v>
      </c>
      <c r="CP94">
        <v>19</v>
      </c>
      <c r="CQ94">
        <v>45508.799999999996</v>
      </c>
      <c r="CR94">
        <v>12</v>
      </c>
      <c r="CS94">
        <v>28742.399999999998</v>
      </c>
      <c r="CT94">
        <v>19</v>
      </c>
      <c r="CU94">
        <v>45508.799999999996</v>
      </c>
    </row>
    <row r="95" spans="2:99" x14ac:dyDescent="0.2">
      <c r="B95" s="119" t="s">
        <v>132</v>
      </c>
      <c r="C95" s="119" t="s">
        <v>261</v>
      </c>
      <c r="D95">
        <v>10</v>
      </c>
      <c r="E95">
        <v>17328</v>
      </c>
      <c r="F95">
        <v>16</v>
      </c>
      <c r="G95">
        <v>27724.799999999999</v>
      </c>
      <c r="H95">
        <v>8</v>
      </c>
      <c r="I95">
        <v>13862.4</v>
      </c>
      <c r="J95">
        <v>13</v>
      </c>
      <c r="K95">
        <v>22526.399999999998</v>
      </c>
      <c r="L95">
        <v>13</v>
      </c>
      <c r="M95">
        <v>22526.399999999998</v>
      </c>
      <c r="N95">
        <v>15</v>
      </c>
      <c r="O95">
        <v>25992</v>
      </c>
      <c r="P95">
        <v>9</v>
      </c>
      <c r="Q95">
        <v>15595.199999999999</v>
      </c>
      <c r="R95">
        <v>11</v>
      </c>
      <c r="S95">
        <v>19060.8</v>
      </c>
      <c r="T95">
        <v>13</v>
      </c>
      <c r="U95">
        <v>22526.399999999998</v>
      </c>
      <c r="V95">
        <v>13</v>
      </c>
      <c r="W95">
        <v>22526.399999999998</v>
      </c>
      <c r="X95">
        <v>14</v>
      </c>
      <c r="Y95">
        <v>24259.200000000001</v>
      </c>
      <c r="Z95">
        <v>9</v>
      </c>
      <c r="AA95">
        <v>15595.199999999999</v>
      </c>
      <c r="AB95">
        <v>15</v>
      </c>
      <c r="AC95">
        <v>25992</v>
      </c>
      <c r="AD95">
        <v>15</v>
      </c>
      <c r="AE95">
        <v>25992</v>
      </c>
      <c r="AF95">
        <v>14</v>
      </c>
      <c r="AG95">
        <v>24259.200000000001</v>
      </c>
      <c r="AH95">
        <v>12</v>
      </c>
      <c r="AI95">
        <v>20793.599999999999</v>
      </c>
      <c r="AJ95">
        <v>10</v>
      </c>
      <c r="AK95">
        <v>17328</v>
      </c>
      <c r="AL95">
        <v>9</v>
      </c>
      <c r="AM95">
        <v>15595.199999999999</v>
      </c>
      <c r="AN95">
        <v>14</v>
      </c>
      <c r="AO95">
        <v>24259.200000000001</v>
      </c>
      <c r="AP95">
        <v>9</v>
      </c>
      <c r="AQ95">
        <v>15595.199999999999</v>
      </c>
      <c r="AR95">
        <v>10</v>
      </c>
      <c r="AS95">
        <v>17328</v>
      </c>
      <c r="AT95">
        <v>13</v>
      </c>
      <c r="AU95">
        <v>22526.399999999998</v>
      </c>
      <c r="AV95">
        <v>13</v>
      </c>
      <c r="AW95">
        <v>22526.399999999998</v>
      </c>
      <c r="AX95">
        <v>15</v>
      </c>
      <c r="AY95">
        <v>25992</v>
      </c>
      <c r="AZ95">
        <v>10</v>
      </c>
      <c r="BA95">
        <v>17328</v>
      </c>
      <c r="BB95">
        <v>10</v>
      </c>
      <c r="BC95">
        <v>17328</v>
      </c>
      <c r="BD95">
        <v>14</v>
      </c>
      <c r="BE95">
        <v>24259.200000000001</v>
      </c>
      <c r="BF95">
        <v>8</v>
      </c>
      <c r="BG95">
        <v>13862.4</v>
      </c>
      <c r="BH95">
        <v>10</v>
      </c>
      <c r="BI95">
        <v>17328</v>
      </c>
      <c r="BJ95">
        <v>13</v>
      </c>
      <c r="BK95">
        <v>22526.399999999998</v>
      </c>
      <c r="BL95">
        <v>11</v>
      </c>
      <c r="BM95">
        <v>19060.8</v>
      </c>
      <c r="BN95">
        <v>12</v>
      </c>
      <c r="BO95">
        <v>20793.599999999999</v>
      </c>
      <c r="BP95">
        <v>9</v>
      </c>
      <c r="BQ95">
        <v>15595.199999999999</v>
      </c>
      <c r="BR95">
        <v>14</v>
      </c>
      <c r="BS95">
        <v>24259.200000000001</v>
      </c>
      <c r="BT95">
        <v>13</v>
      </c>
      <c r="BU95">
        <v>22526.399999999998</v>
      </c>
      <c r="BV95">
        <v>12</v>
      </c>
      <c r="BW95">
        <v>20793.599999999999</v>
      </c>
      <c r="BX95">
        <v>14</v>
      </c>
      <c r="BY95">
        <v>24259.200000000001</v>
      </c>
      <c r="BZ95">
        <v>10</v>
      </c>
      <c r="CA95">
        <v>17328</v>
      </c>
      <c r="CB95">
        <v>15</v>
      </c>
      <c r="CC95">
        <v>25992</v>
      </c>
      <c r="CD95">
        <v>12</v>
      </c>
      <c r="CE95">
        <v>20793.599999999999</v>
      </c>
      <c r="CF95">
        <v>12</v>
      </c>
      <c r="CG95">
        <v>20793.599999999999</v>
      </c>
      <c r="CH95">
        <v>9</v>
      </c>
      <c r="CI95">
        <v>15595.199999999999</v>
      </c>
      <c r="CJ95">
        <v>10</v>
      </c>
      <c r="CK95">
        <v>17328</v>
      </c>
      <c r="CL95">
        <v>14</v>
      </c>
      <c r="CM95">
        <v>24259.200000000001</v>
      </c>
      <c r="CN95">
        <v>13</v>
      </c>
      <c r="CO95">
        <v>22526.399999999998</v>
      </c>
      <c r="CP95">
        <v>12</v>
      </c>
      <c r="CQ95">
        <v>20793.599999999999</v>
      </c>
      <c r="CR95">
        <v>13</v>
      </c>
      <c r="CS95">
        <v>22526.399999999998</v>
      </c>
      <c r="CT95">
        <v>14</v>
      </c>
      <c r="CU95">
        <v>24259.200000000001</v>
      </c>
    </row>
    <row r="96" spans="2:99" x14ac:dyDescent="0.2">
      <c r="C96" s="119" t="s">
        <v>262</v>
      </c>
      <c r="D96">
        <v>12</v>
      </c>
      <c r="E96">
        <v>9878.4</v>
      </c>
      <c r="F96">
        <v>18</v>
      </c>
      <c r="G96">
        <v>14817.599999999999</v>
      </c>
      <c r="H96">
        <v>9</v>
      </c>
      <c r="I96">
        <v>7408.7999999999993</v>
      </c>
      <c r="J96">
        <v>14</v>
      </c>
      <c r="K96">
        <v>11524.8</v>
      </c>
      <c r="L96">
        <v>14</v>
      </c>
      <c r="M96">
        <v>11524.8</v>
      </c>
      <c r="N96">
        <v>17</v>
      </c>
      <c r="O96">
        <v>13994.4</v>
      </c>
      <c r="P96">
        <v>10</v>
      </c>
      <c r="Q96">
        <v>8232</v>
      </c>
      <c r="R96">
        <v>12</v>
      </c>
      <c r="S96">
        <v>9878.4</v>
      </c>
      <c r="T96">
        <v>14</v>
      </c>
      <c r="U96">
        <v>11524.8</v>
      </c>
      <c r="V96">
        <v>15</v>
      </c>
      <c r="W96">
        <v>12347.999999999998</v>
      </c>
      <c r="X96">
        <v>15</v>
      </c>
      <c r="Y96">
        <v>12347.999999999998</v>
      </c>
      <c r="Z96">
        <v>9</v>
      </c>
      <c r="AA96">
        <v>7408.7999999999993</v>
      </c>
      <c r="AB96">
        <v>16</v>
      </c>
      <c r="AC96">
        <v>13171.199999999999</v>
      </c>
      <c r="AD96">
        <v>14</v>
      </c>
      <c r="AE96">
        <v>11524.8</v>
      </c>
      <c r="AF96">
        <v>16</v>
      </c>
      <c r="AG96">
        <v>13171.199999999999</v>
      </c>
      <c r="AH96">
        <v>12</v>
      </c>
      <c r="AI96">
        <v>9878.4</v>
      </c>
      <c r="AJ96">
        <v>11</v>
      </c>
      <c r="AK96">
        <v>9055.1999999999989</v>
      </c>
      <c r="AL96">
        <v>9</v>
      </c>
      <c r="AM96">
        <v>7408.7999999999993</v>
      </c>
      <c r="AN96">
        <v>14</v>
      </c>
      <c r="AO96">
        <v>11524.8</v>
      </c>
      <c r="AP96">
        <v>12</v>
      </c>
      <c r="AQ96">
        <v>9878.4</v>
      </c>
      <c r="AR96">
        <v>11</v>
      </c>
      <c r="AS96">
        <v>9055.1999999999989</v>
      </c>
      <c r="AT96">
        <v>16</v>
      </c>
      <c r="AU96">
        <v>13171.199999999999</v>
      </c>
      <c r="AV96">
        <v>15</v>
      </c>
      <c r="AW96">
        <v>12347.999999999998</v>
      </c>
      <c r="AX96">
        <v>17</v>
      </c>
      <c r="AY96">
        <v>13994.4</v>
      </c>
      <c r="AZ96">
        <v>11</v>
      </c>
      <c r="BA96">
        <v>9055.1999999999989</v>
      </c>
      <c r="BB96">
        <v>11</v>
      </c>
      <c r="BC96">
        <v>9055.1999999999989</v>
      </c>
      <c r="BD96">
        <v>15</v>
      </c>
      <c r="BE96">
        <v>12347.999999999998</v>
      </c>
      <c r="BF96">
        <v>10</v>
      </c>
      <c r="BG96">
        <v>8232</v>
      </c>
      <c r="BH96">
        <v>11</v>
      </c>
      <c r="BI96">
        <v>9055.1999999999989</v>
      </c>
      <c r="BJ96">
        <v>17</v>
      </c>
      <c r="BK96">
        <v>13994.4</v>
      </c>
      <c r="BL96">
        <v>12</v>
      </c>
      <c r="BM96">
        <v>9878.4</v>
      </c>
      <c r="BN96">
        <v>15</v>
      </c>
      <c r="BO96">
        <v>12347.999999999998</v>
      </c>
      <c r="BP96">
        <v>11</v>
      </c>
      <c r="BQ96">
        <v>9055.1999999999989</v>
      </c>
      <c r="BR96">
        <v>15</v>
      </c>
      <c r="BS96">
        <v>12347.999999999998</v>
      </c>
      <c r="BT96">
        <v>13</v>
      </c>
      <c r="BU96">
        <v>10701.599999999999</v>
      </c>
      <c r="BV96">
        <v>11</v>
      </c>
      <c r="BW96">
        <v>9055.1999999999989</v>
      </c>
      <c r="BX96">
        <v>16</v>
      </c>
      <c r="BY96">
        <v>13171.199999999999</v>
      </c>
      <c r="BZ96">
        <v>11</v>
      </c>
      <c r="CA96">
        <v>9055.1999999999989</v>
      </c>
      <c r="CB96">
        <v>18</v>
      </c>
      <c r="CC96">
        <v>14817.599999999999</v>
      </c>
      <c r="CD96">
        <v>14</v>
      </c>
      <c r="CE96">
        <v>11524.8</v>
      </c>
      <c r="CF96">
        <v>12</v>
      </c>
      <c r="CG96">
        <v>9878.4</v>
      </c>
      <c r="CH96">
        <v>10</v>
      </c>
      <c r="CI96">
        <v>8232</v>
      </c>
      <c r="CJ96">
        <v>12</v>
      </c>
      <c r="CK96">
        <v>9878.4</v>
      </c>
      <c r="CL96">
        <v>14</v>
      </c>
      <c r="CM96">
        <v>11524.8</v>
      </c>
      <c r="CN96">
        <v>15</v>
      </c>
      <c r="CO96">
        <v>12347.999999999998</v>
      </c>
      <c r="CP96">
        <v>13</v>
      </c>
      <c r="CQ96">
        <v>10701.599999999999</v>
      </c>
      <c r="CR96">
        <v>13</v>
      </c>
      <c r="CS96">
        <v>10701.599999999999</v>
      </c>
      <c r="CT96">
        <v>13</v>
      </c>
      <c r="CU96">
        <v>10701.599999999999</v>
      </c>
    </row>
    <row r="97" spans="2:99" x14ac:dyDescent="0.2">
      <c r="C97" s="119" t="s">
        <v>263</v>
      </c>
      <c r="D97">
        <v>9</v>
      </c>
      <c r="E97">
        <v>16459.2</v>
      </c>
      <c r="F97">
        <v>14</v>
      </c>
      <c r="G97">
        <v>25603.200000000001</v>
      </c>
      <c r="H97">
        <v>8</v>
      </c>
      <c r="I97">
        <v>14630.4</v>
      </c>
      <c r="J97">
        <v>12</v>
      </c>
      <c r="K97">
        <v>21945.599999999999</v>
      </c>
      <c r="L97">
        <v>11</v>
      </c>
      <c r="M97">
        <v>20116.8</v>
      </c>
      <c r="N97">
        <v>13</v>
      </c>
      <c r="O97">
        <v>23774.399999999998</v>
      </c>
      <c r="P97">
        <v>9</v>
      </c>
      <c r="Q97">
        <v>16459.2</v>
      </c>
      <c r="R97">
        <v>9</v>
      </c>
      <c r="S97">
        <v>16459.2</v>
      </c>
      <c r="T97">
        <v>12</v>
      </c>
      <c r="U97">
        <v>21945.599999999999</v>
      </c>
      <c r="V97">
        <v>12</v>
      </c>
      <c r="W97">
        <v>21945.599999999999</v>
      </c>
      <c r="X97">
        <v>14</v>
      </c>
      <c r="Y97">
        <v>25603.200000000001</v>
      </c>
      <c r="Z97">
        <v>9</v>
      </c>
      <c r="AA97">
        <v>16459.2</v>
      </c>
      <c r="AB97">
        <v>13</v>
      </c>
      <c r="AC97">
        <v>23774.399999999998</v>
      </c>
      <c r="AD97">
        <v>13</v>
      </c>
      <c r="AE97">
        <v>23774.399999999998</v>
      </c>
      <c r="AF97">
        <v>15</v>
      </c>
      <c r="AG97">
        <v>27432</v>
      </c>
      <c r="AH97">
        <v>11</v>
      </c>
      <c r="AI97">
        <v>20116.8</v>
      </c>
      <c r="AJ97">
        <v>10</v>
      </c>
      <c r="AK97">
        <v>18288</v>
      </c>
      <c r="AL97">
        <v>9</v>
      </c>
      <c r="AM97">
        <v>16459.2</v>
      </c>
      <c r="AN97">
        <v>12</v>
      </c>
      <c r="AO97">
        <v>21945.599999999999</v>
      </c>
      <c r="AP97">
        <v>9</v>
      </c>
      <c r="AQ97">
        <v>16459.2</v>
      </c>
      <c r="AR97">
        <v>11</v>
      </c>
      <c r="AS97">
        <v>20116.8</v>
      </c>
      <c r="AT97">
        <v>13</v>
      </c>
      <c r="AU97">
        <v>23774.399999999998</v>
      </c>
      <c r="AV97">
        <v>15</v>
      </c>
      <c r="AW97">
        <v>27432</v>
      </c>
      <c r="AX97">
        <v>14</v>
      </c>
      <c r="AY97">
        <v>25603.200000000001</v>
      </c>
      <c r="AZ97">
        <v>10</v>
      </c>
      <c r="BA97">
        <v>18288</v>
      </c>
      <c r="BB97">
        <v>11</v>
      </c>
      <c r="BC97">
        <v>20116.8</v>
      </c>
      <c r="BD97">
        <v>15</v>
      </c>
      <c r="BE97">
        <v>27432</v>
      </c>
      <c r="BF97">
        <v>9</v>
      </c>
      <c r="BG97">
        <v>16459.2</v>
      </c>
      <c r="BH97">
        <v>10</v>
      </c>
      <c r="BI97">
        <v>18288</v>
      </c>
      <c r="BJ97">
        <v>14</v>
      </c>
      <c r="BK97">
        <v>25603.200000000001</v>
      </c>
      <c r="BL97">
        <v>12</v>
      </c>
      <c r="BM97">
        <v>21945.599999999999</v>
      </c>
      <c r="BN97">
        <v>14</v>
      </c>
      <c r="BO97">
        <v>25603.200000000001</v>
      </c>
      <c r="BP97">
        <v>9</v>
      </c>
      <c r="BQ97">
        <v>16459.2</v>
      </c>
      <c r="BR97">
        <v>13</v>
      </c>
      <c r="BS97">
        <v>23774.399999999998</v>
      </c>
      <c r="BT97">
        <v>12</v>
      </c>
      <c r="BU97">
        <v>21945.599999999999</v>
      </c>
      <c r="BV97">
        <v>12</v>
      </c>
      <c r="BW97">
        <v>21945.599999999999</v>
      </c>
      <c r="BX97">
        <v>16</v>
      </c>
      <c r="BY97">
        <v>29260.799999999999</v>
      </c>
      <c r="BZ97">
        <v>10</v>
      </c>
      <c r="CA97">
        <v>18288</v>
      </c>
      <c r="CB97">
        <v>14</v>
      </c>
      <c r="CC97">
        <v>25603.200000000001</v>
      </c>
      <c r="CD97">
        <v>12</v>
      </c>
      <c r="CE97">
        <v>21945.599999999999</v>
      </c>
      <c r="CF97">
        <v>13</v>
      </c>
      <c r="CG97">
        <v>23774.399999999998</v>
      </c>
      <c r="CH97">
        <v>9</v>
      </c>
      <c r="CI97">
        <v>16459.2</v>
      </c>
      <c r="CJ97">
        <v>11</v>
      </c>
      <c r="CK97">
        <v>20116.8</v>
      </c>
      <c r="CL97">
        <v>12</v>
      </c>
      <c r="CM97">
        <v>21945.599999999999</v>
      </c>
      <c r="CN97">
        <v>14</v>
      </c>
      <c r="CO97">
        <v>25603.200000000001</v>
      </c>
      <c r="CP97">
        <v>13</v>
      </c>
      <c r="CQ97">
        <v>23774.399999999998</v>
      </c>
      <c r="CR97">
        <v>11</v>
      </c>
      <c r="CS97">
        <v>20116.8</v>
      </c>
      <c r="CT97">
        <v>12</v>
      </c>
      <c r="CU97">
        <v>21945.599999999999</v>
      </c>
    </row>
    <row r="98" spans="2:99" x14ac:dyDescent="0.2">
      <c r="C98" s="119" t="s">
        <v>264</v>
      </c>
      <c r="D98">
        <v>11</v>
      </c>
      <c r="E98">
        <v>13899.599999999999</v>
      </c>
      <c r="F98">
        <v>15</v>
      </c>
      <c r="G98">
        <v>18954</v>
      </c>
      <c r="H98">
        <v>8</v>
      </c>
      <c r="I98">
        <v>10108.799999999999</v>
      </c>
      <c r="J98">
        <v>13</v>
      </c>
      <c r="K98">
        <v>16426.8</v>
      </c>
      <c r="L98">
        <v>12</v>
      </c>
      <c r="M98">
        <v>15163.199999999999</v>
      </c>
      <c r="N98">
        <v>15</v>
      </c>
      <c r="O98">
        <v>18954</v>
      </c>
      <c r="P98">
        <v>9</v>
      </c>
      <c r="Q98">
        <v>11372.4</v>
      </c>
      <c r="R98">
        <v>10</v>
      </c>
      <c r="S98">
        <v>12636</v>
      </c>
      <c r="T98">
        <v>12</v>
      </c>
      <c r="U98">
        <v>15163.199999999999</v>
      </c>
      <c r="V98">
        <v>13</v>
      </c>
      <c r="W98">
        <v>16426.8</v>
      </c>
      <c r="X98">
        <v>14</v>
      </c>
      <c r="Y98">
        <v>17690.399999999998</v>
      </c>
      <c r="Z98">
        <v>9</v>
      </c>
      <c r="AA98">
        <v>11372.4</v>
      </c>
      <c r="AB98">
        <v>14</v>
      </c>
      <c r="AC98">
        <v>17690.399999999998</v>
      </c>
      <c r="AD98">
        <v>14</v>
      </c>
      <c r="AE98">
        <v>17690.399999999998</v>
      </c>
      <c r="AF98">
        <v>16</v>
      </c>
      <c r="AG98">
        <v>20217.599999999999</v>
      </c>
      <c r="AH98">
        <v>12</v>
      </c>
      <c r="AI98">
        <v>15163.199999999999</v>
      </c>
      <c r="AJ98">
        <v>11</v>
      </c>
      <c r="AK98">
        <v>13899.599999999999</v>
      </c>
      <c r="AL98">
        <v>10</v>
      </c>
      <c r="AM98">
        <v>12636</v>
      </c>
      <c r="AN98">
        <v>13</v>
      </c>
      <c r="AO98">
        <v>16426.8</v>
      </c>
      <c r="AP98">
        <v>11</v>
      </c>
      <c r="AQ98">
        <v>13899.599999999999</v>
      </c>
      <c r="AR98">
        <v>11</v>
      </c>
      <c r="AS98">
        <v>13899.599999999999</v>
      </c>
      <c r="AT98">
        <v>14</v>
      </c>
      <c r="AU98">
        <v>17690.399999999998</v>
      </c>
      <c r="AV98">
        <v>15</v>
      </c>
      <c r="AW98">
        <v>18954</v>
      </c>
      <c r="AX98">
        <v>16</v>
      </c>
      <c r="AY98">
        <v>20217.599999999999</v>
      </c>
      <c r="AZ98">
        <v>10</v>
      </c>
      <c r="BA98">
        <v>12636</v>
      </c>
      <c r="BB98">
        <v>10</v>
      </c>
      <c r="BC98">
        <v>12636</v>
      </c>
      <c r="BD98">
        <v>14</v>
      </c>
      <c r="BE98">
        <v>17690.399999999998</v>
      </c>
      <c r="BF98">
        <v>8</v>
      </c>
      <c r="BG98">
        <v>10108.799999999999</v>
      </c>
      <c r="BH98">
        <v>13</v>
      </c>
      <c r="BI98">
        <v>16426.8</v>
      </c>
      <c r="BJ98">
        <v>14</v>
      </c>
      <c r="BK98">
        <v>17690.399999999998</v>
      </c>
      <c r="BL98">
        <v>12</v>
      </c>
      <c r="BM98">
        <v>15163.199999999999</v>
      </c>
      <c r="BN98">
        <v>14</v>
      </c>
      <c r="BO98">
        <v>17690.399999999998</v>
      </c>
      <c r="BP98">
        <v>10</v>
      </c>
      <c r="BQ98">
        <v>12636</v>
      </c>
      <c r="BR98">
        <v>13</v>
      </c>
      <c r="BS98">
        <v>16426.8</v>
      </c>
      <c r="BT98">
        <v>12</v>
      </c>
      <c r="BU98">
        <v>15163.199999999999</v>
      </c>
      <c r="BV98">
        <v>10</v>
      </c>
      <c r="BW98">
        <v>12636</v>
      </c>
      <c r="BX98">
        <v>17</v>
      </c>
      <c r="BY98">
        <v>21481.199999999997</v>
      </c>
      <c r="BZ98">
        <v>10</v>
      </c>
      <c r="CA98">
        <v>12636</v>
      </c>
      <c r="CB98">
        <v>16</v>
      </c>
      <c r="CC98">
        <v>20217.599999999999</v>
      </c>
      <c r="CD98">
        <v>14</v>
      </c>
      <c r="CE98">
        <v>17690.399999999998</v>
      </c>
      <c r="CF98">
        <v>12</v>
      </c>
      <c r="CG98">
        <v>15163.199999999999</v>
      </c>
      <c r="CH98">
        <v>10</v>
      </c>
      <c r="CI98">
        <v>12636</v>
      </c>
      <c r="CJ98">
        <v>11</v>
      </c>
      <c r="CK98">
        <v>13899.599999999999</v>
      </c>
      <c r="CL98">
        <v>13</v>
      </c>
      <c r="CM98">
        <v>16426.8</v>
      </c>
      <c r="CN98">
        <v>14</v>
      </c>
      <c r="CO98">
        <v>17690.399999999998</v>
      </c>
      <c r="CP98">
        <v>13</v>
      </c>
      <c r="CQ98">
        <v>16426.8</v>
      </c>
      <c r="CR98">
        <v>14</v>
      </c>
      <c r="CS98">
        <v>17690.399999999998</v>
      </c>
      <c r="CT98">
        <v>13</v>
      </c>
      <c r="CU98">
        <v>16426.8</v>
      </c>
    </row>
    <row r="99" spans="2:99" x14ac:dyDescent="0.2">
      <c r="C99" s="119" t="s">
        <v>265</v>
      </c>
      <c r="D99">
        <v>7</v>
      </c>
      <c r="E99">
        <v>38371.199999999997</v>
      </c>
      <c r="F99">
        <v>11</v>
      </c>
      <c r="G99">
        <v>60297.599999999991</v>
      </c>
      <c r="H99">
        <v>6</v>
      </c>
      <c r="I99">
        <v>32889.599999999999</v>
      </c>
      <c r="J99">
        <v>9</v>
      </c>
      <c r="K99">
        <v>49334.399999999994</v>
      </c>
      <c r="L99">
        <v>9</v>
      </c>
      <c r="M99">
        <v>49334.399999999994</v>
      </c>
      <c r="N99">
        <v>11</v>
      </c>
      <c r="O99">
        <v>60297.599999999991</v>
      </c>
      <c r="P99">
        <v>6</v>
      </c>
      <c r="Q99">
        <v>32889.599999999999</v>
      </c>
      <c r="R99">
        <v>7</v>
      </c>
      <c r="S99">
        <v>38371.199999999997</v>
      </c>
      <c r="T99">
        <v>9</v>
      </c>
      <c r="U99">
        <v>49334.399999999994</v>
      </c>
      <c r="V99">
        <v>9</v>
      </c>
      <c r="W99">
        <v>49334.399999999994</v>
      </c>
      <c r="X99">
        <v>9</v>
      </c>
      <c r="Y99">
        <v>49334.399999999994</v>
      </c>
      <c r="Z99">
        <v>6</v>
      </c>
      <c r="AA99">
        <v>32889.599999999999</v>
      </c>
      <c r="AB99">
        <v>10</v>
      </c>
      <c r="AC99">
        <v>54815.999999999993</v>
      </c>
      <c r="AD99">
        <v>10</v>
      </c>
      <c r="AE99">
        <v>54815.999999999993</v>
      </c>
      <c r="AF99">
        <v>10</v>
      </c>
      <c r="AG99">
        <v>54815.999999999993</v>
      </c>
      <c r="AH99">
        <v>8</v>
      </c>
      <c r="AI99">
        <v>43852.799999999996</v>
      </c>
      <c r="AJ99">
        <v>8</v>
      </c>
      <c r="AK99">
        <v>43852.799999999996</v>
      </c>
      <c r="AL99">
        <v>6</v>
      </c>
      <c r="AM99">
        <v>32889.599999999999</v>
      </c>
      <c r="AN99">
        <v>8</v>
      </c>
      <c r="AO99">
        <v>43852.799999999996</v>
      </c>
      <c r="AP99">
        <v>8</v>
      </c>
      <c r="AQ99">
        <v>43852.799999999996</v>
      </c>
      <c r="AR99">
        <v>7</v>
      </c>
      <c r="AS99">
        <v>38371.199999999997</v>
      </c>
      <c r="AT99">
        <v>9</v>
      </c>
      <c r="AU99">
        <v>49334.399999999994</v>
      </c>
      <c r="AV99">
        <v>11</v>
      </c>
      <c r="AW99">
        <v>60297.599999999991</v>
      </c>
      <c r="AX99">
        <v>12</v>
      </c>
      <c r="AY99">
        <v>65779.199999999997</v>
      </c>
      <c r="AZ99">
        <v>7</v>
      </c>
      <c r="BA99">
        <v>38371.199999999997</v>
      </c>
      <c r="BB99">
        <v>7</v>
      </c>
      <c r="BC99">
        <v>38371.199999999997</v>
      </c>
      <c r="BD99">
        <v>11</v>
      </c>
      <c r="BE99">
        <v>60297.599999999991</v>
      </c>
      <c r="BF99">
        <v>7</v>
      </c>
      <c r="BG99">
        <v>38371.199999999997</v>
      </c>
      <c r="BH99">
        <v>8</v>
      </c>
      <c r="BI99">
        <v>43852.799999999996</v>
      </c>
      <c r="BJ99">
        <v>10</v>
      </c>
      <c r="BK99">
        <v>54815.999999999993</v>
      </c>
      <c r="BL99">
        <v>7</v>
      </c>
      <c r="BM99">
        <v>38371.199999999997</v>
      </c>
      <c r="BN99">
        <v>9</v>
      </c>
      <c r="BO99">
        <v>49334.399999999994</v>
      </c>
      <c r="BP99">
        <v>7</v>
      </c>
      <c r="BQ99">
        <v>38371.199999999997</v>
      </c>
      <c r="BR99">
        <v>10</v>
      </c>
      <c r="BS99">
        <v>54815.999999999993</v>
      </c>
      <c r="BT99">
        <v>8</v>
      </c>
      <c r="BU99">
        <v>43852.799999999996</v>
      </c>
      <c r="BV99">
        <v>7</v>
      </c>
      <c r="BW99">
        <v>38371.199999999997</v>
      </c>
      <c r="BX99">
        <v>10</v>
      </c>
      <c r="BY99">
        <v>54815.999999999993</v>
      </c>
      <c r="BZ99">
        <v>7</v>
      </c>
      <c r="CA99">
        <v>38371.199999999997</v>
      </c>
      <c r="CB99">
        <v>10</v>
      </c>
      <c r="CC99">
        <v>54815.999999999993</v>
      </c>
      <c r="CD99">
        <v>9</v>
      </c>
      <c r="CE99">
        <v>49334.399999999994</v>
      </c>
      <c r="CF99">
        <v>9</v>
      </c>
      <c r="CG99">
        <v>49334.399999999994</v>
      </c>
      <c r="CH99">
        <v>7</v>
      </c>
      <c r="CI99">
        <v>38371.199999999997</v>
      </c>
      <c r="CJ99">
        <v>8</v>
      </c>
      <c r="CK99">
        <v>43852.799999999996</v>
      </c>
      <c r="CL99">
        <v>10</v>
      </c>
      <c r="CM99">
        <v>54815.999999999993</v>
      </c>
      <c r="CN99">
        <v>10</v>
      </c>
      <c r="CO99">
        <v>54815.999999999993</v>
      </c>
      <c r="CP99">
        <v>8</v>
      </c>
      <c r="CQ99">
        <v>43852.799999999996</v>
      </c>
      <c r="CR99">
        <v>10</v>
      </c>
      <c r="CS99">
        <v>54815.999999999993</v>
      </c>
      <c r="CT99">
        <v>9</v>
      </c>
      <c r="CU99">
        <v>49334.399999999994</v>
      </c>
    </row>
    <row r="100" spans="2:99" x14ac:dyDescent="0.2">
      <c r="C100" s="119" t="s">
        <v>266</v>
      </c>
      <c r="D100">
        <v>9</v>
      </c>
      <c r="E100">
        <v>14601.599999999999</v>
      </c>
      <c r="F100">
        <v>14</v>
      </c>
      <c r="G100">
        <v>22713.599999999999</v>
      </c>
      <c r="H100">
        <v>9</v>
      </c>
      <c r="I100">
        <v>14601.599999999999</v>
      </c>
      <c r="J100">
        <v>12</v>
      </c>
      <c r="K100">
        <v>19468.8</v>
      </c>
      <c r="L100">
        <v>13</v>
      </c>
      <c r="M100">
        <v>21091.199999999997</v>
      </c>
      <c r="N100">
        <v>14</v>
      </c>
      <c r="O100">
        <v>22713.599999999999</v>
      </c>
      <c r="P100">
        <v>9</v>
      </c>
      <c r="Q100">
        <v>14601.599999999999</v>
      </c>
      <c r="R100">
        <v>11</v>
      </c>
      <c r="S100">
        <v>17846.399999999998</v>
      </c>
      <c r="T100">
        <v>13</v>
      </c>
      <c r="U100">
        <v>21091.199999999997</v>
      </c>
      <c r="V100">
        <v>14</v>
      </c>
      <c r="W100">
        <v>22713.599999999999</v>
      </c>
      <c r="X100">
        <v>13</v>
      </c>
      <c r="Y100">
        <v>21091.199999999997</v>
      </c>
      <c r="Z100">
        <v>8</v>
      </c>
      <c r="AA100">
        <v>12979.199999999999</v>
      </c>
      <c r="AB100">
        <v>15</v>
      </c>
      <c r="AC100">
        <v>24335.999999999996</v>
      </c>
      <c r="AD100">
        <v>15</v>
      </c>
      <c r="AE100">
        <v>24335.999999999996</v>
      </c>
      <c r="AF100">
        <v>16</v>
      </c>
      <c r="AG100">
        <v>25958.399999999998</v>
      </c>
      <c r="AH100">
        <v>11</v>
      </c>
      <c r="AI100">
        <v>17846.399999999998</v>
      </c>
      <c r="AJ100">
        <v>10</v>
      </c>
      <c r="AK100">
        <v>16223.999999999998</v>
      </c>
      <c r="AL100">
        <v>10</v>
      </c>
      <c r="AM100">
        <v>16223.999999999998</v>
      </c>
      <c r="AN100">
        <v>12</v>
      </c>
      <c r="AO100">
        <v>19468.8</v>
      </c>
      <c r="AP100">
        <v>10</v>
      </c>
      <c r="AQ100">
        <v>16223.999999999998</v>
      </c>
      <c r="AR100">
        <v>10</v>
      </c>
      <c r="AS100">
        <v>16223.999999999998</v>
      </c>
      <c r="AT100">
        <v>13</v>
      </c>
      <c r="AU100">
        <v>21091.199999999997</v>
      </c>
      <c r="AV100">
        <v>13</v>
      </c>
      <c r="AW100">
        <v>21091.199999999997</v>
      </c>
      <c r="AX100">
        <v>14</v>
      </c>
      <c r="AY100">
        <v>22713.599999999999</v>
      </c>
      <c r="AZ100">
        <v>11</v>
      </c>
      <c r="BA100">
        <v>17846.399999999998</v>
      </c>
      <c r="BB100">
        <v>9</v>
      </c>
      <c r="BC100">
        <v>14601.599999999999</v>
      </c>
      <c r="BD100">
        <v>13</v>
      </c>
      <c r="BE100">
        <v>21091.199999999997</v>
      </c>
      <c r="BF100">
        <v>10</v>
      </c>
      <c r="BG100">
        <v>16223.999999999998</v>
      </c>
      <c r="BH100">
        <v>12</v>
      </c>
      <c r="BI100">
        <v>19468.8</v>
      </c>
      <c r="BJ100">
        <v>16</v>
      </c>
      <c r="BK100">
        <v>25958.399999999998</v>
      </c>
      <c r="BL100">
        <v>11</v>
      </c>
      <c r="BM100">
        <v>17846.399999999998</v>
      </c>
      <c r="BN100">
        <v>12</v>
      </c>
      <c r="BO100">
        <v>19468.8</v>
      </c>
      <c r="BP100">
        <v>11</v>
      </c>
      <c r="BQ100">
        <v>17846.399999999998</v>
      </c>
      <c r="BR100">
        <v>14</v>
      </c>
      <c r="BS100">
        <v>22713.599999999999</v>
      </c>
      <c r="BT100">
        <v>12</v>
      </c>
      <c r="BU100">
        <v>19468.8</v>
      </c>
      <c r="BV100">
        <v>11</v>
      </c>
      <c r="BW100">
        <v>17846.399999999998</v>
      </c>
      <c r="BX100">
        <v>14</v>
      </c>
      <c r="BY100">
        <v>22713.599999999999</v>
      </c>
      <c r="BZ100">
        <v>10</v>
      </c>
      <c r="CA100">
        <v>16223.999999999998</v>
      </c>
      <c r="CB100">
        <v>15</v>
      </c>
      <c r="CC100">
        <v>24335.999999999996</v>
      </c>
      <c r="CD100">
        <v>13</v>
      </c>
      <c r="CE100">
        <v>21091.199999999997</v>
      </c>
      <c r="CF100">
        <v>12</v>
      </c>
      <c r="CG100">
        <v>19468.8</v>
      </c>
      <c r="CH100">
        <v>11</v>
      </c>
      <c r="CI100">
        <v>17846.399999999998</v>
      </c>
      <c r="CJ100">
        <v>11</v>
      </c>
      <c r="CK100">
        <v>17846.399999999998</v>
      </c>
      <c r="CL100">
        <v>14</v>
      </c>
      <c r="CM100">
        <v>22713.599999999999</v>
      </c>
      <c r="CN100">
        <v>15</v>
      </c>
      <c r="CO100">
        <v>24335.999999999996</v>
      </c>
      <c r="CP100">
        <v>13</v>
      </c>
      <c r="CQ100">
        <v>21091.199999999997</v>
      </c>
      <c r="CR100">
        <v>12</v>
      </c>
      <c r="CS100">
        <v>19468.8</v>
      </c>
      <c r="CT100">
        <v>13</v>
      </c>
      <c r="CU100">
        <v>21091.199999999997</v>
      </c>
    </row>
    <row r="101" spans="2:99" x14ac:dyDescent="0.2">
      <c r="C101" s="119" t="s">
        <v>267</v>
      </c>
      <c r="D101">
        <v>10</v>
      </c>
      <c r="E101">
        <v>11903.999999999998</v>
      </c>
      <c r="F101">
        <v>16</v>
      </c>
      <c r="G101">
        <v>19046.399999999998</v>
      </c>
      <c r="H101">
        <v>9</v>
      </c>
      <c r="I101">
        <v>10713.599999999999</v>
      </c>
      <c r="J101">
        <v>13</v>
      </c>
      <c r="K101">
        <v>15475.199999999999</v>
      </c>
      <c r="L101">
        <v>13</v>
      </c>
      <c r="M101">
        <v>15475.199999999999</v>
      </c>
      <c r="N101">
        <v>14</v>
      </c>
      <c r="O101">
        <v>16665.599999999999</v>
      </c>
      <c r="P101">
        <v>10</v>
      </c>
      <c r="Q101">
        <v>11903.999999999998</v>
      </c>
      <c r="R101">
        <v>11</v>
      </c>
      <c r="S101">
        <v>13094.399999999998</v>
      </c>
      <c r="T101">
        <v>14</v>
      </c>
      <c r="U101">
        <v>16665.599999999999</v>
      </c>
      <c r="V101">
        <v>14</v>
      </c>
      <c r="W101">
        <v>16665.599999999999</v>
      </c>
      <c r="X101">
        <v>14</v>
      </c>
      <c r="Y101">
        <v>16665.599999999999</v>
      </c>
      <c r="Z101">
        <v>8</v>
      </c>
      <c r="AA101">
        <v>9523.1999999999989</v>
      </c>
      <c r="AB101">
        <v>15</v>
      </c>
      <c r="AC101">
        <v>17855.999999999996</v>
      </c>
      <c r="AD101">
        <v>15</v>
      </c>
      <c r="AE101">
        <v>17855.999999999996</v>
      </c>
      <c r="AF101">
        <v>14</v>
      </c>
      <c r="AG101">
        <v>16665.599999999999</v>
      </c>
      <c r="AH101">
        <v>12</v>
      </c>
      <c r="AI101">
        <v>14284.8</v>
      </c>
      <c r="AJ101">
        <v>12</v>
      </c>
      <c r="AK101">
        <v>14284.8</v>
      </c>
      <c r="AL101">
        <v>11</v>
      </c>
      <c r="AM101">
        <v>13094.399999999998</v>
      </c>
      <c r="AN101">
        <v>13</v>
      </c>
      <c r="AO101">
        <v>15475.199999999999</v>
      </c>
      <c r="AP101">
        <v>10</v>
      </c>
      <c r="AQ101">
        <v>11903.999999999998</v>
      </c>
      <c r="AR101">
        <v>12</v>
      </c>
      <c r="AS101">
        <v>14284.8</v>
      </c>
      <c r="AT101">
        <v>15</v>
      </c>
      <c r="AU101">
        <v>17855.999999999996</v>
      </c>
      <c r="AV101">
        <v>16</v>
      </c>
      <c r="AW101">
        <v>19046.399999999998</v>
      </c>
      <c r="AX101">
        <v>14</v>
      </c>
      <c r="AY101">
        <v>16665.599999999999</v>
      </c>
      <c r="AZ101">
        <v>10</v>
      </c>
      <c r="BA101">
        <v>11903.999999999998</v>
      </c>
      <c r="BB101">
        <v>11</v>
      </c>
      <c r="BC101">
        <v>13094.399999999998</v>
      </c>
      <c r="BD101">
        <v>14</v>
      </c>
      <c r="BE101">
        <v>16665.599999999999</v>
      </c>
      <c r="BF101">
        <v>8</v>
      </c>
      <c r="BG101">
        <v>9523.1999999999989</v>
      </c>
      <c r="BH101">
        <v>12</v>
      </c>
      <c r="BI101">
        <v>14284.8</v>
      </c>
      <c r="BJ101">
        <v>15</v>
      </c>
      <c r="BK101">
        <v>17855.999999999996</v>
      </c>
      <c r="BL101">
        <v>11</v>
      </c>
      <c r="BM101">
        <v>13094.399999999998</v>
      </c>
      <c r="BN101">
        <v>14</v>
      </c>
      <c r="BO101">
        <v>16665.599999999999</v>
      </c>
      <c r="BP101">
        <v>10</v>
      </c>
      <c r="BQ101">
        <v>11903.999999999998</v>
      </c>
      <c r="BR101">
        <v>13</v>
      </c>
      <c r="BS101">
        <v>15475.199999999999</v>
      </c>
      <c r="BT101">
        <v>13</v>
      </c>
      <c r="BU101">
        <v>15475.199999999999</v>
      </c>
      <c r="BV101">
        <v>10</v>
      </c>
      <c r="BW101">
        <v>11903.999999999998</v>
      </c>
      <c r="BX101">
        <v>15</v>
      </c>
      <c r="BY101">
        <v>17855.999999999996</v>
      </c>
      <c r="BZ101">
        <v>11</v>
      </c>
      <c r="CA101">
        <v>13094.399999999998</v>
      </c>
      <c r="CB101">
        <v>15</v>
      </c>
      <c r="CC101">
        <v>17855.999999999996</v>
      </c>
      <c r="CD101">
        <v>14</v>
      </c>
      <c r="CE101">
        <v>16665.599999999999</v>
      </c>
      <c r="CF101">
        <v>13</v>
      </c>
      <c r="CG101">
        <v>15475.199999999999</v>
      </c>
      <c r="CH101">
        <v>10</v>
      </c>
      <c r="CI101">
        <v>11903.999999999998</v>
      </c>
      <c r="CJ101">
        <v>12</v>
      </c>
      <c r="CK101">
        <v>14284.8</v>
      </c>
      <c r="CL101">
        <v>15</v>
      </c>
      <c r="CM101">
        <v>17855.999999999996</v>
      </c>
      <c r="CN101">
        <v>16</v>
      </c>
      <c r="CO101">
        <v>19046.399999999998</v>
      </c>
      <c r="CP101">
        <v>13</v>
      </c>
      <c r="CQ101">
        <v>15475.199999999999</v>
      </c>
      <c r="CR101">
        <v>13</v>
      </c>
      <c r="CS101">
        <v>15475.199999999999</v>
      </c>
      <c r="CT101">
        <v>14</v>
      </c>
      <c r="CU101">
        <v>16665.599999999999</v>
      </c>
    </row>
    <row r="102" spans="2:99" x14ac:dyDescent="0.2">
      <c r="C102" s="119" t="s">
        <v>268</v>
      </c>
      <c r="D102">
        <v>9</v>
      </c>
      <c r="E102">
        <v>17452.8</v>
      </c>
      <c r="F102">
        <v>14</v>
      </c>
      <c r="G102">
        <v>27148.799999999996</v>
      </c>
      <c r="H102">
        <v>8</v>
      </c>
      <c r="I102">
        <v>15513.599999999999</v>
      </c>
      <c r="J102">
        <v>13</v>
      </c>
      <c r="K102">
        <v>25209.599999999999</v>
      </c>
      <c r="L102">
        <v>11</v>
      </c>
      <c r="M102">
        <v>21331.199999999997</v>
      </c>
      <c r="N102">
        <v>14</v>
      </c>
      <c r="O102">
        <v>27148.799999999996</v>
      </c>
      <c r="P102">
        <v>9</v>
      </c>
      <c r="Q102">
        <v>17452.8</v>
      </c>
      <c r="R102">
        <v>10</v>
      </c>
      <c r="S102">
        <v>19392</v>
      </c>
      <c r="T102">
        <v>14</v>
      </c>
      <c r="U102">
        <v>27148.799999999996</v>
      </c>
      <c r="V102">
        <v>13</v>
      </c>
      <c r="W102">
        <v>25209.599999999999</v>
      </c>
      <c r="X102">
        <v>15</v>
      </c>
      <c r="Y102">
        <v>29087.999999999996</v>
      </c>
      <c r="Z102">
        <v>8</v>
      </c>
      <c r="AA102">
        <v>15513.599999999999</v>
      </c>
      <c r="AB102">
        <v>12</v>
      </c>
      <c r="AC102">
        <v>23270.399999999998</v>
      </c>
      <c r="AD102">
        <v>13</v>
      </c>
      <c r="AE102">
        <v>25209.599999999999</v>
      </c>
      <c r="AF102">
        <v>15</v>
      </c>
      <c r="AG102">
        <v>29087.999999999996</v>
      </c>
      <c r="AH102">
        <v>10</v>
      </c>
      <c r="AI102">
        <v>19392</v>
      </c>
      <c r="AJ102">
        <v>10</v>
      </c>
      <c r="AK102">
        <v>19392</v>
      </c>
      <c r="AL102">
        <v>9</v>
      </c>
      <c r="AM102">
        <v>17452.8</v>
      </c>
      <c r="AN102">
        <v>12</v>
      </c>
      <c r="AO102">
        <v>23270.399999999998</v>
      </c>
      <c r="AP102">
        <v>10</v>
      </c>
      <c r="AQ102">
        <v>19392</v>
      </c>
      <c r="AR102">
        <v>10</v>
      </c>
      <c r="AS102">
        <v>19392</v>
      </c>
      <c r="AT102">
        <v>14</v>
      </c>
      <c r="AU102">
        <v>27148.799999999996</v>
      </c>
      <c r="AV102">
        <v>13</v>
      </c>
      <c r="AW102">
        <v>25209.599999999999</v>
      </c>
      <c r="AX102">
        <v>14</v>
      </c>
      <c r="AY102">
        <v>27148.799999999996</v>
      </c>
      <c r="AZ102">
        <v>11</v>
      </c>
      <c r="BA102">
        <v>21331.199999999997</v>
      </c>
      <c r="BB102">
        <v>10</v>
      </c>
      <c r="BC102">
        <v>19392</v>
      </c>
      <c r="BD102">
        <v>15</v>
      </c>
      <c r="BE102">
        <v>29087.999999999996</v>
      </c>
      <c r="BF102">
        <v>9</v>
      </c>
      <c r="BG102">
        <v>17452.8</v>
      </c>
      <c r="BH102">
        <v>12</v>
      </c>
      <c r="BI102">
        <v>23270.399999999998</v>
      </c>
      <c r="BJ102">
        <v>15</v>
      </c>
      <c r="BK102">
        <v>29087.999999999996</v>
      </c>
      <c r="BL102">
        <v>10</v>
      </c>
      <c r="BM102">
        <v>19392</v>
      </c>
      <c r="BN102">
        <v>14</v>
      </c>
      <c r="BO102">
        <v>27148.799999999996</v>
      </c>
      <c r="BP102">
        <v>9</v>
      </c>
      <c r="BQ102">
        <v>17452.8</v>
      </c>
      <c r="BR102">
        <v>13</v>
      </c>
      <c r="BS102">
        <v>25209.599999999999</v>
      </c>
      <c r="BT102">
        <v>12</v>
      </c>
      <c r="BU102">
        <v>23270.399999999998</v>
      </c>
      <c r="BV102">
        <v>12</v>
      </c>
      <c r="BW102">
        <v>23270.399999999998</v>
      </c>
      <c r="BX102">
        <v>15</v>
      </c>
      <c r="BY102">
        <v>29087.999999999996</v>
      </c>
      <c r="BZ102">
        <v>10</v>
      </c>
      <c r="CA102">
        <v>19392</v>
      </c>
      <c r="CB102">
        <v>14</v>
      </c>
      <c r="CC102">
        <v>27148.799999999996</v>
      </c>
      <c r="CD102">
        <v>13</v>
      </c>
      <c r="CE102">
        <v>25209.599999999999</v>
      </c>
      <c r="CF102">
        <v>12</v>
      </c>
      <c r="CG102">
        <v>23270.399999999998</v>
      </c>
      <c r="CH102">
        <v>9</v>
      </c>
      <c r="CI102">
        <v>17452.8</v>
      </c>
      <c r="CJ102">
        <v>10</v>
      </c>
      <c r="CK102">
        <v>19392</v>
      </c>
      <c r="CL102">
        <v>14</v>
      </c>
      <c r="CM102">
        <v>27148.799999999996</v>
      </c>
      <c r="CN102">
        <v>14</v>
      </c>
      <c r="CO102">
        <v>27148.799999999996</v>
      </c>
      <c r="CP102">
        <v>13</v>
      </c>
      <c r="CQ102">
        <v>25209.599999999999</v>
      </c>
      <c r="CR102">
        <v>13</v>
      </c>
      <c r="CS102">
        <v>25209.599999999999</v>
      </c>
      <c r="CT102">
        <v>13</v>
      </c>
      <c r="CU102">
        <v>25209.599999999999</v>
      </c>
    </row>
    <row r="103" spans="2:99" x14ac:dyDescent="0.2">
      <c r="C103" s="119" t="s">
        <v>269</v>
      </c>
      <c r="D103">
        <v>9</v>
      </c>
      <c r="E103">
        <v>18252</v>
      </c>
      <c r="F103">
        <v>15</v>
      </c>
      <c r="G103">
        <v>30420</v>
      </c>
      <c r="H103">
        <v>8</v>
      </c>
      <c r="I103">
        <v>16224</v>
      </c>
      <c r="J103">
        <v>12</v>
      </c>
      <c r="K103">
        <v>24336</v>
      </c>
      <c r="L103">
        <v>11</v>
      </c>
      <c r="M103">
        <v>22308</v>
      </c>
      <c r="N103">
        <v>13</v>
      </c>
      <c r="O103">
        <v>26364</v>
      </c>
      <c r="P103">
        <v>10</v>
      </c>
      <c r="Q103">
        <v>20280</v>
      </c>
      <c r="R103">
        <v>10</v>
      </c>
      <c r="S103">
        <v>20280</v>
      </c>
      <c r="T103">
        <v>12</v>
      </c>
      <c r="U103">
        <v>24336</v>
      </c>
      <c r="V103">
        <v>12</v>
      </c>
      <c r="W103">
        <v>24336</v>
      </c>
      <c r="X103">
        <v>13</v>
      </c>
      <c r="Y103">
        <v>26364</v>
      </c>
      <c r="Z103">
        <v>8</v>
      </c>
      <c r="AA103">
        <v>16224</v>
      </c>
      <c r="AB103">
        <v>13</v>
      </c>
      <c r="AC103">
        <v>26364</v>
      </c>
      <c r="AD103">
        <v>14</v>
      </c>
      <c r="AE103">
        <v>28392</v>
      </c>
      <c r="AF103">
        <v>13</v>
      </c>
      <c r="AG103">
        <v>26364</v>
      </c>
      <c r="AH103">
        <v>10</v>
      </c>
      <c r="AI103">
        <v>20280</v>
      </c>
      <c r="AJ103">
        <v>9</v>
      </c>
      <c r="AK103">
        <v>18252</v>
      </c>
      <c r="AL103">
        <v>9</v>
      </c>
      <c r="AM103">
        <v>18252</v>
      </c>
      <c r="AN103">
        <v>13</v>
      </c>
      <c r="AO103">
        <v>26364</v>
      </c>
      <c r="AP103">
        <v>10</v>
      </c>
      <c r="AQ103">
        <v>20280</v>
      </c>
      <c r="AR103">
        <v>10</v>
      </c>
      <c r="AS103">
        <v>20280</v>
      </c>
      <c r="AT103">
        <v>13</v>
      </c>
      <c r="AU103">
        <v>26364</v>
      </c>
      <c r="AV103">
        <v>14</v>
      </c>
      <c r="AW103">
        <v>28392</v>
      </c>
      <c r="AX103">
        <v>16</v>
      </c>
      <c r="AY103">
        <v>32448</v>
      </c>
      <c r="AZ103">
        <v>9</v>
      </c>
      <c r="BA103">
        <v>18252</v>
      </c>
      <c r="BB103">
        <v>9</v>
      </c>
      <c r="BC103">
        <v>18252</v>
      </c>
      <c r="BD103">
        <v>14</v>
      </c>
      <c r="BE103">
        <v>28392</v>
      </c>
      <c r="BF103">
        <v>8</v>
      </c>
      <c r="BG103">
        <v>16224</v>
      </c>
      <c r="BH103">
        <v>11</v>
      </c>
      <c r="BI103">
        <v>22308</v>
      </c>
      <c r="BJ103">
        <v>15</v>
      </c>
      <c r="BK103">
        <v>30420</v>
      </c>
      <c r="BL103">
        <v>10</v>
      </c>
      <c r="BM103">
        <v>20280</v>
      </c>
      <c r="BN103">
        <v>12</v>
      </c>
      <c r="BO103">
        <v>24336</v>
      </c>
      <c r="BP103">
        <v>10</v>
      </c>
      <c r="BQ103">
        <v>20280</v>
      </c>
      <c r="BR103">
        <v>13</v>
      </c>
      <c r="BS103">
        <v>26364</v>
      </c>
      <c r="BT103">
        <v>12</v>
      </c>
      <c r="BU103">
        <v>24336</v>
      </c>
      <c r="BV103">
        <v>11</v>
      </c>
      <c r="BW103">
        <v>22308</v>
      </c>
      <c r="BX103">
        <v>13</v>
      </c>
      <c r="BY103">
        <v>26364</v>
      </c>
      <c r="BZ103">
        <v>10</v>
      </c>
      <c r="CA103">
        <v>20280</v>
      </c>
      <c r="CB103">
        <v>15</v>
      </c>
      <c r="CC103">
        <v>30420</v>
      </c>
      <c r="CD103">
        <v>12</v>
      </c>
      <c r="CE103">
        <v>24336</v>
      </c>
      <c r="CF103">
        <v>10</v>
      </c>
      <c r="CG103">
        <v>20280</v>
      </c>
      <c r="CH103">
        <v>10</v>
      </c>
      <c r="CI103">
        <v>20280</v>
      </c>
      <c r="CJ103">
        <v>12</v>
      </c>
      <c r="CK103">
        <v>24336</v>
      </c>
      <c r="CL103">
        <v>13</v>
      </c>
      <c r="CM103">
        <v>26364</v>
      </c>
      <c r="CN103">
        <v>13</v>
      </c>
      <c r="CO103">
        <v>26364</v>
      </c>
      <c r="CP103">
        <v>12</v>
      </c>
      <c r="CQ103">
        <v>24336</v>
      </c>
      <c r="CR103">
        <v>13</v>
      </c>
      <c r="CS103">
        <v>26364</v>
      </c>
      <c r="CT103">
        <v>13</v>
      </c>
      <c r="CU103">
        <v>26364</v>
      </c>
    </row>
    <row r="104" spans="2:99" x14ac:dyDescent="0.2">
      <c r="C104" s="119" t="s">
        <v>270</v>
      </c>
      <c r="D104">
        <v>9</v>
      </c>
      <c r="E104">
        <v>18651.600000000002</v>
      </c>
      <c r="F104">
        <v>14</v>
      </c>
      <c r="G104">
        <v>29013.600000000002</v>
      </c>
      <c r="H104">
        <v>7</v>
      </c>
      <c r="I104">
        <v>14506.800000000001</v>
      </c>
      <c r="J104">
        <v>13</v>
      </c>
      <c r="K104">
        <v>26941.200000000001</v>
      </c>
      <c r="L104">
        <v>12</v>
      </c>
      <c r="M104">
        <v>24868.800000000003</v>
      </c>
      <c r="N104">
        <v>13</v>
      </c>
      <c r="O104">
        <v>26941.200000000001</v>
      </c>
      <c r="P104">
        <v>10</v>
      </c>
      <c r="Q104">
        <v>20724</v>
      </c>
      <c r="R104">
        <v>10</v>
      </c>
      <c r="S104">
        <v>20724</v>
      </c>
      <c r="T104">
        <v>12</v>
      </c>
      <c r="U104">
        <v>24868.800000000003</v>
      </c>
      <c r="V104">
        <v>13</v>
      </c>
      <c r="W104">
        <v>26941.200000000001</v>
      </c>
      <c r="X104">
        <v>13</v>
      </c>
      <c r="Y104">
        <v>26941.200000000001</v>
      </c>
      <c r="Z104">
        <v>8</v>
      </c>
      <c r="AA104">
        <v>16579.2</v>
      </c>
      <c r="AB104">
        <v>12</v>
      </c>
      <c r="AC104">
        <v>24868.800000000003</v>
      </c>
      <c r="AD104">
        <v>14</v>
      </c>
      <c r="AE104">
        <v>29013.600000000002</v>
      </c>
      <c r="AF104">
        <v>15</v>
      </c>
      <c r="AG104">
        <v>31086</v>
      </c>
      <c r="AH104">
        <v>11</v>
      </c>
      <c r="AI104">
        <v>22796.400000000001</v>
      </c>
      <c r="AJ104">
        <v>10</v>
      </c>
      <c r="AK104">
        <v>20724</v>
      </c>
      <c r="AL104">
        <v>9</v>
      </c>
      <c r="AM104">
        <v>18651.600000000002</v>
      </c>
      <c r="AN104">
        <v>12</v>
      </c>
      <c r="AO104">
        <v>24868.800000000003</v>
      </c>
      <c r="AP104">
        <v>10</v>
      </c>
      <c r="AQ104">
        <v>20724</v>
      </c>
      <c r="AR104">
        <v>11</v>
      </c>
      <c r="AS104">
        <v>22796.400000000001</v>
      </c>
      <c r="AT104">
        <v>12</v>
      </c>
      <c r="AU104">
        <v>24868.800000000003</v>
      </c>
      <c r="AV104">
        <v>13</v>
      </c>
      <c r="AW104">
        <v>26941.200000000001</v>
      </c>
      <c r="AX104">
        <v>14</v>
      </c>
      <c r="AY104">
        <v>29013.600000000002</v>
      </c>
      <c r="AZ104">
        <v>9</v>
      </c>
      <c r="BA104">
        <v>18651.600000000002</v>
      </c>
      <c r="BB104">
        <v>10</v>
      </c>
      <c r="BC104">
        <v>20724</v>
      </c>
      <c r="BD104">
        <v>14</v>
      </c>
      <c r="BE104">
        <v>29013.600000000002</v>
      </c>
      <c r="BF104">
        <v>9</v>
      </c>
      <c r="BG104">
        <v>18651.600000000002</v>
      </c>
      <c r="BH104">
        <v>11</v>
      </c>
      <c r="BI104">
        <v>22796.400000000001</v>
      </c>
      <c r="BJ104">
        <v>15</v>
      </c>
      <c r="BK104">
        <v>31086</v>
      </c>
      <c r="BL104">
        <v>10</v>
      </c>
      <c r="BM104">
        <v>20724</v>
      </c>
      <c r="BN104">
        <v>11</v>
      </c>
      <c r="BO104">
        <v>22796.400000000001</v>
      </c>
      <c r="BP104">
        <v>10</v>
      </c>
      <c r="BQ104">
        <v>20724</v>
      </c>
      <c r="BR104">
        <v>11</v>
      </c>
      <c r="BS104">
        <v>22796.400000000001</v>
      </c>
      <c r="BT104">
        <v>12</v>
      </c>
      <c r="BU104">
        <v>24868.800000000003</v>
      </c>
      <c r="BV104">
        <v>10</v>
      </c>
      <c r="BW104">
        <v>20724</v>
      </c>
      <c r="BX104">
        <v>13</v>
      </c>
      <c r="BY104">
        <v>26941.200000000001</v>
      </c>
      <c r="BZ104">
        <v>9</v>
      </c>
      <c r="CA104">
        <v>18651.600000000002</v>
      </c>
      <c r="CB104">
        <v>15</v>
      </c>
      <c r="CC104">
        <v>31086</v>
      </c>
      <c r="CD104">
        <v>11</v>
      </c>
      <c r="CE104">
        <v>22796.400000000001</v>
      </c>
      <c r="CF104">
        <v>11</v>
      </c>
      <c r="CG104">
        <v>22796.400000000001</v>
      </c>
      <c r="CH104">
        <v>10</v>
      </c>
      <c r="CI104">
        <v>20724</v>
      </c>
      <c r="CJ104">
        <v>11</v>
      </c>
      <c r="CK104">
        <v>22796.400000000001</v>
      </c>
      <c r="CL104">
        <v>14</v>
      </c>
      <c r="CM104">
        <v>29013.600000000002</v>
      </c>
      <c r="CN104">
        <v>14</v>
      </c>
      <c r="CO104">
        <v>29013.600000000002</v>
      </c>
      <c r="CP104">
        <v>11</v>
      </c>
      <c r="CQ104">
        <v>22796.400000000001</v>
      </c>
      <c r="CR104">
        <v>13</v>
      </c>
      <c r="CS104">
        <v>26941.200000000001</v>
      </c>
      <c r="CT104">
        <v>13</v>
      </c>
      <c r="CU104">
        <v>26941.200000000001</v>
      </c>
    </row>
    <row r="105" spans="2:99" x14ac:dyDescent="0.2">
      <c r="C105" s="119" t="s">
        <v>271</v>
      </c>
      <c r="D105">
        <v>9</v>
      </c>
      <c r="E105">
        <v>17982</v>
      </c>
      <c r="F105">
        <v>15</v>
      </c>
      <c r="G105">
        <v>29970</v>
      </c>
      <c r="H105">
        <v>7</v>
      </c>
      <c r="I105">
        <v>13986</v>
      </c>
      <c r="J105">
        <v>14</v>
      </c>
      <c r="K105">
        <v>27972</v>
      </c>
      <c r="L105">
        <v>12</v>
      </c>
      <c r="M105">
        <v>23976</v>
      </c>
      <c r="N105">
        <v>14</v>
      </c>
      <c r="O105">
        <v>27972</v>
      </c>
      <c r="P105">
        <v>9</v>
      </c>
      <c r="Q105">
        <v>17982</v>
      </c>
      <c r="R105">
        <v>9</v>
      </c>
      <c r="S105">
        <v>17982</v>
      </c>
      <c r="T105">
        <v>13</v>
      </c>
      <c r="U105">
        <v>25974</v>
      </c>
      <c r="V105">
        <v>12</v>
      </c>
      <c r="W105">
        <v>23976</v>
      </c>
      <c r="X105">
        <v>15</v>
      </c>
      <c r="Y105">
        <v>29970</v>
      </c>
      <c r="Z105">
        <v>9</v>
      </c>
      <c r="AA105">
        <v>17982</v>
      </c>
      <c r="AB105">
        <v>12</v>
      </c>
      <c r="AC105">
        <v>23976</v>
      </c>
      <c r="AD105">
        <v>13</v>
      </c>
      <c r="AE105">
        <v>25974</v>
      </c>
      <c r="AF105">
        <v>13</v>
      </c>
      <c r="AG105">
        <v>25974</v>
      </c>
      <c r="AH105">
        <v>12</v>
      </c>
      <c r="AI105">
        <v>23976</v>
      </c>
      <c r="AJ105">
        <v>10</v>
      </c>
      <c r="AK105">
        <v>19980</v>
      </c>
      <c r="AL105">
        <v>9</v>
      </c>
      <c r="AM105">
        <v>17982</v>
      </c>
      <c r="AN105">
        <v>12</v>
      </c>
      <c r="AO105">
        <v>23976</v>
      </c>
      <c r="AP105">
        <v>11</v>
      </c>
      <c r="AQ105">
        <v>21978</v>
      </c>
      <c r="AR105">
        <v>10</v>
      </c>
      <c r="AS105">
        <v>19980</v>
      </c>
      <c r="AT105">
        <v>13</v>
      </c>
      <c r="AU105">
        <v>25974</v>
      </c>
      <c r="AV105">
        <v>13</v>
      </c>
      <c r="AW105">
        <v>25974</v>
      </c>
      <c r="AX105">
        <v>16</v>
      </c>
      <c r="AY105">
        <v>31968</v>
      </c>
      <c r="AZ105">
        <v>10</v>
      </c>
      <c r="BA105">
        <v>19980</v>
      </c>
      <c r="BB105">
        <v>10</v>
      </c>
      <c r="BC105">
        <v>19980</v>
      </c>
      <c r="BD105">
        <v>15</v>
      </c>
      <c r="BE105">
        <v>29970</v>
      </c>
      <c r="BF105">
        <v>8</v>
      </c>
      <c r="BG105">
        <v>15984</v>
      </c>
      <c r="BH105">
        <v>10</v>
      </c>
      <c r="BI105">
        <v>19980</v>
      </c>
      <c r="BJ105">
        <v>14</v>
      </c>
      <c r="BK105">
        <v>27972</v>
      </c>
      <c r="BL105">
        <v>11</v>
      </c>
      <c r="BM105">
        <v>21978</v>
      </c>
      <c r="BN105">
        <v>13</v>
      </c>
      <c r="BO105">
        <v>25974</v>
      </c>
      <c r="BP105">
        <v>9</v>
      </c>
      <c r="BQ105">
        <v>17982</v>
      </c>
      <c r="BR105">
        <v>13</v>
      </c>
      <c r="BS105">
        <v>25974</v>
      </c>
      <c r="BT105">
        <v>12</v>
      </c>
      <c r="BU105">
        <v>23976</v>
      </c>
      <c r="BV105">
        <v>10</v>
      </c>
      <c r="BW105">
        <v>19980</v>
      </c>
      <c r="BX105">
        <v>16</v>
      </c>
      <c r="BY105">
        <v>31968</v>
      </c>
      <c r="BZ105">
        <v>10</v>
      </c>
      <c r="CA105">
        <v>19980</v>
      </c>
      <c r="CB105">
        <v>14</v>
      </c>
      <c r="CC105">
        <v>27972</v>
      </c>
      <c r="CD105">
        <v>11</v>
      </c>
      <c r="CE105">
        <v>21978</v>
      </c>
      <c r="CF105">
        <v>11</v>
      </c>
      <c r="CG105">
        <v>21978</v>
      </c>
      <c r="CH105">
        <v>10</v>
      </c>
      <c r="CI105">
        <v>19980</v>
      </c>
      <c r="CJ105">
        <v>11</v>
      </c>
      <c r="CK105">
        <v>21978</v>
      </c>
      <c r="CL105">
        <v>12</v>
      </c>
      <c r="CM105">
        <v>23976</v>
      </c>
      <c r="CN105">
        <v>13</v>
      </c>
      <c r="CO105">
        <v>25974</v>
      </c>
      <c r="CP105">
        <v>12</v>
      </c>
      <c r="CQ105">
        <v>23976</v>
      </c>
      <c r="CR105">
        <v>13</v>
      </c>
      <c r="CS105">
        <v>25974</v>
      </c>
      <c r="CT105">
        <v>12</v>
      </c>
      <c r="CU105">
        <v>23976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380</v>
      </c>
      <c r="E109">
        <f>SUM(L$6:L$19)+SUM(N$6:N$19)+SUM(P$6:P$19)+SUM(R$6:R$19)</f>
        <v>26.959403249705353</v>
      </c>
      <c r="F109">
        <f>SUM(T$6:T$19)+SUM(V$6:V$19)+SUM(X$6:X$19)+SUM(Z$6:Z$19)</f>
        <v>0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0</v>
      </c>
      <c r="K109">
        <f>SUM(BH$6:BH$19)+SUM(BJ$6:BJ$19)+SUM(BL$6:BL$19)+SUM(BN$6:BN$19)</f>
        <v>0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0</v>
      </c>
      <c r="O109">
        <f>SUM(CN$6:CN$19)+SUM(CP$6:CP$19)+SUM(CR$6:CR$19)+SUM(CT$6:CT$19)</f>
        <v>0</v>
      </c>
    </row>
    <row r="110" spans="2:99" x14ac:dyDescent="0.2">
      <c r="C110" s="119" t="s">
        <v>127</v>
      </c>
      <c r="D110">
        <f>SUM(D$20:D$36)+SUM(F$20:F$36)+SUM(H$20:H$36)+SUM(J$20:J$36)</f>
        <v>1276</v>
      </c>
      <c r="E110">
        <f>SUM(L$20:L$36)+SUM(N$20:N$36)+SUM(P$20:P$36)+SUM(R$20:R$36)</f>
        <v>74.275906912453507</v>
      </c>
      <c r="F110">
        <f>SUM(T$20:T$36)+SUM(V$20:V$36)+SUM(X$20:X$36)+SUM(Z$20:Z$36)</f>
        <v>0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0</v>
      </c>
      <c r="K110">
        <f>SUM(BH$20:BH$36)+SUM(BJ$20:BJ$36)+SUM(BL$20:BL$36)+SUM(BN$20:BN$36)</f>
        <v>0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0</v>
      </c>
      <c r="O110">
        <f>SUM(CN$20:CN$36)+SUM(CP$20:CP$36)+SUM(CR$20:CR$36)+SUM(CT$20:CT$36)</f>
        <v>0</v>
      </c>
    </row>
    <row r="111" spans="2:99" x14ac:dyDescent="0.2">
      <c r="C111" s="119" t="s">
        <v>128</v>
      </c>
      <c r="D111">
        <f>SUM(D$37:D$48)+SUM(F$37:F$48)+SUM(H$37:H$48)+SUM(J$37:J$48)</f>
        <v>750</v>
      </c>
      <c r="E111">
        <f>SUM(L$37:L$48)+SUM(N$37:N$48)+SUM(P$37:P$48)+SUM(R$37:R$48)</f>
        <v>76.751770476201969</v>
      </c>
      <c r="F111">
        <f>SUM(T$37:T$48)+SUM(V$37:V$48)+SUM(X$37:X$48)+SUM(Z$37:Z$48)</f>
        <v>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0</v>
      </c>
      <c r="K111">
        <f>SUM(BH$37:BH$48)+SUM(BJ$37:BJ$48)+SUM(BL$37:BL$48)+SUM(BN$37:BN$48)</f>
        <v>0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0</v>
      </c>
      <c r="O111">
        <f>SUM(CN$37:CN$48)+SUM(CP$37:CP$48)+SUM(CR$37:CR$48)+SUM(CT$37:CT$48)</f>
        <v>0</v>
      </c>
    </row>
    <row r="112" spans="2:99" x14ac:dyDescent="0.2">
      <c r="C112" s="119" t="s">
        <v>129</v>
      </c>
      <c r="D112">
        <f>SUM(D$49:D$70)+SUM(F$49:F$70)+SUM(H$49:H$70)+SUM(J$49:J$70)</f>
        <v>1646</v>
      </c>
      <c r="E112">
        <f>SUM(L$49:L$70)+SUM(N$49:N$70)+SUM(P$49:P$70)+SUM(R$49:R$70)</f>
        <v>315.51424417479075</v>
      </c>
      <c r="F112">
        <f>SUM(T$49:T$70)+SUM(V$49:V$70)+SUM(X$49:X$70)+SUM(Z$49:Z$70)</f>
        <v>203</v>
      </c>
      <c r="G112">
        <f>SUM(AB$49:AB$70)+SUM(AD$49:AD$70)+SUM(AF$49:AF$70)+SUM(AH$49:AH$70)</f>
        <v>203</v>
      </c>
      <c r="H112">
        <f>SUM(AJ$49:AJ$70)+SUM(AL$49:AL$70)+SUM(AN$49:AN$70)+SUM(AP$49:AP$70)</f>
        <v>208</v>
      </c>
      <c r="I112">
        <f>SUM(AR$49:AR$70)+SUM(AT$49:AT$70)+SUM(AV$49:AV$70)+SUM(AX$49:AX$70)</f>
        <v>210</v>
      </c>
      <c r="J112">
        <f>SUM(AZ$49:AZ$70)+SUM(BB$49:BB$70)+SUM(BD$49:BD$70)+SUM(BF$49:BF$70)</f>
        <v>196</v>
      </c>
      <c r="K112">
        <f>SUM(BH$49:BH$70)+SUM(BJ$49:BJ$70)+SUM(BL$49:BL$70)+SUM(BN$49:BN$70)</f>
        <v>220</v>
      </c>
      <c r="L112">
        <f>SUM(BP$49:BP$70)+SUM(BR$49:BR$70)+SUM(BT$49:BT$70)+SUM(BV$49:BV$70)</f>
        <v>192</v>
      </c>
      <c r="M112">
        <f>SUM(BX$49:BX$70)+SUM(BZ$49:BZ$70)+SUM(CB$49:CB$70)+SUM(CD$49:CD$70)</f>
        <v>209</v>
      </c>
      <c r="N112">
        <f>SUM(CF$49:CF$70)+SUM(CH$49:CH$70)+SUM(CJ$49:CJ$70)+SUM(CL$49:CL$70)</f>
        <v>186</v>
      </c>
      <c r="O112">
        <f>SUM(CN$49:CN$70)+SUM(CP$49:CP$70)+SUM(CR$49:CR$70)+SUM(CT$49:CT$70)</f>
        <v>221</v>
      </c>
    </row>
    <row r="113" spans="2:15" x14ac:dyDescent="0.2">
      <c r="C113" s="119" t="s">
        <v>130</v>
      </c>
      <c r="D113">
        <f>SUM(D$71:D$86)+SUM(F$71:F$86)+SUM(H$71:H$86)+SUM(J$71:J$86)</f>
        <v>867</v>
      </c>
      <c r="E113">
        <f>SUM(L$71:L$86)+SUM(N$71:N$86)+SUM(P$71:P$86)+SUM(R$71:R$86)</f>
        <v>752</v>
      </c>
      <c r="F113">
        <f>SUM(T$71:T$86)+SUM(V$71:V$86)+SUM(X$71:X$86)+SUM(Z$71:Z$86)</f>
        <v>982</v>
      </c>
      <c r="G113">
        <f>SUM(AB$71:AB$86)+SUM(AD$71:AD$86)+SUM(AF$71:AF$86)+SUM(AH$71:AH$86)</f>
        <v>1026</v>
      </c>
      <c r="H113">
        <f>SUM(AJ$71:AJ$86)+SUM(AL$71:AL$86)+SUM(AN$71:AN$86)+SUM(AP$71:AP$86)</f>
        <v>998</v>
      </c>
      <c r="I113">
        <f>SUM(AR$71:AR$86)+SUM(AT$71:AT$86)+SUM(AV$71:AV$86)+SUM(AX$71:AX$86)</f>
        <v>956</v>
      </c>
      <c r="J113">
        <f>SUM(AZ$71:AZ$86)+SUM(BB$71:BB$86)+SUM(BD$71:BD$86)+SUM(BF$71:BF$86)</f>
        <v>1038</v>
      </c>
      <c r="K113">
        <f>SUM(BH$71:BH$86)+SUM(BJ$71:BJ$86)+SUM(BL$71:BL$86)+SUM(BN$71:BN$86)</f>
        <v>1014</v>
      </c>
      <c r="L113">
        <f>SUM(BP$71:BP$86)+SUM(BR$71:BR$86)+SUM(BT$71:BT$86)+SUM(BV$71:BV$86)</f>
        <v>950</v>
      </c>
      <c r="M113">
        <f>SUM(BX$71:BX$86)+SUM(BZ$71:BZ$86)+SUM(CB$71:CB$86)+SUM(CD$71:CD$86)</f>
        <v>958</v>
      </c>
      <c r="N113">
        <f>SUM(CF$71:CF$86)+SUM(CH$71:CH$86)+SUM(CJ$71:CJ$86)+SUM(CL$71:CL$86)</f>
        <v>910</v>
      </c>
      <c r="O113">
        <f>SUM(CN$71:CN$86)+SUM(CP$71:CP$86)+SUM(CR$71:CR$86)+SUM(CT$71:CT$86)</f>
        <v>1156</v>
      </c>
    </row>
    <row r="114" spans="2:15" x14ac:dyDescent="0.2">
      <c r="C114" s="119" t="s">
        <v>131</v>
      </c>
      <c r="D114">
        <f>SUM(D$87:D$94)+SUM(F$87:F$94)+SUM(H$87:H$94)+SUM(J$87:J$94)</f>
        <v>475</v>
      </c>
      <c r="E114">
        <f>SUM(L$87:L$94)+SUM(N$87:N$94)+SUM(P$87:P$94)+SUM(R$87:R$94)</f>
        <v>493</v>
      </c>
      <c r="F114">
        <f>SUM(T$87:T$94)+SUM(V$87:V$94)+SUM(X$87:X$94)+SUM(Z$87:Z$94)</f>
        <v>566</v>
      </c>
      <c r="G114">
        <f>SUM(AB$87:AB$94)+SUM(AD$87:AD$94)+SUM(AF$87:AF$94)+SUM(AH$87:AH$94)</f>
        <v>505</v>
      </c>
      <c r="H114">
        <f>SUM(AJ$87:AJ$94)+SUM(AL$87:AL$94)+SUM(AN$87:AN$94)+SUM(AP$87:AP$94)</f>
        <v>590</v>
      </c>
      <c r="I114">
        <f>SUM(AR$87:AR$94)+SUM(AT$87:AT$94)+SUM(AV$87:AV$94)+SUM(AX$87:AX$94)</f>
        <v>593</v>
      </c>
      <c r="J114">
        <f>SUM(AZ$87:AZ$94)+SUM(BB$87:BB$94)+SUM(BD$87:BD$94)+SUM(BF$87:BF$94)</f>
        <v>574</v>
      </c>
      <c r="K114">
        <f>SUM(BH$87:BH$94)+SUM(BJ$87:BJ$94)+SUM(BL$87:BL$94)+SUM(BN$87:BN$94)</f>
        <v>636</v>
      </c>
      <c r="L114">
        <f>SUM(BP$87:BP$94)+SUM(BR$87:BR$94)+SUM(BT$87:BT$94)+SUM(BV$87:BV$94)</f>
        <v>626</v>
      </c>
      <c r="M114">
        <f>SUM(BX$87:BX$94)+SUM(BZ$87:BZ$94)+SUM(CB$87:CB$94)+SUM(CD$87:CD$94)</f>
        <v>597</v>
      </c>
      <c r="N114">
        <f>SUM(CF$87:CF$94)+SUM(CH$87:CH$94)+SUM(CJ$87:CJ$94)+SUM(CL$87:CL$94)</f>
        <v>618</v>
      </c>
      <c r="O114">
        <f>SUM(CN$87:CN$94)+SUM(CP$87:CP$94)+SUM(CR$87:CR$94)+SUM(CT$87:CT$94)</f>
        <v>588</v>
      </c>
    </row>
    <row r="115" spans="2:15" x14ac:dyDescent="0.2">
      <c r="C115" s="119" t="s">
        <v>132</v>
      </c>
      <c r="D115">
        <f>SUM(D$95:D$105)+SUM(F$95:F$105)+SUM(H$95:H$105)+SUM(J$95:J$105)</f>
        <v>491</v>
      </c>
      <c r="E115">
        <f>SUM(L$95:L$105)+SUM(N$95:N$105)+SUM(P$95:P$105)+SUM(R$95:R$105)</f>
        <v>494</v>
      </c>
      <c r="F115">
        <f>SUM(T$95:T$105)+SUM(V$95:V$105)+SUM(X$95:X$105)+SUM(Z$95:Z$105)</f>
        <v>518</v>
      </c>
      <c r="G115">
        <f>SUM(AB$95:AB$105)+SUM(AD$95:AD$105)+SUM(AF$95:AF$105)+SUM(AH$95:AH$105)</f>
        <v>575</v>
      </c>
      <c r="H115">
        <f>SUM(AJ$95:AJ$105)+SUM(AL$95:AL$105)+SUM(AN$95:AN$105)+SUM(AP$95:AP$105)</f>
        <v>456</v>
      </c>
      <c r="I115">
        <f>SUM(AR$95:AR$105)+SUM(AT$95:AT$105)+SUM(AV$95:AV$105)+SUM(AX$95:AX$105)</f>
        <v>571</v>
      </c>
      <c r="J115">
        <f>SUM(AZ$95:AZ$105)+SUM(BB$95:BB$105)+SUM(BD$95:BD$105)+SUM(BF$95:BF$105)</f>
        <v>464</v>
      </c>
      <c r="K115">
        <f>SUM(BH$95:BH$105)+SUM(BJ$95:BJ$105)+SUM(BL$95:BL$105)+SUM(BN$95:BN$105)</f>
        <v>535</v>
      </c>
      <c r="L115">
        <f>SUM(BP$95:BP$105)+SUM(BR$95:BR$105)+SUM(BT$95:BT$105)+SUM(BV$95:BV$105)</f>
        <v>494</v>
      </c>
      <c r="M115">
        <f>SUM(BX$95:BX$105)+SUM(BZ$95:BZ$105)+SUM(CB$95:CB$105)+SUM(CD$95:CD$105)</f>
        <v>563</v>
      </c>
      <c r="N115">
        <f>SUM(CF$95:CF$105)+SUM(CH$95:CH$105)+SUM(CJ$95:CJ$105)+SUM(CL$95:CL$105)</f>
        <v>496</v>
      </c>
      <c r="O115">
        <f>SUM(CN$95:CN$105)+SUM(CP$95:CP$105)+SUM(CR$95:CR$105)+SUM(CT$95:CT$105)</f>
        <v>561</v>
      </c>
    </row>
    <row r="116" spans="2:15" x14ac:dyDescent="0.2">
      <c r="C116" s="119" t="s">
        <v>278</v>
      </c>
      <c r="D116">
        <f t="shared" ref="D116:O116" si="0">SUM(D$109:D$115)</f>
        <v>5885</v>
      </c>
      <c r="E116">
        <f t="shared" si="0"/>
        <v>2232.5013248131518</v>
      </c>
      <c r="F116">
        <f t="shared" si="0"/>
        <v>2269</v>
      </c>
      <c r="G116">
        <f t="shared" si="0"/>
        <v>2309</v>
      </c>
      <c r="H116">
        <f t="shared" si="0"/>
        <v>2252</v>
      </c>
      <c r="I116">
        <f t="shared" si="0"/>
        <v>2330</v>
      </c>
      <c r="J116">
        <f t="shared" si="0"/>
        <v>2272</v>
      </c>
      <c r="K116">
        <f t="shared" si="0"/>
        <v>2405</v>
      </c>
      <c r="L116">
        <f t="shared" si="0"/>
        <v>2262</v>
      </c>
      <c r="M116">
        <f t="shared" si="0"/>
        <v>2327</v>
      </c>
      <c r="N116">
        <f t="shared" si="0"/>
        <v>2210</v>
      </c>
      <c r="O116">
        <f t="shared" si="0"/>
        <v>2526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D109*pricing!D6*2000</f>
        <v>1917925.9119739628</v>
      </c>
      <c r="E120">
        <f>E109*pricing!E6*2000</f>
        <v>136068.78437885517</v>
      </c>
      <c r="F120">
        <f>F109*pricing!F6*2000</f>
        <v>0</v>
      </c>
      <c r="G120">
        <f>G109*pricing!G6*2000</f>
        <v>0</v>
      </c>
      <c r="H120">
        <f>H109*pricing!H6*2000</f>
        <v>0</v>
      </c>
      <c r="I120">
        <f>I109*pricing!I6*2000</f>
        <v>0</v>
      </c>
      <c r="J120">
        <f>J109*pricing!J6*2000</f>
        <v>0</v>
      </c>
      <c r="K120">
        <f>K109*pricing!K6*2000</f>
        <v>0</v>
      </c>
      <c r="L120">
        <f>L109*pricing!L6*2000</f>
        <v>0</v>
      </c>
      <c r="M120">
        <f>M109*pricing!M6*2000</f>
        <v>0</v>
      </c>
      <c r="N120">
        <f>N109*pricing!N6*2000</f>
        <v>0</v>
      </c>
      <c r="O120">
        <f>O109*pricing!O6*2000</f>
        <v>0</v>
      </c>
    </row>
    <row r="121" spans="2:15" x14ac:dyDescent="0.2">
      <c r="C121" s="119" t="s">
        <v>127</v>
      </c>
      <c r="D121">
        <f>D110*pricing!D7*2000</f>
        <v>5446284.6462433115</v>
      </c>
      <c r="E121">
        <f>E110*pricing!E7*2000</f>
        <v>317028.00266700081</v>
      </c>
      <c r="F121">
        <f>F110*pricing!F7*2000</f>
        <v>0</v>
      </c>
      <c r="G121">
        <f>G110*pricing!G7*2000</f>
        <v>0</v>
      </c>
      <c r="H121">
        <f>H110*pricing!H7*2000</f>
        <v>0</v>
      </c>
      <c r="I121">
        <f>I110*pricing!I7*2000</f>
        <v>0</v>
      </c>
      <c r="J121">
        <f>J110*pricing!J7*2000</f>
        <v>0</v>
      </c>
      <c r="K121">
        <f>K110*pricing!K7*2000</f>
        <v>0</v>
      </c>
      <c r="L121">
        <f>L110*pricing!L7*2000</f>
        <v>0</v>
      </c>
      <c r="M121">
        <f>M110*pricing!M7*2000</f>
        <v>0</v>
      </c>
      <c r="N121">
        <f>N110*pricing!N7*2000</f>
        <v>0</v>
      </c>
      <c r="O121">
        <f>O110*pricing!O7*2000</f>
        <v>0</v>
      </c>
    </row>
    <row r="122" spans="2:15" x14ac:dyDescent="0.2">
      <c r="C122" s="119" t="s">
        <v>128</v>
      </c>
      <c r="D122">
        <f>D111*pricing!D8*2000</f>
        <v>2960761.8264554059</v>
      </c>
      <c r="E122">
        <f>E111*pricing!E8*2000</f>
        <v>302991.61618507438</v>
      </c>
      <c r="F122">
        <f>F111*pricing!F8*2000</f>
        <v>0</v>
      </c>
      <c r="G122">
        <f>G111*pricing!G8*2000</f>
        <v>0</v>
      </c>
      <c r="H122">
        <f>H111*pricing!H8*2000</f>
        <v>0</v>
      </c>
      <c r="I122">
        <f>I111*pricing!I8*2000</f>
        <v>0</v>
      </c>
      <c r="J122">
        <f>J111*pricing!J8*2000</f>
        <v>0</v>
      </c>
      <c r="K122">
        <f>K111*pricing!K8*2000</f>
        <v>0</v>
      </c>
      <c r="L122">
        <f>L111*pricing!L8*2000</f>
        <v>0</v>
      </c>
      <c r="M122">
        <f>M111*pricing!M8*2000</f>
        <v>0</v>
      </c>
      <c r="N122">
        <f>N111*pricing!N8*2000</f>
        <v>0</v>
      </c>
      <c r="O122">
        <f>O111*pricing!O8*2000</f>
        <v>0</v>
      </c>
    </row>
    <row r="123" spans="2:15" x14ac:dyDescent="0.2">
      <c r="C123" s="119" t="s">
        <v>129</v>
      </c>
      <c r="D123">
        <f>D112*pricing!D9*2000</f>
        <v>6416562.1593020111</v>
      </c>
      <c r="E123">
        <f>E112*pricing!E9*2000</f>
        <v>1229961.5795217117</v>
      </c>
      <c r="F123">
        <f>F112*pricing!F9*2000</f>
        <v>791350.01114113512</v>
      </c>
      <c r="G123">
        <f>G112*pricing!G9*2000</f>
        <v>791350.01114113512</v>
      </c>
      <c r="H123">
        <f>H112*pricing!H9*2000</f>
        <v>810841.39072589215</v>
      </c>
      <c r="I123">
        <f>I112*pricing!I9*2000</f>
        <v>818637.94255979499</v>
      </c>
      <c r="J123">
        <f>J112*pricing!J9*2000</f>
        <v>764062.07972247526</v>
      </c>
      <c r="K123">
        <f>K112*pricing!K9*2000</f>
        <v>857620.70172930893</v>
      </c>
      <c r="L123">
        <f>L112*pricing!L9*2000</f>
        <v>748468.97605466959</v>
      </c>
      <c r="M123">
        <f>M112*pricing!M9*2000</f>
        <v>814739.66664284351</v>
      </c>
      <c r="N123">
        <f>N112*pricing!N9*2000</f>
        <v>725079.3205529612</v>
      </c>
      <c r="O123">
        <f>O112*pricing!O9*2000</f>
        <v>861518.97764626041</v>
      </c>
    </row>
    <row r="124" spans="2:15" x14ac:dyDescent="0.2">
      <c r="C124" s="119" t="s">
        <v>130</v>
      </c>
      <c r="D124">
        <f>D113*pricing!D10*2000</f>
        <v>3132798.5854358994</v>
      </c>
      <c r="E124">
        <f>E113*pricing!E10*2000</f>
        <v>2717260.1340805031</v>
      </c>
      <c r="F124">
        <f>F113*pricing!F10*2000</f>
        <v>3548337.0367912953</v>
      </c>
      <c r="G124">
        <f>G113*pricing!G10*2000</f>
        <v>3707325.6616577078</v>
      </c>
      <c r="H124">
        <f>H113*pricing!H10*2000</f>
        <v>3606151.0821972634</v>
      </c>
      <c r="I124">
        <f>I113*pricing!I10*2000</f>
        <v>3454389.213006597</v>
      </c>
      <c r="J124">
        <f>J113*pricing!J10*2000</f>
        <v>3750686.1957121836</v>
      </c>
      <c r="K124">
        <f>K113*pricing!K10*2000</f>
        <v>3663965.1276032315</v>
      </c>
      <c r="L124">
        <f>L113*pricing!L10*2000</f>
        <v>3432708.9459793591</v>
      </c>
      <c r="M124">
        <f>M113*pricing!M10*2000</f>
        <v>3461615.9686823431</v>
      </c>
      <c r="N124">
        <f>N113*pricing!N10*2000</f>
        <v>3288173.8324644384</v>
      </c>
      <c r="O124">
        <f>O113*pricing!O10*2000</f>
        <v>4177064.7805811986</v>
      </c>
    </row>
    <row r="125" spans="2:15" x14ac:dyDescent="0.2">
      <c r="C125" s="119" t="s">
        <v>131</v>
      </c>
      <c r="D125">
        <f>D114*pricing!D11*2000</f>
        <v>1744827.7994692388</v>
      </c>
      <c r="E125">
        <f>E114*pricing!E11*2000</f>
        <v>1810947.5897649154</v>
      </c>
      <c r="F125">
        <f>F114*pricing!F11*2000</f>
        <v>2079100.0726307144</v>
      </c>
      <c r="G125">
        <f>G114*pricing!G11*2000</f>
        <v>1855027.449962033</v>
      </c>
      <c r="H125">
        <f>H114*pricing!H11*2000</f>
        <v>2167259.7930249493</v>
      </c>
      <c r="I125">
        <f>I114*pricing!I11*2000</f>
        <v>2178279.7580742291</v>
      </c>
      <c r="J125">
        <f>J114*pricing!J11*2000</f>
        <v>2108486.6460954589</v>
      </c>
      <c r="K125">
        <f>K114*pricing!K11*2000</f>
        <v>2336232.5904472335</v>
      </c>
      <c r="L125">
        <f>L114*pricing!L11*2000</f>
        <v>2299499.3736163024</v>
      </c>
      <c r="M125">
        <f>M114*pricing!M11*2000</f>
        <v>2192973.044806601</v>
      </c>
      <c r="N125">
        <f>N114*pricing!N11*2000</f>
        <v>2270112.8001515572</v>
      </c>
      <c r="O125">
        <f>O114*pricing!O11*2000</f>
        <v>2159913.1496587628</v>
      </c>
    </row>
    <row r="126" spans="2:15" x14ac:dyDescent="0.2">
      <c r="C126" s="119" t="s">
        <v>132</v>
      </c>
      <c r="D126">
        <f>D115*pricing!D12*2000</f>
        <v>2201320.3662608997</v>
      </c>
      <c r="E126">
        <f>E115*pricing!E12*2000</f>
        <v>2214770.3888653456</v>
      </c>
      <c r="F126">
        <f>F115*pricing!F12*2000</f>
        <v>2322370.5697009088</v>
      </c>
      <c r="G126">
        <f>G115*pricing!G12*2000</f>
        <v>2577920.9991853717</v>
      </c>
      <c r="H126">
        <f>H115*pricing!H12*2000</f>
        <v>2044403.4358757033</v>
      </c>
      <c r="I126">
        <f>I115*pricing!I12*2000</f>
        <v>2559987.6357127777</v>
      </c>
      <c r="J126">
        <f>J115*pricing!J12*2000</f>
        <v>2080270.162820891</v>
      </c>
      <c r="K126">
        <f>K115*pricing!K12*2000</f>
        <v>2398587.3644594327</v>
      </c>
      <c r="L126">
        <f>L115*pricing!L12*2000</f>
        <v>2214770.3888653456</v>
      </c>
      <c r="M126">
        <f>M115*pricing!M12*2000</f>
        <v>2524120.9087675898</v>
      </c>
      <c r="N126">
        <f>N115*pricing!N12*2000</f>
        <v>2223737.0706016421</v>
      </c>
      <c r="O126">
        <f>O115*pricing!O12*2000</f>
        <v>2515154.2270312929</v>
      </c>
    </row>
    <row r="127" spans="2:15" x14ac:dyDescent="0.2">
      <c r="C127" s="119" t="s">
        <v>278</v>
      </c>
      <c r="D127">
        <f t="shared" ref="D127:O127" si="1">SUM(D$120:D$126)</f>
        <v>23820481.295140732</v>
      </c>
      <c r="E127">
        <f t="shared" si="1"/>
        <v>8729028.0954634063</v>
      </c>
      <c r="F127">
        <f t="shared" si="1"/>
        <v>8741157.6902640536</v>
      </c>
      <c r="G127">
        <f t="shared" si="1"/>
        <v>8931624.1219462473</v>
      </c>
      <c r="H127">
        <f t="shared" si="1"/>
        <v>8628655.7018238083</v>
      </c>
      <c r="I127">
        <f t="shared" si="1"/>
        <v>9011294.5493534002</v>
      </c>
      <c r="J127">
        <f t="shared" si="1"/>
        <v>8703505.0843510088</v>
      </c>
      <c r="K127">
        <f t="shared" si="1"/>
        <v>9256405.7842392065</v>
      </c>
      <c r="L127">
        <f t="shared" si="1"/>
        <v>8695447.6845156774</v>
      </c>
      <c r="M127">
        <f t="shared" si="1"/>
        <v>8993449.5888993777</v>
      </c>
      <c r="N127">
        <f t="shared" si="1"/>
        <v>8507103.0237705987</v>
      </c>
      <c r="O127">
        <f t="shared" si="1"/>
        <v>9713651.1349175144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191068.79999999999</v>
      </c>
      <c r="E131" s="124">
        <f>SUM(M$6:M$19)+SUM(O$6:O$19)+SUM(Q$6:Q$19)+SUM(S$6:S$19)</f>
        <v>13488.834810443395</v>
      </c>
      <c r="F131" s="124">
        <f>SUM(U$6:U$19)+SUM(W$6:W$19)+SUM(Y$6:Y$19)+SUM(AA$6:AA$19)</f>
        <v>0</v>
      </c>
      <c r="G131" s="124">
        <f>SUM(AC$6:AC$19)+SUM(AE$6:AE$19)+SUM(AG$6:AG$19)+SUM(AI$6:AI$19)</f>
        <v>0</v>
      </c>
      <c r="H131" s="124">
        <f>SUM(AK$6:AK$19)+SUM(AM$6:AM$19)+SUM(AO$6:AO$19)+SUM(AQ$6:AQ$19)</f>
        <v>0</v>
      </c>
      <c r="I131" s="124">
        <f>SUM(AS$6:AS$19)+SUM(AU$6:AU$19)+SUM(AW$6:AW$19)+SUM(AY$6:AY$19)</f>
        <v>0</v>
      </c>
      <c r="J131" s="124">
        <f>SUM(BA$6:BA$19)+SUM(BC$6:BC$19)+SUM(BE$6:BE$19)+SUM(BG$6:BG$19)</f>
        <v>0</v>
      </c>
      <c r="K131" s="124">
        <f>SUM(BI$6:BI$19)+SUM(BK$6:BK$19)+SUM(BM$6:BM$19)+SUM(BO$6:BO$19)</f>
        <v>0</v>
      </c>
      <c r="L131" s="124">
        <f>SUM(BQ$6:BQ$19)+SUM(BS$6:BS$19)+SUM(BU$6:BU$19)+SUM(BW$6:BW$19)</f>
        <v>0</v>
      </c>
      <c r="M131" s="124">
        <f>SUM(BY$6:BY$19)+SUM(CA$6:CA$19)+SUM(CC$6:CC$19)+SUM(CE$6:CE$19)</f>
        <v>0</v>
      </c>
      <c r="N131" s="124">
        <f>SUM(CG$6:CG$19)+SUM(CI$6:CI$19)+SUM(CK$6:CK$19)+SUM(CM$6:CM$19)</f>
        <v>0</v>
      </c>
      <c r="O131" s="124">
        <f>SUM(CO$6:CO$19)+SUM(CQ$6:CQ$19)+SUM(CS$6:CS$19)+SUM(CU$6:CU$19)</f>
        <v>0</v>
      </c>
    </row>
    <row r="132" spans="2:15" x14ac:dyDescent="0.2">
      <c r="C132" s="123" t="s">
        <v>127</v>
      </c>
      <c r="D132" s="124">
        <f>SUM(E$20:E$36)+SUM(G$20:G$36)+SUM(I$20:I$36)+SUM(K$20:K$36)</f>
        <v>543358.79999999993</v>
      </c>
      <c r="E132" s="124">
        <f>SUM(M$20:M$36)+SUM(O$20:O$36)+SUM(Q$20:Q$36)+SUM(S$20:S$36)</f>
        <v>31694.684882540339</v>
      </c>
      <c r="F132" s="124">
        <f>SUM(U$20:U$36)+SUM(W$20:W$36)+SUM(Y$20:Y$36)+SUM(AA$20:AA$36)</f>
        <v>0</v>
      </c>
      <c r="G132" s="124">
        <f>SUM(AC$20:AC$36)+SUM(AE$20:AE$36)+SUM(AG$20:AG$36)+SUM(AI$20:AI$36)</f>
        <v>0</v>
      </c>
      <c r="H132" s="124">
        <f>SUM(AK$20:AK$36)+SUM(AM$20:AM$36)+SUM(AO$20:AO$36)+SUM(AQ$20:AQ$36)</f>
        <v>0</v>
      </c>
      <c r="I132" s="124">
        <f>SUM(AS$20:AS$36)+SUM(AU$20:AU$36)+SUM(AW$20:AW$36)+SUM(AY$20:AY$36)</f>
        <v>0</v>
      </c>
      <c r="J132" s="124">
        <f>SUM(BA$20:BA$36)+SUM(BC$20:BC$36)+SUM(BE$20:BE$36)+SUM(BG$20:BG$36)</f>
        <v>0</v>
      </c>
      <c r="K132" s="124">
        <f>SUM(BI$20:BI$36)+SUM(BK$20:BK$36)+SUM(BM$20:BM$36)+SUM(BO$20:BO$36)</f>
        <v>0</v>
      </c>
      <c r="L132" s="124">
        <f>SUM(BQ$20:BQ$36)+SUM(BS$20:BS$36)+SUM(BU$20:BU$36)+SUM(BW$20:BW$36)</f>
        <v>0</v>
      </c>
      <c r="M132" s="124">
        <f>SUM(BY$20:BY$36)+SUM(CA$20:CA$36)+SUM(CC$20:CC$36)+SUM(CE$20:CE$36)</f>
        <v>0</v>
      </c>
      <c r="N132" s="124">
        <f>SUM(CG$20:CG$36)+SUM(CI$20:CI$36)+SUM(CK$20:CK$36)+SUM(CM$20:CM$36)</f>
        <v>0</v>
      </c>
      <c r="O132" s="124">
        <f>SUM(CO$20:CO$36)+SUM(CQ$20:CQ$36)+SUM(CS$20:CS$36)+SUM(CU$20:CU$36)</f>
        <v>0</v>
      </c>
    </row>
    <row r="133" spans="2:15" x14ac:dyDescent="0.2">
      <c r="C133" s="123" t="s">
        <v>128</v>
      </c>
      <c r="D133" s="124">
        <f>SUM(E$37:E$48)+SUM(G$37:G$48)+SUM(I$37:I$48)+SUM(K$37:K$48)</f>
        <v>785551.2</v>
      </c>
      <c r="E133" s="124">
        <f>SUM(M$37:M$48)+SUM(O$37:O$48)+SUM(Q$37:Q$48)+SUM(S$37:S$48)</f>
        <v>80952.485656028497</v>
      </c>
      <c r="F133" s="124">
        <f>SUM(U$37:U$48)+SUM(W$37:W$48)+SUM(Y$37:Y$48)+SUM(AA$37:AA$48)</f>
        <v>0</v>
      </c>
      <c r="G133" s="124">
        <f>SUM(AC$37:AC$48)+SUM(AE$37:AE$48)+SUM(AG$37:AG$48)+SUM(AI$37:AI$48)</f>
        <v>0</v>
      </c>
      <c r="H133" s="124">
        <f>SUM(AK$37:AK$48)+SUM(AM$37:AM$48)+SUM(AO$37:AO$48)+SUM(AQ$37:AQ$48)</f>
        <v>0</v>
      </c>
      <c r="I133" s="124">
        <f>SUM(AS$37:AS$48)+SUM(AU$37:AU$48)+SUM(AW$37:AW$48)+SUM(AY$37:AY$48)</f>
        <v>0</v>
      </c>
      <c r="J133" s="124">
        <f>SUM(BA$37:BA$48)+SUM(BC$37:BC$48)+SUM(BE$37:BE$48)+SUM(BG$37:BG$48)</f>
        <v>0</v>
      </c>
      <c r="K133" s="124">
        <f>SUM(BI$37:BI$48)+SUM(BK$37:BK$48)+SUM(BM$37:BM$48)+SUM(BO$37:BO$48)</f>
        <v>0</v>
      </c>
      <c r="L133" s="124">
        <f>SUM(BQ$37:BQ$48)+SUM(BS$37:BS$48)+SUM(BU$37:BU$48)+SUM(BW$37:BW$48)</f>
        <v>0</v>
      </c>
      <c r="M133" s="124">
        <f>SUM(BY$37:BY$48)+SUM(CA$37:CA$48)+SUM(CC$37:CC$48)+SUM(CE$37:CE$48)</f>
        <v>0</v>
      </c>
      <c r="N133" s="124">
        <f>SUM(CG$37:CG$48)+SUM(CI$37:CI$48)+SUM(CK$37:CK$48)+SUM(CM$37:CM$48)</f>
        <v>0</v>
      </c>
      <c r="O133" s="124">
        <f>SUM(CO$37:CO$48)+SUM(CQ$37:CQ$48)+SUM(CS$37:CS$48)+SUM(CU$37:CU$48)</f>
        <v>0</v>
      </c>
    </row>
    <row r="134" spans="2:15" x14ac:dyDescent="0.2">
      <c r="C134" s="123" t="s">
        <v>129</v>
      </c>
      <c r="D134" s="124">
        <f>SUM(E$49:E$70)+SUM(G$49:G$70)+SUM(I$49:I$70)+SUM(K$49:K$70)</f>
        <v>1387483.2</v>
      </c>
      <c r="E134" s="124">
        <f>SUM(M$49:M$70)+SUM(O$49:O$70)+SUM(Q$49:Q$70)+SUM(S$49:S$70)</f>
        <v>314091.84364485112</v>
      </c>
      <c r="F134" s="124">
        <f>SUM(U$49:U$70)+SUM(W$49:W$70)+SUM(Y$49:Y$70)+SUM(AA$49:AA$70)</f>
        <v>223902</v>
      </c>
      <c r="G134" s="124">
        <f>SUM(AC$49:AC$70)+SUM(AE$49:AE$70)+SUM(AG$49:AG$70)+SUM(AI$49:AI$70)</f>
        <v>223954.8</v>
      </c>
      <c r="H134" s="124">
        <f>SUM(AK$49:AK$70)+SUM(AM$49:AM$70)+SUM(AO$49:AO$70)+SUM(AQ$49:AQ$70)</f>
        <v>229377.6</v>
      </c>
      <c r="I134" s="124">
        <f>SUM(AS$49:AS$70)+SUM(AU$49:AU$70)+SUM(AW$49:AW$70)+SUM(AY$49:AY$70)</f>
        <v>231950.4</v>
      </c>
      <c r="J134" s="124">
        <f>SUM(BA$49:BA$70)+SUM(BC$49:BC$70)+SUM(BE$49:BE$70)+SUM(BG$49:BG$70)</f>
        <v>215846.39999999997</v>
      </c>
      <c r="K134" s="124">
        <f>SUM(BI$49:BI$70)+SUM(BK$49:BK$70)+SUM(BM$49:BM$70)+SUM(BO$49:BO$70)</f>
        <v>243153.6</v>
      </c>
      <c r="L134" s="124">
        <f>SUM(BQ$49:BQ$70)+SUM(BS$49:BS$70)+SUM(BU$49:BU$70)+SUM(BW$49:BW$70)</f>
        <v>212044.79999999999</v>
      </c>
      <c r="M134" s="124">
        <f>SUM(BY$49:BY$70)+SUM(CA$49:CA$70)+SUM(CC$49:CC$70)+SUM(CE$49:CE$70)</f>
        <v>230223.60000000003</v>
      </c>
      <c r="N134" s="124">
        <f>SUM(CG$49:CG$70)+SUM(CI$49:CI$70)+SUM(CK$49:CK$70)+SUM(CM$49:CM$70)</f>
        <v>205226.39999999997</v>
      </c>
      <c r="O134" s="124">
        <f>SUM(CO$49:CO$70)+SUM(CQ$49:CQ$70)+SUM(CS$49:CS$70)+SUM(CU$49:CU$70)</f>
        <v>243946.8</v>
      </c>
    </row>
    <row r="135" spans="2:15" x14ac:dyDescent="0.2">
      <c r="C135" s="123" t="s">
        <v>130</v>
      </c>
      <c r="D135" s="124">
        <f>SUM(E$71:E$86)+SUM(G$71:G$86)+SUM(I$71:I$86)+SUM(K$71:K$86)</f>
        <v>484422</v>
      </c>
      <c r="E135" s="124">
        <f>SUM(M$71:M$86)+SUM(O$71:O$86)+SUM(Q$71:Q$86)+SUM(S$71:S$86)</f>
        <v>417842.39999999991</v>
      </c>
      <c r="F135" s="124">
        <f>SUM(U$71:U$86)+SUM(W$71:W$86)+SUM(Y$71:Y$86)+SUM(AA$71:AA$86)</f>
        <v>548421.6</v>
      </c>
      <c r="G135" s="124">
        <f>SUM(AC$71:AC$86)+SUM(AE$71:AE$86)+SUM(AG$71:AG$86)+SUM(AI$71:AI$86)</f>
        <v>569734.79999999993</v>
      </c>
      <c r="H135" s="124">
        <f>SUM(AK$71:AK$86)+SUM(AM$71:AM$86)+SUM(AO$71:AO$86)+SUM(AQ$71:AQ$86)</f>
        <v>552793.19999999995</v>
      </c>
      <c r="I135" s="124">
        <f>SUM(AS$71:AS$86)+SUM(AU$71:AU$86)+SUM(AW$71:AW$86)+SUM(AY$71:AY$86)</f>
        <v>531580.80000000005</v>
      </c>
      <c r="J135" s="124">
        <f>SUM(BA$71:BA$86)+SUM(BC$71:BC$86)+SUM(BE$71:BE$86)+SUM(BG$71:BG$86)</f>
        <v>574995.6</v>
      </c>
      <c r="K135" s="124">
        <f>SUM(BI$71:BI$86)+SUM(BK$71:BK$86)+SUM(BM$71:BM$86)+SUM(BO$71:BO$86)</f>
        <v>565456.79999999981</v>
      </c>
      <c r="L135" s="124">
        <f>SUM(BQ$71:BQ$86)+SUM(BS$71:BS$86)+SUM(BU$71:BU$86)+SUM(BW$71:BW$86)</f>
        <v>532206</v>
      </c>
      <c r="M135" s="124">
        <f>SUM(BY$71:BY$86)+SUM(CA$71:CA$86)+SUM(CC$71:CC$86)+SUM(CE$71:CE$86)</f>
        <v>533460</v>
      </c>
      <c r="N135" s="124">
        <f>SUM(CG$71:CG$86)+SUM(CI$71:CI$86)+SUM(CK$71:CK$86)+SUM(CM$71:CM$86)</f>
        <v>506687.99999999988</v>
      </c>
      <c r="O135" s="124">
        <f>SUM(CO$71:CO$86)+SUM(CQ$71:CQ$86)+SUM(CS$71:CS$86)+SUM(CU$71:CU$86)</f>
        <v>645291.59999999986</v>
      </c>
    </row>
    <row r="136" spans="2:15" x14ac:dyDescent="0.2">
      <c r="C136" s="123" t="s">
        <v>131</v>
      </c>
      <c r="D136" s="124">
        <f>SUM(E$87:E$94)+SUM(G$87:G$94)+SUM(I$87:I$94)+SUM(K$87:K$94)</f>
        <v>963269.99999999988</v>
      </c>
      <c r="E136" s="124">
        <f>SUM(M$87:M$94)+SUM(O$87:O$94)+SUM(Q$87:Q$94)+SUM(S$87:S$94)</f>
        <v>1002151.2</v>
      </c>
      <c r="F136" s="124">
        <f>SUM(U$87:U$94)+SUM(W$87:W$94)+SUM(Y$87:Y$94)+SUM(AA$87:AA$94)</f>
        <v>1147266</v>
      </c>
      <c r="G136" s="124">
        <f>SUM(AC$87:AC$94)+SUM(AE$87:AE$94)+SUM(AG$87:AG$94)+SUM(AI$87:AI$94)</f>
        <v>1026868.7999999999</v>
      </c>
      <c r="H136" s="124">
        <f>SUM(AK$87:AK$94)+SUM(AM$87:AM$94)+SUM(AO$87:AO$94)+SUM(AQ$87:AQ$94)</f>
        <v>1197275.9999999998</v>
      </c>
      <c r="I136" s="124">
        <f>SUM(AS$87:AS$94)+SUM(AU$87:AU$94)+SUM(AW$87:AW$94)+SUM(AY$87:AY$94)</f>
        <v>1202936.3999999999</v>
      </c>
      <c r="J136" s="124">
        <f>SUM(BA$87:BA$94)+SUM(BC$87:BC$94)+SUM(BE$87:BE$94)+SUM(BG$87:BG$94)</f>
        <v>1164159.6000000001</v>
      </c>
      <c r="K136" s="124">
        <f>SUM(BI$87:BI$94)+SUM(BK$87:BK$94)+SUM(BM$87:BM$94)+SUM(BO$87:BO$94)</f>
        <v>1289031.5999999996</v>
      </c>
      <c r="L136" s="124">
        <f>SUM(BQ$87:BQ$94)+SUM(BS$87:BS$94)+SUM(BU$87:BU$94)+SUM(BW$87:BW$94)</f>
        <v>1266633.5999999999</v>
      </c>
      <c r="M136" s="124">
        <f>SUM(BY$87:BY$94)+SUM(CA$87:CA$94)+SUM(CC$87:CC$94)+SUM(CE$87:CE$94)</f>
        <v>1209783.5999999999</v>
      </c>
      <c r="N136" s="124">
        <f>SUM(CG$87:CG$94)+SUM(CI$87:CI$94)+SUM(CK$87:CK$94)+SUM(CM$87:CM$94)</f>
        <v>1254920.4000000001</v>
      </c>
      <c r="O136" s="124">
        <f>SUM(CO$87:CO$94)+SUM(CQ$87:CQ$94)+SUM(CS$87:CS$94)+SUM(CU$87:CU$94)</f>
        <v>1194723.5999999999</v>
      </c>
    </row>
    <row r="137" spans="2:15" x14ac:dyDescent="0.2">
      <c r="C137" s="123" t="s">
        <v>132</v>
      </c>
      <c r="D137" s="124">
        <f>SUM(E$95:E$105)+SUM(G$95:G$105)+SUM(I$95:I$105)+SUM(K$95:K$105)</f>
        <v>926096.4</v>
      </c>
      <c r="E137" s="124">
        <f>SUM(M$95:M$105)+SUM(O$95:O$105)+SUM(Q$95:Q$105)+SUM(S$95:S$105)</f>
        <v>931750.79999999981</v>
      </c>
      <c r="F137" s="124">
        <f>SUM(U$95:U$105)+SUM(W$95:W$105)+SUM(Y$95:Y$105)+SUM(AA$95:AA$105)</f>
        <v>974883.6</v>
      </c>
      <c r="G137" s="124">
        <f>SUM(AC$95:AC$105)+SUM(AE$95:AE$105)+SUM(AG$95:AG$105)+SUM(AI$95:AI$105)</f>
        <v>1084106.3999999999</v>
      </c>
      <c r="H137" s="124">
        <f>SUM(AK$95:AK$105)+SUM(AM$95:AM$105)+SUM(AO$95:AO$105)+SUM(AQ$95:AQ$105)</f>
        <v>859545.59999999986</v>
      </c>
      <c r="I137" s="124">
        <f>SUM(AS$95:AS$105)+SUM(AU$95:AU$105)+SUM(AW$95:AW$105)+SUM(AY$95:AY$105)</f>
        <v>1081284</v>
      </c>
      <c r="J137" s="124">
        <f>SUM(BA$95:BA$105)+SUM(BC$95:BC$105)+SUM(BE$95:BE$105)+SUM(BG$95:BG$105)</f>
        <v>884535.59999999986</v>
      </c>
      <c r="K137" s="124">
        <f>SUM(BI$95:BI$105)+SUM(BK$95:BK$105)+SUM(BM$95:BM$105)+SUM(BO$95:BO$105)</f>
        <v>1003963.2</v>
      </c>
      <c r="L137" s="124">
        <f>SUM(BQ$95:BQ$105)+SUM(BS$95:BS$105)+SUM(BU$95:BU$105)+SUM(BW$95:BW$105)</f>
        <v>932882.39999999991</v>
      </c>
      <c r="M137" s="124">
        <f>SUM(BY$95:BY$105)+SUM(CA$95:CA$105)+SUM(CC$95:CC$105)+SUM(CE$95:CE$105)</f>
        <v>1054850.3999999999</v>
      </c>
      <c r="N137" s="124">
        <f>SUM(CG$95:CG$105)+SUM(CI$95:CI$105)+SUM(CK$95:CK$105)+SUM(CM$95:CM$105)</f>
        <v>943447.2</v>
      </c>
      <c r="O137" s="124">
        <f>SUM(CO$95:CO$105)+SUM(CQ$95:CQ$105)+SUM(CS$95:CS$105)+SUM(CU$95:CU$105)</f>
        <v>1061499.5999999999</v>
      </c>
    </row>
    <row r="138" spans="2:15" x14ac:dyDescent="0.2">
      <c r="C138" s="123" t="s">
        <v>278</v>
      </c>
      <c r="D138">
        <f t="shared" ref="D138:O138" si="2">SUM(D$131:D$137)</f>
        <v>5281250.4000000004</v>
      </c>
      <c r="E138">
        <f t="shared" si="2"/>
        <v>2791972.2489938629</v>
      </c>
      <c r="F138">
        <f t="shared" si="2"/>
        <v>2894473.2</v>
      </c>
      <c r="G138">
        <f t="shared" si="2"/>
        <v>2904664.8</v>
      </c>
      <c r="H138">
        <f t="shared" si="2"/>
        <v>2838992.3999999994</v>
      </c>
      <c r="I138">
        <f t="shared" si="2"/>
        <v>3047751.6</v>
      </c>
      <c r="J138">
        <f t="shared" si="2"/>
        <v>2839537.2</v>
      </c>
      <c r="K138">
        <f t="shared" si="2"/>
        <v>3101605.1999999993</v>
      </c>
      <c r="L138">
        <f t="shared" si="2"/>
        <v>2943766.8</v>
      </c>
      <c r="M138">
        <f t="shared" si="2"/>
        <v>3028317.5999999996</v>
      </c>
      <c r="N138">
        <f t="shared" si="2"/>
        <v>2910282</v>
      </c>
      <c r="O138">
        <f t="shared" si="2"/>
        <v>3145461.5999999996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1" t="s">
        <v>282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4.2799396217348509</v>
      </c>
      <c r="E6">
        <v>2475.5170772114375</v>
      </c>
      <c r="F6">
        <v>7</v>
      </c>
      <c r="G6">
        <v>4048.7999999999997</v>
      </c>
      <c r="H6">
        <v>3.2224306003466467</v>
      </c>
      <c r="I6">
        <v>1863.8538592405005</v>
      </c>
      <c r="J6">
        <v>5.6717565265560923</v>
      </c>
      <c r="K6">
        <v>3280.5439749600437</v>
      </c>
      <c r="L6">
        <v>7</v>
      </c>
      <c r="M6">
        <v>4048.7999999999997</v>
      </c>
      <c r="N6">
        <v>8</v>
      </c>
      <c r="O6">
        <v>4627.2</v>
      </c>
      <c r="P6">
        <v>6</v>
      </c>
      <c r="Q6">
        <v>3470.3999999999996</v>
      </c>
      <c r="R6">
        <v>7.24807254068463</v>
      </c>
      <c r="S6">
        <v>4192.2851575319901</v>
      </c>
      <c r="T6">
        <v>7</v>
      </c>
      <c r="U6">
        <v>4048.7999999999997</v>
      </c>
      <c r="V6">
        <v>5.475245044480725</v>
      </c>
      <c r="W6">
        <v>3166.8817337276514</v>
      </c>
      <c r="X6">
        <v>10</v>
      </c>
      <c r="Y6">
        <v>5784</v>
      </c>
      <c r="Z6">
        <v>10</v>
      </c>
      <c r="AA6">
        <v>5784</v>
      </c>
      <c r="AB6">
        <v>10</v>
      </c>
      <c r="AC6">
        <v>5784</v>
      </c>
      <c r="AD6">
        <v>8</v>
      </c>
      <c r="AE6">
        <v>4627.2</v>
      </c>
      <c r="AF6">
        <v>7.3727777629323219</v>
      </c>
      <c r="AG6">
        <v>4264.4146580800552</v>
      </c>
      <c r="AH6">
        <v>6.135519937256606</v>
      </c>
      <c r="AI6">
        <v>3548.784731709221</v>
      </c>
      <c r="AJ6">
        <v>9</v>
      </c>
      <c r="AK6">
        <v>5205.5999999999995</v>
      </c>
      <c r="AL6">
        <v>8.0534813895815418</v>
      </c>
      <c r="AM6">
        <v>4658.1336357339633</v>
      </c>
      <c r="AN6">
        <v>6</v>
      </c>
      <c r="AO6">
        <v>3470.3999999999996</v>
      </c>
      <c r="AP6">
        <v>8</v>
      </c>
      <c r="AQ6">
        <v>4627.2</v>
      </c>
      <c r="AR6">
        <v>8.7534490550788995</v>
      </c>
      <c r="AS6">
        <v>5062.9949334576349</v>
      </c>
      <c r="AT6">
        <v>7.0134534333870029</v>
      </c>
      <c r="AU6">
        <v>4056.5814658710424</v>
      </c>
      <c r="AV6">
        <v>13</v>
      </c>
      <c r="AW6">
        <v>7519.2</v>
      </c>
      <c r="AX6">
        <v>5.4116780781508345</v>
      </c>
      <c r="AY6">
        <v>3130.1146004024426</v>
      </c>
      <c r="AZ6">
        <v>9.2735371441012511</v>
      </c>
      <c r="BA6">
        <v>5363.8138841481632</v>
      </c>
      <c r="BB6">
        <v>8</v>
      </c>
      <c r="BC6">
        <v>4627.2</v>
      </c>
      <c r="BD6">
        <v>8</v>
      </c>
      <c r="BE6">
        <v>4627.2</v>
      </c>
      <c r="BF6">
        <v>11</v>
      </c>
      <c r="BG6">
        <v>6362.4</v>
      </c>
      <c r="BH6">
        <v>8.4318296084358764</v>
      </c>
      <c r="BI6">
        <v>4876.970245519311</v>
      </c>
      <c r="BJ6">
        <v>7.5300083969469123</v>
      </c>
      <c r="BK6">
        <v>4355.3568567940938</v>
      </c>
      <c r="BL6">
        <v>9</v>
      </c>
      <c r="BM6">
        <v>5205.5999999999995</v>
      </c>
      <c r="BN6">
        <v>3.5868130383066532</v>
      </c>
      <c r="BO6">
        <v>2074.612661356568</v>
      </c>
      <c r="BP6">
        <v>9</v>
      </c>
      <c r="BQ6">
        <v>5205.5999999999995</v>
      </c>
      <c r="BR6">
        <v>7.9846339693357962</v>
      </c>
      <c r="BS6">
        <v>4618.3122878638242</v>
      </c>
      <c r="BT6">
        <v>6.4224463630417565</v>
      </c>
      <c r="BU6">
        <v>3714.742976383352</v>
      </c>
      <c r="BV6">
        <v>8.3965205844661064</v>
      </c>
      <c r="BW6">
        <v>4856.5475060551953</v>
      </c>
      <c r="BX6">
        <v>11.823122667947056</v>
      </c>
      <c r="BY6">
        <v>6838.4941511405768</v>
      </c>
      <c r="BZ6">
        <v>10.36796910881511</v>
      </c>
      <c r="CA6">
        <v>5996.8333325386593</v>
      </c>
      <c r="CB6">
        <v>8.8481501850318978</v>
      </c>
      <c r="CC6">
        <v>5117.7700670224494</v>
      </c>
      <c r="CD6">
        <v>9.8565446236269221</v>
      </c>
      <c r="CE6">
        <v>5701.0254103058114</v>
      </c>
      <c r="CF6">
        <v>8.9277394438212987</v>
      </c>
      <c r="CG6">
        <v>5163.8044943062387</v>
      </c>
      <c r="CH6">
        <v>12.261467071702045</v>
      </c>
      <c r="CI6">
        <v>7092.0325542724622</v>
      </c>
      <c r="CJ6">
        <v>2.2110528119566513</v>
      </c>
      <c r="CK6">
        <v>1278.872946435727</v>
      </c>
      <c r="CL6">
        <v>11</v>
      </c>
      <c r="CM6">
        <v>6362.4</v>
      </c>
      <c r="CN6">
        <v>6.5473413079516929</v>
      </c>
      <c r="CO6">
        <v>3786.9822125192591</v>
      </c>
      <c r="CP6">
        <v>6.4374005424141814</v>
      </c>
      <c r="CQ6">
        <v>3723.3924737323623</v>
      </c>
      <c r="CR6">
        <v>9.7430965625531893</v>
      </c>
      <c r="CS6">
        <v>5635.407051780764</v>
      </c>
      <c r="CT6">
        <v>5.9756627208272795</v>
      </c>
      <c r="CU6">
        <v>3456.3233177264983</v>
      </c>
    </row>
    <row r="7" spans="1:99" x14ac:dyDescent="0.2">
      <c r="C7" s="119" t="s">
        <v>173</v>
      </c>
      <c r="D7">
        <v>4.2799396217348509</v>
      </c>
      <c r="E7">
        <v>3374.3043977757561</v>
      </c>
      <c r="F7">
        <v>7</v>
      </c>
      <c r="G7">
        <v>5518.8</v>
      </c>
      <c r="H7">
        <v>3.5804784448296076</v>
      </c>
      <c r="I7">
        <v>2822.8492059036626</v>
      </c>
      <c r="J7">
        <v>5.6717565265560923</v>
      </c>
      <c r="K7">
        <v>4471.6128455368234</v>
      </c>
      <c r="L7">
        <v>7</v>
      </c>
      <c r="M7">
        <v>5518.8</v>
      </c>
      <c r="N7">
        <v>7</v>
      </c>
      <c r="O7">
        <v>5518.8</v>
      </c>
      <c r="P7">
        <v>5</v>
      </c>
      <c r="Q7">
        <v>3942</v>
      </c>
      <c r="R7">
        <v>7.24807254068463</v>
      </c>
      <c r="S7">
        <v>5714.3803910757624</v>
      </c>
      <c r="T7">
        <v>7</v>
      </c>
      <c r="U7">
        <v>5518.8</v>
      </c>
      <c r="V7">
        <v>5.475245044480725</v>
      </c>
      <c r="W7">
        <v>4316.683193068603</v>
      </c>
      <c r="X7">
        <v>10</v>
      </c>
      <c r="Y7">
        <v>7884</v>
      </c>
      <c r="Z7">
        <v>10</v>
      </c>
      <c r="AA7">
        <v>7884</v>
      </c>
      <c r="AB7">
        <v>11</v>
      </c>
      <c r="AC7">
        <v>8672.4</v>
      </c>
      <c r="AD7">
        <v>7</v>
      </c>
      <c r="AE7">
        <v>5518.8</v>
      </c>
      <c r="AF7">
        <v>8.1919752921470241</v>
      </c>
      <c r="AG7">
        <v>6458.5533203287132</v>
      </c>
      <c r="AH7">
        <v>5.3685799450995297</v>
      </c>
      <c r="AI7">
        <v>4232.588428716469</v>
      </c>
      <c r="AJ7">
        <v>10</v>
      </c>
      <c r="AK7">
        <v>7884</v>
      </c>
      <c r="AL7">
        <v>7.2481332506233871</v>
      </c>
      <c r="AM7">
        <v>5714.4282547914781</v>
      </c>
      <c r="AN7">
        <v>7</v>
      </c>
      <c r="AO7">
        <v>5518.8</v>
      </c>
      <c r="AP7">
        <v>9</v>
      </c>
      <c r="AQ7">
        <v>7095.5999999999995</v>
      </c>
      <c r="AR7">
        <v>8.7534490550788995</v>
      </c>
      <c r="AS7">
        <v>6901.219235024204</v>
      </c>
      <c r="AT7">
        <v>7.0134534333870029</v>
      </c>
      <c r="AU7">
        <v>5529.4066868823129</v>
      </c>
      <c r="AV7">
        <v>11</v>
      </c>
      <c r="AW7">
        <v>8672.4</v>
      </c>
      <c r="AX7">
        <v>5.4116780781508345</v>
      </c>
      <c r="AY7">
        <v>4266.5669968141174</v>
      </c>
      <c r="AZ7">
        <v>8.5601881330165401</v>
      </c>
      <c r="BA7">
        <v>6748.8523240702398</v>
      </c>
      <c r="BB7">
        <v>8</v>
      </c>
      <c r="BC7">
        <v>6307.2</v>
      </c>
      <c r="BD7">
        <v>8</v>
      </c>
      <c r="BE7">
        <v>6307.2</v>
      </c>
      <c r="BF7">
        <v>12</v>
      </c>
      <c r="BG7">
        <v>9460.7999999999993</v>
      </c>
      <c r="BH7">
        <v>8.4318296084358764</v>
      </c>
      <c r="BI7">
        <v>6647.6544632908444</v>
      </c>
      <c r="BJ7">
        <v>6.5887573473285483</v>
      </c>
      <c r="BK7">
        <v>5194.5762926338275</v>
      </c>
      <c r="BL7">
        <v>9</v>
      </c>
      <c r="BM7">
        <v>7095.5999999999995</v>
      </c>
      <c r="BN7">
        <v>4.099214900921889</v>
      </c>
      <c r="BO7">
        <v>3231.8210278868173</v>
      </c>
      <c r="BP7">
        <v>9</v>
      </c>
      <c r="BQ7">
        <v>7095.5999999999995</v>
      </c>
      <c r="BR7">
        <v>7.1861705724022169</v>
      </c>
      <c r="BS7">
        <v>5665.5768792819081</v>
      </c>
      <c r="BT7">
        <v>5.7088412115926728</v>
      </c>
      <c r="BU7">
        <v>4500.8504112196633</v>
      </c>
      <c r="BV7">
        <v>7.104748186855935</v>
      </c>
      <c r="BW7">
        <v>5601.3834705172194</v>
      </c>
      <c r="BX7">
        <v>10.004180719032124</v>
      </c>
      <c r="BY7">
        <v>7887.2960788849268</v>
      </c>
      <c r="BZ7">
        <v>8.6399742573459264</v>
      </c>
      <c r="CA7">
        <v>6811.7557044915284</v>
      </c>
      <c r="CB7">
        <v>8.8481501850318978</v>
      </c>
      <c r="CC7">
        <v>6975.8816058791481</v>
      </c>
      <c r="CD7">
        <v>9.8565446236269221</v>
      </c>
      <c r="CE7">
        <v>7770.8997812674652</v>
      </c>
      <c r="CF7">
        <v>8.9277394438212987</v>
      </c>
      <c r="CG7">
        <v>7038.6297775087114</v>
      </c>
      <c r="CH7">
        <v>12.261467071702045</v>
      </c>
      <c r="CI7">
        <v>9666.9406393298923</v>
      </c>
      <c r="CJ7">
        <v>2.4874344134512327</v>
      </c>
      <c r="CK7">
        <v>1961.0932915649519</v>
      </c>
      <c r="CL7">
        <v>11</v>
      </c>
      <c r="CM7">
        <v>8672.4</v>
      </c>
      <c r="CN7">
        <v>5.4561177566264112</v>
      </c>
      <c r="CO7">
        <v>4301.6032393242622</v>
      </c>
      <c r="CP7">
        <v>6.4374005424141814</v>
      </c>
      <c r="CQ7">
        <v>5075.2465876393408</v>
      </c>
      <c r="CR7">
        <v>10.717406218808508</v>
      </c>
      <c r="CS7">
        <v>8449.6030629086272</v>
      </c>
      <c r="CT7">
        <v>5.3117001962909152</v>
      </c>
      <c r="CU7">
        <v>4187.7444347557575</v>
      </c>
    </row>
    <row r="8" spans="1:99" x14ac:dyDescent="0.2">
      <c r="C8" s="119" t="s">
        <v>174</v>
      </c>
      <c r="D8">
        <v>4.2799396217348509</v>
      </c>
      <c r="E8">
        <v>1325.0693068891096</v>
      </c>
      <c r="F8">
        <v>7</v>
      </c>
      <c r="G8">
        <v>2167.1999999999998</v>
      </c>
      <c r="H8">
        <v>3.5804784448296076</v>
      </c>
      <c r="I8">
        <v>1108.5161265192464</v>
      </c>
      <c r="J8">
        <v>5.6717565265560923</v>
      </c>
      <c r="K8">
        <v>1755.9758206217659</v>
      </c>
      <c r="L8">
        <v>8</v>
      </c>
      <c r="M8">
        <v>2476.7999999999997</v>
      </c>
      <c r="N8">
        <v>8</v>
      </c>
      <c r="O8">
        <v>2476.7999999999997</v>
      </c>
      <c r="P8">
        <v>6</v>
      </c>
      <c r="Q8">
        <v>1857.6</v>
      </c>
      <c r="R8">
        <v>8.0534139340940332</v>
      </c>
      <c r="S8">
        <v>2493.3369539955124</v>
      </c>
      <c r="T8">
        <v>7</v>
      </c>
      <c r="U8">
        <v>2167.1999999999998</v>
      </c>
      <c r="V8">
        <v>5.475245044480725</v>
      </c>
      <c r="W8">
        <v>1695.1358657712324</v>
      </c>
      <c r="X8">
        <v>10</v>
      </c>
      <c r="Y8">
        <v>3095.9999999999995</v>
      </c>
      <c r="Z8">
        <v>11</v>
      </c>
      <c r="AA8">
        <v>3405.5999999999995</v>
      </c>
      <c r="AB8">
        <v>10</v>
      </c>
      <c r="AC8">
        <v>3095.9999999999995</v>
      </c>
      <c r="AD8">
        <v>8</v>
      </c>
      <c r="AE8">
        <v>2476.7999999999997</v>
      </c>
      <c r="AF8">
        <v>7.3727777629323219</v>
      </c>
      <c r="AG8">
        <v>2282.6119954038468</v>
      </c>
      <c r="AH8">
        <v>5.3685799450995297</v>
      </c>
      <c r="AI8">
        <v>1662.1123510028142</v>
      </c>
      <c r="AJ8">
        <v>11</v>
      </c>
      <c r="AK8">
        <v>3405.5999999999995</v>
      </c>
      <c r="AL8">
        <v>8.8588295285396974</v>
      </c>
      <c r="AM8">
        <v>2742.6936220358898</v>
      </c>
      <c r="AN8">
        <v>6</v>
      </c>
      <c r="AO8">
        <v>1857.6</v>
      </c>
      <c r="AP8">
        <v>9</v>
      </c>
      <c r="AQ8">
        <v>2786.3999999999996</v>
      </c>
      <c r="AR8">
        <v>8.7534490550788995</v>
      </c>
      <c r="AS8">
        <v>2710.0678274524271</v>
      </c>
      <c r="AT8">
        <v>8.4161441200644038</v>
      </c>
      <c r="AU8">
        <v>2605.6382195719393</v>
      </c>
      <c r="AV8">
        <v>12</v>
      </c>
      <c r="AW8">
        <v>3715.2</v>
      </c>
      <c r="AX8">
        <v>5.4116780781508345</v>
      </c>
      <c r="AY8">
        <v>1675.4555329954981</v>
      </c>
      <c r="AZ8">
        <v>8.5601881330165401</v>
      </c>
      <c r="BA8">
        <v>2650.2342459819206</v>
      </c>
      <c r="BB8">
        <v>8</v>
      </c>
      <c r="BC8">
        <v>2476.7999999999997</v>
      </c>
      <c r="BD8">
        <v>8</v>
      </c>
      <c r="BE8">
        <v>2476.7999999999997</v>
      </c>
      <c r="BF8">
        <v>12</v>
      </c>
      <c r="BG8">
        <v>3715.2</v>
      </c>
      <c r="BH8">
        <v>9.1344820758055327</v>
      </c>
      <c r="BI8">
        <v>2828.0356506693925</v>
      </c>
      <c r="BJ8">
        <v>7.5300083969469123</v>
      </c>
      <c r="BK8">
        <v>2331.2905996947638</v>
      </c>
      <c r="BL8">
        <v>9</v>
      </c>
      <c r="BM8">
        <v>2786.3999999999996</v>
      </c>
      <c r="BN8">
        <v>4.099214900921889</v>
      </c>
      <c r="BO8">
        <v>1269.1169333254168</v>
      </c>
      <c r="BP8">
        <v>9</v>
      </c>
      <c r="BQ8">
        <v>2786.3999999999996</v>
      </c>
      <c r="BR8">
        <v>8.7830973662693754</v>
      </c>
      <c r="BS8">
        <v>2719.2469445969982</v>
      </c>
      <c r="BT8">
        <v>6.4224463630417565</v>
      </c>
      <c r="BU8">
        <v>1988.3893939977277</v>
      </c>
      <c r="BV8">
        <v>7.7506343856610194</v>
      </c>
      <c r="BW8">
        <v>2399.5964058006512</v>
      </c>
      <c r="BX8">
        <v>11.823122667947056</v>
      </c>
      <c r="BY8">
        <v>3660.4387779964081</v>
      </c>
      <c r="BZ8">
        <v>9.5039716830805183</v>
      </c>
      <c r="CA8">
        <v>2942.4296330817283</v>
      </c>
      <c r="CB8">
        <v>9.8312779833687749</v>
      </c>
      <c r="CC8">
        <v>3043.7636636509724</v>
      </c>
      <c r="CD8">
        <v>9.0351659049913451</v>
      </c>
      <c r="CE8">
        <v>2797.2873641853203</v>
      </c>
      <c r="CF8">
        <v>8.9277394438212987</v>
      </c>
      <c r="CG8">
        <v>2764.0281318070738</v>
      </c>
      <c r="CH8">
        <v>13.204656846448357</v>
      </c>
      <c r="CI8">
        <v>4088.161759660411</v>
      </c>
      <c r="CJ8">
        <v>2.2110528119566513</v>
      </c>
      <c r="CK8">
        <v>684.54195058177913</v>
      </c>
      <c r="CL8">
        <v>11</v>
      </c>
      <c r="CM8">
        <v>3405.5999999999995</v>
      </c>
      <c r="CN8">
        <v>6.5473413079516929</v>
      </c>
      <c r="CO8">
        <v>2027.056868941844</v>
      </c>
      <c r="CP8">
        <v>6.4374005424141814</v>
      </c>
      <c r="CQ8">
        <v>1993.0192079314304</v>
      </c>
      <c r="CR8">
        <v>9.7430965625531893</v>
      </c>
      <c r="CS8">
        <v>3016.4626957664673</v>
      </c>
      <c r="CT8">
        <v>5.3117001962909152</v>
      </c>
      <c r="CU8">
        <v>1644.502380771667</v>
      </c>
    </row>
    <row r="9" spans="1:99" x14ac:dyDescent="0.2">
      <c r="C9" s="119" t="s">
        <v>175</v>
      </c>
      <c r="D9">
        <v>4.2799396217348509</v>
      </c>
      <c r="E9">
        <v>3004.5176144578654</v>
      </c>
      <c r="F9">
        <v>7</v>
      </c>
      <c r="G9">
        <v>4914</v>
      </c>
      <c r="H9">
        <v>3.5804784448296076</v>
      </c>
      <c r="I9">
        <v>2513.4958682703846</v>
      </c>
      <c r="J9">
        <v>5.104580873900483</v>
      </c>
      <c r="K9">
        <v>3583.4157734781393</v>
      </c>
      <c r="L9">
        <v>7</v>
      </c>
      <c r="M9">
        <v>4914</v>
      </c>
      <c r="N9">
        <v>8</v>
      </c>
      <c r="O9">
        <v>5616</v>
      </c>
      <c r="P9">
        <v>6</v>
      </c>
      <c r="Q9">
        <v>4212</v>
      </c>
      <c r="R9">
        <v>7.24807254068463</v>
      </c>
      <c r="S9">
        <v>5088.14692356061</v>
      </c>
      <c r="T9">
        <v>7</v>
      </c>
      <c r="U9">
        <v>4914</v>
      </c>
      <c r="V9">
        <v>5.475245044480725</v>
      </c>
      <c r="W9">
        <v>3843.6220212254689</v>
      </c>
      <c r="X9">
        <v>9</v>
      </c>
      <c r="Y9">
        <v>6318</v>
      </c>
      <c r="Z9">
        <v>10</v>
      </c>
      <c r="AA9">
        <v>7020</v>
      </c>
      <c r="AB9">
        <v>10</v>
      </c>
      <c r="AC9">
        <v>7020</v>
      </c>
      <c r="AD9">
        <v>8</v>
      </c>
      <c r="AE9">
        <v>5616</v>
      </c>
      <c r="AF9">
        <v>7.3727777629323219</v>
      </c>
      <c r="AG9">
        <v>5175.68998957849</v>
      </c>
      <c r="AH9">
        <v>6.135519937256606</v>
      </c>
      <c r="AI9">
        <v>4307.1349959541376</v>
      </c>
      <c r="AJ9">
        <v>9</v>
      </c>
      <c r="AK9">
        <v>6318</v>
      </c>
      <c r="AL9">
        <v>8.8588295285396974</v>
      </c>
      <c r="AM9">
        <v>6218.8983290348679</v>
      </c>
      <c r="AN9">
        <v>7</v>
      </c>
      <c r="AO9">
        <v>4914</v>
      </c>
      <c r="AP9">
        <v>8</v>
      </c>
      <c r="AQ9">
        <v>5616</v>
      </c>
      <c r="AR9">
        <v>8.7534490550788995</v>
      </c>
      <c r="AS9">
        <v>6144.9212366653874</v>
      </c>
      <c r="AT9">
        <v>7.7147987767257034</v>
      </c>
      <c r="AU9">
        <v>5415.7887412614436</v>
      </c>
      <c r="AV9">
        <v>12</v>
      </c>
      <c r="AW9">
        <v>8424</v>
      </c>
      <c r="AX9">
        <v>5.4116780781508345</v>
      </c>
      <c r="AY9">
        <v>3798.9980108618856</v>
      </c>
      <c r="AZ9">
        <v>7.8468391219318283</v>
      </c>
      <c r="BA9">
        <v>5508.481063596143</v>
      </c>
      <c r="BB9">
        <v>8</v>
      </c>
      <c r="BC9">
        <v>5616</v>
      </c>
      <c r="BD9">
        <v>8</v>
      </c>
      <c r="BE9">
        <v>5616</v>
      </c>
      <c r="BF9">
        <v>11</v>
      </c>
      <c r="BG9">
        <v>7722</v>
      </c>
      <c r="BH9">
        <v>8.4318296084358764</v>
      </c>
      <c r="BI9">
        <v>5919.1443851219856</v>
      </c>
      <c r="BJ9">
        <v>7.5300083969469123</v>
      </c>
      <c r="BK9">
        <v>5286.0658946567328</v>
      </c>
      <c r="BL9">
        <v>8</v>
      </c>
      <c r="BM9">
        <v>5616</v>
      </c>
      <c r="BN9">
        <v>4.099214900921889</v>
      </c>
      <c r="BO9">
        <v>2877.648860447166</v>
      </c>
      <c r="BP9">
        <v>8</v>
      </c>
      <c r="BQ9">
        <v>5616</v>
      </c>
      <c r="BR9">
        <v>8.7830973662693754</v>
      </c>
      <c r="BS9">
        <v>6165.7343511211011</v>
      </c>
      <c r="BT9">
        <v>6.4224463630417565</v>
      </c>
      <c r="BU9">
        <v>4508.557346855313</v>
      </c>
      <c r="BV9">
        <v>8.3965205844661064</v>
      </c>
      <c r="BW9">
        <v>5894.3574502952069</v>
      </c>
      <c r="BX9">
        <v>11.823122667947056</v>
      </c>
      <c r="BY9">
        <v>8299.8321128988337</v>
      </c>
      <c r="BZ9">
        <v>8.6399742573459264</v>
      </c>
      <c r="CA9">
        <v>6065.2619286568406</v>
      </c>
      <c r="CB9">
        <v>8.8481501850318978</v>
      </c>
      <c r="CC9">
        <v>6211.4014298923921</v>
      </c>
      <c r="CD9">
        <v>10.677923342262499</v>
      </c>
      <c r="CE9">
        <v>7495.9021862682739</v>
      </c>
      <c r="CF9">
        <v>8.1837611568361908</v>
      </c>
      <c r="CG9">
        <v>5745.0003320990063</v>
      </c>
      <c r="CH9">
        <v>10.375087522209421</v>
      </c>
      <c r="CI9">
        <v>7283.3114405910137</v>
      </c>
      <c r="CJ9">
        <v>1.93467121046207</v>
      </c>
      <c r="CK9">
        <v>1358.1391897443732</v>
      </c>
      <c r="CL9">
        <v>10</v>
      </c>
      <c r="CM9">
        <v>7020</v>
      </c>
      <c r="CN9">
        <v>6.5473413079516929</v>
      </c>
      <c r="CO9">
        <v>4596.2335981820888</v>
      </c>
      <c r="CP9">
        <v>6.4374005424141814</v>
      </c>
      <c r="CQ9">
        <v>4519.0551807747552</v>
      </c>
      <c r="CR9">
        <v>10.717406218808508</v>
      </c>
      <c r="CS9">
        <v>7523.6191656035726</v>
      </c>
      <c r="CT9">
        <v>5.9756627208272795</v>
      </c>
      <c r="CU9">
        <v>4194.9152300207497</v>
      </c>
    </row>
    <row r="10" spans="1:99" x14ac:dyDescent="0.2">
      <c r="C10" s="119" t="s">
        <v>176</v>
      </c>
      <c r="D10">
        <v>4.2799396217348509</v>
      </c>
      <c r="E10">
        <v>2331.7111059211466</v>
      </c>
      <c r="F10">
        <v>7</v>
      </c>
      <c r="G10">
        <v>3813.5999999999995</v>
      </c>
      <c r="H10">
        <v>3.9385262893125685</v>
      </c>
      <c r="I10">
        <v>2145.7091224174874</v>
      </c>
      <c r="J10">
        <v>5.104580873900483</v>
      </c>
      <c r="K10">
        <v>2780.9756601009831</v>
      </c>
      <c r="L10">
        <v>8</v>
      </c>
      <c r="M10">
        <v>4358.3999999999996</v>
      </c>
      <c r="N10">
        <v>8</v>
      </c>
      <c r="O10">
        <v>4358.3999999999996</v>
      </c>
      <c r="P10">
        <v>6</v>
      </c>
      <c r="Q10">
        <v>3268.7999999999997</v>
      </c>
      <c r="R10">
        <v>8.0534139340940332</v>
      </c>
      <c r="S10">
        <v>4387.4999112944288</v>
      </c>
      <c r="T10">
        <v>6</v>
      </c>
      <c r="U10">
        <v>3268.7999999999997</v>
      </c>
      <c r="V10">
        <v>6.3877858852275127</v>
      </c>
      <c r="W10">
        <v>3480.0657502719487</v>
      </c>
      <c r="X10">
        <v>9</v>
      </c>
      <c r="Y10">
        <v>4903.2</v>
      </c>
      <c r="Z10">
        <v>10</v>
      </c>
      <c r="AA10">
        <v>5448</v>
      </c>
      <c r="AB10">
        <v>12</v>
      </c>
      <c r="AC10">
        <v>6537.5999999999995</v>
      </c>
      <c r="AD10">
        <v>8</v>
      </c>
      <c r="AE10">
        <v>4358.3999999999996</v>
      </c>
      <c r="AF10">
        <v>6.5535802337176197</v>
      </c>
      <c r="AG10">
        <v>3570.390511329359</v>
      </c>
      <c r="AH10">
        <v>6.135519937256606</v>
      </c>
      <c r="AI10">
        <v>3342.6312618173988</v>
      </c>
      <c r="AJ10">
        <v>11</v>
      </c>
      <c r="AK10">
        <v>5992.7999999999993</v>
      </c>
      <c r="AL10">
        <v>8.0534813895815418</v>
      </c>
      <c r="AM10">
        <v>4387.5366610440233</v>
      </c>
      <c r="AN10">
        <v>6</v>
      </c>
      <c r="AO10">
        <v>3268.7999999999997</v>
      </c>
      <c r="AP10">
        <v>9</v>
      </c>
      <c r="AQ10">
        <v>4903.2</v>
      </c>
      <c r="AR10">
        <v>8.7534490550788995</v>
      </c>
      <c r="AS10">
        <v>4768.8790452069843</v>
      </c>
      <c r="AT10">
        <v>7.7147987767257034</v>
      </c>
      <c r="AU10">
        <v>4203.022373560163</v>
      </c>
      <c r="AV10">
        <v>12</v>
      </c>
      <c r="AW10">
        <v>6537.5999999999995</v>
      </c>
      <c r="AX10">
        <v>6.3136244245093067</v>
      </c>
      <c r="AY10">
        <v>3439.6625864726702</v>
      </c>
      <c r="AZ10">
        <v>7.8468391219318283</v>
      </c>
      <c r="BA10">
        <v>4274.95795362846</v>
      </c>
      <c r="BB10">
        <v>8</v>
      </c>
      <c r="BC10">
        <v>4358.3999999999996</v>
      </c>
      <c r="BD10">
        <v>8</v>
      </c>
      <c r="BE10">
        <v>4358.3999999999996</v>
      </c>
      <c r="BF10">
        <v>12</v>
      </c>
      <c r="BG10">
        <v>6537.5999999999995</v>
      </c>
      <c r="BH10">
        <v>7.7291771410662191</v>
      </c>
      <c r="BI10">
        <v>4210.8557064528759</v>
      </c>
      <c r="BJ10">
        <v>7.5300083969469123</v>
      </c>
      <c r="BK10">
        <v>4102.3485746566776</v>
      </c>
      <c r="BL10">
        <v>9</v>
      </c>
      <c r="BM10">
        <v>4903.2</v>
      </c>
      <c r="BN10">
        <v>3.5868130383066532</v>
      </c>
      <c r="BO10">
        <v>1954.0957432694645</v>
      </c>
      <c r="BP10">
        <v>8</v>
      </c>
      <c r="BQ10">
        <v>4358.3999999999996</v>
      </c>
      <c r="BR10">
        <v>7.9846339693357962</v>
      </c>
      <c r="BS10">
        <v>4350.0285864941416</v>
      </c>
      <c r="BT10">
        <v>5.7088412115926728</v>
      </c>
      <c r="BU10">
        <v>3110.1766920756877</v>
      </c>
      <c r="BV10">
        <v>8.3965205844661064</v>
      </c>
      <c r="BW10">
        <v>4574.4244144171344</v>
      </c>
      <c r="BX10">
        <v>10.913651693489591</v>
      </c>
      <c r="BY10">
        <v>5945.7574426131287</v>
      </c>
      <c r="BZ10">
        <v>9.5039716830805183</v>
      </c>
      <c r="CA10">
        <v>5177.7637729422659</v>
      </c>
      <c r="CB10">
        <v>9.8312779833687749</v>
      </c>
      <c r="CC10">
        <v>5356.080245339308</v>
      </c>
      <c r="CD10">
        <v>9.0351659049913451</v>
      </c>
      <c r="CE10">
        <v>4922.3583850392843</v>
      </c>
      <c r="CF10">
        <v>8.9277394438212987</v>
      </c>
      <c r="CG10">
        <v>4863.8324489938432</v>
      </c>
      <c r="CH10">
        <v>12.261467071702045</v>
      </c>
      <c r="CI10">
        <v>6680.0472606632738</v>
      </c>
      <c r="CJ10">
        <v>2.2110528119566513</v>
      </c>
      <c r="CK10">
        <v>1204.5815719539835</v>
      </c>
      <c r="CL10">
        <v>12</v>
      </c>
      <c r="CM10">
        <v>6537.5999999999995</v>
      </c>
      <c r="CN10">
        <v>6.0017295322890511</v>
      </c>
      <c r="CO10">
        <v>3269.7422491910747</v>
      </c>
      <c r="CP10">
        <v>5.9009504972129996</v>
      </c>
      <c r="CQ10">
        <v>3214.8378308816418</v>
      </c>
      <c r="CR10">
        <v>10.717406218808508</v>
      </c>
      <c r="CS10">
        <v>5838.8429080068745</v>
      </c>
      <c r="CT10">
        <v>5.9756627208272795</v>
      </c>
      <c r="CU10">
        <v>3255.5410503067014</v>
      </c>
    </row>
    <row r="11" spans="1:99" x14ac:dyDescent="0.2">
      <c r="C11" s="119" t="s">
        <v>177</v>
      </c>
      <c r="D11">
        <v>3.8043907748754227</v>
      </c>
      <c r="E11">
        <v>2026.9794048536251</v>
      </c>
      <c r="F11">
        <v>7</v>
      </c>
      <c r="G11">
        <v>3729.5999999999995</v>
      </c>
      <c r="H11">
        <v>3.5804784448296076</v>
      </c>
      <c r="I11">
        <v>1907.6789154052149</v>
      </c>
      <c r="J11">
        <v>5.104580873900483</v>
      </c>
      <c r="K11">
        <v>2719.720689614177</v>
      </c>
      <c r="L11">
        <v>8</v>
      </c>
      <c r="M11">
        <v>4262.3999999999996</v>
      </c>
      <c r="N11">
        <v>8</v>
      </c>
      <c r="O11">
        <v>4262.3999999999996</v>
      </c>
      <c r="P11">
        <v>6</v>
      </c>
      <c r="Q11">
        <v>3196.7999999999997</v>
      </c>
      <c r="R11">
        <v>7.24807254068463</v>
      </c>
      <c r="S11">
        <v>3861.7730496767704</v>
      </c>
      <c r="T11">
        <v>6</v>
      </c>
      <c r="U11">
        <v>3196.7999999999997</v>
      </c>
      <c r="V11">
        <v>5.475245044480725</v>
      </c>
      <c r="W11">
        <v>2917.2105596993301</v>
      </c>
      <c r="X11">
        <v>10</v>
      </c>
      <c r="Y11">
        <v>5328</v>
      </c>
      <c r="Z11">
        <v>10</v>
      </c>
      <c r="AA11">
        <v>5328</v>
      </c>
      <c r="AB11">
        <v>10</v>
      </c>
      <c r="AC11">
        <v>5328</v>
      </c>
      <c r="AD11">
        <v>7</v>
      </c>
      <c r="AE11">
        <v>3729.5999999999995</v>
      </c>
      <c r="AF11">
        <v>8.1919752921470241</v>
      </c>
      <c r="AG11">
        <v>4364.6844356559341</v>
      </c>
      <c r="AH11">
        <v>6.135519937256606</v>
      </c>
      <c r="AI11">
        <v>3269.0050225703194</v>
      </c>
      <c r="AJ11">
        <v>10</v>
      </c>
      <c r="AK11">
        <v>5328</v>
      </c>
      <c r="AL11">
        <v>8.0534813895815418</v>
      </c>
      <c r="AM11">
        <v>4290.894884369045</v>
      </c>
      <c r="AN11">
        <v>6</v>
      </c>
      <c r="AO11">
        <v>3196.7999999999997</v>
      </c>
      <c r="AP11">
        <v>8</v>
      </c>
      <c r="AQ11">
        <v>4262.3999999999996</v>
      </c>
      <c r="AR11">
        <v>7.780843604514577</v>
      </c>
      <c r="AS11">
        <v>4145.6334724853659</v>
      </c>
      <c r="AT11">
        <v>7.0134534333870029</v>
      </c>
      <c r="AU11">
        <v>3736.7679893085947</v>
      </c>
      <c r="AV11">
        <v>12</v>
      </c>
      <c r="AW11">
        <v>6393.5999999999995</v>
      </c>
      <c r="AX11">
        <v>5.4116780781508345</v>
      </c>
      <c r="AY11">
        <v>2883.3420800387644</v>
      </c>
      <c r="AZ11">
        <v>8.5601881330165401</v>
      </c>
      <c r="BA11">
        <v>4560.8682372712119</v>
      </c>
      <c r="BB11">
        <v>8</v>
      </c>
      <c r="BC11">
        <v>4262.3999999999996</v>
      </c>
      <c r="BD11">
        <v>7</v>
      </c>
      <c r="BE11">
        <v>3729.5999999999995</v>
      </c>
      <c r="BF11">
        <v>12</v>
      </c>
      <c r="BG11">
        <v>6393.5999999999995</v>
      </c>
      <c r="BH11">
        <v>8.4318296084358764</v>
      </c>
      <c r="BI11">
        <v>4492.4788153746349</v>
      </c>
      <c r="BJ11">
        <v>7.5300083969469123</v>
      </c>
      <c r="BK11">
        <v>4011.9884738933147</v>
      </c>
      <c r="BL11">
        <v>9</v>
      </c>
      <c r="BM11">
        <v>4795.2</v>
      </c>
      <c r="BN11">
        <v>4.099214900921889</v>
      </c>
      <c r="BO11">
        <v>2184.0616992111823</v>
      </c>
      <c r="BP11">
        <v>8</v>
      </c>
      <c r="BQ11">
        <v>4262.3999999999996</v>
      </c>
      <c r="BR11">
        <v>7.9846339693357962</v>
      </c>
      <c r="BS11">
        <v>4254.2129788621114</v>
      </c>
      <c r="BT11">
        <v>6.4224463630417565</v>
      </c>
      <c r="BU11">
        <v>3421.8794222286474</v>
      </c>
      <c r="BV11">
        <v>7.104748186855935</v>
      </c>
      <c r="BW11">
        <v>3785.4098339568418</v>
      </c>
      <c r="BX11">
        <v>10.913651693489591</v>
      </c>
      <c r="BY11">
        <v>5814.7936222912531</v>
      </c>
      <c r="BZ11">
        <v>9.5039716830805183</v>
      </c>
      <c r="CA11">
        <v>5063.7161127453001</v>
      </c>
      <c r="CB11">
        <v>8.8481501850318978</v>
      </c>
      <c r="CC11">
        <v>4714.2944185849947</v>
      </c>
      <c r="CD11">
        <v>9.8565446236269221</v>
      </c>
      <c r="CE11">
        <v>5251.5669754684241</v>
      </c>
      <c r="CF11">
        <v>8.9277394438212987</v>
      </c>
      <c r="CG11">
        <v>4756.6995756679871</v>
      </c>
      <c r="CH11">
        <v>11.318277296955733</v>
      </c>
      <c r="CI11">
        <v>6030.378143818014</v>
      </c>
      <c r="CJ11">
        <v>2.2110528119566513</v>
      </c>
      <c r="CK11">
        <v>1178.0489382105036</v>
      </c>
      <c r="CL11">
        <v>12</v>
      </c>
      <c r="CM11">
        <v>6393.5999999999995</v>
      </c>
      <c r="CN11">
        <v>6.0017295322890511</v>
      </c>
      <c r="CO11">
        <v>3197.7214948036062</v>
      </c>
      <c r="CP11">
        <v>6.9738505876153631</v>
      </c>
      <c r="CQ11">
        <v>3715.6675930814654</v>
      </c>
      <c r="CR11">
        <v>9.7430965625531893</v>
      </c>
      <c r="CS11">
        <v>5191.1218485283389</v>
      </c>
      <c r="CT11">
        <v>5.9756627208272795</v>
      </c>
      <c r="CU11">
        <v>3183.833097656774</v>
      </c>
    </row>
    <row r="12" spans="1:99" x14ac:dyDescent="0.2">
      <c r="C12" s="119" t="s">
        <v>178</v>
      </c>
      <c r="D12">
        <v>4.2799396217348509</v>
      </c>
      <c r="E12">
        <v>2408.750019112374</v>
      </c>
      <c r="F12">
        <v>6</v>
      </c>
      <c r="G12">
        <v>3376.7999999999997</v>
      </c>
      <c r="H12">
        <v>3.5804784448296076</v>
      </c>
      <c r="I12">
        <v>2015.0932687501031</v>
      </c>
      <c r="J12">
        <v>5.6717565265560923</v>
      </c>
      <c r="K12">
        <v>3192.0645731457685</v>
      </c>
      <c r="L12">
        <v>7</v>
      </c>
      <c r="M12">
        <v>3939.5999999999995</v>
      </c>
      <c r="N12">
        <v>8</v>
      </c>
      <c r="O12">
        <v>4502.3999999999996</v>
      </c>
      <c r="P12">
        <v>6</v>
      </c>
      <c r="Q12">
        <v>3376.7999999999997</v>
      </c>
      <c r="R12">
        <v>8.0534139340940332</v>
      </c>
      <c r="S12">
        <v>4532.4613621081216</v>
      </c>
      <c r="T12">
        <v>7</v>
      </c>
      <c r="U12">
        <v>3939.5999999999995</v>
      </c>
      <c r="V12">
        <v>5.475245044480725</v>
      </c>
      <c r="W12">
        <v>3081.467911033752</v>
      </c>
      <c r="X12">
        <v>9</v>
      </c>
      <c r="Y12">
        <v>5065.2</v>
      </c>
      <c r="Z12">
        <v>11</v>
      </c>
      <c r="AA12">
        <v>6190.7999999999993</v>
      </c>
      <c r="AB12">
        <v>11</v>
      </c>
      <c r="AC12">
        <v>6190.7999999999993</v>
      </c>
      <c r="AD12">
        <v>7</v>
      </c>
      <c r="AE12">
        <v>3939.5999999999995</v>
      </c>
      <c r="AF12">
        <v>7.3727777629323219</v>
      </c>
      <c r="AG12">
        <v>4149.3993249783107</v>
      </c>
      <c r="AH12">
        <v>5.3685799450995297</v>
      </c>
      <c r="AI12">
        <v>3021.4367931020151</v>
      </c>
      <c r="AJ12">
        <v>10</v>
      </c>
      <c r="AK12">
        <v>5628</v>
      </c>
      <c r="AL12">
        <v>7.2481332506233871</v>
      </c>
      <c r="AM12">
        <v>4079.249393450842</v>
      </c>
      <c r="AN12">
        <v>6</v>
      </c>
      <c r="AO12">
        <v>3376.7999999999997</v>
      </c>
      <c r="AP12">
        <v>9</v>
      </c>
      <c r="AQ12">
        <v>5065.2</v>
      </c>
      <c r="AR12">
        <v>7.780843604514577</v>
      </c>
      <c r="AS12">
        <v>4379.0587806208032</v>
      </c>
      <c r="AT12">
        <v>7.0134534333870029</v>
      </c>
      <c r="AU12">
        <v>3947.1715923102047</v>
      </c>
      <c r="AV12">
        <v>12</v>
      </c>
      <c r="AW12">
        <v>6753.5999999999995</v>
      </c>
      <c r="AX12">
        <v>6.3136244245093067</v>
      </c>
      <c r="AY12">
        <v>3553.3078261138376</v>
      </c>
      <c r="AZ12">
        <v>8.5601881330165401</v>
      </c>
      <c r="BA12">
        <v>4817.6738812617086</v>
      </c>
      <c r="BB12">
        <v>8</v>
      </c>
      <c r="BC12">
        <v>4502.3999999999996</v>
      </c>
      <c r="BD12">
        <v>7</v>
      </c>
      <c r="BE12">
        <v>3939.5999999999995</v>
      </c>
      <c r="BF12">
        <v>10</v>
      </c>
      <c r="BG12">
        <v>5628</v>
      </c>
      <c r="BH12">
        <v>8.4318296084358764</v>
      </c>
      <c r="BI12">
        <v>4745.4337036277111</v>
      </c>
      <c r="BJ12">
        <v>8.4712594465652753</v>
      </c>
      <c r="BK12">
        <v>4767.6248165269362</v>
      </c>
      <c r="BL12">
        <v>9</v>
      </c>
      <c r="BM12">
        <v>5065.2</v>
      </c>
      <c r="BN12">
        <v>3.5868130383066532</v>
      </c>
      <c r="BO12">
        <v>2018.6583779589844</v>
      </c>
      <c r="BP12">
        <v>9</v>
      </c>
      <c r="BQ12">
        <v>5065.2</v>
      </c>
      <c r="BR12">
        <v>8.7830973662693754</v>
      </c>
      <c r="BS12">
        <v>4943.127197736404</v>
      </c>
      <c r="BT12">
        <v>6.4224463630417565</v>
      </c>
      <c r="BU12">
        <v>3614.5528131199003</v>
      </c>
      <c r="BV12">
        <v>7.104748186855935</v>
      </c>
      <c r="BW12">
        <v>3998.5522795625197</v>
      </c>
      <c r="BX12">
        <v>10.913651693489591</v>
      </c>
      <c r="BY12">
        <v>6142.2031730959416</v>
      </c>
      <c r="BZ12">
        <v>9.5039716830805183</v>
      </c>
      <c r="CA12">
        <v>5348.8352632377155</v>
      </c>
      <c r="CB12">
        <v>9.8312779833687749</v>
      </c>
      <c r="CC12">
        <v>5533.0432490399462</v>
      </c>
      <c r="CD12">
        <v>9.0351659049913451</v>
      </c>
      <c r="CE12">
        <v>5084.9913713291289</v>
      </c>
      <c r="CF12">
        <v>8.9277394438212987</v>
      </c>
      <c r="CG12">
        <v>5024.5317589826263</v>
      </c>
      <c r="CH12">
        <v>12.261467071702045</v>
      </c>
      <c r="CI12">
        <v>6900.7536679539107</v>
      </c>
      <c r="CJ12">
        <v>2.2110528119566513</v>
      </c>
      <c r="CK12">
        <v>1244.3805225692033</v>
      </c>
      <c r="CL12">
        <v>10</v>
      </c>
      <c r="CM12">
        <v>5628</v>
      </c>
      <c r="CN12">
        <v>6.5473413079516929</v>
      </c>
      <c r="CO12">
        <v>3684.8436881152124</v>
      </c>
      <c r="CP12">
        <v>6.9738505876153631</v>
      </c>
      <c r="CQ12">
        <v>3924.8831107099259</v>
      </c>
      <c r="CR12">
        <v>9.7430965625531893</v>
      </c>
      <c r="CS12">
        <v>5483.4147454049344</v>
      </c>
      <c r="CT12">
        <v>5.9756627208272795</v>
      </c>
      <c r="CU12">
        <v>3363.1029792815925</v>
      </c>
    </row>
    <row r="13" spans="1:99" x14ac:dyDescent="0.2">
      <c r="C13" s="119" t="s">
        <v>179</v>
      </c>
      <c r="D13">
        <v>4.7554884685942787</v>
      </c>
      <c r="E13">
        <v>405.16761752423258</v>
      </c>
      <c r="F13">
        <v>8</v>
      </c>
      <c r="G13">
        <v>681.6</v>
      </c>
      <c r="H13">
        <v>3.9385262893125685</v>
      </c>
      <c r="I13">
        <v>335.56243984943086</v>
      </c>
      <c r="J13">
        <v>5.6717565265560923</v>
      </c>
      <c r="K13">
        <v>483.23365606257909</v>
      </c>
      <c r="L13">
        <v>7</v>
      </c>
      <c r="M13">
        <v>596.4</v>
      </c>
      <c r="N13">
        <v>8</v>
      </c>
      <c r="O13">
        <v>681.6</v>
      </c>
      <c r="P13">
        <v>6</v>
      </c>
      <c r="Q13">
        <v>511.20000000000005</v>
      </c>
      <c r="R13">
        <v>8.0534139340940332</v>
      </c>
      <c r="S13">
        <v>686.15086718481166</v>
      </c>
      <c r="T13">
        <v>7</v>
      </c>
      <c r="U13">
        <v>596.4</v>
      </c>
      <c r="V13">
        <v>5.475245044480725</v>
      </c>
      <c r="W13">
        <v>466.4908777897578</v>
      </c>
      <c r="X13">
        <v>10</v>
      </c>
      <c r="Y13">
        <v>852</v>
      </c>
      <c r="Z13">
        <v>10</v>
      </c>
      <c r="AA13">
        <v>852</v>
      </c>
      <c r="AB13">
        <v>12</v>
      </c>
      <c r="AC13">
        <v>1022.4000000000001</v>
      </c>
      <c r="AD13">
        <v>8</v>
      </c>
      <c r="AE13">
        <v>681.6</v>
      </c>
      <c r="AF13">
        <v>7.3727777629323219</v>
      </c>
      <c r="AG13">
        <v>628.16066540183385</v>
      </c>
      <c r="AH13">
        <v>6.9024599294136806</v>
      </c>
      <c r="AI13">
        <v>588.08958598604556</v>
      </c>
      <c r="AJ13">
        <v>10</v>
      </c>
      <c r="AK13">
        <v>852</v>
      </c>
      <c r="AL13">
        <v>7.2481332506233871</v>
      </c>
      <c r="AM13">
        <v>617.54095295311265</v>
      </c>
      <c r="AN13">
        <v>6</v>
      </c>
      <c r="AO13">
        <v>511.20000000000005</v>
      </c>
      <c r="AP13">
        <v>9</v>
      </c>
      <c r="AQ13">
        <v>766.80000000000007</v>
      </c>
      <c r="AR13">
        <v>7.780843604514577</v>
      </c>
      <c r="AS13">
        <v>662.927875104642</v>
      </c>
      <c r="AT13">
        <v>7.0134534333870029</v>
      </c>
      <c r="AU13">
        <v>597.5462325245727</v>
      </c>
      <c r="AV13">
        <v>12</v>
      </c>
      <c r="AW13">
        <v>1022.4000000000001</v>
      </c>
      <c r="AX13">
        <v>5.4116780781508345</v>
      </c>
      <c r="AY13">
        <v>461.07497225845111</v>
      </c>
      <c r="AZ13">
        <v>8.5601881330165401</v>
      </c>
      <c r="BA13">
        <v>729.32802893300925</v>
      </c>
      <c r="BB13">
        <v>8</v>
      </c>
      <c r="BC13">
        <v>681.6</v>
      </c>
      <c r="BD13">
        <v>8</v>
      </c>
      <c r="BE13">
        <v>681.6</v>
      </c>
      <c r="BF13">
        <v>11</v>
      </c>
      <c r="BG13">
        <v>937.2</v>
      </c>
      <c r="BH13">
        <v>8.4318296084358764</v>
      </c>
      <c r="BI13">
        <v>718.39188263873666</v>
      </c>
      <c r="BJ13">
        <v>7.5300083969469123</v>
      </c>
      <c r="BK13">
        <v>641.55671541987692</v>
      </c>
      <c r="BL13">
        <v>9</v>
      </c>
      <c r="BM13">
        <v>766.80000000000007</v>
      </c>
      <c r="BN13">
        <v>4.099214900921889</v>
      </c>
      <c r="BO13">
        <v>349.25310955854496</v>
      </c>
      <c r="BP13">
        <v>9</v>
      </c>
      <c r="BQ13">
        <v>766.80000000000007</v>
      </c>
      <c r="BR13">
        <v>8.7830973662693754</v>
      </c>
      <c r="BS13">
        <v>748.31989560615079</v>
      </c>
      <c r="BT13">
        <v>5.7088412115926728</v>
      </c>
      <c r="BU13">
        <v>486.39327122769572</v>
      </c>
      <c r="BV13">
        <v>7.7506343856610194</v>
      </c>
      <c r="BW13">
        <v>660.3540496583189</v>
      </c>
      <c r="BX13">
        <v>12.732593642404522</v>
      </c>
      <c r="BY13">
        <v>1084.8169783328653</v>
      </c>
      <c r="BZ13">
        <v>9.5039716830805183</v>
      </c>
      <c r="CA13">
        <v>809.73838739846019</v>
      </c>
      <c r="CB13">
        <v>9.8312779833687749</v>
      </c>
      <c r="CC13">
        <v>837.62488418301962</v>
      </c>
      <c r="CD13">
        <v>10.677923342262499</v>
      </c>
      <c r="CE13">
        <v>909.75906876076499</v>
      </c>
      <c r="CF13">
        <v>9.6717177308064066</v>
      </c>
      <c r="CG13">
        <v>824.03035066470591</v>
      </c>
      <c r="CH13">
        <v>11.318277296955733</v>
      </c>
      <c r="CI13">
        <v>964.31722570062846</v>
      </c>
      <c r="CJ13">
        <v>2.2110528119566513</v>
      </c>
      <c r="CK13">
        <v>188.3816995787067</v>
      </c>
      <c r="CL13">
        <v>12</v>
      </c>
      <c r="CM13">
        <v>1022.4000000000001</v>
      </c>
      <c r="CN13">
        <v>5.4561177566264112</v>
      </c>
      <c r="CO13">
        <v>464.86123286457024</v>
      </c>
      <c r="CP13">
        <v>5.9009504972129996</v>
      </c>
      <c r="CQ13">
        <v>502.76098236254757</v>
      </c>
      <c r="CR13">
        <v>9.7430965625531893</v>
      </c>
      <c r="CS13">
        <v>830.11182712953178</v>
      </c>
      <c r="CT13">
        <v>5.3117001962909152</v>
      </c>
      <c r="CU13">
        <v>452.55685672398596</v>
      </c>
    </row>
    <row r="14" spans="1:99" x14ac:dyDescent="0.2">
      <c r="C14" s="119" t="s">
        <v>180</v>
      </c>
      <c r="D14">
        <v>4.2799396217348509</v>
      </c>
      <c r="E14">
        <v>2090.3225112553009</v>
      </c>
      <c r="F14">
        <v>6</v>
      </c>
      <c r="G14">
        <v>2930.3999999999996</v>
      </c>
      <c r="H14">
        <v>3.9385262893125685</v>
      </c>
      <c r="I14">
        <v>1923.5762397002584</v>
      </c>
      <c r="J14">
        <v>5.6717565265560923</v>
      </c>
      <c r="K14">
        <v>2770.0858875699955</v>
      </c>
      <c r="L14">
        <v>7</v>
      </c>
      <c r="M14">
        <v>3418.7999999999997</v>
      </c>
      <c r="N14">
        <v>8</v>
      </c>
      <c r="O14">
        <v>3907.2</v>
      </c>
      <c r="P14">
        <v>6</v>
      </c>
      <c r="Q14">
        <v>2930.3999999999996</v>
      </c>
      <c r="R14">
        <v>7.24807254068463</v>
      </c>
      <c r="S14">
        <v>3539.9586288703731</v>
      </c>
      <c r="T14">
        <v>7</v>
      </c>
      <c r="U14">
        <v>3418.7999999999997</v>
      </c>
      <c r="V14">
        <v>5.475245044480725</v>
      </c>
      <c r="W14">
        <v>2674.1096797243858</v>
      </c>
      <c r="X14">
        <v>10</v>
      </c>
      <c r="Y14">
        <v>4884</v>
      </c>
      <c r="Z14">
        <v>11</v>
      </c>
      <c r="AA14">
        <v>5372.4</v>
      </c>
      <c r="AB14">
        <v>10</v>
      </c>
      <c r="AC14">
        <v>4884</v>
      </c>
      <c r="AD14">
        <v>8</v>
      </c>
      <c r="AE14">
        <v>3907.2</v>
      </c>
      <c r="AF14">
        <v>8.1919752921470241</v>
      </c>
      <c r="AG14">
        <v>4000.9607326846062</v>
      </c>
      <c r="AH14">
        <v>6.135519937256606</v>
      </c>
      <c r="AI14">
        <v>2996.5879373561261</v>
      </c>
      <c r="AJ14">
        <v>10</v>
      </c>
      <c r="AK14">
        <v>4884</v>
      </c>
      <c r="AL14">
        <v>7.2481332506233871</v>
      </c>
      <c r="AM14">
        <v>3539.9882796044622</v>
      </c>
      <c r="AN14">
        <v>7</v>
      </c>
      <c r="AO14">
        <v>3418.7999999999997</v>
      </c>
      <c r="AP14">
        <v>10</v>
      </c>
      <c r="AQ14">
        <v>4884</v>
      </c>
      <c r="AR14">
        <v>9.726054505643221</v>
      </c>
      <c r="AS14">
        <v>4750.2050205561491</v>
      </c>
      <c r="AT14">
        <v>7.0134534333870029</v>
      </c>
      <c r="AU14">
        <v>3425.3706568662119</v>
      </c>
      <c r="AV14">
        <v>11</v>
      </c>
      <c r="AW14">
        <v>5372.4</v>
      </c>
      <c r="AX14">
        <v>6.3136244245093067</v>
      </c>
      <c r="AY14">
        <v>3083.5741689303454</v>
      </c>
      <c r="AZ14">
        <v>8.5601881330165401</v>
      </c>
      <c r="BA14">
        <v>4180.795884165278</v>
      </c>
      <c r="BB14">
        <v>8</v>
      </c>
      <c r="BC14">
        <v>3907.2</v>
      </c>
      <c r="BD14">
        <v>8</v>
      </c>
      <c r="BE14">
        <v>3907.2</v>
      </c>
      <c r="BF14">
        <v>12</v>
      </c>
      <c r="BG14">
        <v>5860.7999999999993</v>
      </c>
      <c r="BH14">
        <v>8.4318296084358764</v>
      </c>
      <c r="BI14">
        <v>4118.1055807600815</v>
      </c>
      <c r="BJ14">
        <v>7.5300083969469123</v>
      </c>
      <c r="BK14">
        <v>3677.656101068872</v>
      </c>
      <c r="BL14">
        <v>9</v>
      </c>
      <c r="BM14">
        <v>4395.5999999999995</v>
      </c>
      <c r="BN14">
        <v>4.099214900921889</v>
      </c>
      <c r="BO14">
        <v>2002.0565576102506</v>
      </c>
      <c r="BP14">
        <v>9</v>
      </c>
      <c r="BQ14">
        <v>4395.5999999999995</v>
      </c>
      <c r="BR14">
        <v>8.7830973662693754</v>
      </c>
      <c r="BS14">
        <v>4289.6647536859628</v>
      </c>
      <c r="BT14">
        <v>6.4224463630417565</v>
      </c>
      <c r="BU14">
        <v>3136.7228037095938</v>
      </c>
      <c r="BV14">
        <v>8.3965205844661064</v>
      </c>
      <c r="BW14">
        <v>4100.8606534532464</v>
      </c>
      <c r="BX14">
        <v>11.823122667947056</v>
      </c>
      <c r="BY14">
        <v>5774.413111025342</v>
      </c>
      <c r="BZ14">
        <v>10.36796910881511</v>
      </c>
      <c r="CA14">
        <v>5063.7161127453001</v>
      </c>
      <c r="CB14">
        <v>8.8481501850318978</v>
      </c>
      <c r="CC14">
        <v>4321.436550369579</v>
      </c>
      <c r="CD14">
        <v>10.677923342262499</v>
      </c>
      <c r="CE14">
        <v>5215.0977603610045</v>
      </c>
      <c r="CF14">
        <v>8.9277394438212987</v>
      </c>
      <c r="CG14">
        <v>4360.3079443623219</v>
      </c>
      <c r="CH14">
        <v>12.261467071702045</v>
      </c>
      <c r="CI14">
        <v>5988.5005178192787</v>
      </c>
      <c r="CJ14">
        <v>2.2110528119566513</v>
      </c>
      <c r="CK14">
        <v>1079.8781933596285</v>
      </c>
      <c r="CL14">
        <v>11</v>
      </c>
      <c r="CM14">
        <v>5372.4</v>
      </c>
      <c r="CN14">
        <v>6.0017295322890511</v>
      </c>
      <c r="CO14">
        <v>2931.2447035699724</v>
      </c>
      <c r="CP14">
        <v>6.4374005424141814</v>
      </c>
      <c r="CQ14">
        <v>3144.026424915086</v>
      </c>
      <c r="CR14">
        <v>9.7430965625531893</v>
      </c>
      <c r="CS14">
        <v>4758.5283611509776</v>
      </c>
      <c r="CT14">
        <v>5.3117001962909152</v>
      </c>
      <c r="CU14">
        <v>2594.2343758684829</v>
      </c>
    </row>
    <row r="15" spans="1:99" x14ac:dyDescent="0.2">
      <c r="C15" s="119" t="s">
        <v>181</v>
      </c>
      <c r="D15">
        <v>3.8043907748754227</v>
      </c>
      <c r="E15">
        <v>2903.5110393849222</v>
      </c>
      <c r="F15">
        <v>6</v>
      </c>
      <c r="G15">
        <v>4579.2</v>
      </c>
      <c r="H15">
        <v>3.9385262893125685</v>
      </c>
      <c r="I15">
        <v>3005.883264003352</v>
      </c>
      <c r="J15">
        <v>5.6717565265560923</v>
      </c>
      <c r="K15">
        <v>4328.6845810676095</v>
      </c>
      <c r="L15">
        <v>8</v>
      </c>
      <c r="M15">
        <v>6105.5999999999995</v>
      </c>
      <c r="N15">
        <v>8</v>
      </c>
      <c r="O15">
        <v>6105.5999999999995</v>
      </c>
      <c r="P15">
        <v>5</v>
      </c>
      <c r="Q15">
        <v>3815.9999999999995</v>
      </c>
      <c r="R15">
        <v>7.24807254068463</v>
      </c>
      <c r="S15">
        <v>5531.7289630505093</v>
      </c>
      <c r="T15">
        <v>6</v>
      </c>
      <c r="U15">
        <v>4579.2</v>
      </c>
      <c r="V15">
        <v>6.3877858852275127</v>
      </c>
      <c r="W15">
        <v>4875.1581876056371</v>
      </c>
      <c r="X15">
        <v>9</v>
      </c>
      <c r="Y15">
        <v>6868.7999999999993</v>
      </c>
      <c r="Z15">
        <v>11</v>
      </c>
      <c r="AA15">
        <v>8395.1999999999989</v>
      </c>
      <c r="AB15">
        <v>11</v>
      </c>
      <c r="AC15">
        <v>8395.1999999999989</v>
      </c>
      <c r="AD15">
        <v>7</v>
      </c>
      <c r="AE15">
        <v>5342.4</v>
      </c>
      <c r="AF15">
        <v>7.3727777629323219</v>
      </c>
      <c r="AG15">
        <v>5626.9039886699475</v>
      </c>
      <c r="AH15">
        <v>6.135519937256606</v>
      </c>
      <c r="AI15">
        <v>4682.6288161142411</v>
      </c>
      <c r="AJ15">
        <v>10</v>
      </c>
      <c r="AK15">
        <v>7631.9999999999991</v>
      </c>
      <c r="AL15">
        <v>7.2481332506233871</v>
      </c>
      <c r="AM15">
        <v>5531.7752968757686</v>
      </c>
      <c r="AN15">
        <v>6</v>
      </c>
      <c r="AO15">
        <v>4579.2</v>
      </c>
      <c r="AP15">
        <v>8</v>
      </c>
      <c r="AQ15">
        <v>6105.5999999999995</v>
      </c>
      <c r="AR15">
        <v>7.780843604514577</v>
      </c>
      <c r="AS15">
        <v>5938.3398389655249</v>
      </c>
      <c r="AT15">
        <v>7.7147987767257034</v>
      </c>
      <c r="AU15">
        <v>5887.9344263970561</v>
      </c>
      <c r="AV15">
        <v>12</v>
      </c>
      <c r="AW15">
        <v>9158.4</v>
      </c>
      <c r="AX15">
        <v>6.3136244245093067</v>
      </c>
      <c r="AY15">
        <v>4818.5581607855029</v>
      </c>
      <c r="AZ15">
        <v>7.8468391219318283</v>
      </c>
      <c r="BA15">
        <v>5988.7076178583711</v>
      </c>
      <c r="BB15">
        <v>8</v>
      </c>
      <c r="BC15">
        <v>6105.5999999999995</v>
      </c>
      <c r="BD15">
        <v>7</v>
      </c>
      <c r="BE15">
        <v>5342.4</v>
      </c>
      <c r="BF15">
        <v>11</v>
      </c>
      <c r="BG15">
        <v>8395.1999999999989</v>
      </c>
      <c r="BH15">
        <v>9.1344820758055327</v>
      </c>
      <c r="BI15">
        <v>6971.4367202547819</v>
      </c>
      <c r="BJ15">
        <v>7.5300083969469123</v>
      </c>
      <c r="BK15">
        <v>5746.9024085498831</v>
      </c>
      <c r="BL15">
        <v>8</v>
      </c>
      <c r="BM15">
        <v>6105.5999999999995</v>
      </c>
      <c r="BN15">
        <v>3.5868130383066532</v>
      </c>
      <c r="BO15">
        <v>2737.4557108356375</v>
      </c>
      <c r="BP15">
        <v>8</v>
      </c>
      <c r="BQ15">
        <v>6105.5999999999995</v>
      </c>
      <c r="BR15">
        <v>7.9846339693357962</v>
      </c>
      <c r="BS15">
        <v>6093.8726453970794</v>
      </c>
      <c r="BT15">
        <v>4.995236060143589</v>
      </c>
      <c r="BU15">
        <v>3812.3641611015869</v>
      </c>
      <c r="BV15">
        <v>8.3965205844661064</v>
      </c>
      <c r="BW15">
        <v>6408.2245100645314</v>
      </c>
      <c r="BX15">
        <v>10.913651693489591</v>
      </c>
      <c r="BY15">
        <v>8329.2989724712552</v>
      </c>
      <c r="BZ15">
        <v>9.5039716830805183</v>
      </c>
      <c r="CA15">
        <v>7253.4311885270508</v>
      </c>
      <c r="CB15">
        <v>7.8650223866950197</v>
      </c>
      <c r="CC15">
        <v>6002.5850855256385</v>
      </c>
      <c r="CD15">
        <v>9.0351659049913451</v>
      </c>
      <c r="CE15">
        <v>6895.6386186893942</v>
      </c>
      <c r="CF15">
        <v>9.6717177308064066</v>
      </c>
      <c r="CG15">
        <v>7381.4549721514486</v>
      </c>
      <c r="CH15">
        <v>10.375087522209421</v>
      </c>
      <c r="CI15">
        <v>7918.2667969502299</v>
      </c>
      <c r="CJ15">
        <v>2.2110528119566513</v>
      </c>
      <c r="CK15">
        <v>1687.4755060853161</v>
      </c>
      <c r="CL15">
        <v>12</v>
      </c>
      <c r="CM15">
        <v>9158.4</v>
      </c>
      <c r="CN15">
        <v>6.5473413079516929</v>
      </c>
      <c r="CO15">
        <v>4996.9308862287317</v>
      </c>
      <c r="CP15">
        <v>5.9009504972129996</v>
      </c>
      <c r="CQ15">
        <v>4503.6054194729613</v>
      </c>
      <c r="CR15">
        <v>9.7430965625531893</v>
      </c>
      <c r="CS15">
        <v>7435.9312965405934</v>
      </c>
      <c r="CT15">
        <v>5.9756627208272795</v>
      </c>
      <c r="CU15">
        <v>4560.6257885353789</v>
      </c>
    </row>
    <row r="16" spans="1:99" x14ac:dyDescent="0.2">
      <c r="C16" s="119" t="s">
        <v>182</v>
      </c>
      <c r="D16">
        <v>3.8043907748754227</v>
      </c>
      <c r="E16">
        <v>1296.536376077544</v>
      </c>
      <c r="F16">
        <v>7</v>
      </c>
      <c r="G16">
        <v>2385.6</v>
      </c>
      <c r="H16">
        <v>3.5804784448296076</v>
      </c>
      <c r="I16">
        <v>1220.2270539979304</v>
      </c>
      <c r="J16">
        <v>5.104580873900483</v>
      </c>
      <c r="K16">
        <v>1739.6411618252846</v>
      </c>
      <c r="L16">
        <v>7</v>
      </c>
      <c r="M16">
        <v>2385.6</v>
      </c>
      <c r="N16">
        <v>9</v>
      </c>
      <c r="O16">
        <v>3067.2000000000003</v>
      </c>
      <c r="P16">
        <v>5</v>
      </c>
      <c r="Q16">
        <v>1704</v>
      </c>
      <c r="R16">
        <v>8.0534139340940332</v>
      </c>
      <c r="S16">
        <v>2744.6034687392466</v>
      </c>
      <c r="T16">
        <v>7</v>
      </c>
      <c r="U16">
        <v>2385.6</v>
      </c>
      <c r="V16">
        <v>5.475245044480725</v>
      </c>
      <c r="W16">
        <v>1865.9635111590312</v>
      </c>
      <c r="X16">
        <v>9</v>
      </c>
      <c r="Y16">
        <v>3067.2000000000003</v>
      </c>
      <c r="Z16">
        <v>11</v>
      </c>
      <c r="AA16">
        <v>3748.8</v>
      </c>
      <c r="AB16">
        <v>12</v>
      </c>
      <c r="AC16">
        <v>4089.6000000000004</v>
      </c>
      <c r="AD16">
        <v>7</v>
      </c>
      <c r="AE16">
        <v>2385.6</v>
      </c>
      <c r="AF16">
        <v>7.3727777629323219</v>
      </c>
      <c r="AG16">
        <v>2512.6426616073354</v>
      </c>
      <c r="AH16">
        <v>6.135519937256606</v>
      </c>
      <c r="AI16">
        <v>2090.9851946170515</v>
      </c>
      <c r="AJ16">
        <v>9</v>
      </c>
      <c r="AK16">
        <v>3067.2000000000003</v>
      </c>
      <c r="AL16">
        <v>8.0534813895815418</v>
      </c>
      <c r="AM16">
        <v>2744.6264575693895</v>
      </c>
      <c r="AN16">
        <v>6</v>
      </c>
      <c r="AO16">
        <v>2044.8000000000002</v>
      </c>
      <c r="AP16">
        <v>8</v>
      </c>
      <c r="AQ16">
        <v>2726.4</v>
      </c>
      <c r="AR16">
        <v>7.780843604514577</v>
      </c>
      <c r="AS16">
        <v>2651.711500418568</v>
      </c>
      <c r="AT16">
        <v>7.7147987767257034</v>
      </c>
      <c r="AU16">
        <v>2629.2034231081198</v>
      </c>
      <c r="AV16">
        <v>12</v>
      </c>
      <c r="AW16">
        <v>4089.6000000000004</v>
      </c>
      <c r="AX16">
        <v>5.4116780781508345</v>
      </c>
      <c r="AY16">
        <v>1844.2998890338044</v>
      </c>
      <c r="AZ16">
        <v>8.5601881330165401</v>
      </c>
      <c r="BA16">
        <v>2917.312115732037</v>
      </c>
      <c r="BB16">
        <v>8</v>
      </c>
      <c r="BC16">
        <v>2726.4</v>
      </c>
      <c r="BD16">
        <v>8</v>
      </c>
      <c r="BE16">
        <v>2726.4</v>
      </c>
      <c r="BF16">
        <v>11</v>
      </c>
      <c r="BG16">
        <v>3748.8</v>
      </c>
      <c r="BH16">
        <v>9.1344820758055327</v>
      </c>
      <c r="BI16">
        <v>3113.0314914345258</v>
      </c>
      <c r="BJ16">
        <v>7.5300083969469123</v>
      </c>
      <c r="BK16">
        <v>2566.2268616795077</v>
      </c>
      <c r="BL16">
        <v>9</v>
      </c>
      <c r="BM16">
        <v>3067.2000000000003</v>
      </c>
      <c r="BN16">
        <v>4.099214900921889</v>
      </c>
      <c r="BO16">
        <v>1397.0124382341799</v>
      </c>
      <c r="BP16">
        <v>9</v>
      </c>
      <c r="BQ16">
        <v>3067.2000000000003</v>
      </c>
      <c r="BR16">
        <v>8.7830973662693754</v>
      </c>
      <c r="BS16">
        <v>2993.2795824246032</v>
      </c>
      <c r="BT16">
        <v>5.7088412115926728</v>
      </c>
      <c r="BU16">
        <v>1945.5730849107829</v>
      </c>
      <c r="BV16">
        <v>9.0424067832711899</v>
      </c>
      <c r="BW16">
        <v>3081.6522317388217</v>
      </c>
      <c r="BX16">
        <v>11.823122667947056</v>
      </c>
      <c r="BY16">
        <v>4029.3202052363567</v>
      </c>
      <c r="BZ16">
        <v>10.36796910881511</v>
      </c>
      <c r="CA16">
        <v>3533.4038722841897</v>
      </c>
      <c r="CB16">
        <v>8.8481501850318978</v>
      </c>
      <c r="CC16">
        <v>3015.4495830588708</v>
      </c>
      <c r="CD16">
        <v>9.8565446236269221</v>
      </c>
      <c r="CE16">
        <v>3359.1104077320551</v>
      </c>
      <c r="CF16">
        <v>9.6717177308064066</v>
      </c>
      <c r="CG16">
        <v>3296.1214026588236</v>
      </c>
      <c r="CH16">
        <v>12.261467071702045</v>
      </c>
      <c r="CI16">
        <v>4178.7079780360573</v>
      </c>
      <c r="CJ16">
        <v>2.2110528119566513</v>
      </c>
      <c r="CK16">
        <v>753.52679831482681</v>
      </c>
      <c r="CL16">
        <v>12</v>
      </c>
      <c r="CM16">
        <v>4089.6000000000004</v>
      </c>
      <c r="CN16">
        <v>6.0017295322890511</v>
      </c>
      <c r="CO16">
        <v>2045.3894246041086</v>
      </c>
      <c r="CP16">
        <v>6.4374005424141814</v>
      </c>
      <c r="CQ16">
        <v>2193.8661048547533</v>
      </c>
      <c r="CR16">
        <v>9.7430965625531893</v>
      </c>
      <c r="CS16">
        <v>3320.4473085181271</v>
      </c>
      <c r="CT16">
        <v>6.6396252453636437</v>
      </c>
      <c r="CU16">
        <v>2262.7842836199297</v>
      </c>
    </row>
    <row r="17" spans="2:99" x14ac:dyDescent="0.2">
      <c r="C17" s="119" t="s">
        <v>183</v>
      </c>
      <c r="D17">
        <v>4.2799396217348509</v>
      </c>
      <c r="E17">
        <v>1807.8464962208009</v>
      </c>
      <c r="F17">
        <v>7</v>
      </c>
      <c r="G17">
        <v>2956.7999999999997</v>
      </c>
      <c r="H17">
        <v>3.2224306003466467</v>
      </c>
      <c r="I17">
        <v>1361.1546855864235</v>
      </c>
      <c r="J17">
        <v>5.104580873900483</v>
      </c>
      <c r="K17">
        <v>2156.174961135564</v>
      </c>
      <c r="L17">
        <v>8</v>
      </c>
      <c r="M17">
        <v>3379.2</v>
      </c>
      <c r="N17">
        <v>8</v>
      </c>
      <c r="O17">
        <v>3379.2</v>
      </c>
      <c r="P17">
        <v>6</v>
      </c>
      <c r="Q17">
        <v>2534.3999999999996</v>
      </c>
      <c r="R17">
        <v>8.0534139340940332</v>
      </c>
      <c r="S17">
        <v>3401.7620457613193</v>
      </c>
      <c r="T17">
        <v>7</v>
      </c>
      <c r="U17">
        <v>2956.7999999999997</v>
      </c>
      <c r="V17">
        <v>5.475245044480725</v>
      </c>
      <c r="W17">
        <v>2312.7435067886581</v>
      </c>
      <c r="X17">
        <v>10</v>
      </c>
      <c r="Y17">
        <v>4224</v>
      </c>
      <c r="Z17">
        <v>10</v>
      </c>
      <c r="AA17">
        <v>4224</v>
      </c>
      <c r="AB17">
        <v>12</v>
      </c>
      <c r="AC17">
        <v>5068.7999999999993</v>
      </c>
      <c r="AD17">
        <v>8</v>
      </c>
      <c r="AE17">
        <v>3379.2</v>
      </c>
      <c r="AF17">
        <v>7.3727777629323219</v>
      </c>
      <c r="AG17">
        <v>3114.2613270626125</v>
      </c>
      <c r="AH17">
        <v>6.135519937256606</v>
      </c>
      <c r="AI17">
        <v>2591.6436214971905</v>
      </c>
      <c r="AJ17">
        <v>10</v>
      </c>
      <c r="AK17">
        <v>4224</v>
      </c>
      <c r="AL17">
        <v>8.8588295285396974</v>
      </c>
      <c r="AM17">
        <v>3741.9695928551678</v>
      </c>
      <c r="AN17">
        <v>7</v>
      </c>
      <c r="AO17">
        <v>2956.7999999999997</v>
      </c>
      <c r="AP17">
        <v>9</v>
      </c>
      <c r="AQ17">
        <v>3801.6</v>
      </c>
      <c r="AR17">
        <v>8.7534490550788995</v>
      </c>
      <c r="AS17">
        <v>3697.4568808653271</v>
      </c>
      <c r="AT17">
        <v>8.4161441200644038</v>
      </c>
      <c r="AU17">
        <v>3554.9792763152041</v>
      </c>
      <c r="AV17">
        <v>13</v>
      </c>
      <c r="AW17">
        <v>5491.2</v>
      </c>
      <c r="AX17">
        <v>5.4116780781508345</v>
      </c>
      <c r="AY17">
        <v>2285.8928202109123</v>
      </c>
      <c r="AZ17">
        <v>8.5601881330165401</v>
      </c>
      <c r="BA17">
        <v>3615.8234673861862</v>
      </c>
      <c r="BB17">
        <v>8</v>
      </c>
      <c r="BC17">
        <v>3379.2</v>
      </c>
      <c r="BD17">
        <v>7</v>
      </c>
      <c r="BE17">
        <v>2956.7999999999997</v>
      </c>
      <c r="BF17">
        <v>11</v>
      </c>
      <c r="BG17">
        <v>4646.3999999999996</v>
      </c>
      <c r="BH17">
        <v>8.4318296084358764</v>
      </c>
      <c r="BI17">
        <v>3561.604826603314</v>
      </c>
      <c r="BJ17">
        <v>8.4712594465652753</v>
      </c>
      <c r="BK17">
        <v>3578.2599902291722</v>
      </c>
      <c r="BL17">
        <v>9</v>
      </c>
      <c r="BM17">
        <v>3801.6</v>
      </c>
      <c r="BN17">
        <v>4.099214900921889</v>
      </c>
      <c r="BO17">
        <v>1731.5083741494059</v>
      </c>
      <c r="BP17">
        <v>8</v>
      </c>
      <c r="BQ17">
        <v>3379.2</v>
      </c>
      <c r="BR17">
        <v>7.9846339693357962</v>
      </c>
      <c r="BS17">
        <v>3372.7093886474399</v>
      </c>
      <c r="BT17">
        <v>6.4224463630417565</v>
      </c>
      <c r="BU17">
        <v>2712.841343748838</v>
      </c>
      <c r="BV17">
        <v>8.3965205844661064</v>
      </c>
      <c r="BW17">
        <v>3546.6902948784832</v>
      </c>
      <c r="BX17">
        <v>10.913651693489591</v>
      </c>
      <c r="BY17">
        <v>4609.9264753300031</v>
      </c>
      <c r="BZ17">
        <v>9.5039716830805183</v>
      </c>
      <c r="CA17">
        <v>4014.4776389332105</v>
      </c>
      <c r="CB17">
        <v>9.8312779833687749</v>
      </c>
      <c r="CC17">
        <v>4152.7318201749704</v>
      </c>
      <c r="CD17">
        <v>9.8565446236269221</v>
      </c>
      <c r="CE17">
        <v>4163.4044490200113</v>
      </c>
      <c r="CF17">
        <v>9.6717177308064066</v>
      </c>
      <c r="CG17">
        <v>4085.3335694926259</v>
      </c>
      <c r="CH17">
        <v>11.318277296955733</v>
      </c>
      <c r="CI17">
        <v>4780.8403302341012</v>
      </c>
      <c r="CJ17">
        <v>2.2110528119566513</v>
      </c>
      <c r="CK17">
        <v>933.94870777048948</v>
      </c>
      <c r="CL17">
        <v>12</v>
      </c>
      <c r="CM17">
        <v>5068.7999999999993</v>
      </c>
      <c r="CN17">
        <v>6.5473413079516929</v>
      </c>
      <c r="CO17">
        <v>2765.5969684787951</v>
      </c>
      <c r="CP17">
        <v>6.9738505876153631</v>
      </c>
      <c r="CQ17">
        <v>2945.7544882087291</v>
      </c>
      <c r="CR17">
        <v>9.7430965625531893</v>
      </c>
      <c r="CS17">
        <v>4115.4839880224672</v>
      </c>
      <c r="CT17">
        <v>5.9756627208272795</v>
      </c>
      <c r="CU17">
        <v>2524.1199332774427</v>
      </c>
    </row>
    <row r="18" spans="2:99" x14ac:dyDescent="0.2">
      <c r="C18" s="119" t="s">
        <v>184</v>
      </c>
      <c r="D18">
        <v>3.8043907748754227</v>
      </c>
      <c r="E18">
        <v>2483.5062978386759</v>
      </c>
      <c r="F18">
        <v>7</v>
      </c>
      <c r="G18">
        <v>4569.5999999999995</v>
      </c>
      <c r="H18">
        <v>3.5804784448296076</v>
      </c>
      <c r="I18">
        <v>2337.3363287847678</v>
      </c>
      <c r="J18">
        <v>5.6717565265560923</v>
      </c>
      <c r="K18">
        <v>3702.5226605358166</v>
      </c>
      <c r="L18">
        <v>8</v>
      </c>
      <c r="M18">
        <v>5222.3999999999996</v>
      </c>
      <c r="N18">
        <v>8</v>
      </c>
      <c r="O18">
        <v>5222.3999999999996</v>
      </c>
      <c r="P18">
        <v>5</v>
      </c>
      <c r="Q18">
        <v>3264</v>
      </c>
      <c r="R18">
        <v>7.24807254068463</v>
      </c>
      <c r="S18">
        <v>4731.5417545589262</v>
      </c>
      <c r="T18">
        <v>6</v>
      </c>
      <c r="U18">
        <v>3916.7999999999997</v>
      </c>
      <c r="V18">
        <v>5.475245044480725</v>
      </c>
      <c r="W18">
        <v>3574.2399650370171</v>
      </c>
      <c r="X18">
        <v>10</v>
      </c>
      <c r="Y18">
        <v>6528</v>
      </c>
      <c r="Z18">
        <v>9</v>
      </c>
      <c r="AA18">
        <v>5875.2</v>
      </c>
      <c r="AB18">
        <v>10</v>
      </c>
      <c r="AC18">
        <v>6528</v>
      </c>
      <c r="AD18">
        <v>7</v>
      </c>
      <c r="AE18">
        <v>4569.5999999999995</v>
      </c>
      <c r="AF18">
        <v>8.1919752921470241</v>
      </c>
      <c r="AG18">
        <v>5347.7214707135772</v>
      </c>
      <c r="AH18">
        <v>5.3685799450995297</v>
      </c>
      <c r="AI18">
        <v>3504.6089881609728</v>
      </c>
      <c r="AJ18">
        <v>10</v>
      </c>
      <c r="AK18">
        <v>6528</v>
      </c>
      <c r="AL18">
        <v>7.2481332506233871</v>
      </c>
      <c r="AM18">
        <v>4731.5813860069466</v>
      </c>
      <c r="AN18">
        <v>6</v>
      </c>
      <c r="AO18">
        <v>3916.7999999999997</v>
      </c>
      <c r="AP18">
        <v>8</v>
      </c>
      <c r="AQ18">
        <v>5222.3999999999996</v>
      </c>
      <c r="AR18">
        <v>7.780843604514577</v>
      </c>
      <c r="AS18">
        <v>5079.3347050271159</v>
      </c>
      <c r="AT18">
        <v>7.7147987767257034</v>
      </c>
      <c r="AU18">
        <v>5036.220641446539</v>
      </c>
      <c r="AV18">
        <v>11</v>
      </c>
      <c r="AW18">
        <v>7180.7999999999993</v>
      </c>
      <c r="AX18">
        <v>5.4116780781508345</v>
      </c>
      <c r="AY18">
        <v>3532.7434494168647</v>
      </c>
      <c r="AZ18">
        <v>8.5601881330165401</v>
      </c>
      <c r="BA18">
        <v>5588.090813233197</v>
      </c>
      <c r="BB18">
        <v>7</v>
      </c>
      <c r="BC18">
        <v>4569.5999999999995</v>
      </c>
      <c r="BD18">
        <v>8</v>
      </c>
      <c r="BE18">
        <v>5222.3999999999996</v>
      </c>
      <c r="BF18">
        <v>12</v>
      </c>
      <c r="BG18">
        <v>7833.5999999999995</v>
      </c>
      <c r="BH18">
        <v>7.7291771410662191</v>
      </c>
      <c r="BI18">
        <v>5045.6068376880276</v>
      </c>
      <c r="BJ18">
        <v>7.5300083969469123</v>
      </c>
      <c r="BK18">
        <v>4915.5894815269439</v>
      </c>
      <c r="BL18">
        <v>9</v>
      </c>
      <c r="BM18">
        <v>5875.2</v>
      </c>
      <c r="BN18">
        <v>4.099214900921889</v>
      </c>
      <c r="BO18">
        <v>2675.9674873218091</v>
      </c>
      <c r="BP18">
        <v>8</v>
      </c>
      <c r="BQ18">
        <v>5222.3999999999996</v>
      </c>
      <c r="BR18">
        <v>7.9846339693357962</v>
      </c>
      <c r="BS18">
        <v>5212.3690551824075</v>
      </c>
      <c r="BT18">
        <v>6.4224463630417565</v>
      </c>
      <c r="BU18">
        <v>4192.5729857936585</v>
      </c>
      <c r="BV18">
        <v>7.7506343856610194</v>
      </c>
      <c r="BW18">
        <v>5059.6141269595128</v>
      </c>
      <c r="BX18">
        <v>11.823122667947056</v>
      </c>
      <c r="BY18">
        <v>7718.1344776358374</v>
      </c>
      <c r="BZ18">
        <v>10.36796910881511</v>
      </c>
      <c r="CA18">
        <v>6768.2102342345033</v>
      </c>
      <c r="CB18">
        <v>7.8650223866950197</v>
      </c>
      <c r="CC18">
        <v>5134.2866140345086</v>
      </c>
      <c r="CD18">
        <v>9.8565446236269221</v>
      </c>
      <c r="CE18">
        <v>6434.3523303036545</v>
      </c>
      <c r="CF18">
        <v>8.9277394438212987</v>
      </c>
      <c r="CG18">
        <v>5828.0283089265431</v>
      </c>
      <c r="CH18">
        <v>10.375087522209421</v>
      </c>
      <c r="CI18">
        <v>6772.8571344983093</v>
      </c>
      <c r="CJ18">
        <v>1.93467121046207</v>
      </c>
      <c r="CK18">
        <v>1262.9533661896392</v>
      </c>
      <c r="CL18">
        <v>10</v>
      </c>
      <c r="CM18">
        <v>6528</v>
      </c>
      <c r="CN18">
        <v>6.0017295322890511</v>
      </c>
      <c r="CO18">
        <v>3917.9290386782923</v>
      </c>
      <c r="CP18">
        <v>6.4374005424141814</v>
      </c>
      <c r="CQ18">
        <v>4202.3350740879769</v>
      </c>
      <c r="CR18">
        <v>10.717406218808508</v>
      </c>
      <c r="CS18">
        <v>6996.3227796381934</v>
      </c>
      <c r="CT18">
        <v>5.9756627208272795</v>
      </c>
      <c r="CU18">
        <v>3900.912624156048</v>
      </c>
    </row>
    <row r="19" spans="2:99" x14ac:dyDescent="0.2">
      <c r="C19" s="119" t="s">
        <v>185</v>
      </c>
      <c r="D19">
        <v>3.8043907748754227</v>
      </c>
      <c r="E19">
        <v>1255.4489557088896</v>
      </c>
      <c r="F19">
        <v>7</v>
      </c>
      <c r="G19">
        <v>2310</v>
      </c>
      <c r="H19">
        <v>3.2224306003466467</v>
      </c>
      <c r="I19">
        <v>1063.4020981143935</v>
      </c>
      <c r="J19">
        <v>5.6717565265560923</v>
      </c>
      <c r="K19">
        <v>1871.6796537635105</v>
      </c>
      <c r="L19">
        <v>7</v>
      </c>
      <c r="M19">
        <v>2310</v>
      </c>
      <c r="N19">
        <v>8</v>
      </c>
      <c r="O19">
        <v>2640</v>
      </c>
      <c r="P19">
        <v>6</v>
      </c>
      <c r="Q19">
        <v>1980</v>
      </c>
      <c r="R19">
        <v>8.8587553275034363</v>
      </c>
      <c r="S19">
        <v>2923.389258076134</v>
      </c>
      <c r="T19">
        <v>7</v>
      </c>
      <c r="U19">
        <v>2310</v>
      </c>
      <c r="V19">
        <v>5.475245044480725</v>
      </c>
      <c r="W19">
        <v>1806.8308646786393</v>
      </c>
      <c r="X19">
        <v>10</v>
      </c>
      <c r="Y19">
        <v>3300</v>
      </c>
      <c r="Z19">
        <v>11</v>
      </c>
      <c r="AA19">
        <v>3630</v>
      </c>
      <c r="AB19">
        <v>12</v>
      </c>
      <c r="AC19">
        <v>3960</v>
      </c>
      <c r="AD19">
        <v>7</v>
      </c>
      <c r="AE19">
        <v>2310</v>
      </c>
      <c r="AF19">
        <v>8.1919752921470241</v>
      </c>
      <c r="AG19">
        <v>2703.3518464085178</v>
      </c>
      <c r="AH19">
        <v>6.135519937256606</v>
      </c>
      <c r="AI19">
        <v>2024.7215792946799</v>
      </c>
      <c r="AJ19">
        <v>9</v>
      </c>
      <c r="AK19">
        <v>2970</v>
      </c>
      <c r="AL19">
        <v>8.0534813895815418</v>
      </c>
      <c r="AM19">
        <v>2657.6488585619086</v>
      </c>
      <c r="AN19">
        <v>6</v>
      </c>
      <c r="AO19">
        <v>1980</v>
      </c>
      <c r="AP19">
        <v>9</v>
      </c>
      <c r="AQ19">
        <v>2970</v>
      </c>
      <c r="AR19">
        <v>8.7534490550788995</v>
      </c>
      <c r="AS19">
        <v>2888.6381881760367</v>
      </c>
      <c r="AT19">
        <v>7.0134534333870029</v>
      </c>
      <c r="AU19">
        <v>2314.439633017711</v>
      </c>
      <c r="AV19">
        <v>11</v>
      </c>
      <c r="AW19">
        <v>3630</v>
      </c>
      <c r="AX19">
        <v>6.3136244245093067</v>
      </c>
      <c r="AY19">
        <v>2083.4960600880713</v>
      </c>
      <c r="AZ19">
        <v>9.2735371441012511</v>
      </c>
      <c r="BA19">
        <v>3060.2672575534129</v>
      </c>
      <c r="BB19">
        <v>8</v>
      </c>
      <c r="BC19">
        <v>2640</v>
      </c>
      <c r="BD19">
        <v>8</v>
      </c>
      <c r="BE19">
        <v>2640</v>
      </c>
      <c r="BF19">
        <v>11</v>
      </c>
      <c r="BG19">
        <v>3630</v>
      </c>
      <c r="BH19">
        <v>7.7291771410662191</v>
      </c>
      <c r="BI19">
        <v>2550.6284565518522</v>
      </c>
      <c r="BJ19">
        <v>8.4712594465652753</v>
      </c>
      <c r="BK19">
        <v>2795.5156173665409</v>
      </c>
      <c r="BL19">
        <v>9</v>
      </c>
      <c r="BM19">
        <v>2970</v>
      </c>
      <c r="BN19">
        <v>4.099214900921889</v>
      </c>
      <c r="BO19">
        <v>1352.7409173042233</v>
      </c>
      <c r="BP19">
        <v>8</v>
      </c>
      <c r="BQ19">
        <v>2640</v>
      </c>
      <c r="BR19">
        <v>8.7830973662693754</v>
      </c>
      <c r="BS19">
        <v>2898.4221308688939</v>
      </c>
      <c r="BT19">
        <v>5.7088412115926728</v>
      </c>
      <c r="BU19">
        <v>1883.9175998255821</v>
      </c>
      <c r="BV19">
        <v>8.3965205844661064</v>
      </c>
      <c r="BW19">
        <v>2770.8517928738152</v>
      </c>
      <c r="BX19">
        <v>12.732593642404522</v>
      </c>
      <c r="BY19">
        <v>4201.7559019934924</v>
      </c>
      <c r="BZ19">
        <v>10.36796910881511</v>
      </c>
      <c r="CA19">
        <v>3421.4298059089865</v>
      </c>
      <c r="CB19">
        <v>9.8312779833687749</v>
      </c>
      <c r="CC19">
        <v>3244.3217345116959</v>
      </c>
      <c r="CD19">
        <v>9.0351659049913451</v>
      </c>
      <c r="CE19">
        <v>2981.6047486471439</v>
      </c>
      <c r="CF19">
        <v>8.1837611568361908</v>
      </c>
      <c r="CG19">
        <v>2700.6411817559429</v>
      </c>
      <c r="CH19">
        <v>13.204656846448357</v>
      </c>
      <c r="CI19">
        <v>4357.536759327958</v>
      </c>
      <c r="CJ19">
        <v>2.4874344134512327</v>
      </c>
      <c r="CK19">
        <v>820.85335643890676</v>
      </c>
      <c r="CL19">
        <v>12</v>
      </c>
      <c r="CM19">
        <v>3960</v>
      </c>
      <c r="CN19">
        <v>6.5473413079516929</v>
      </c>
      <c r="CO19">
        <v>2160.6226316240586</v>
      </c>
      <c r="CP19">
        <v>6.4374005424141814</v>
      </c>
      <c r="CQ19">
        <v>2124.3421789966796</v>
      </c>
      <c r="CR19">
        <v>9.7430965625531893</v>
      </c>
      <c r="CS19">
        <v>3215.2218656425525</v>
      </c>
      <c r="CT19">
        <v>5.9756627208272795</v>
      </c>
      <c r="CU19">
        <v>1971.9686978730022</v>
      </c>
    </row>
    <row r="20" spans="2:99" x14ac:dyDescent="0.2">
      <c r="B20" s="119" t="s">
        <v>127</v>
      </c>
      <c r="C20" s="119" t="s">
        <v>186</v>
      </c>
      <c r="D20">
        <v>14.742014252642262</v>
      </c>
      <c r="E20">
        <v>4228.0096876578009</v>
      </c>
      <c r="F20">
        <v>35</v>
      </c>
      <c r="G20">
        <v>10038</v>
      </c>
      <c r="H20">
        <v>8.9511961120740189</v>
      </c>
      <c r="I20">
        <v>2567.2030449428289</v>
      </c>
      <c r="J20">
        <v>18.149620884979498</v>
      </c>
      <c r="K20">
        <v>5205.3112698121204</v>
      </c>
      <c r="L20">
        <v>23</v>
      </c>
      <c r="M20">
        <v>6596.4000000000005</v>
      </c>
      <c r="N20">
        <v>16</v>
      </c>
      <c r="O20">
        <v>4588.8</v>
      </c>
      <c r="P20">
        <v>24</v>
      </c>
      <c r="Q20">
        <v>6883.2000000000007</v>
      </c>
      <c r="R20">
        <v>16.912169261597469</v>
      </c>
      <c r="S20">
        <v>4850.4101442261544</v>
      </c>
      <c r="T20">
        <v>21</v>
      </c>
      <c r="U20">
        <v>6022.8</v>
      </c>
      <c r="V20">
        <v>18.250816814935749</v>
      </c>
      <c r="W20">
        <v>5234.3342625235728</v>
      </c>
      <c r="X20">
        <v>13</v>
      </c>
      <c r="Y20">
        <v>3728.4</v>
      </c>
      <c r="Z20">
        <v>19</v>
      </c>
      <c r="AA20">
        <v>5449.2</v>
      </c>
      <c r="AB20">
        <v>18</v>
      </c>
      <c r="AC20">
        <v>5162.4000000000005</v>
      </c>
      <c r="AD20">
        <v>15</v>
      </c>
      <c r="AE20">
        <v>4302</v>
      </c>
      <c r="AF20">
        <v>13.926357996649941</v>
      </c>
      <c r="AG20">
        <v>3994.079473439203</v>
      </c>
      <c r="AH20">
        <v>19.173499803926891</v>
      </c>
      <c r="AI20">
        <v>5498.9597437662324</v>
      </c>
      <c r="AJ20">
        <v>21</v>
      </c>
      <c r="AK20">
        <v>6022.8</v>
      </c>
      <c r="AL20">
        <v>12.080222084372313</v>
      </c>
      <c r="AM20">
        <v>3464.6076937979792</v>
      </c>
      <c r="AN20">
        <v>23</v>
      </c>
      <c r="AO20">
        <v>6596.4000000000005</v>
      </c>
      <c r="AP20">
        <v>19</v>
      </c>
      <c r="AQ20">
        <v>5449.2</v>
      </c>
      <c r="AR20">
        <v>19.452109011286442</v>
      </c>
      <c r="AS20">
        <v>5578.8648644369514</v>
      </c>
      <c r="AT20">
        <v>17.533633583467509</v>
      </c>
      <c r="AU20">
        <v>5028.6461117384815</v>
      </c>
      <c r="AV20">
        <v>24</v>
      </c>
      <c r="AW20">
        <v>6883.2000000000007</v>
      </c>
      <c r="AX20">
        <v>21.646712312603338</v>
      </c>
      <c r="AY20">
        <v>6208.2770912546375</v>
      </c>
      <c r="AZ20">
        <v>11.413584177355386</v>
      </c>
      <c r="BA20">
        <v>3273.4159420655246</v>
      </c>
      <c r="BB20">
        <v>15</v>
      </c>
      <c r="BC20">
        <v>4302</v>
      </c>
      <c r="BD20">
        <v>20</v>
      </c>
      <c r="BE20">
        <v>5736</v>
      </c>
      <c r="BF20">
        <v>16</v>
      </c>
      <c r="BG20">
        <v>4588.8</v>
      </c>
      <c r="BH20">
        <v>15.458354282132438</v>
      </c>
      <c r="BI20">
        <v>4433.4560081155832</v>
      </c>
      <c r="BJ20">
        <v>22.590025190840734</v>
      </c>
      <c r="BK20">
        <v>6478.8192247331226</v>
      </c>
      <c r="BL20">
        <v>16</v>
      </c>
      <c r="BM20">
        <v>4588.8</v>
      </c>
      <c r="BN20">
        <v>9.2232335270742514</v>
      </c>
      <c r="BO20">
        <v>2645.2233755648954</v>
      </c>
      <c r="BP20">
        <v>16</v>
      </c>
      <c r="BQ20">
        <v>4588.8</v>
      </c>
      <c r="BR20">
        <v>12.775414350937274</v>
      </c>
      <c r="BS20">
        <v>3663.9888358488101</v>
      </c>
      <c r="BT20">
        <v>17.126523634778017</v>
      </c>
      <c r="BU20">
        <v>4911.8869784543358</v>
      </c>
      <c r="BV20">
        <v>10.33417918088136</v>
      </c>
      <c r="BW20">
        <v>2963.8425890767744</v>
      </c>
      <c r="BX20">
        <v>18.189419489149319</v>
      </c>
      <c r="BY20">
        <v>5216.7255094880247</v>
      </c>
      <c r="BZ20">
        <v>20.73593821763022</v>
      </c>
      <c r="CA20">
        <v>5947.0670808163477</v>
      </c>
      <c r="CB20">
        <v>14.746916975053162</v>
      </c>
      <c r="CC20">
        <v>4229.415788445247</v>
      </c>
      <c r="CD20">
        <v>13.142059498169228</v>
      </c>
      <c r="CE20">
        <v>3769.1426640749346</v>
      </c>
      <c r="CF20">
        <v>19.343435461612813</v>
      </c>
      <c r="CG20">
        <v>5547.6972903905553</v>
      </c>
      <c r="CH20">
        <v>17.92060572017991</v>
      </c>
      <c r="CI20">
        <v>5139.6297205475985</v>
      </c>
      <c r="CJ20">
        <v>5.2512504283970465</v>
      </c>
      <c r="CK20">
        <v>1506.058622864273</v>
      </c>
      <c r="CL20">
        <v>24</v>
      </c>
      <c r="CM20">
        <v>6883.2000000000007</v>
      </c>
      <c r="CN20">
        <v>10.366623737590182</v>
      </c>
      <c r="CO20">
        <v>2973.1476879408642</v>
      </c>
      <c r="CP20">
        <v>15.557051310834272</v>
      </c>
      <c r="CQ20">
        <v>4461.7623159472696</v>
      </c>
      <c r="CR20">
        <v>27.280670375148929</v>
      </c>
      <c r="CS20">
        <v>7824.0962635927135</v>
      </c>
      <c r="CT20">
        <v>15.27113806433638</v>
      </c>
      <c r="CU20">
        <v>4379.7623968516737</v>
      </c>
    </row>
    <row r="21" spans="2:99" x14ac:dyDescent="0.2">
      <c r="C21" s="119" t="s">
        <v>187</v>
      </c>
      <c r="D21">
        <v>18.546405027517686</v>
      </c>
      <c r="E21">
        <v>1157.2956737171037</v>
      </c>
      <c r="F21">
        <v>34</v>
      </c>
      <c r="G21">
        <v>2121.6</v>
      </c>
      <c r="H21">
        <v>9.3092439565569798</v>
      </c>
      <c r="I21">
        <v>580.89682288915549</v>
      </c>
      <c r="J21">
        <v>17.582445232323888</v>
      </c>
      <c r="K21">
        <v>1097.1445824970106</v>
      </c>
      <c r="L21">
        <v>22</v>
      </c>
      <c r="M21">
        <v>1372.8</v>
      </c>
      <c r="N21">
        <v>16</v>
      </c>
      <c r="O21">
        <v>998.4</v>
      </c>
      <c r="P21">
        <v>21</v>
      </c>
      <c r="Q21">
        <v>1310.3999999999999</v>
      </c>
      <c r="R21">
        <v>16.106827868188066</v>
      </c>
      <c r="S21">
        <v>1005.0660589749353</v>
      </c>
      <c r="T21">
        <v>21</v>
      </c>
      <c r="U21">
        <v>1310.3999999999999</v>
      </c>
      <c r="V21">
        <v>17.338275974188964</v>
      </c>
      <c r="W21">
        <v>1081.9084207893914</v>
      </c>
      <c r="X21">
        <v>14</v>
      </c>
      <c r="Y21">
        <v>873.6</v>
      </c>
      <c r="Z21">
        <v>18</v>
      </c>
      <c r="AA21">
        <v>1123.2</v>
      </c>
      <c r="AB21">
        <v>19</v>
      </c>
      <c r="AC21">
        <v>1185.5999999999999</v>
      </c>
      <c r="AD21">
        <v>15</v>
      </c>
      <c r="AE21">
        <v>936</v>
      </c>
      <c r="AF21">
        <v>14.745555525864644</v>
      </c>
      <c r="AG21">
        <v>920.12266481395375</v>
      </c>
      <c r="AH21">
        <v>19.940439796083968</v>
      </c>
      <c r="AI21">
        <v>1244.2834432756397</v>
      </c>
      <c r="AJ21">
        <v>22</v>
      </c>
      <c r="AK21">
        <v>1372.8</v>
      </c>
      <c r="AL21">
        <v>12.885570223330467</v>
      </c>
      <c r="AM21">
        <v>804.05958193582114</v>
      </c>
      <c r="AN21">
        <v>21</v>
      </c>
      <c r="AO21">
        <v>1310.3999999999999</v>
      </c>
      <c r="AP21">
        <v>17</v>
      </c>
      <c r="AQ21">
        <v>1060.8</v>
      </c>
      <c r="AR21">
        <v>21.397319912415085</v>
      </c>
      <c r="AS21">
        <v>1335.1927625347014</v>
      </c>
      <c r="AT21">
        <v>17.533633583467509</v>
      </c>
      <c r="AU21">
        <v>1094.0987356083726</v>
      </c>
      <c r="AV21">
        <v>23</v>
      </c>
      <c r="AW21">
        <v>1435.2</v>
      </c>
      <c r="AX21">
        <v>25.254497698037227</v>
      </c>
      <c r="AY21">
        <v>1575.8806563575229</v>
      </c>
      <c r="AZ21">
        <v>11.413584177355386</v>
      </c>
      <c r="BA21">
        <v>712.20765266697606</v>
      </c>
      <c r="BB21">
        <v>17</v>
      </c>
      <c r="BC21">
        <v>1060.8</v>
      </c>
      <c r="BD21">
        <v>19</v>
      </c>
      <c r="BE21">
        <v>1185.5999999999999</v>
      </c>
      <c r="BF21">
        <v>17</v>
      </c>
      <c r="BG21">
        <v>1060.8</v>
      </c>
      <c r="BH21">
        <v>13.350396880023471</v>
      </c>
      <c r="BI21">
        <v>833.06476531346459</v>
      </c>
      <c r="BJ21">
        <v>19.766272041985644</v>
      </c>
      <c r="BK21">
        <v>1233.4153754199042</v>
      </c>
      <c r="BL21">
        <v>15</v>
      </c>
      <c r="BM21">
        <v>936</v>
      </c>
      <c r="BN21">
        <v>8.7108316644590129</v>
      </c>
      <c r="BO21">
        <v>543.55589586224244</v>
      </c>
      <c r="BP21">
        <v>17</v>
      </c>
      <c r="BQ21">
        <v>1060.8</v>
      </c>
      <c r="BR21">
        <v>11.976950954003696</v>
      </c>
      <c r="BS21">
        <v>747.36173952983063</v>
      </c>
      <c r="BT21">
        <v>18.553733937676189</v>
      </c>
      <c r="BU21">
        <v>1157.7529977109941</v>
      </c>
      <c r="BV21">
        <v>10.980065379686446</v>
      </c>
      <c r="BW21">
        <v>685.15607969243422</v>
      </c>
      <c r="BX21">
        <v>16.370477540234386</v>
      </c>
      <c r="BY21">
        <v>1021.5177985106257</v>
      </c>
      <c r="BZ21">
        <v>17.279948514691853</v>
      </c>
      <c r="CA21">
        <v>1078.2687873167715</v>
      </c>
      <c r="CB21">
        <v>14.746916975053162</v>
      </c>
      <c r="CC21">
        <v>920.20761924331725</v>
      </c>
      <c r="CD21">
        <v>13.963438216804805</v>
      </c>
      <c r="CE21">
        <v>871.31854472861983</v>
      </c>
      <c r="CF21">
        <v>20.831392035583029</v>
      </c>
      <c r="CG21">
        <v>1299.878863020381</v>
      </c>
      <c r="CH21">
        <v>18.863795494926226</v>
      </c>
      <c r="CI21">
        <v>1177.1008388833964</v>
      </c>
      <c r="CJ21">
        <v>5.5276320298916284</v>
      </c>
      <c r="CK21">
        <v>344.92423866523762</v>
      </c>
      <c r="CL21">
        <v>24</v>
      </c>
      <c r="CM21">
        <v>1497.6</v>
      </c>
      <c r="CN21">
        <v>8.7297884106022572</v>
      </c>
      <c r="CO21">
        <v>544.73879682158088</v>
      </c>
      <c r="CP21">
        <v>15.557051310834272</v>
      </c>
      <c r="CQ21">
        <v>970.76000179605853</v>
      </c>
      <c r="CR21">
        <v>30.203599343914885</v>
      </c>
      <c r="CS21">
        <v>1884.7045990602887</v>
      </c>
      <c r="CT21">
        <v>15.935100588872745</v>
      </c>
      <c r="CU21">
        <v>994.35027674565924</v>
      </c>
    </row>
    <row r="22" spans="2:99" x14ac:dyDescent="0.2">
      <c r="C22" s="119" t="s">
        <v>188</v>
      </c>
      <c r="D22">
        <v>16.168660793220546</v>
      </c>
      <c r="E22">
        <v>3026.773300490886</v>
      </c>
      <c r="F22">
        <v>33</v>
      </c>
      <c r="G22">
        <v>6177.5999999999995</v>
      </c>
      <c r="H22">
        <v>8.9511961120740189</v>
      </c>
      <c r="I22">
        <v>1675.6639121802561</v>
      </c>
      <c r="J22">
        <v>18.149620884979498</v>
      </c>
      <c r="K22">
        <v>3397.6090296681618</v>
      </c>
      <c r="L22">
        <v>23</v>
      </c>
      <c r="M22">
        <v>4305.5999999999995</v>
      </c>
      <c r="N22">
        <v>14</v>
      </c>
      <c r="O22">
        <v>2620.7999999999997</v>
      </c>
      <c r="P22">
        <v>22</v>
      </c>
      <c r="Q22">
        <v>4118.3999999999996</v>
      </c>
      <c r="R22">
        <v>18.522852048416276</v>
      </c>
      <c r="S22">
        <v>3467.4779034635267</v>
      </c>
      <c r="T22">
        <v>22</v>
      </c>
      <c r="U22">
        <v>4118.3999999999996</v>
      </c>
      <c r="V22">
        <v>18.250816814935749</v>
      </c>
      <c r="W22">
        <v>3416.5529077559722</v>
      </c>
      <c r="X22">
        <v>13</v>
      </c>
      <c r="Y22">
        <v>2433.6</v>
      </c>
      <c r="Z22">
        <v>17</v>
      </c>
      <c r="AA22">
        <v>3182.3999999999996</v>
      </c>
      <c r="AB22">
        <v>16</v>
      </c>
      <c r="AC22">
        <v>2995.2</v>
      </c>
      <c r="AD22">
        <v>15</v>
      </c>
      <c r="AE22">
        <v>2808</v>
      </c>
      <c r="AF22">
        <v>13.926357996649941</v>
      </c>
      <c r="AG22">
        <v>2607.0142169728688</v>
      </c>
      <c r="AH22">
        <v>21.474319780398119</v>
      </c>
      <c r="AI22">
        <v>4019.9926628905278</v>
      </c>
      <c r="AJ22">
        <v>21</v>
      </c>
      <c r="AK22">
        <v>3931.2</v>
      </c>
      <c r="AL22">
        <v>13.69091836228862</v>
      </c>
      <c r="AM22">
        <v>2562.9399174204295</v>
      </c>
      <c r="AN22">
        <v>23</v>
      </c>
      <c r="AO22">
        <v>4305.5999999999995</v>
      </c>
      <c r="AP22">
        <v>18</v>
      </c>
      <c r="AQ22">
        <v>3369.6</v>
      </c>
      <c r="AR22">
        <v>18.479503560722119</v>
      </c>
      <c r="AS22">
        <v>3459.3630665671803</v>
      </c>
      <c r="AT22">
        <v>16.130942896790106</v>
      </c>
      <c r="AU22">
        <v>3019.7125102791078</v>
      </c>
      <c r="AV22">
        <v>21</v>
      </c>
      <c r="AW22">
        <v>3931.2</v>
      </c>
      <c r="AX22">
        <v>22.548658658961809</v>
      </c>
      <c r="AY22">
        <v>4221.1089009576508</v>
      </c>
      <c r="AZ22">
        <v>10.700235166270675</v>
      </c>
      <c r="BA22">
        <v>2003.0840231258701</v>
      </c>
      <c r="BB22">
        <v>16</v>
      </c>
      <c r="BC22">
        <v>2995.2</v>
      </c>
      <c r="BD22">
        <v>17</v>
      </c>
      <c r="BE22">
        <v>3182.3999999999996</v>
      </c>
      <c r="BF22">
        <v>15</v>
      </c>
      <c r="BG22">
        <v>2808</v>
      </c>
      <c r="BH22">
        <v>14.755701814762784</v>
      </c>
      <c r="BI22">
        <v>2762.267379723593</v>
      </c>
      <c r="BJ22">
        <v>23.5312762404591</v>
      </c>
      <c r="BK22">
        <v>4405.0549122139428</v>
      </c>
      <c r="BL22">
        <v>16</v>
      </c>
      <c r="BM22">
        <v>2995.2</v>
      </c>
      <c r="BN22">
        <v>9.2232335270742514</v>
      </c>
      <c r="BO22">
        <v>1726.5893162682999</v>
      </c>
      <c r="BP22">
        <v>16</v>
      </c>
      <c r="BQ22">
        <v>2995.2</v>
      </c>
      <c r="BR22">
        <v>13.573877747870853</v>
      </c>
      <c r="BS22">
        <v>2541.0299144014234</v>
      </c>
      <c r="BT22">
        <v>18.553733937676189</v>
      </c>
      <c r="BU22">
        <v>3473.2589931329821</v>
      </c>
      <c r="BV22">
        <v>10.980065379686446</v>
      </c>
      <c r="BW22">
        <v>2055.4682390773023</v>
      </c>
      <c r="BX22">
        <v>16.370477540234386</v>
      </c>
      <c r="BY22">
        <v>3064.553395531877</v>
      </c>
      <c r="BZ22">
        <v>19.007943366161037</v>
      </c>
      <c r="CA22">
        <v>3558.2869981453459</v>
      </c>
      <c r="CB22">
        <v>16.713172571726918</v>
      </c>
      <c r="CC22">
        <v>3128.705905427279</v>
      </c>
      <c r="CD22">
        <v>13.142059498169228</v>
      </c>
      <c r="CE22">
        <v>2460.1935380572795</v>
      </c>
      <c r="CF22">
        <v>18.599457174627702</v>
      </c>
      <c r="CG22">
        <v>3481.8183830903054</v>
      </c>
      <c r="CH22">
        <v>16.977415945433602</v>
      </c>
      <c r="CI22">
        <v>3178.1722649851699</v>
      </c>
      <c r="CJ22">
        <v>5.2512504283970465</v>
      </c>
      <c r="CK22">
        <v>983.034080195927</v>
      </c>
      <c r="CL22">
        <v>25</v>
      </c>
      <c r="CM22">
        <v>4680</v>
      </c>
      <c r="CN22">
        <v>10.366623737590182</v>
      </c>
      <c r="CO22">
        <v>1940.6319636768819</v>
      </c>
      <c r="CP22">
        <v>15.02060126563309</v>
      </c>
      <c r="CQ22">
        <v>2811.8565569265143</v>
      </c>
      <c r="CR22">
        <v>29.229289687659566</v>
      </c>
      <c r="CS22">
        <v>5471.7230295298705</v>
      </c>
      <c r="CT22">
        <v>15.935100588872745</v>
      </c>
      <c r="CU22">
        <v>2983.0508302369776</v>
      </c>
    </row>
    <row r="23" spans="2:99" x14ac:dyDescent="0.2">
      <c r="C23" s="119" t="s">
        <v>189</v>
      </c>
      <c r="D23">
        <v>17.595307333798832</v>
      </c>
      <c r="E23">
        <v>5173.0203561368562</v>
      </c>
      <c r="F23">
        <v>33</v>
      </c>
      <c r="G23">
        <v>9702</v>
      </c>
      <c r="H23">
        <v>9.6672918010399425</v>
      </c>
      <c r="I23">
        <v>2842.1837895057429</v>
      </c>
      <c r="J23">
        <v>17.015269579668281</v>
      </c>
      <c r="K23">
        <v>5002.4892564224747</v>
      </c>
      <c r="L23">
        <v>24</v>
      </c>
      <c r="M23">
        <v>7056</v>
      </c>
      <c r="N23">
        <v>14</v>
      </c>
      <c r="O23">
        <v>4116</v>
      </c>
      <c r="P23">
        <v>23</v>
      </c>
      <c r="Q23">
        <v>6762</v>
      </c>
      <c r="R23">
        <v>18.522852048416276</v>
      </c>
      <c r="S23">
        <v>5445.7185022343847</v>
      </c>
      <c r="T23">
        <v>21</v>
      </c>
      <c r="U23">
        <v>6174</v>
      </c>
      <c r="V23">
        <v>19.163357655682539</v>
      </c>
      <c r="W23">
        <v>5634.0271507706666</v>
      </c>
      <c r="X23">
        <v>15</v>
      </c>
      <c r="Y23">
        <v>4410</v>
      </c>
      <c r="Z23">
        <v>17</v>
      </c>
      <c r="AA23">
        <v>4998</v>
      </c>
      <c r="AB23">
        <v>17</v>
      </c>
      <c r="AC23">
        <v>4998</v>
      </c>
      <c r="AD23">
        <v>14</v>
      </c>
      <c r="AE23">
        <v>4116</v>
      </c>
      <c r="AF23">
        <v>14.745555525864644</v>
      </c>
      <c r="AG23">
        <v>4335.1933246042054</v>
      </c>
      <c r="AH23">
        <v>21.474319780398119</v>
      </c>
      <c r="AI23">
        <v>6313.4500154370471</v>
      </c>
      <c r="AJ23">
        <v>23</v>
      </c>
      <c r="AK23">
        <v>6762</v>
      </c>
      <c r="AL23">
        <v>13.69091836228862</v>
      </c>
      <c r="AM23">
        <v>4025.1299985128544</v>
      </c>
      <c r="AN23">
        <v>21</v>
      </c>
      <c r="AO23">
        <v>6174</v>
      </c>
      <c r="AP23">
        <v>18</v>
      </c>
      <c r="AQ23">
        <v>5292</v>
      </c>
      <c r="AR23">
        <v>18.479503560722119</v>
      </c>
      <c r="AS23">
        <v>5432.9740468523032</v>
      </c>
      <c r="AT23">
        <v>14.728252210112705</v>
      </c>
      <c r="AU23">
        <v>4330.1061497731353</v>
      </c>
      <c r="AV23">
        <v>23</v>
      </c>
      <c r="AW23">
        <v>6762</v>
      </c>
      <c r="AX23">
        <v>25.254497698037227</v>
      </c>
      <c r="AY23">
        <v>7424.8223232229448</v>
      </c>
      <c r="AZ23">
        <v>12.126933188440098</v>
      </c>
      <c r="BA23">
        <v>3565.3183574013888</v>
      </c>
      <c r="BB23">
        <v>17</v>
      </c>
      <c r="BC23">
        <v>4998</v>
      </c>
      <c r="BD23">
        <v>20</v>
      </c>
      <c r="BE23">
        <v>5880</v>
      </c>
      <c r="BF23">
        <v>15</v>
      </c>
      <c r="BG23">
        <v>4410</v>
      </c>
      <c r="BH23">
        <v>14.053049347393127</v>
      </c>
      <c r="BI23">
        <v>4131.5965081335798</v>
      </c>
      <c r="BJ23">
        <v>22.590025190840734</v>
      </c>
      <c r="BK23">
        <v>6641.4674061071755</v>
      </c>
      <c r="BL23">
        <v>16</v>
      </c>
      <c r="BM23">
        <v>4704</v>
      </c>
      <c r="BN23">
        <v>8.198429801843778</v>
      </c>
      <c r="BO23">
        <v>2410.3383617420709</v>
      </c>
      <c r="BP23">
        <v>16</v>
      </c>
      <c r="BQ23">
        <v>4704</v>
      </c>
      <c r="BR23">
        <v>11.976950954003696</v>
      </c>
      <c r="BS23">
        <v>3521.2235804770867</v>
      </c>
      <c r="BT23">
        <v>18.553733937676189</v>
      </c>
      <c r="BU23">
        <v>5454.7977776767993</v>
      </c>
      <c r="BV23">
        <v>9.0424067832711899</v>
      </c>
      <c r="BW23">
        <v>2658.4675942817298</v>
      </c>
      <c r="BX23">
        <v>16.370477540234386</v>
      </c>
      <c r="BY23">
        <v>4812.9203968289094</v>
      </c>
      <c r="BZ23">
        <v>18.143945940426445</v>
      </c>
      <c r="CA23">
        <v>5334.3201064853747</v>
      </c>
      <c r="CB23">
        <v>14.746916975053162</v>
      </c>
      <c r="CC23">
        <v>4335.5935906656296</v>
      </c>
      <c r="CD23">
        <v>12.320680779533653</v>
      </c>
      <c r="CE23">
        <v>3622.2801491828941</v>
      </c>
      <c r="CF23">
        <v>19.343435461612813</v>
      </c>
      <c r="CG23">
        <v>5686.9700257141667</v>
      </c>
      <c r="CH23">
        <v>18.863795494926226</v>
      </c>
      <c r="CI23">
        <v>5545.9558755083108</v>
      </c>
      <c r="CJ23">
        <v>5.5276320298916284</v>
      </c>
      <c r="CK23">
        <v>1625.1238167881388</v>
      </c>
      <c r="CL23">
        <v>24</v>
      </c>
      <c r="CM23">
        <v>7056</v>
      </c>
      <c r="CN23">
        <v>9.8210119619275407</v>
      </c>
      <c r="CO23">
        <v>2887.3775168066968</v>
      </c>
      <c r="CP23">
        <v>14.484151220431908</v>
      </c>
      <c r="CQ23">
        <v>4258.3404588069807</v>
      </c>
      <c r="CR23">
        <v>30.203599343914885</v>
      </c>
      <c r="CS23">
        <v>8879.8582071109759</v>
      </c>
      <c r="CT23">
        <v>16.599063113409109</v>
      </c>
      <c r="CU23">
        <v>4880.1245553422777</v>
      </c>
    </row>
    <row r="24" spans="2:99" x14ac:dyDescent="0.2">
      <c r="C24" s="119" t="s">
        <v>190</v>
      </c>
      <c r="D24">
        <v>15.217563099501691</v>
      </c>
      <c r="E24">
        <v>5587.8891701370203</v>
      </c>
      <c r="F24">
        <v>38</v>
      </c>
      <c r="G24">
        <v>13953.6</v>
      </c>
      <c r="H24">
        <v>8.2351004231080971</v>
      </c>
      <c r="I24">
        <v>3023.9288753652932</v>
      </c>
      <c r="J24">
        <v>16.448093927012668</v>
      </c>
      <c r="K24">
        <v>6039.7400899990516</v>
      </c>
      <c r="L24">
        <v>22</v>
      </c>
      <c r="M24">
        <v>8078.4</v>
      </c>
      <c r="N24">
        <v>14</v>
      </c>
      <c r="O24">
        <v>5140.8</v>
      </c>
      <c r="P24">
        <v>22</v>
      </c>
      <c r="Q24">
        <v>8078.4</v>
      </c>
      <c r="R24">
        <v>17.717510655006873</v>
      </c>
      <c r="S24">
        <v>6505.8699125185231</v>
      </c>
      <c r="T24">
        <v>21</v>
      </c>
      <c r="U24">
        <v>7711.2</v>
      </c>
      <c r="V24">
        <v>20.075898496429325</v>
      </c>
      <c r="W24">
        <v>7371.869927888848</v>
      </c>
      <c r="X24">
        <v>15</v>
      </c>
      <c r="Y24">
        <v>5508</v>
      </c>
      <c r="Z24">
        <v>17</v>
      </c>
      <c r="AA24">
        <v>6242.4</v>
      </c>
      <c r="AB24">
        <v>16</v>
      </c>
      <c r="AC24">
        <v>5875.2</v>
      </c>
      <c r="AD24">
        <v>15</v>
      </c>
      <c r="AE24">
        <v>5508</v>
      </c>
      <c r="AF24">
        <v>14.745555525864644</v>
      </c>
      <c r="AG24">
        <v>5414.567989097497</v>
      </c>
      <c r="AH24">
        <v>19.173499803926891</v>
      </c>
      <c r="AI24">
        <v>7040.5091280019542</v>
      </c>
      <c r="AJ24">
        <v>23</v>
      </c>
      <c r="AK24">
        <v>8445.6</v>
      </c>
      <c r="AL24">
        <v>13.69091836228862</v>
      </c>
      <c r="AM24">
        <v>5027.3052226323816</v>
      </c>
      <c r="AN24">
        <v>22</v>
      </c>
      <c r="AO24">
        <v>8078.4</v>
      </c>
      <c r="AP24">
        <v>18</v>
      </c>
      <c r="AQ24">
        <v>6609.5999999999995</v>
      </c>
      <c r="AR24">
        <v>19.452109011286442</v>
      </c>
      <c r="AS24">
        <v>7142.8144289443817</v>
      </c>
      <c r="AT24">
        <v>16.832288240128808</v>
      </c>
      <c r="AU24">
        <v>6180.8162417752983</v>
      </c>
      <c r="AV24">
        <v>22</v>
      </c>
      <c r="AW24">
        <v>8078.4</v>
      </c>
      <c r="AX24">
        <v>22.548658658961809</v>
      </c>
      <c r="AY24">
        <v>8279.8674595707762</v>
      </c>
      <c r="AZ24">
        <v>11.413584177355386</v>
      </c>
      <c r="BA24">
        <v>4191.0681099248977</v>
      </c>
      <c r="BB24">
        <v>18</v>
      </c>
      <c r="BC24">
        <v>6609.5999999999995</v>
      </c>
      <c r="BD24">
        <v>19</v>
      </c>
      <c r="BE24">
        <v>6976.8</v>
      </c>
      <c r="BF24">
        <v>16</v>
      </c>
      <c r="BG24">
        <v>5875.2</v>
      </c>
      <c r="BH24">
        <v>13.350396880023471</v>
      </c>
      <c r="BI24">
        <v>4902.2657343446181</v>
      </c>
      <c r="BJ24">
        <v>22.590025190840734</v>
      </c>
      <c r="BK24">
        <v>8295.0572500767175</v>
      </c>
      <c r="BL24">
        <v>16</v>
      </c>
      <c r="BM24">
        <v>5875.2</v>
      </c>
      <c r="BN24">
        <v>8.7108316644590129</v>
      </c>
      <c r="BO24">
        <v>3198.6173871893493</v>
      </c>
      <c r="BP24">
        <v>16</v>
      </c>
      <c r="BQ24">
        <v>5875.2</v>
      </c>
      <c r="BR24">
        <v>12.775414350937274</v>
      </c>
      <c r="BS24">
        <v>4691.1321496641667</v>
      </c>
      <c r="BT24">
        <v>18.553733937676189</v>
      </c>
      <c r="BU24">
        <v>6812.9311019146962</v>
      </c>
      <c r="BV24">
        <v>10.33417918088136</v>
      </c>
      <c r="BW24">
        <v>3794.7105952196353</v>
      </c>
      <c r="BX24">
        <v>17.279948514691853</v>
      </c>
      <c r="BY24">
        <v>6345.1970945948478</v>
      </c>
      <c r="BZ24">
        <v>17.279948514691853</v>
      </c>
      <c r="CA24">
        <v>6345.1970945948478</v>
      </c>
      <c r="CB24">
        <v>16.713172571726918</v>
      </c>
      <c r="CC24">
        <v>6137.0769683381241</v>
      </c>
      <c r="CD24">
        <v>12.320680779533653</v>
      </c>
      <c r="CE24">
        <v>4524.1539822447576</v>
      </c>
      <c r="CF24">
        <v>19.343435461612813</v>
      </c>
      <c r="CG24">
        <v>7102.9095015042249</v>
      </c>
      <c r="CH24">
        <v>18.863795494926226</v>
      </c>
      <c r="CI24">
        <v>6926.7857057369101</v>
      </c>
      <c r="CJ24">
        <v>5.2512504283970465</v>
      </c>
      <c r="CK24">
        <v>1928.2591573073953</v>
      </c>
      <c r="CL24">
        <v>24</v>
      </c>
      <c r="CM24">
        <v>8812.7999999999993</v>
      </c>
      <c r="CN24">
        <v>8.7297884106022572</v>
      </c>
      <c r="CO24">
        <v>3205.578304373149</v>
      </c>
      <c r="CP24">
        <v>13.947701175230726</v>
      </c>
      <c r="CQ24">
        <v>5121.5958715447223</v>
      </c>
      <c r="CR24">
        <v>28.254980031404248</v>
      </c>
      <c r="CS24">
        <v>10375.228667531639</v>
      </c>
      <c r="CT24">
        <v>15.27113806433638</v>
      </c>
      <c r="CU24">
        <v>5607.5618972243183</v>
      </c>
    </row>
    <row r="25" spans="2:99" x14ac:dyDescent="0.2">
      <c r="C25" s="119" t="s">
        <v>191</v>
      </c>
      <c r="D25">
        <v>16.168660793220546</v>
      </c>
      <c r="E25">
        <v>8575.8576847241766</v>
      </c>
      <c r="F25">
        <v>33</v>
      </c>
      <c r="G25">
        <v>17503.2</v>
      </c>
      <c r="H25">
        <v>7.8770525786251371</v>
      </c>
      <c r="I25">
        <v>4177.9886877027729</v>
      </c>
      <c r="J25">
        <v>16.448093927012668</v>
      </c>
      <c r="K25">
        <v>8724.0690188875178</v>
      </c>
      <c r="L25">
        <v>22</v>
      </c>
      <c r="M25">
        <v>11668.8</v>
      </c>
      <c r="N25">
        <v>15</v>
      </c>
      <c r="O25">
        <v>7956</v>
      </c>
      <c r="P25">
        <v>23</v>
      </c>
      <c r="Q25">
        <v>12199.199999999999</v>
      </c>
      <c r="R25">
        <v>18.522852048416276</v>
      </c>
      <c r="S25">
        <v>9824.5207264799919</v>
      </c>
      <c r="T25">
        <v>20</v>
      </c>
      <c r="U25">
        <v>10608</v>
      </c>
      <c r="V25">
        <v>20.075898496429325</v>
      </c>
      <c r="W25">
        <v>10648.256562506114</v>
      </c>
      <c r="X25">
        <v>14</v>
      </c>
      <c r="Y25">
        <v>7425.5999999999995</v>
      </c>
      <c r="Z25">
        <v>19</v>
      </c>
      <c r="AA25">
        <v>10077.6</v>
      </c>
      <c r="AB25">
        <v>17</v>
      </c>
      <c r="AC25">
        <v>9016.7999999999993</v>
      </c>
      <c r="AD25">
        <v>15</v>
      </c>
      <c r="AE25">
        <v>7956</v>
      </c>
      <c r="AF25">
        <v>14.745555525864644</v>
      </c>
      <c r="AG25">
        <v>7821.0426509186063</v>
      </c>
      <c r="AH25">
        <v>19.173499803926891</v>
      </c>
      <c r="AI25">
        <v>10169.624296002823</v>
      </c>
      <c r="AJ25">
        <v>21</v>
      </c>
      <c r="AK25">
        <v>11138.4</v>
      </c>
      <c r="AL25">
        <v>12.885570223330467</v>
      </c>
      <c r="AM25">
        <v>6834.5064464544794</v>
      </c>
      <c r="AN25">
        <v>19</v>
      </c>
      <c r="AO25">
        <v>10077.6</v>
      </c>
      <c r="AP25">
        <v>16</v>
      </c>
      <c r="AQ25">
        <v>8486.4</v>
      </c>
      <c r="AR25">
        <v>17.506898110157799</v>
      </c>
      <c r="AS25">
        <v>9285.6587576276961</v>
      </c>
      <c r="AT25">
        <v>14.728252210112705</v>
      </c>
      <c r="AU25">
        <v>7811.8649722437785</v>
      </c>
      <c r="AV25">
        <v>22</v>
      </c>
      <c r="AW25">
        <v>11668.8</v>
      </c>
      <c r="AX25">
        <v>24.352551351678752</v>
      </c>
      <c r="AY25">
        <v>12916.59323693041</v>
      </c>
      <c r="AZ25">
        <v>11.413584177355386</v>
      </c>
      <c r="BA25">
        <v>6053.7650476692961</v>
      </c>
      <c r="BB25">
        <v>16</v>
      </c>
      <c r="BC25">
        <v>8486.4</v>
      </c>
      <c r="BD25">
        <v>18</v>
      </c>
      <c r="BE25">
        <v>9547.1999999999989</v>
      </c>
      <c r="BF25">
        <v>14</v>
      </c>
      <c r="BG25">
        <v>7425.5999999999995</v>
      </c>
      <c r="BH25">
        <v>14.053049347393127</v>
      </c>
      <c r="BI25">
        <v>7453.7373738573142</v>
      </c>
      <c r="BJ25">
        <v>20.707523091604006</v>
      </c>
      <c r="BK25">
        <v>10983.270247786764</v>
      </c>
      <c r="BL25">
        <v>14</v>
      </c>
      <c r="BM25">
        <v>7425.5999999999995</v>
      </c>
      <c r="BN25">
        <v>8.7108316644590129</v>
      </c>
      <c r="BO25">
        <v>4620.2251148290607</v>
      </c>
      <c r="BP25">
        <v>15</v>
      </c>
      <c r="BQ25">
        <v>7956</v>
      </c>
      <c r="BR25">
        <v>11.976950954003696</v>
      </c>
      <c r="BS25">
        <v>6352.5747860035599</v>
      </c>
      <c r="BT25">
        <v>17.126523634778017</v>
      </c>
      <c r="BU25">
        <v>9083.9081358862604</v>
      </c>
      <c r="BV25">
        <v>9.6882929820762751</v>
      </c>
      <c r="BW25">
        <v>5138.6705976932562</v>
      </c>
      <c r="BX25">
        <v>17.279948514691853</v>
      </c>
      <c r="BY25">
        <v>9165.2846921925575</v>
      </c>
      <c r="BZ25">
        <v>19.007943366161037</v>
      </c>
      <c r="CA25">
        <v>10081.813161411814</v>
      </c>
      <c r="CB25">
        <v>15.730044773390039</v>
      </c>
      <c r="CC25">
        <v>8343.2157478060763</v>
      </c>
      <c r="CD25">
        <v>13.142059498169228</v>
      </c>
      <c r="CE25">
        <v>6970.5483578289586</v>
      </c>
      <c r="CF25">
        <v>20.087413748597918</v>
      </c>
      <c r="CG25">
        <v>10654.364252256335</v>
      </c>
      <c r="CH25">
        <v>16.977415945433602</v>
      </c>
      <c r="CI25">
        <v>9004.8214174579825</v>
      </c>
      <c r="CJ25">
        <v>5.2512504283970465</v>
      </c>
      <c r="CK25">
        <v>2785.2632272217934</v>
      </c>
      <c r="CL25">
        <v>20</v>
      </c>
      <c r="CM25">
        <v>10608</v>
      </c>
      <c r="CN25">
        <v>8.7297884106022572</v>
      </c>
      <c r="CO25">
        <v>4630.2797729834374</v>
      </c>
      <c r="CP25">
        <v>15.02060126563309</v>
      </c>
      <c r="CQ25">
        <v>7966.9269112917909</v>
      </c>
      <c r="CR25">
        <v>28.254980031404248</v>
      </c>
      <c r="CS25">
        <v>14986.441408656812</v>
      </c>
      <c r="CT25">
        <v>15.27113806433638</v>
      </c>
      <c r="CU25">
        <v>8099.8116293240155</v>
      </c>
    </row>
    <row r="26" spans="2:99" x14ac:dyDescent="0.2">
      <c r="C26" s="119" t="s">
        <v>192</v>
      </c>
      <c r="D26">
        <v>16.168660793220546</v>
      </c>
      <c r="E26">
        <v>7857.9691455051852</v>
      </c>
      <c r="F26">
        <v>35</v>
      </c>
      <c r="G26">
        <v>17010</v>
      </c>
      <c r="H26">
        <v>8.2351004231080971</v>
      </c>
      <c r="I26">
        <v>4002.2588056305353</v>
      </c>
      <c r="J26">
        <v>17.582445232323888</v>
      </c>
      <c r="K26">
        <v>8545.0683829094087</v>
      </c>
      <c r="L26">
        <v>21</v>
      </c>
      <c r="M26">
        <v>10206</v>
      </c>
      <c r="N26">
        <v>14</v>
      </c>
      <c r="O26">
        <v>6804</v>
      </c>
      <c r="P26">
        <v>22</v>
      </c>
      <c r="Q26">
        <v>10692</v>
      </c>
      <c r="R26">
        <v>16.106827868188066</v>
      </c>
      <c r="S26">
        <v>7827.9183439394001</v>
      </c>
      <c r="T26">
        <v>21</v>
      </c>
      <c r="U26">
        <v>10206</v>
      </c>
      <c r="V26">
        <v>17.338275974188964</v>
      </c>
      <c r="W26">
        <v>8426.4021234558368</v>
      </c>
      <c r="X26">
        <v>13</v>
      </c>
      <c r="Y26">
        <v>6318</v>
      </c>
      <c r="Z26">
        <v>16</v>
      </c>
      <c r="AA26">
        <v>7776</v>
      </c>
      <c r="AB26">
        <v>17</v>
      </c>
      <c r="AC26">
        <v>8262</v>
      </c>
      <c r="AD26">
        <v>16</v>
      </c>
      <c r="AE26">
        <v>7776</v>
      </c>
      <c r="AF26">
        <v>13.926357996649941</v>
      </c>
      <c r="AG26">
        <v>6768.2099863718713</v>
      </c>
      <c r="AH26">
        <v>19.173499803926891</v>
      </c>
      <c r="AI26">
        <v>9318.3209047084692</v>
      </c>
      <c r="AJ26">
        <v>21</v>
      </c>
      <c r="AK26">
        <v>10206</v>
      </c>
      <c r="AL26">
        <v>13.69091836228862</v>
      </c>
      <c r="AM26">
        <v>6653.7863240722691</v>
      </c>
      <c r="AN26">
        <v>19</v>
      </c>
      <c r="AO26">
        <v>9234</v>
      </c>
      <c r="AP26">
        <v>17</v>
      </c>
      <c r="AQ26">
        <v>8262</v>
      </c>
      <c r="AR26">
        <v>17.506898110157799</v>
      </c>
      <c r="AS26">
        <v>8508.3524815366909</v>
      </c>
      <c r="AT26">
        <v>14.026906866774006</v>
      </c>
      <c r="AU26">
        <v>6817.0767372521668</v>
      </c>
      <c r="AV26">
        <v>21</v>
      </c>
      <c r="AW26">
        <v>10206</v>
      </c>
      <c r="AX26">
        <v>20.744765966244866</v>
      </c>
      <c r="AY26">
        <v>10081.956259595005</v>
      </c>
      <c r="AZ26">
        <v>9.986886155185962</v>
      </c>
      <c r="BA26">
        <v>4853.6266714203775</v>
      </c>
      <c r="BB26">
        <v>18</v>
      </c>
      <c r="BC26">
        <v>8748</v>
      </c>
      <c r="BD26">
        <v>17</v>
      </c>
      <c r="BE26">
        <v>8262</v>
      </c>
      <c r="BF26">
        <v>16</v>
      </c>
      <c r="BG26">
        <v>7776</v>
      </c>
      <c r="BH26">
        <v>14.755701814762784</v>
      </c>
      <c r="BI26">
        <v>7171.2710819747126</v>
      </c>
      <c r="BJ26">
        <v>22.590025190840734</v>
      </c>
      <c r="BK26">
        <v>10978.752242748596</v>
      </c>
      <c r="BL26">
        <v>14</v>
      </c>
      <c r="BM26">
        <v>6804</v>
      </c>
      <c r="BN26">
        <v>7.6860279392285413</v>
      </c>
      <c r="BO26">
        <v>3735.4095784650713</v>
      </c>
      <c r="BP26">
        <v>16</v>
      </c>
      <c r="BQ26">
        <v>7776</v>
      </c>
      <c r="BR26">
        <v>11.178487557070115</v>
      </c>
      <c r="BS26">
        <v>5432.7449527360759</v>
      </c>
      <c r="BT26">
        <v>17.126523634778017</v>
      </c>
      <c r="BU26">
        <v>8323.4904865021163</v>
      </c>
      <c r="BV26">
        <v>9.6882929820762751</v>
      </c>
      <c r="BW26">
        <v>4708.5103892890693</v>
      </c>
      <c r="BX26">
        <v>18.189419489149319</v>
      </c>
      <c r="BY26">
        <v>8840.0578717265689</v>
      </c>
      <c r="BZ26">
        <v>18.143945940426445</v>
      </c>
      <c r="CA26">
        <v>8817.9577270472528</v>
      </c>
      <c r="CB26">
        <v>14.746916975053162</v>
      </c>
      <c r="CC26">
        <v>7167.0016498758368</v>
      </c>
      <c r="CD26">
        <v>12.320680779533653</v>
      </c>
      <c r="CE26">
        <v>5987.850858853355</v>
      </c>
      <c r="CF26">
        <v>18.599457174627702</v>
      </c>
      <c r="CG26">
        <v>9039.3361868690627</v>
      </c>
      <c r="CH26">
        <v>19.806985269672534</v>
      </c>
      <c r="CI26">
        <v>9626.1948410608511</v>
      </c>
      <c r="CJ26">
        <v>4.9748688269024655</v>
      </c>
      <c r="CK26">
        <v>2417.7862498745981</v>
      </c>
      <c r="CL26">
        <v>23</v>
      </c>
      <c r="CM26">
        <v>11178</v>
      </c>
      <c r="CN26">
        <v>10.366623737590182</v>
      </c>
      <c r="CO26">
        <v>5038.1791364688279</v>
      </c>
      <c r="CP26">
        <v>14.484151220431908</v>
      </c>
      <c r="CQ26">
        <v>7039.2974931299077</v>
      </c>
      <c r="CR26">
        <v>26.306360718893607</v>
      </c>
      <c r="CS26">
        <v>12784.891309382294</v>
      </c>
      <c r="CT26">
        <v>14.607175539800018</v>
      </c>
      <c r="CU26">
        <v>7099.0873123428082</v>
      </c>
    </row>
    <row r="27" spans="2:99" x14ac:dyDescent="0.2">
      <c r="C27" s="119" t="s">
        <v>193</v>
      </c>
      <c r="D27">
        <v>17.595307333798832</v>
      </c>
      <c r="E27">
        <v>7516.7152929988606</v>
      </c>
      <c r="F27">
        <v>32</v>
      </c>
      <c r="G27">
        <v>13670.4</v>
      </c>
      <c r="H27">
        <v>8.2351004231080971</v>
      </c>
      <c r="I27">
        <v>3518.0349007517789</v>
      </c>
      <c r="J27">
        <v>18.716796537635105</v>
      </c>
      <c r="K27">
        <v>7995.8154808777163</v>
      </c>
      <c r="L27">
        <v>24</v>
      </c>
      <c r="M27">
        <v>10252.799999999999</v>
      </c>
      <c r="N27">
        <v>15</v>
      </c>
      <c r="O27">
        <v>6408</v>
      </c>
      <c r="P27">
        <v>22</v>
      </c>
      <c r="Q27">
        <v>9398.4</v>
      </c>
      <c r="R27">
        <v>17.717510655006873</v>
      </c>
      <c r="S27">
        <v>7568.9205518189356</v>
      </c>
      <c r="T27">
        <v>19</v>
      </c>
      <c r="U27">
        <v>8116.8</v>
      </c>
      <c r="V27">
        <v>18.250816814935749</v>
      </c>
      <c r="W27">
        <v>7796.7489433405517</v>
      </c>
      <c r="X27">
        <v>13</v>
      </c>
      <c r="Y27">
        <v>5553.5999999999995</v>
      </c>
      <c r="Z27">
        <v>17</v>
      </c>
      <c r="AA27">
        <v>7262.4</v>
      </c>
      <c r="AB27">
        <v>17</v>
      </c>
      <c r="AC27">
        <v>7262.4</v>
      </c>
      <c r="AD27">
        <v>14</v>
      </c>
      <c r="AE27">
        <v>5980.8</v>
      </c>
      <c r="AF27">
        <v>15.564753055079347</v>
      </c>
      <c r="AG27">
        <v>6649.2625051298965</v>
      </c>
      <c r="AH27">
        <v>21.474319780398119</v>
      </c>
      <c r="AI27">
        <v>9173.8294101860756</v>
      </c>
      <c r="AJ27">
        <v>23</v>
      </c>
      <c r="AK27">
        <v>9825.6</v>
      </c>
      <c r="AL27">
        <v>11.274873945414159</v>
      </c>
      <c r="AM27">
        <v>4816.6261494809287</v>
      </c>
      <c r="AN27">
        <v>23</v>
      </c>
      <c r="AO27">
        <v>9825.6</v>
      </c>
      <c r="AP27">
        <v>17</v>
      </c>
      <c r="AQ27">
        <v>7262.4</v>
      </c>
      <c r="AR27">
        <v>19.452109011286442</v>
      </c>
      <c r="AS27">
        <v>8309.940969621568</v>
      </c>
      <c r="AT27">
        <v>14.026906866774006</v>
      </c>
      <c r="AU27">
        <v>5992.2946134858548</v>
      </c>
      <c r="AV27">
        <v>20</v>
      </c>
      <c r="AW27">
        <v>8544</v>
      </c>
      <c r="AX27">
        <v>23.450605005320281</v>
      </c>
      <c r="AY27">
        <v>10018.098458272823</v>
      </c>
      <c r="AZ27">
        <v>10.700235166270675</v>
      </c>
      <c r="BA27">
        <v>4571.1404630308325</v>
      </c>
      <c r="BB27">
        <v>16</v>
      </c>
      <c r="BC27">
        <v>6835.2</v>
      </c>
      <c r="BD27">
        <v>18</v>
      </c>
      <c r="BE27">
        <v>7689.5999999999995</v>
      </c>
      <c r="BF27">
        <v>14</v>
      </c>
      <c r="BG27">
        <v>5980.8</v>
      </c>
      <c r="BH27">
        <v>14.053049347393127</v>
      </c>
      <c r="BI27">
        <v>6003.4626812063434</v>
      </c>
      <c r="BJ27">
        <v>21.648774141222372</v>
      </c>
      <c r="BK27">
        <v>9248.3563131301962</v>
      </c>
      <c r="BL27">
        <v>16</v>
      </c>
      <c r="BM27">
        <v>6835.2</v>
      </c>
      <c r="BN27">
        <v>8.7108316644590129</v>
      </c>
      <c r="BO27">
        <v>3721.2672870568904</v>
      </c>
      <c r="BP27">
        <v>15</v>
      </c>
      <c r="BQ27">
        <v>6408</v>
      </c>
      <c r="BR27">
        <v>13.573877747870853</v>
      </c>
      <c r="BS27">
        <v>5798.7605738904285</v>
      </c>
      <c r="BT27">
        <v>16.412918483328937</v>
      </c>
      <c r="BU27">
        <v>7011.5987760781218</v>
      </c>
      <c r="BV27">
        <v>9.0424067832711899</v>
      </c>
      <c r="BW27">
        <v>3862.9161778134521</v>
      </c>
      <c r="BX27">
        <v>17.279948514691853</v>
      </c>
      <c r="BY27">
        <v>7381.9940054763592</v>
      </c>
      <c r="BZ27">
        <v>17.279948514691853</v>
      </c>
      <c r="CA27">
        <v>7381.9940054763592</v>
      </c>
      <c r="CB27">
        <v>15.730044773390039</v>
      </c>
      <c r="CC27">
        <v>6719.8751271922247</v>
      </c>
      <c r="CD27">
        <v>12.320680779533653</v>
      </c>
      <c r="CE27">
        <v>5263.3948290167764</v>
      </c>
      <c r="CF27">
        <v>20.831392035583029</v>
      </c>
      <c r="CG27">
        <v>8899.1706776010706</v>
      </c>
      <c r="CH27">
        <v>16.03422617068729</v>
      </c>
      <c r="CI27">
        <v>6849.8214201176106</v>
      </c>
      <c r="CJ27">
        <v>5.8040136313862094</v>
      </c>
      <c r="CK27">
        <v>2479.4746233281885</v>
      </c>
      <c r="CL27">
        <v>20</v>
      </c>
      <c r="CM27">
        <v>8544</v>
      </c>
      <c r="CN27">
        <v>9.8210119619275407</v>
      </c>
      <c r="CO27">
        <v>4195.5363101354451</v>
      </c>
      <c r="CP27">
        <v>14.484151220431908</v>
      </c>
      <c r="CQ27">
        <v>6187.629401368511</v>
      </c>
      <c r="CR27">
        <v>26.306360718893607</v>
      </c>
      <c r="CS27">
        <v>11238.077299111348</v>
      </c>
      <c r="CT27">
        <v>15.27113806433638</v>
      </c>
      <c r="CU27">
        <v>6523.8301810845014</v>
      </c>
    </row>
    <row r="28" spans="2:99" x14ac:dyDescent="0.2">
      <c r="C28" s="119" t="s">
        <v>194</v>
      </c>
      <c r="D28">
        <v>16.168660793220546</v>
      </c>
      <c r="E28">
        <v>11932.471665396763</v>
      </c>
      <c r="F28">
        <v>35</v>
      </c>
      <c r="G28">
        <v>25830</v>
      </c>
      <c r="H28">
        <v>8.9511961120740189</v>
      </c>
      <c r="I28">
        <v>6605.9827307106261</v>
      </c>
      <c r="J28">
        <v>17.582445232323888</v>
      </c>
      <c r="K28">
        <v>12975.844581455029</v>
      </c>
      <c r="L28">
        <v>21</v>
      </c>
      <c r="M28">
        <v>15498</v>
      </c>
      <c r="N28">
        <v>14</v>
      </c>
      <c r="O28">
        <v>10332</v>
      </c>
      <c r="P28">
        <v>23</v>
      </c>
      <c r="Q28">
        <v>16974</v>
      </c>
      <c r="R28">
        <v>16.106827868188066</v>
      </c>
      <c r="S28">
        <v>11886.838966722793</v>
      </c>
      <c r="T28">
        <v>20</v>
      </c>
      <c r="U28">
        <v>14760</v>
      </c>
      <c r="V28">
        <v>17.338275974188964</v>
      </c>
      <c r="W28">
        <v>12795.647668951455</v>
      </c>
      <c r="X28">
        <v>14</v>
      </c>
      <c r="Y28">
        <v>10332</v>
      </c>
      <c r="Z28">
        <v>19</v>
      </c>
      <c r="AA28">
        <v>14022</v>
      </c>
      <c r="AB28">
        <v>17</v>
      </c>
      <c r="AC28">
        <v>12546</v>
      </c>
      <c r="AD28">
        <v>14</v>
      </c>
      <c r="AE28">
        <v>10332</v>
      </c>
      <c r="AF28">
        <v>14.745555525864644</v>
      </c>
      <c r="AG28">
        <v>10882.219978088107</v>
      </c>
      <c r="AH28">
        <v>20.707379788241045</v>
      </c>
      <c r="AI28">
        <v>15282.046283721891</v>
      </c>
      <c r="AJ28">
        <v>21</v>
      </c>
      <c r="AK28">
        <v>15498</v>
      </c>
      <c r="AL28">
        <v>12.885570223330467</v>
      </c>
      <c r="AM28">
        <v>9509.5508248178849</v>
      </c>
      <c r="AN28">
        <v>22</v>
      </c>
      <c r="AO28">
        <v>16236</v>
      </c>
      <c r="AP28">
        <v>18</v>
      </c>
      <c r="AQ28">
        <v>13284</v>
      </c>
      <c r="AR28">
        <v>17.506898110157799</v>
      </c>
      <c r="AS28">
        <v>12920.090805296455</v>
      </c>
      <c r="AT28">
        <v>14.026906866774006</v>
      </c>
      <c r="AU28">
        <v>10351.857267679216</v>
      </c>
      <c r="AV28">
        <v>21</v>
      </c>
      <c r="AW28">
        <v>15498</v>
      </c>
      <c r="AX28">
        <v>25.254497698037227</v>
      </c>
      <c r="AY28">
        <v>18637.819301151474</v>
      </c>
      <c r="AZ28">
        <v>11.413584177355386</v>
      </c>
      <c r="BA28">
        <v>8423.2251228882742</v>
      </c>
      <c r="BB28">
        <v>17</v>
      </c>
      <c r="BC28">
        <v>12546</v>
      </c>
      <c r="BD28">
        <v>19</v>
      </c>
      <c r="BE28">
        <v>14022</v>
      </c>
      <c r="BF28">
        <v>16</v>
      </c>
      <c r="BG28">
        <v>11808</v>
      </c>
      <c r="BH28">
        <v>13.350396880023471</v>
      </c>
      <c r="BI28">
        <v>9852.5928974573217</v>
      </c>
      <c r="BJ28">
        <v>19.766272041985644</v>
      </c>
      <c r="BK28">
        <v>14587.508766985406</v>
      </c>
      <c r="BL28">
        <v>14</v>
      </c>
      <c r="BM28">
        <v>10332</v>
      </c>
      <c r="BN28">
        <v>8.7108316644590129</v>
      </c>
      <c r="BO28">
        <v>6428.5937683707516</v>
      </c>
      <c r="BP28">
        <v>15</v>
      </c>
      <c r="BQ28">
        <v>11070</v>
      </c>
      <c r="BR28">
        <v>11.178487557070115</v>
      </c>
      <c r="BS28">
        <v>8249.7238171177451</v>
      </c>
      <c r="BT28">
        <v>15.69931333187985</v>
      </c>
      <c r="BU28">
        <v>11586.093238927329</v>
      </c>
      <c r="BV28">
        <v>10.33417918088136</v>
      </c>
      <c r="BW28">
        <v>7626.6242354904443</v>
      </c>
      <c r="BX28">
        <v>14.551535591319453</v>
      </c>
      <c r="BY28">
        <v>10739.033266393757</v>
      </c>
      <c r="BZ28">
        <v>18.143945940426445</v>
      </c>
      <c r="CA28">
        <v>13390.232104034716</v>
      </c>
      <c r="CB28">
        <v>14.746916975053162</v>
      </c>
      <c r="CC28">
        <v>10883.224727589233</v>
      </c>
      <c r="CD28">
        <v>11.499302060898074</v>
      </c>
      <c r="CE28">
        <v>8486.4849209427794</v>
      </c>
      <c r="CF28">
        <v>21.575370322568137</v>
      </c>
      <c r="CG28">
        <v>15922.623298055285</v>
      </c>
      <c r="CH28">
        <v>16.03422617068729</v>
      </c>
      <c r="CI28">
        <v>11833.25891396722</v>
      </c>
      <c r="CJ28">
        <v>4.9748688269024655</v>
      </c>
      <c r="CK28">
        <v>3671.4531942540193</v>
      </c>
      <c r="CL28">
        <v>22</v>
      </c>
      <c r="CM28">
        <v>16236</v>
      </c>
      <c r="CN28">
        <v>9.275400186264898</v>
      </c>
      <c r="CO28">
        <v>6845.2453374634952</v>
      </c>
      <c r="CP28">
        <v>13.411251130029544</v>
      </c>
      <c r="CQ28">
        <v>9897.5033339618039</v>
      </c>
      <c r="CR28">
        <v>29.229289687659566</v>
      </c>
      <c r="CS28">
        <v>21571.215789492759</v>
      </c>
      <c r="CT28">
        <v>15.935100588872745</v>
      </c>
      <c r="CU28">
        <v>11760.104234588085</v>
      </c>
    </row>
    <row r="29" spans="2:99" x14ac:dyDescent="0.2">
      <c r="C29" s="119" t="s">
        <v>195</v>
      </c>
      <c r="D29">
        <v>15.217563099501691</v>
      </c>
      <c r="E29">
        <v>5149.6233528713719</v>
      </c>
      <c r="F29">
        <v>37</v>
      </c>
      <c r="G29">
        <v>12520.8</v>
      </c>
      <c r="H29">
        <v>8.2351004231080971</v>
      </c>
      <c r="I29">
        <v>2786.7579831797798</v>
      </c>
      <c r="J29">
        <v>17.015269579668281</v>
      </c>
      <c r="K29">
        <v>5757.9672257597458</v>
      </c>
      <c r="L29">
        <v>24</v>
      </c>
      <c r="M29">
        <v>8121.5999999999995</v>
      </c>
      <c r="N29">
        <v>15</v>
      </c>
      <c r="O29">
        <v>5076</v>
      </c>
      <c r="P29">
        <v>21</v>
      </c>
      <c r="Q29">
        <v>7106.4</v>
      </c>
      <c r="R29">
        <v>16.912169261597469</v>
      </c>
      <c r="S29">
        <v>5723.078078124583</v>
      </c>
      <c r="T29">
        <v>20</v>
      </c>
      <c r="U29">
        <v>6768</v>
      </c>
      <c r="V29">
        <v>19.163357655682539</v>
      </c>
      <c r="W29">
        <v>6484.8802306829712</v>
      </c>
      <c r="X29">
        <v>14</v>
      </c>
      <c r="Y29">
        <v>4737.5999999999995</v>
      </c>
      <c r="Z29">
        <v>18</v>
      </c>
      <c r="AA29">
        <v>6091.2</v>
      </c>
      <c r="AB29">
        <v>18</v>
      </c>
      <c r="AC29">
        <v>6091.2</v>
      </c>
      <c r="AD29">
        <v>16</v>
      </c>
      <c r="AE29">
        <v>5414.4</v>
      </c>
      <c r="AF29">
        <v>14.745555525864644</v>
      </c>
      <c r="AG29">
        <v>4989.8959899525953</v>
      </c>
      <c r="AH29">
        <v>19.173499803926891</v>
      </c>
      <c r="AI29">
        <v>6488.3123336488597</v>
      </c>
      <c r="AJ29">
        <v>21</v>
      </c>
      <c r="AK29">
        <v>7106.4</v>
      </c>
      <c r="AL29">
        <v>12.080222084372313</v>
      </c>
      <c r="AM29">
        <v>4087.9471533515903</v>
      </c>
      <c r="AN29">
        <v>20</v>
      </c>
      <c r="AO29">
        <v>6768</v>
      </c>
      <c r="AP29">
        <v>17</v>
      </c>
      <c r="AQ29">
        <v>5752.7999999999993</v>
      </c>
      <c r="AR29">
        <v>18.479503560722119</v>
      </c>
      <c r="AS29">
        <v>6253.4640049483642</v>
      </c>
      <c r="AT29">
        <v>16.130942896790106</v>
      </c>
      <c r="AU29">
        <v>5458.7110762737721</v>
      </c>
      <c r="AV29">
        <v>22</v>
      </c>
      <c r="AW29">
        <v>7444.7999999999993</v>
      </c>
      <c r="AX29">
        <v>22.548658658961809</v>
      </c>
      <c r="AY29">
        <v>7630.4660901926754</v>
      </c>
      <c r="AZ29">
        <v>12.126933188440098</v>
      </c>
      <c r="BA29">
        <v>4103.7541909681286</v>
      </c>
      <c r="BB29">
        <v>18</v>
      </c>
      <c r="BC29">
        <v>6091.2</v>
      </c>
      <c r="BD29">
        <v>18</v>
      </c>
      <c r="BE29">
        <v>6091.2</v>
      </c>
      <c r="BF29">
        <v>14</v>
      </c>
      <c r="BG29">
        <v>4737.5999999999995</v>
      </c>
      <c r="BH29">
        <v>13.350396880023471</v>
      </c>
      <c r="BI29">
        <v>4517.774304199942</v>
      </c>
      <c r="BJ29">
        <v>21.648774141222372</v>
      </c>
      <c r="BK29">
        <v>7325.9451693896499</v>
      </c>
      <c r="BL29">
        <v>14</v>
      </c>
      <c r="BM29">
        <v>4737.5999999999995</v>
      </c>
      <c r="BN29">
        <v>8.7108316644590129</v>
      </c>
      <c r="BO29">
        <v>2947.7454352529298</v>
      </c>
      <c r="BP29">
        <v>16</v>
      </c>
      <c r="BQ29">
        <v>5414.4</v>
      </c>
      <c r="BR29">
        <v>11.976950954003696</v>
      </c>
      <c r="BS29">
        <v>4053.0002028348504</v>
      </c>
      <c r="BT29">
        <v>17.840128786227101</v>
      </c>
      <c r="BU29">
        <v>6037.099581259251</v>
      </c>
      <c r="BV29">
        <v>9.6882929820762751</v>
      </c>
      <c r="BW29">
        <v>3278.5183451346111</v>
      </c>
      <c r="BX29">
        <v>17.279948514691853</v>
      </c>
      <c r="BY29">
        <v>5847.5345773717227</v>
      </c>
      <c r="BZ29">
        <v>19.871940791895629</v>
      </c>
      <c r="CA29">
        <v>6724.6647639774801</v>
      </c>
      <c r="CB29">
        <v>13.763789176716285</v>
      </c>
      <c r="CC29">
        <v>4657.6662574007905</v>
      </c>
      <c r="CD29">
        <v>12.320680779533653</v>
      </c>
      <c r="CE29">
        <v>4169.3183757941879</v>
      </c>
      <c r="CF29">
        <v>22.319348609553245</v>
      </c>
      <c r="CG29">
        <v>7552.8675694728172</v>
      </c>
      <c r="CH29">
        <v>18.863795494926226</v>
      </c>
      <c r="CI29">
        <v>6383.5083954830343</v>
      </c>
      <c r="CJ29">
        <v>5.5276320298916284</v>
      </c>
      <c r="CK29">
        <v>1870.5506789153269</v>
      </c>
      <c r="CL29">
        <v>22</v>
      </c>
      <c r="CM29">
        <v>7444.7999999999993</v>
      </c>
      <c r="CN29">
        <v>9.275400186264898</v>
      </c>
      <c r="CO29">
        <v>3138.7954230320411</v>
      </c>
      <c r="CP29">
        <v>14.484151220431908</v>
      </c>
      <c r="CQ29">
        <v>4901.4367729941578</v>
      </c>
      <c r="CR29">
        <v>30.203599343914885</v>
      </c>
      <c r="CS29">
        <v>10220.898017980797</v>
      </c>
      <c r="CT29">
        <v>15.935100588872745</v>
      </c>
      <c r="CU29">
        <v>5392.4380392745361</v>
      </c>
    </row>
    <row r="30" spans="2:99" x14ac:dyDescent="0.2">
      <c r="C30" s="119" t="s">
        <v>196</v>
      </c>
      <c r="D30">
        <v>16.168660793220546</v>
      </c>
      <c r="E30">
        <v>2250.6775824162996</v>
      </c>
      <c r="F30">
        <v>39</v>
      </c>
      <c r="G30">
        <v>5428.7999999999993</v>
      </c>
      <c r="H30">
        <v>9.6672918010399425</v>
      </c>
      <c r="I30">
        <v>1345.6870187047598</v>
      </c>
      <c r="J30">
        <v>19.283972190290715</v>
      </c>
      <c r="K30">
        <v>2684.3289288884675</v>
      </c>
      <c r="L30">
        <v>21</v>
      </c>
      <c r="M30">
        <v>2923.2</v>
      </c>
      <c r="N30">
        <v>13</v>
      </c>
      <c r="O30">
        <v>1809.6</v>
      </c>
      <c r="P30">
        <v>24</v>
      </c>
      <c r="Q30">
        <v>3340.7999999999997</v>
      </c>
      <c r="R30">
        <v>16.912169261597469</v>
      </c>
      <c r="S30">
        <v>2354.1739612143674</v>
      </c>
      <c r="T30">
        <v>20</v>
      </c>
      <c r="U30">
        <v>2784</v>
      </c>
      <c r="V30">
        <v>18.250816814935749</v>
      </c>
      <c r="W30">
        <v>2540.513700639056</v>
      </c>
      <c r="X30">
        <v>14</v>
      </c>
      <c r="Y30">
        <v>1948.7999999999997</v>
      </c>
      <c r="Z30">
        <v>20</v>
      </c>
      <c r="AA30">
        <v>2784</v>
      </c>
      <c r="AB30">
        <v>17</v>
      </c>
      <c r="AC30">
        <v>2366.3999999999996</v>
      </c>
      <c r="AD30">
        <v>16</v>
      </c>
      <c r="AE30">
        <v>2227.1999999999998</v>
      </c>
      <c r="AF30">
        <v>13.926357996649941</v>
      </c>
      <c r="AG30">
        <v>1938.5490331336716</v>
      </c>
      <c r="AH30">
        <v>19.940439796083968</v>
      </c>
      <c r="AI30">
        <v>2775.7092196148883</v>
      </c>
      <c r="AJ30">
        <v>22</v>
      </c>
      <c r="AK30">
        <v>3062.3999999999996</v>
      </c>
      <c r="AL30">
        <v>13.69091836228862</v>
      </c>
      <c r="AM30">
        <v>1905.7758360305759</v>
      </c>
      <c r="AN30">
        <v>23</v>
      </c>
      <c r="AO30">
        <v>3201.6</v>
      </c>
      <c r="AP30">
        <v>18</v>
      </c>
      <c r="AQ30">
        <v>2505.6</v>
      </c>
      <c r="AR30">
        <v>19.452109011286442</v>
      </c>
      <c r="AS30">
        <v>2707.7335743710723</v>
      </c>
      <c r="AT30">
        <v>16.832288240128808</v>
      </c>
      <c r="AU30">
        <v>2343.0545230259299</v>
      </c>
      <c r="AV30">
        <v>24</v>
      </c>
      <c r="AW30">
        <v>3340.7999999999997</v>
      </c>
      <c r="AX30">
        <v>21.646712312603338</v>
      </c>
      <c r="AY30">
        <v>3013.2223539143843</v>
      </c>
      <c r="AZ30">
        <v>12.126933188440098</v>
      </c>
      <c r="BA30">
        <v>1688.0690998308617</v>
      </c>
      <c r="BB30">
        <v>18</v>
      </c>
      <c r="BC30">
        <v>2505.6</v>
      </c>
      <c r="BD30">
        <v>17</v>
      </c>
      <c r="BE30">
        <v>2366.3999999999996</v>
      </c>
      <c r="BF30">
        <v>15</v>
      </c>
      <c r="BG30">
        <v>2088</v>
      </c>
      <c r="BH30">
        <v>14.755701814762784</v>
      </c>
      <c r="BI30">
        <v>2053.9936926149794</v>
      </c>
      <c r="BJ30">
        <v>19.766272041985644</v>
      </c>
      <c r="BK30">
        <v>2751.4650682444017</v>
      </c>
      <c r="BL30">
        <v>14</v>
      </c>
      <c r="BM30">
        <v>1948.7999999999997</v>
      </c>
      <c r="BN30">
        <v>7.6860279392285413</v>
      </c>
      <c r="BO30">
        <v>1069.8950891406128</v>
      </c>
      <c r="BP30">
        <v>17</v>
      </c>
      <c r="BQ30">
        <v>2366.3999999999996</v>
      </c>
      <c r="BR30">
        <v>11.976950954003696</v>
      </c>
      <c r="BS30">
        <v>1667.1915727973144</v>
      </c>
      <c r="BT30">
        <v>16.412918483328937</v>
      </c>
      <c r="BU30">
        <v>2284.6782528793879</v>
      </c>
      <c r="BV30">
        <v>10.33417918088136</v>
      </c>
      <c r="BW30">
        <v>1438.5177419786853</v>
      </c>
      <c r="BX30">
        <v>18.189419489149319</v>
      </c>
      <c r="BY30">
        <v>2531.967192889585</v>
      </c>
      <c r="BZ30">
        <v>19.871940791895629</v>
      </c>
      <c r="CA30">
        <v>2766.1741582318714</v>
      </c>
      <c r="CB30">
        <v>15.730044773390039</v>
      </c>
      <c r="CC30">
        <v>2189.6222324558935</v>
      </c>
      <c r="CD30">
        <v>14.784816935440384</v>
      </c>
      <c r="CE30">
        <v>2058.0465174133014</v>
      </c>
      <c r="CF30">
        <v>22.319348609553245</v>
      </c>
      <c r="CG30">
        <v>3106.8533264498114</v>
      </c>
      <c r="CH30">
        <v>16.977415945433602</v>
      </c>
      <c r="CI30">
        <v>2363.2562996043571</v>
      </c>
      <c r="CJ30">
        <v>5.2512504283970465</v>
      </c>
      <c r="CK30">
        <v>730.97405963286883</v>
      </c>
      <c r="CL30">
        <v>24</v>
      </c>
      <c r="CM30">
        <v>3340.7999999999997</v>
      </c>
      <c r="CN30">
        <v>9.8210119619275407</v>
      </c>
      <c r="CO30">
        <v>1367.0848651003134</v>
      </c>
      <c r="CP30">
        <v>15.02060126563309</v>
      </c>
      <c r="CQ30">
        <v>2090.8676961761257</v>
      </c>
      <c r="CR30">
        <v>26.306360718893607</v>
      </c>
      <c r="CS30">
        <v>3661.8454120699898</v>
      </c>
      <c r="CT30">
        <v>15.935100588872745</v>
      </c>
      <c r="CU30">
        <v>2218.1660019710857</v>
      </c>
    </row>
    <row r="31" spans="2:99" x14ac:dyDescent="0.2">
      <c r="C31" s="119" t="s">
        <v>197</v>
      </c>
      <c r="D31">
        <v>16.644209640079975</v>
      </c>
      <c r="E31">
        <v>5672.3466453392557</v>
      </c>
      <c r="F31">
        <v>33</v>
      </c>
      <c r="G31">
        <v>11246.4</v>
      </c>
      <c r="H31">
        <v>8.9511961120740189</v>
      </c>
      <c r="I31">
        <v>3050.5676349948258</v>
      </c>
      <c r="J31">
        <v>15.313742621701451</v>
      </c>
      <c r="K31">
        <v>5218.9234854758542</v>
      </c>
      <c r="L31">
        <v>21</v>
      </c>
      <c r="M31">
        <v>7156.8</v>
      </c>
      <c r="N31">
        <v>13</v>
      </c>
      <c r="O31">
        <v>4430.4000000000005</v>
      </c>
      <c r="P31">
        <v>21</v>
      </c>
      <c r="Q31">
        <v>7156.8</v>
      </c>
      <c r="R31">
        <v>16.106827868188066</v>
      </c>
      <c r="S31">
        <v>5489.2069374784933</v>
      </c>
      <c r="T31">
        <v>20</v>
      </c>
      <c r="U31">
        <v>6816</v>
      </c>
      <c r="V31">
        <v>18.250816814935749</v>
      </c>
      <c r="W31">
        <v>6219.8783705301039</v>
      </c>
      <c r="X31">
        <v>13</v>
      </c>
      <c r="Y31">
        <v>4430.4000000000005</v>
      </c>
      <c r="Z31">
        <v>19</v>
      </c>
      <c r="AA31">
        <v>6475.2</v>
      </c>
      <c r="AB31">
        <v>18</v>
      </c>
      <c r="AC31">
        <v>6134.4000000000005</v>
      </c>
      <c r="AD31">
        <v>16</v>
      </c>
      <c r="AE31">
        <v>5452.8</v>
      </c>
      <c r="AF31">
        <v>16.383950584294048</v>
      </c>
      <c r="AG31">
        <v>5583.6503591274122</v>
      </c>
      <c r="AH31">
        <v>20.707379788241045</v>
      </c>
      <c r="AI31">
        <v>7057.0750318325481</v>
      </c>
      <c r="AJ31">
        <v>21</v>
      </c>
      <c r="AK31">
        <v>7156.8</v>
      </c>
      <c r="AL31">
        <v>12.885570223330467</v>
      </c>
      <c r="AM31">
        <v>4391.4023321110235</v>
      </c>
      <c r="AN31">
        <v>19</v>
      </c>
      <c r="AO31">
        <v>6475.2</v>
      </c>
      <c r="AP31">
        <v>18</v>
      </c>
      <c r="AQ31">
        <v>6134.4000000000005</v>
      </c>
      <c r="AR31">
        <v>21.397319912415085</v>
      </c>
      <c r="AS31">
        <v>7292.2066261510608</v>
      </c>
      <c r="AT31">
        <v>14.728252210112705</v>
      </c>
      <c r="AU31">
        <v>5019.3883532064101</v>
      </c>
      <c r="AV31">
        <v>21</v>
      </c>
      <c r="AW31">
        <v>7156.8</v>
      </c>
      <c r="AX31">
        <v>23.450605005320281</v>
      </c>
      <c r="AY31">
        <v>7991.9661858131522</v>
      </c>
      <c r="AZ31">
        <v>12.126933188440098</v>
      </c>
      <c r="BA31">
        <v>4132.8588306203856</v>
      </c>
      <c r="BB31">
        <v>17</v>
      </c>
      <c r="BC31">
        <v>5793.6</v>
      </c>
      <c r="BD31">
        <v>19</v>
      </c>
      <c r="BE31">
        <v>6475.2</v>
      </c>
      <c r="BF31">
        <v>14</v>
      </c>
      <c r="BG31">
        <v>4771.2</v>
      </c>
      <c r="BH31">
        <v>14.053049347393127</v>
      </c>
      <c r="BI31">
        <v>4789.2792175915783</v>
      </c>
      <c r="BJ31">
        <v>20.707523091604006</v>
      </c>
      <c r="BK31">
        <v>7057.1238696186456</v>
      </c>
      <c r="BL31">
        <v>16</v>
      </c>
      <c r="BM31">
        <v>5452.8</v>
      </c>
      <c r="BN31">
        <v>8.7108316644590129</v>
      </c>
      <c r="BO31">
        <v>2968.6514312476315</v>
      </c>
      <c r="BP31">
        <v>15</v>
      </c>
      <c r="BQ31">
        <v>5112</v>
      </c>
      <c r="BR31">
        <v>11.976950954003696</v>
      </c>
      <c r="BS31">
        <v>4081.7448851244599</v>
      </c>
      <c r="BT31">
        <v>17.126523634778017</v>
      </c>
      <c r="BU31">
        <v>5836.7192547323484</v>
      </c>
      <c r="BV31">
        <v>10.33417918088136</v>
      </c>
      <c r="BW31">
        <v>3521.8882648443678</v>
      </c>
      <c r="BX31">
        <v>18.189419489149319</v>
      </c>
      <c r="BY31">
        <v>6198.9541619020883</v>
      </c>
      <c r="BZ31">
        <v>17.279948514691853</v>
      </c>
      <c r="CA31">
        <v>5889.0064538069837</v>
      </c>
      <c r="CB31">
        <v>14.746916975053162</v>
      </c>
      <c r="CC31">
        <v>5025.7493050981175</v>
      </c>
      <c r="CD31">
        <v>12.320680779533653</v>
      </c>
      <c r="CE31">
        <v>4198.8880096650691</v>
      </c>
      <c r="CF31">
        <v>18.599457174627702</v>
      </c>
      <c r="CG31">
        <v>6338.6950051131207</v>
      </c>
      <c r="CH31">
        <v>18.863795494926226</v>
      </c>
      <c r="CI31">
        <v>6428.7815046708583</v>
      </c>
      <c r="CJ31">
        <v>4.9748688269024655</v>
      </c>
      <c r="CK31">
        <v>1695.4352962083603</v>
      </c>
      <c r="CL31">
        <v>21</v>
      </c>
      <c r="CM31">
        <v>7156.8</v>
      </c>
      <c r="CN31">
        <v>9.8210119619275407</v>
      </c>
      <c r="CO31">
        <v>3347.0008766249061</v>
      </c>
      <c r="CP31">
        <v>15.02060126563309</v>
      </c>
      <c r="CQ31">
        <v>5119.0209113277569</v>
      </c>
      <c r="CR31">
        <v>28.254980031404248</v>
      </c>
      <c r="CS31">
        <v>9629.2971947025671</v>
      </c>
      <c r="CT31">
        <v>15.27113806433638</v>
      </c>
      <c r="CU31">
        <v>5204.4038523258387</v>
      </c>
    </row>
    <row r="32" spans="2:99" x14ac:dyDescent="0.2">
      <c r="C32" s="119" t="s">
        <v>198</v>
      </c>
      <c r="D32">
        <v>17.119758486939403</v>
      </c>
      <c r="E32">
        <v>14380.597129029098</v>
      </c>
      <c r="F32">
        <v>30</v>
      </c>
      <c r="G32">
        <v>25200</v>
      </c>
      <c r="H32">
        <v>8.2351004231080971</v>
      </c>
      <c r="I32">
        <v>6917.484355410802</v>
      </c>
      <c r="J32">
        <v>18.149620884979498</v>
      </c>
      <c r="K32">
        <v>15245.681543382778</v>
      </c>
      <c r="L32">
        <v>23</v>
      </c>
      <c r="M32">
        <v>19320</v>
      </c>
      <c r="N32">
        <v>14</v>
      </c>
      <c r="O32">
        <v>11760</v>
      </c>
      <c r="P32">
        <v>21</v>
      </c>
      <c r="Q32">
        <v>17640</v>
      </c>
      <c r="R32">
        <v>16.106827868188066</v>
      </c>
      <c r="S32">
        <v>13529.735409277975</v>
      </c>
      <c r="T32">
        <v>21</v>
      </c>
      <c r="U32">
        <v>17640</v>
      </c>
      <c r="V32">
        <v>17.338275974188964</v>
      </c>
      <c r="W32">
        <v>14564.151818318729</v>
      </c>
      <c r="X32">
        <v>14</v>
      </c>
      <c r="Y32">
        <v>11760</v>
      </c>
      <c r="Z32">
        <v>18</v>
      </c>
      <c r="AA32">
        <v>15120</v>
      </c>
      <c r="AB32">
        <v>17</v>
      </c>
      <c r="AC32">
        <v>14280</v>
      </c>
      <c r="AD32">
        <v>15</v>
      </c>
      <c r="AE32">
        <v>12600</v>
      </c>
      <c r="AF32">
        <v>15.564753055079347</v>
      </c>
      <c r="AG32">
        <v>13074.392566266652</v>
      </c>
      <c r="AH32">
        <v>19.173499803926891</v>
      </c>
      <c r="AI32">
        <v>16105.739835298589</v>
      </c>
      <c r="AJ32">
        <v>23</v>
      </c>
      <c r="AK32">
        <v>19320</v>
      </c>
      <c r="AL32">
        <v>11.274873945414159</v>
      </c>
      <c r="AM32">
        <v>9470.8941141478936</v>
      </c>
      <c r="AN32">
        <v>19</v>
      </c>
      <c r="AO32">
        <v>15960</v>
      </c>
      <c r="AP32">
        <v>19</v>
      </c>
      <c r="AQ32">
        <v>15960</v>
      </c>
      <c r="AR32">
        <v>16.534292659593476</v>
      </c>
      <c r="AS32">
        <v>13888.805834058519</v>
      </c>
      <c r="AT32">
        <v>16.130942896790106</v>
      </c>
      <c r="AU32">
        <v>13549.99203330369</v>
      </c>
      <c r="AV32">
        <v>20</v>
      </c>
      <c r="AW32">
        <v>16800</v>
      </c>
      <c r="AX32">
        <v>24.352551351678752</v>
      </c>
      <c r="AY32">
        <v>20456.143135410151</v>
      </c>
      <c r="AZ32">
        <v>12.126933188440098</v>
      </c>
      <c r="BA32">
        <v>10186.623878289683</v>
      </c>
      <c r="BB32">
        <v>17</v>
      </c>
      <c r="BC32">
        <v>14280</v>
      </c>
      <c r="BD32">
        <v>16</v>
      </c>
      <c r="BE32">
        <v>13440</v>
      </c>
      <c r="BF32">
        <v>16</v>
      </c>
      <c r="BG32">
        <v>13440</v>
      </c>
      <c r="BH32">
        <v>14.053049347393127</v>
      </c>
      <c r="BI32">
        <v>11804.561451810227</v>
      </c>
      <c r="BJ32">
        <v>20.707523091604006</v>
      </c>
      <c r="BK32">
        <v>17394.319396947365</v>
      </c>
      <c r="BL32">
        <v>15</v>
      </c>
      <c r="BM32">
        <v>12600</v>
      </c>
      <c r="BN32">
        <v>7.6860279392285413</v>
      </c>
      <c r="BO32">
        <v>6456.2634689519746</v>
      </c>
      <c r="BP32">
        <v>15</v>
      </c>
      <c r="BQ32">
        <v>12600</v>
      </c>
      <c r="BR32">
        <v>12.775414350937274</v>
      </c>
      <c r="BS32">
        <v>10731.34805478731</v>
      </c>
      <c r="BT32">
        <v>17.126523634778017</v>
      </c>
      <c r="BU32">
        <v>14386.279853213535</v>
      </c>
      <c r="BV32">
        <v>9.0424067832711899</v>
      </c>
      <c r="BW32">
        <v>7595.6216979477995</v>
      </c>
      <c r="BX32">
        <v>14.551535591319453</v>
      </c>
      <c r="BY32">
        <v>12223.28989670834</v>
      </c>
      <c r="BZ32">
        <v>17.279948514691853</v>
      </c>
      <c r="CA32">
        <v>14515.156752341156</v>
      </c>
      <c r="CB32">
        <v>14.746916975053162</v>
      </c>
      <c r="CC32">
        <v>12387.410259044656</v>
      </c>
      <c r="CD32">
        <v>11.499302060898074</v>
      </c>
      <c r="CE32">
        <v>9659.4137311543818</v>
      </c>
      <c r="CF32">
        <v>20.087413748597918</v>
      </c>
      <c r="CG32">
        <v>16873.427548822252</v>
      </c>
      <c r="CH32">
        <v>17.92060572017991</v>
      </c>
      <c r="CI32">
        <v>15053.308804951124</v>
      </c>
      <c r="CJ32">
        <v>5.5276320298916284</v>
      </c>
      <c r="CK32">
        <v>4643.2109051089683</v>
      </c>
      <c r="CL32">
        <v>21</v>
      </c>
      <c r="CM32">
        <v>17640</v>
      </c>
      <c r="CN32">
        <v>9.275400186264898</v>
      </c>
      <c r="CO32">
        <v>7791.3361564625147</v>
      </c>
      <c r="CP32">
        <v>15.02060126563309</v>
      </c>
      <c r="CQ32">
        <v>12617.305063131795</v>
      </c>
      <c r="CR32">
        <v>26.306360718893607</v>
      </c>
      <c r="CS32">
        <v>22097.343003870632</v>
      </c>
      <c r="CT32">
        <v>13.943213015263654</v>
      </c>
      <c r="CU32">
        <v>11712.29893282147</v>
      </c>
    </row>
    <row r="33" spans="2:99" x14ac:dyDescent="0.2">
      <c r="C33" s="119" t="s">
        <v>199</v>
      </c>
      <c r="D33">
        <v>17.119758486939403</v>
      </c>
      <c r="E33">
        <v>8114.7655228092772</v>
      </c>
      <c r="F33">
        <v>34</v>
      </c>
      <c r="G33">
        <v>16116</v>
      </c>
      <c r="H33">
        <v>9.3092439565569798</v>
      </c>
      <c r="I33">
        <v>4412.581635408008</v>
      </c>
      <c r="J33">
        <v>18.149620884979498</v>
      </c>
      <c r="K33">
        <v>8602.9202994802818</v>
      </c>
      <c r="L33">
        <v>22</v>
      </c>
      <c r="M33">
        <v>10428</v>
      </c>
      <c r="N33">
        <v>16</v>
      </c>
      <c r="O33">
        <v>7584</v>
      </c>
      <c r="P33">
        <v>20</v>
      </c>
      <c r="Q33">
        <v>9480</v>
      </c>
      <c r="R33">
        <v>16.912169261597469</v>
      </c>
      <c r="S33">
        <v>8016.3682299972006</v>
      </c>
      <c r="T33">
        <v>20</v>
      </c>
      <c r="U33">
        <v>9480</v>
      </c>
      <c r="V33">
        <v>20.075898496429325</v>
      </c>
      <c r="W33">
        <v>9515.9758873075007</v>
      </c>
      <c r="X33">
        <v>14</v>
      </c>
      <c r="Y33">
        <v>6636</v>
      </c>
      <c r="Z33">
        <v>17</v>
      </c>
      <c r="AA33">
        <v>8058</v>
      </c>
      <c r="AB33">
        <v>16</v>
      </c>
      <c r="AC33">
        <v>7584</v>
      </c>
      <c r="AD33">
        <v>14</v>
      </c>
      <c r="AE33">
        <v>6636</v>
      </c>
      <c r="AF33">
        <v>13.926357996649941</v>
      </c>
      <c r="AG33">
        <v>6601.0936904120717</v>
      </c>
      <c r="AH33">
        <v>18.406559811769817</v>
      </c>
      <c r="AI33">
        <v>8724.7093507788941</v>
      </c>
      <c r="AJ33">
        <v>23</v>
      </c>
      <c r="AK33">
        <v>10902</v>
      </c>
      <c r="AL33">
        <v>11.274873945414159</v>
      </c>
      <c r="AM33">
        <v>5344.2902501263115</v>
      </c>
      <c r="AN33">
        <v>20</v>
      </c>
      <c r="AO33">
        <v>9480</v>
      </c>
      <c r="AP33">
        <v>19</v>
      </c>
      <c r="AQ33">
        <v>9006</v>
      </c>
      <c r="AR33">
        <v>18.479503560722119</v>
      </c>
      <c r="AS33">
        <v>8759.2846877822849</v>
      </c>
      <c r="AT33">
        <v>14.728252210112705</v>
      </c>
      <c r="AU33">
        <v>6981.191547593422</v>
      </c>
      <c r="AV33">
        <v>20</v>
      </c>
      <c r="AW33">
        <v>9480</v>
      </c>
      <c r="AX33">
        <v>21.646712312603338</v>
      </c>
      <c r="AY33">
        <v>10260.541636173983</v>
      </c>
      <c r="AZ33">
        <v>11.413584177355386</v>
      </c>
      <c r="BA33">
        <v>5410.0389000664527</v>
      </c>
      <c r="BB33">
        <v>16</v>
      </c>
      <c r="BC33">
        <v>7584</v>
      </c>
      <c r="BD33">
        <v>19</v>
      </c>
      <c r="BE33">
        <v>9006</v>
      </c>
      <c r="BF33">
        <v>15</v>
      </c>
      <c r="BG33">
        <v>7110</v>
      </c>
      <c r="BH33">
        <v>14.755701814762784</v>
      </c>
      <c r="BI33">
        <v>6994.2026601975595</v>
      </c>
      <c r="BJ33">
        <v>20.707523091604006</v>
      </c>
      <c r="BK33">
        <v>9815.3659454202989</v>
      </c>
      <c r="BL33">
        <v>14</v>
      </c>
      <c r="BM33">
        <v>6636</v>
      </c>
      <c r="BN33">
        <v>8.198429801843778</v>
      </c>
      <c r="BO33">
        <v>3886.0557260739506</v>
      </c>
      <c r="BP33">
        <v>15</v>
      </c>
      <c r="BQ33">
        <v>7110</v>
      </c>
      <c r="BR33">
        <v>11.178487557070115</v>
      </c>
      <c r="BS33">
        <v>5298.6031020512346</v>
      </c>
      <c r="BT33">
        <v>16.412918483328937</v>
      </c>
      <c r="BU33">
        <v>7779.7233610979165</v>
      </c>
      <c r="BV33">
        <v>9.0424067832711899</v>
      </c>
      <c r="BW33">
        <v>4286.1008152705435</v>
      </c>
      <c r="BX33">
        <v>16.370477540234386</v>
      </c>
      <c r="BY33">
        <v>7759.6063540710993</v>
      </c>
      <c r="BZ33">
        <v>17.279948514691853</v>
      </c>
      <c r="CA33">
        <v>8190.6955959639381</v>
      </c>
      <c r="CB33">
        <v>13.763789176716285</v>
      </c>
      <c r="CC33">
        <v>6524.0360697635188</v>
      </c>
      <c r="CD33">
        <v>12.320680779533653</v>
      </c>
      <c r="CE33">
        <v>5840.0026894989514</v>
      </c>
      <c r="CF33">
        <v>20.087413748597918</v>
      </c>
      <c r="CG33">
        <v>9521.4341168354131</v>
      </c>
      <c r="CH33">
        <v>19.806985269672534</v>
      </c>
      <c r="CI33">
        <v>9388.5110178247814</v>
      </c>
      <c r="CJ33">
        <v>5.2512504283970465</v>
      </c>
      <c r="CK33">
        <v>2489.0927030602002</v>
      </c>
      <c r="CL33">
        <v>20</v>
      </c>
      <c r="CM33">
        <v>9480</v>
      </c>
      <c r="CN33">
        <v>9.275400186264898</v>
      </c>
      <c r="CO33">
        <v>4396.539688289562</v>
      </c>
      <c r="CP33">
        <v>13.411251130029544</v>
      </c>
      <c r="CQ33">
        <v>6356.9330356340042</v>
      </c>
      <c r="CR33">
        <v>27.280670375148929</v>
      </c>
      <c r="CS33">
        <v>12931.037757820592</v>
      </c>
      <c r="CT33">
        <v>13.943213015263654</v>
      </c>
      <c r="CU33">
        <v>6609.0829692349716</v>
      </c>
    </row>
    <row r="34" spans="2:99" x14ac:dyDescent="0.2">
      <c r="C34" s="119" t="s">
        <v>200</v>
      </c>
      <c r="D34">
        <v>17.595307333798832</v>
      </c>
      <c r="E34">
        <v>9649.2665418552788</v>
      </c>
      <c r="F34">
        <v>31</v>
      </c>
      <c r="G34">
        <v>17000.399999999998</v>
      </c>
      <c r="H34">
        <v>7.8770525786251371</v>
      </c>
      <c r="I34">
        <v>4319.7756341180248</v>
      </c>
      <c r="J34">
        <v>18.149620884979498</v>
      </c>
      <c r="K34">
        <v>9953.252093322757</v>
      </c>
      <c r="L34">
        <v>23</v>
      </c>
      <c r="M34">
        <v>12613.199999999999</v>
      </c>
      <c r="N34">
        <v>14</v>
      </c>
      <c r="O34">
        <v>7677.5999999999995</v>
      </c>
      <c r="P34">
        <v>20</v>
      </c>
      <c r="Q34">
        <v>10968</v>
      </c>
      <c r="R34">
        <v>17.717510655006873</v>
      </c>
      <c r="S34">
        <v>9716.2828432057686</v>
      </c>
      <c r="T34">
        <v>21</v>
      </c>
      <c r="U34">
        <v>11516.4</v>
      </c>
      <c r="V34">
        <v>18.250816814935749</v>
      </c>
      <c r="W34">
        <v>10008.747941310765</v>
      </c>
      <c r="X34">
        <v>14</v>
      </c>
      <c r="Y34">
        <v>7677.5999999999995</v>
      </c>
      <c r="Z34">
        <v>18</v>
      </c>
      <c r="AA34">
        <v>9871.1999999999989</v>
      </c>
      <c r="AB34">
        <v>17</v>
      </c>
      <c r="AC34">
        <v>9322.7999999999993</v>
      </c>
      <c r="AD34">
        <v>13</v>
      </c>
      <c r="AE34">
        <v>7129.2</v>
      </c>
      <c r="AF34">
        <v>14.745555525864644</v>
      </c>
      <c r="AG34">
        <v>8086.46265038417</v>
      </c>
      <c r="AH34">
        <v>18.406559811769817</v>
      </c>
      <c r="AI34">
        <v>10094.157400774568</v>
      </c>
      <c r="AJ34">
        <v>21</v>
      </c>
      <c r="AK34">
        <v>11516.4</v>
      </c>
      <c r="AL34">
        <v>13.69091836228862</v>
      </c>
      <c r="AM34">
        <v>7508.0996298790787</v>
      </c>
      <c r="AN34">
        <v>19</v>
      </c>
      <c r="AO34">
        <v>10419.6</v>
      </c>
      <c r="AP34">
        <v>20</v>
      </c>
      <c r="AQ34">
        <v>10968</v>
      </c>
      <c r="AR34">
        <v>17.506898110157799</v>
      </c>
      <c r="AS34">
        <v>9600.7829236105372</v>
      </c>
      <c r="AT34">
        <v>14.728252210112705</v>
      </c>
      <c r="AU34">
        <v>8076.9735120258074</v>
      </c>
      <c r="AV34">
        <v>22</v>
      </c>
      <c r="AW34">
        <v>12064.8</v>
      </c>
      <c r="AX34">
        <v>21.646712312603338</v>
      </c>
      <c r="AY34">
        <v>11871.057032231671</v>
      </c>
      <c r="AZ34">
        <v>12.126933188440098</v>
      </c>
      <c r="BA34">
        <v>6650.4101605405494</v>
      </c>
      <c r="BB34">
        <v>17</v>
      </c>
      <c r="BC34">
        <v>9322.7999999999993</v>
      </c>
      <c r="BD34">
        <v>18</v>
      </c>
      <c r="BE34">
        <v>9871.1999999999989</v>
      </c>
      <c r="BF34">
        <v>14</v>
      </c>
      <c r="BG34">
        <v>7677.5999999999995</v>
      </c>
      <c r="BH34">
        <v>12.647744412653815</v>
      </c>
      <c r="BI34">
        <v>6936.0230358993513</v>
      </c>
      <c r="BJ34">
        <v>20.707523091604006</v>
      </c>
      <c r="BK34">
        <v>11356.005663435637</v>
      </c>
      <c r="BL34">
        <v>16</v>
      </c>
      <c r="BM34">
        <v>8774.4</v>
      </c>
      <c r="BN34">
        <v>8.198429801843778</v>
      </c>
      <c r="BO34">
        <v>4496.0189033311281</v>
      </c>
      <c r="BP34">
        <v>16</v>
      </c>
      <c r="BQ34">
        <v>8774.4</v>
      </c>
      <c r="BR34">
        <v>11.178487557070115</v>
      </c>
      <c r="BS34">
        <v>6130.2825762972507</v>
      </c>
      <c r="BT34">
        <v>16.412918483328937</v>
      </c>
      <c r="BU34">
        <v>9000.8444962575886</v>
      </c>
      <c r="BV34">
        <v>9.0424067832711899</v>
      </c>
      <c r="BW34">
        <v>4958.8558799459206</v>
      </c>
      <c r="BX34">
        <v>17.279948514691853</v>
      </c>
      <c r="BY34">
        <v>9476.3237654570112</v>
      </c>
      <c r="BZ34">
        <v>18.143945940426445</v>
      </c>
      <c r="CA34">
        <v>9950.1399537298621</v>
      </c>
      <c r="CB34">
        <v>13.763789176716285</v>
      </c>
      <c r="CC34">
        <v>7548.0619845112105</v>
      </c>
      <c r="CD34">
        <v>13.142059498169228</v>
      </c>
      <c r="CE34">
        <v>7207.1054287960042</v>
      </c>
      <c r="CF34">
        <v>20.087413748597918</v>
      </c>
      <c r="CG34">
        <v>11015.937699731097</v>
      </c>
      <c r="CH34">
        <v>17.92060572017991</v>
      </c>
      <c r="CI34">
        <v>9827.6601769466633</v>
      </c>
      <c r="CJ34">
        <v>5.2512504283970465</v>
      </c>
      <c r="CK34">
        <v>2879.7857349329402</v>
      </c>
      <c r="CL34">
        <v>23</v>
      </c>
      <c r="CM34">
        <v>12613.199999999999</v>
      </c>
      <c r="CN34">
        <v>9.275400186264898</v>
      </c>
      <c r="CO34">
        <v>5086.62946214767</v>
      </c>
      <c r="CP34">
        <v>16.093501356035453</v>
      </c>
      <c r="CQ34">
        <v>8825.6761436498418</v>
      </c>
      <c r="CR34">
        <v>30.203599343914885</v>
      </c>
      <c r="CS34">
        <v>16563.653880202921</v>
      </c>
      <c r="CT34">
        <v>15.935100588872745</v>
      </c>
      <c r="CU34">
        <v>8738.8091629378123</v>
      </c>
    </row>
    <row r="35" spans="2:99" x14ac:dyDescent="0.2">
      <c r="C35" s="119" t="s">
        <v>201</v>
      </c>
      <c r="D35">
        <v>16.168660793220546</v>
      </c>
      <c r="E35">
        <v>8129.6026468312893</v>
      </c>
      <c r="F35">
        <v>34</v>
      </c>
      <c r="G35">
        <v>17095.199999999997</v>
      </c>
      <c r="H35">
        <v>8.9511961120740189</v>
      </c>
      <c r="I35">
        <v>4500.6614051508159</v>
      </c>
      <c r="J35">
        <v>15.880918274357059</v>
      </c>
      <c r="K35">
        <v>7984.9257083467273</v>
      </c>
      <c r="L35">
        <v>24</v>
      </c>
      <c r="M35">
        <v>12067.199999999997</v>
      </c>
      <c r="N35">
        <v>14</v>
      </c>
      <c r="O35">
        <v>7039.1999999999989</v>
      </c>
      <c r="P35">
        <v>21</v>
      </c>
      <c r="Q35">
        <v>10558.799999999997</v>
      </c>
      <c r="R35">
        <v>15.301486474778661</v>
      </c>
      <c r="S35">
        <v>7693.5873995187094</v>
      </c>
      <c r="T35">
        <v>21</v>
      </c>
      <c r="U35">
        <v>10558.799999999997</v>
      </c>
      <c r="V35">
        <v>18.250816814935749</v>
      </c>
      <c r="W35">
        <v>9176.5106945496937</v>
      </c>
      <c r="X35">
        <v>14</v>
      </c>
      <c r="Y35">
        <v>7039.1999999999989</v>
      </c>
      <c r="Z35">
        <v>17</v>
      </c>
      <c r="AA35">
        <v>8547.5999999999985</v>
      </c>
      <c r="AB35">
        <v>17</v>
      </c>
      <c r="AC35">
        <v>8547.5999999999985</v>
      </c>
      <c r="AD35">
        <v>14</v>
      </c>
      <c r="AE35">
        <v>7039.1999999999989</v>
      </c>
      <c r="AF35">
        <v>14.745555525864644</v>
      </c>
      <c r="AG35">
        <v>7414.0653184047414</v>
      </c>
      <c r="AH35">
        <v>20.707379788241045</v>
      </c>
      <c r="AI35">
        <v>10411.670557527596</v>
      </c>
      <c r="AJ35">
        <v>22</v>
      </c>
      <c r="AK35">
        <v>11061.599999999999</v>
      </c>
      <c r="AL35">
        <v>12.885570223330467</v>
      </c>
      <c r="AM35">
        <v>6478.8647082905572</v>
      </c>
      <c r="AN35">
        <v>22</v>
      </c>
      <c r="AO35">
        <v>11061.599999999999</v>
      </c>
      <c r="AP35">
        <v>18</v>
      </c>
      <c r="AQ35">
        <v>9050.3999999999978</v>
      </c>
      <c r="AR35">
        <v>19.452109011286442</v>
      </c>
      <c r="AS35">
        <v>9780.5204108748203</v>
      </c>
      <c r="AT35">
        <v>14.026906866774006</v>
      </c>
      <c r="AU35">
        <v>7052.7287726139684</v>
      </c>
      <c r="AV35">
        <v>22</v>
      </c>
      <c r="AW35">
        <v>11061.599999999999</v>
      </c>
      <c r="AX35">
        <v>22.548658658961809</v>
      </c>
      <c r="AY35">
        <v>11337.465573725995</v>
      </c>
      <c r="AZ35">
        <v>12.126933188440098</v>
      </c>
      <c r="BA35">
        <v>6097.4220071476802</v>
      </c>
      <c r="BB35">
        <v>17</v>
      </c>
      <c r="BC35">
        <v>8547.5999999999985</v>
      </c>
      <c r="BD35">
        <v>17</v>
      </c>
      <c r="BE35">
        <v>8547.5999999999985</v>
      </c>
      <c r="BF35">
        <v>15</v>
      </c>
      <c r="BG35">
        <v>7541.9999999999982</v>
      </c>
      <c r="BH35">
        <v>13.350396880023471</v>
      </c>
      <c r="BI35">
        <v>6712.5795512757995</v>
      </c>
      <c r="BJ35">
        <v>20.707523091604006</v>
      </c>
      <c r="BK35">
        <v>10411.742610458492</v>
      </c>
      <c r="BL35">
        <v>15</v>
      </c>
      <c r="BM35">
        <v>7541.9999999999982</v>
      </c>
      <c r="BN35">
        <v>7.6860279392285413</v>
      </c>
      <c r="BO35">
        <v>3864.5348478441097</v>
      </c>
      <c r="BP35">
        <v>15</v>
      </c>
      <c r="BQ35">
        <v>7541.9999999999982</v>
      </c>
      <c r="BR35">
        <v>12.775414350937274</v>
      </c>
      <c r="BS35">
        <v>6423.4783356512598</v>
      </c>
      <c r="BT35">
        <v>18.553733937676189</v>
      </c>
      <c r="BU35">
        <v>9328.8174238635856</v>
      </c>
      <c r="BV35">
        <v>9.6882929820762751</v>
      </c>
      <c r="BW35">
        <v>4871.2737113879502</v>
      </c>
      <c r="BX35">
        <v>16.370477540234386</v>
      </c>
      <c r="BY35">
        <v>8231.0761072298483</v>
      </c>
      <c r="BZ35">
        <v>19.007943366161037</v>
      </c>
      <c r="CA35">
        <v>9557.1939245057674</v>
      </c>
      <c r="CB35">
        <v>14.746916975053162</v>
      </c>
      <c r="CC35">
        <v>7414.7498550567288</v>
      </c>
      <c r="CD35">
        <v>11.499302060898074</v>
      </c>
      <c r="CE35">
        <v>5781.8490762195506</v>
      </c>
      <c r="CF35">
        <v>21.575370322568137</v>
      </c>
      <c r="CG35">
        <v>10848.096198187257</v>
      </c>
      <c r="CH35">
        <v>16.977415945433602</v>
      </c>
      <c r="CI35">
        <v>8536.2447373640134</v>
      </c>
      <c r="CJ35">
        <v>4.6984872254078844</v>
      </c>
      <c r="CK35">
        <v>2362.3993769350836</v>
      </c>
      <c r="CL35">
        <v>23</v>
      </c>
      <c r="CM35">
        <v>11564.399999999998</v>
      </c>
      <c r="CN35">
        <v>8.7297884106022572</v>
      </c>
      <c r="CO35">
        <v>4389.3376128508144</v>
      </c>
      <c r="CP35">
        <v>14.484151220431908</v>
      </c>
      <c r="CQ35">
        <v>7282.6312336331621</v>
      </c>
      <c r="CR35">
        <v>29.229289687659566</v>
      </c>
      <c r="CS35">
        <v>14696.486854955227</v>
      </c>
      <c r="CT35">
        <v>16.599063113409109</v>
      </c>
      <c r="CU35">
        <v>8346.0089334220975</v>
      </c>
    </row>
    <row r="36" spans="2:99" x14ac:dyDescent="0.2">
      <c r="C36" s="119" t="s">
        <v>202</v>
      </c>
      <c r="D36">
        <v>14.742014252642262</v>
      </c>
      <c r="E36">
        <v>11215.724443410232</v>
      </c>
      <c r="F36">
        <v>35</v>
      </c>
      <c r="G36">
        <v>26628</v>
      </c>
      <c r="H36">
        <v>8.9511961120740189</v>
      </c>
      <c r="I36">
        <v>6810.0700020659133</v>
      </c>
      <c r="J36">
        <v>15.880918274357059</v>
      </c>
      <c r="K36">
        <v>12082.20262313085</v>
      </c>
      <c r="L36">
        <v>23</v>
      </c>
      <c r="M36">
        <v>17498.399999999998</v>
      </c>
      <c r="N36">
        <v>14</v>
      </c>
      <c r="O36">
        <v>10651.199999999999</v>
      </c>
      <c r="P36">
        <v>23</v>
      </c>
      <c r="Q36">
        <v>17498.399999999998</v>
      </c>
      <c r="R36">
        <v>16.912169261597469</v>
      </c>
      <c r="S36">
        <v>12866.778374223353</v>
      </c>
      <c r="T36">
        <v>21</v>
      </c>
      <c r="U36">
        <v>15976.8</v>
      </c>
      <c r="V36">
        <v>17.338275974188964</v>
      </c>
      <c r="W36">
        <v>13190.960361162963</v>
      </c>
      <c r="X36">
        <v>15</v>
      </c>
      <c r="Y36">
        <v>11412</v>
      </c>
      <c r="Z36">
        <v>18</v>
      </c>
      <c r="AA36">
        <v>13694.4</v>
      </c>
      <c r="AB36">
        <v>17</v>
      </c>
      <c r="AC36">
        <v>12933.599999999999</v>
      </c>
      <c r="AD36">
        <v>14</v>
      </c>
      <c r="AE36">
        <v>10651.199999999999</v>
      </c>
      <c r="AF36">
        <v>15.564753055079347</v>
      </c>
      <c r="AG36">
        <v>11841.664124304367</v>
      </c>
      <c r="AH36">
        <v>17.63961981961274</v>
      </c>
      <c r="AI36">
        <v>13420.222758761372</v>
      </c>
      <c r="AJ36">
        <v>19</v>
      </c>
      <c r="AK36">
        <v>14455.199999999999</v>
      </c>
      <c r="AL36">
        <v>11.274873945414159</v>
      </c>
      <c r="AM36">
        <v>8577.9240976710917</v>
      </c>
      <c r="AN36">
        <v>20</v>
      </c>
      <c r="AO36">
        <v>15216</v>
      </c>
      <c r="AP36">
        <v>19</v>
      </c>
      <c r="AQ36">
        <v>14455.199999999999</v>
      </c>
      <c r="AR36">
        <v>20.424714461850762</v>
      </c>
      <c r="AS36">
        <v>15539.122762576058</v>
      </c>
      <c r="AT36">
        <v>16.130942896790106</v>
      </c>
      <c r="AU36">
        <v>12272.421355877912</v>
      </c>
      <c r="AV36">
        <v>20</v>
      </c>
      <c r="AW36">
        <v>15216</v>
      </c>
      <c r="AX36">
        <v>22.548658658961809</v>
      </c>
      <c r="AY36">
        <v>17155.019507738143</v>
      </c>
      <c r="AZ36">
        <v>9.986886155185962</v>
      </c>
      <c r="BA36">
        <v>7598.0229868654797</v>
      </c>
      <c r="BB36">
        <v>17</v>
      </c>
      <c r="BC36">
        <v>12933.599999999999</v>
      </c>
      <c r="BD36">
        <v>19</v>
      </c>
      <c r="BE36">
        <v>14455.199999999999</v>
      </c>
      <c r="BF36">
        <v>14</v>
      </c>
      <c r="BG36">
        <v>10651.199999999999</v>
      </c>
      <c r="BH36">
        <v>12.647744412653815</v>
      </c>
      <c r="BI36">
        <v>9622.4039491470212</v>
      </c>
      <c r="BJ36">
        <v>20.707523091604006</v>
      </c>
      <c r="BK36">
        <v>15754.283568092327</v>
      </c>
      <c r="BL36">
        <v>13</v>
      </c>
      <c r="BM36">
        <v>9890.4</v>
      </c>
      <c r="BN36">
        <v>8.198429801843778</v>
      </c>
      <c r="BO36">
        <v>6237.365393242746</v>
      </c>
      <c r="BP36">
        <v>14</v>
      </c>
      <c r="BQ36">
        <v>10651.199999999999</v>
      </c>
      <c r="BR36">
        <v>11.178487557070115</v>
      </c>
      <c r="BS36">
        <v>8504.5933334189431</v>
      </c>
      <c r="BT36">
        <v>17.126523634778017</v>
      </c>
      <c r="BU36">
        <v>13029.859181339114</v>
      </c>
      <c r="BV36">
        <v>9.0424067832711899</v>
      </c>
      <c r="BW36">
        <v>6879.4630807127205</v>
      </c>
      <c r="BX36">
        <v>17.279948514691853</v>
      </c>
      <c r="BY36">
        <v>13146.584829977561</v>
      </c>
      <c r="BZ36">
        <v>18.143945940426445</v>
      </c>
      <c r="CA36">
        <v>13803.914071476438</v>
      </c>
      <c r="CB36">
        <v>14.746916975053162</v>
      </c>
      <c r="CC36">
        <v>11219.454434620446</v>
      </c>
      <c r="CD36">
        <v>12.320680779533653</v>
      </c>
      <c r="CE36">
        <v>9373.5739370692027</v>
      </c>
      <c r="CF36">
        <v>20.087413748597918</v>
      </c>
      <c r="CG36">
        <v>15282.504379933294</v>
      </c>
      <c r="CH36">
        <v>17.92060572017991</v>
      </c>
      <c r="CI36">
        <v>13633.996831912875</v>
      </c>
      <c r="CJ36">
        <v>5.5276320298916284</v>
      </c>
      <c r="CK36">
        <v>4205.422448341551</v>
      </c>
      <c r="CL36">
        <v>21</v>
      </c>
      <c r="CM36">
        <v>15976.8</v>
      </c>
      <c r="CN36">
        <v>8.7297884106022572</v>
      </c>
      <c r="CO36">
        <v>6641.623022786197</v>
      </c>
      <c r="CP36">
        <v>15.557051310834272</v>
      </c>
      <c r="CQ36">
        <v>11835.804637282714</v>
      </c>
      <c r="CR36">
        <v>27.280670375148929</v>
      </c>
      <c r="CS36">
        <v>20755.134021413305</v>
      </c>
      <c r="CT36">
        <v>14.607175539800018</v>
      </c>
      <c r="CU36">
        <v>11113.139150679854</v>
      </c>
    </row>
    <row r="37" spans="2:99" x14ac:dyDescent="0.2">
      <c r="B37" s="119" t="s">
        <v>128</v>
      </c>
      <c r="C37" s="119" t="s">
        <v>203</v>
      </c>
      <c r="D37">
        <v>13.31536771206398</v>
      </c>
      <c r="E37">
        <v>11456.542379459848</v>
      </c>
      <c r="F37">
        <v>22</v>
      </c>
      <c r="G37">
        <v>18928.8</v>
      </c>
      <c r="H37">
        <v>10.025339645522902</v>
      </c>
      <c r="I37">
        <v>8625.802231007905</v>
      </c>
      <c r="J37">
        <v>12.477864358423405</v>
      </c>
      <c r="K37">
        <v>10735.954493987498</v>
      </c>
      <c r="L37">
        <v>19</v>
      </c>
      <c r="M37">
        <v>16347.6</v>
      </c>
      <c r="N37">
        <v>25</v>
      </c>
      <c r="O37">
        <v>21510</v>
      </c>
      <c r="P37">
        <v>22</v>
      </c>
      <c r="Q37">
        <v>18928.8</v>
      </c>
      <c r="R37">
        <v>13.690803687959857</v>
      </c>
      <c r="S37">
        <v>11779.567493120661</v>
      </c>
      <c r="T37">
        <v>28</v>
      </c>
      <c r="U37">
        <v>24091.200000000001</v>
      </c>
      <c r="V37">
        <v>13.688112611201815</v>
      </c>
      <c r="W37">
        <v>11777.252090678041</v>
      </c>
      <c r="X37">
        <v>17</v>
      </c>
      <c r="Y37">
        <v>14626.8</v>
      </c>
      <c r="Z37">
        <v>21</v>
      </c>
      <c r="AA37">
        <v>18068.399999999998</v>
      </c>
      <c r="AB37">
        <v>26</v>
      </c>
      <c r="AC37">
        <v>22370.399999999998</v>
      </c>
      <c r="AD37">
        <v>25</v>
      </c>
      <c r="AE37">
        <v>21510</v>
      </c>
      <c r="AF37">
        <v>17.20314811350875</v>
      </c>
      <c r="AG37">
        <v>14801.588636862927</v>
      </c>
      <c r="AH37">
        <v>21.474319780398119</v>
      </c>
      <c r="AI37">
        <v>18476.504739054541</v>
      </c>
      <c r="AJ37">
        <v>20</v>
      </c>
      <c r="AK37">
        <v>17208</v>
      </c>
      <c r="AL37">
        <v>20.93905161291201</v>
      </c>
      <c r="AM37">
        <v>18015.960007749494</v>
      </c>
      <c r="AN37">
        <v>28</v>
      </c>
      <c r="AO37">
        <v>24091.200000000001</v>
      </c>
      <c r="AP37">
        <v>19</v>
      </c>
      <c r="AQ37">
        <v>16347.6</v>
      </c>
      <c r="AR37">
        <v>27.232952615801018</v>
      </c>
      <c r="AS37">
        <v>23431.232430635195</v>
      </c>
      <c r="AT37">
        <v>11.221525493419206</v>
      </c>
      <c r="AU37">
        <v>9655.000534537885</v>
      </c>
      <c r="AV37">
        <v>16</v>
      </c>
      <c r="AW37">
        <v>13766.4</v>
      </c>
      <c r="AX37">
        <v>25.254497698037227</v>
      </c>
      <c r="AY37">
        <v>21728.96981939123</v>
      </c>
      <c r="AZ37">
        <v>10.700235166270675</v>
      </c>
      <c r="BA37">
        <v>9206.4823370592876</v>
      </c>
      <c r="BB37">
        <v>19</v>
      </c>
      <c r="BC37">
        <v>16347.6</v>
      </c>
      <c r="BD37">
        <v>17</v>
      </c>
      <c r="BE37">
        <v>14626.8</v>
      </c>
      <c r="BF37">
        <v>26</v>
      </c>
      <c r="BG37">
        <v>22370.399999999998</v>
      </c>
      <c r="BH37">
        <v>16.863659216871753</v>
      </c>
      <c r="BI37">
        <v>14509.492390196456</v>
      </c>
      <c r="BJ37">
        <v>16.001267843512185</v>
      </c>
      <c r="BK37">
        <v>13767.490852557883</v>
      </c>
      <c r="BL37">
        <v>21</v>
      </c>
      <c r="BM37">
        <v>18068.399999999998</v>
      </c>
      <c r="BN37">
        <v>12.810046565380903</v>
      </c>
      <c r="BO37">
        <v>11021.764064853729</v>
      </c>
      <c r="BP37">
        <v>21</v>
      </c>
      <c r="BQ37">
        <v>18068.399999999998</v>
      </c>
      <c r="BR37">
        <v>14.372341144804434</v>
      </c>
      <c r="BS37">
        <v>12365.962320989735</v>
      </c>
      <c r="BT37">
        <v>12.131287574634429</v>
      </c>
      <c r="BU37">
        <v>10437.759829215463</v>
      </c>
      <c r="BV37">
        <v>18.08481356654238</v>
      </c>
      <c r="BW37">
        <v>15560.173592653064</v>
      </c>
      <c r="BX37">
        <v>21.827303386979182</v>
      </c>
      <c r="BY37">
        <v>18780.211834156886</v>
      </c>
      <c r="BZ37">
        <v>21.599935643364816</v>
      </c>
      <c r="CA37">
        <v>18584.584627551088</v>
      </c>
      <c r="CB37">
        <v>26.54445055509569</v>
      </c>
      <c r="CC37">
        <v>22838.845257604331</v>
      </c>
      <c r="CD37">
        <v>21.355846684524998</v>
      </c>
      <c r="CE37">
        <v>18374.570487365309</v>
      </c>
      <c r="CF37">
        <v>20.831392035583029</v>
      </c>
      <c r="CG37">
        <v>17923.329707415636</v>
      </c>
      <c r="CH37">
        <v>16.977415945433602</v>
      </c>
      <c r="CI37">
        <v>14607.36867945107</v>
      </c>
      <c r="CJ37">
        <v>6.9095400373645361</v>
      </c>
      <c r="CK37">
        <v>5944.9682481484469</v>
      </c>
      <c r="CL37">
        <v>27</v>
      </c>
      <c r="CM37">
        <v>23230.799999999999</v>
      </c>
      <c r="CN37">
        <v>15.277129718553951</v>
      </c>
      <c r="CO37">
        <v>13144.442409843819</v>
      </c>
      <c r="CP37">
        <v>12.338351039627181</v>
      </c>
      <c r="CQ37">
        <v>10615.917234495226</v>
      </c>
      <c r="CR37">
        <v>14.614644843829783</v>
      </c>
      <c r="CS37">
        <v>12574.440423631146</v>
      </c>
      <c r="CT37">
        <v>18.590950687018204</v>
      </c>
      <c r="CU37">
        <v>15995.653971110461</v>
      </c>
    </row>
    <row r="38" spans="2:99" x14ac:dyDescent="0.2">
      <c r="C38" s="119" t="s">
        <v>204</v>
      </c>
      <c r="D38">
        <v>12.364270018345126</v>
      </c>
      <c r="E38">
        <v>15356.423362784646</v>
      </c>
      <c r="F38">
        <v>23</v>
      </c>
      <c r="G38">
        <v>28566</v>
      </c>
      <c r="H38">
        <v>10.741435334488822</v>
      </c>
      <c r="I38">
        <v>13340.862685435117</v>
      </c>
      <c r="J38">
        <v>13.045040011079013</v>
      </c>
      <c r="K38">
        <v>16201.939693760134</v>
      </c>
      <c r="L38">
        <v>16</v>
      </c>
      <c r="M38">
        <v>19872</v>
      </c>
      <c r="N38">
        <v>25</v>
      </c>
      <c r="O38">
        <v>31050</v>
      </c>
      <c r="P38">
        <v>20</v>
      </c>
      <c r="Q38">
        <v>24840</v>
      </c>
      <c r="R38">
        <v>13.690803687959857</v>
      </c>
      <c r="S38">
        <v>17003.978180446142</v>
      </c>
      <c r="T38">
        <v>27</v>
      </c>
      <c r="U38">
        <v>33534</v>
      </c>
      <c r="V38">
        <v>13.688112611201815</v>
      </c>
      <c r="W38">
        <v>17000.635863112653</v>
      </c>
      <c r="X38">
        <v>14</v>
      </c>
      <c r="Y38">
        <v>17388</v>
      </c>
      <c r="Z38">
        <v>18</v>
      </c>
      <c r="AA38">
        <v>22356</v>
      </c>
      <c r="AB38">
        <v>29</v>
      </c>
      <c r="AC38">
        <v>36018</v>
      </c>
      <c r="AD38">
        <v>24</v>
      </c>
      <c r="AE38">
        <v>29808</v>
      </c>
      <c r="AF38">
        <v>17.20314811350875</v>
      </c>
      <c r="AG38">
        <v>21366.309956977868</v>
      </c>
      <c r="AH38">
        <v>22.241259772555196</v>
      </c>
      <c r="AI38">
        <v>27623.644637513553</v>
      </c>
      <c r="AJ38">
        <v>22</v>
      </c>
      <c r="AK38">
        <v>27324</v>
      </c>
      <c r="AL38">
        <v>20.93905161291201</v>
      </c>
      <c r="AM38">
        <v>26006.302103236718</v>
      </c>
      <c r="AN38">
        <v>27</v>
      </c>
      <c r="AO38">
        <v>33534</v>
      </c>
      <c r="AP38">
        <v>18</v>
      </c>
      <c r="AQ38">
        <v>22356</v>
      </c>
      <c r="AR38">
        <v>28.205558066365342</v>
      </c>
      <c r="AS38">
        <v>35031.303118425756</v>
      </c>
      <c r="AT38">
        <v>9.8188348067418048</v>
      </c>
      <c r="AU38">
        <v>12194.992829973322</v>
      </c>
      <c r="AV38">
        <v>16</v>
      </c>
      <c r="AW38">
        <v>19872</v>
      </c>
      <c r="AX38">
        <v>22.548658658961809</v>
      </c>
      <c r="AY38">
        <v>28005.434054430567</v>
      </c>
      <c r="AZ38">
        <v>10.700235166270675</v>
      </c>
      <c r="BA38">
        <v>13289.692076508178</v>
      </c>
      <c r="BB38">
        <v>18</v>
      </c>
      <c r="BC38">
        <v>22356</v>
      </c>
      <c r="BD38">
        <v>18</v>
      </c>
      <c r="BE38">
        <v>22356</v>
      </c>
      <c r="BF38">
        <v>24</v>
      </c>
      <c r="BG38">
        <v>29808</v>
      </c>
      <c r="BH38">
        <v>15.458354282132438</v>
      </c>
      <c r="BI38">
        <v>19199.276018408487</v>
      </c>
      <c r="BJ38">
        <v>16.001267843512185</v>
      </c>
      <c r="BK38">
        <v>19873.574661642135</v>
      </c>
      <c r="BL38">
        <v>21</v>
      </c>
      <c r="BM38">
        <v>26082</v>
      </c>
      <c r="BN38">
        <v>13.834850290611376</v>
      </c>
      <c r="BO38">
        <v>17182.88406093933</v>
      </c>
      <c r="BP38">
        <v>19</v>
      </c>
      <c r="BQ38">
        <v>23598</v>
      </c>
      <c r="BR38">
        <v>12.775414350937274</v>
      </c>
      <c r="BS38">
        <v>15867.064623864093</v>
      </c>
      <c r="BT38">
        <v>12.844892726083513</v>
      </c>
      <c r="BU38">
        <v>15953.356765795723</v>
      </c>
      <c r="BV38">
        <v>14.855382572516955</v>
      </c>
      <c r="BW38">
        <v>18450.385155066058</v>
      </c>
      <c r="BX38">
        <v>24.555716310351581</v>
      </c>
      <c r="BY38">
        <v>30498.199657456666</v>
      </c>
      <c r="BZ38">
        <v>21.599935643364816</v>
      </c>
      <c r="CA38">
        <v>26827.120069059103</v>
      </c>
      <c r="CB38">
        <v>25.561322756758813</v>
      </c>
      <c r="CC38">
        <v>31747.162863894446</v>
      </c>
      <c r="CD38">
        <v>23.819982840431727</v>
      </c>
      <c r="CE38">
        <v>29584.418687816204</v>
      </c>
      <c r="CF38">
        <v>17.111500600657486</v>
      </c>
      <c r="CG38">
        <v>21252.483746016598</v>
      </c>
      <c r="CH38">
        <v>13.204656846448357</v>
      </c>
      <c r="CI38">
        <v>16400.183803288859</v>
      </c>
      <c r="CJ38">
        <v>6.9095400373645361</v>
      </c>
      <c r="CK38">
        <v>8581.6487264067546</v>
      </c>
      <c r="CL38">
        <v>27</v>
      </c>
      <c r="CM38">
        <v>33534</v>
      </c>
      <c r="CN38">
        <v>16.913965045541875</v>
      </c>
      <c r="CO38">
        <v>21007.144586563008</v>
      </c>
      <c r="CP38">
        <v>12.338351039627181</v>
      </c>
      <c r="CQ38">
        <v>15324.231991216959</v>
      </c>
      <c r="CR38">
        <v>14.614644843829783</v>
      </c>
      <c r="CS38">
        <v>18151.388896036591</v>
      </c>
      <c r="CT38">
        <v>18.590950687018204</v>
      </c>
      <c r="CU38">
        <v>23089.960753276609</v>
      </c>
    </row>
    <row r="39" spans="2:99" x14ac:dyDescent="0.2">
      <c r="C39" s="119" t="s">
        <v>205</v>
      </c>
      <c r="D39">
        <v>10.93762347776684</v>
      </c>
      <c r="E39">
        <v>15566.425733557768</v>
      </c>
      <c r="F39">
        <v>21</v>
      </c>
      <c r="G39">
        <v>29887.200000000001</v>
      </c>
      <c r="H39">
        <v>9.3092439565569798</v>
      </c>
      <c r="I39">
        <v>13248.915998971894</v>
      </c>
      <c r="J39">
        <v>13.612215663734624</v>
      </c>
      <c r="K39">
        <v>19372.905332627117</v>
      </c>
      <c r="L39">
        <v>15</v>
      </c>
      <c r="M39">
        <v>21348</v>
      </c>
      <c r="N39">
        <v>22</v>
      </c>
      <c r="O39">
        <v>31310.400000000001</v>
      </c>
      <c r="P39">
        <v>19</v>
      </c>
      <c r="Q39">
        <v>27040.799999999999</v>
      </c>
      <c r="R39">
        <v>12.885462294550454</v>
      </c>
      <c r="S39">
        <v>18338.589937604207</v>
      </c>
      <c r="T39">
        <v>27</v>
      </c>
      <c r="U39">
        <v>38426.400000000001</v>
      </c>
      <c r="V39">
        <v>12.775571770455025</v>
      </c>
      <c r="W39">
        <v>18182.193743711592</v>
      </c>
      <c r="X39">
        <v>16</v>
      </c>
      <c r="Y39">
        <v>22771.200000000001</v>
      </c>
      <c r="Z39">
        <v>18</v>
      </c>
      <c r="AA39">
        <v>25617.600000000002</v>
      </c>
      <c r="AB39">
        <v>26</v>
      </c>
      <c r="AC39">
        <v>37003.200000000004</v>
      </c>
      <c r="AD39">
        <v>25</v>
      </c>
      <c r="AE39">
        <v>35580</v>
      </c>
      <c r="AF39">
        <v>16.383950584294048</v>
      </c>
      <c r="AG39">
        <v>23317.63847156729</v>
      </c>
      <c r="AH39">
        <v>18.406559811769817</v>
      </c>
      <c r="AI39">
        <v>26196.215924110806</v>
      </c>
      <c r="AJ39">
        <v>21</v>
      </c>
      <c r="AK39">
        <v>29887.200000000001</v>
      </c>
      <c r="AL39">
        <v>21.744399751870162</v>
      </c>
      <c r="AM39">
        <v>30946.629726861614</v>
      </c>
      <c r="AN39">
        <v>27</v>
      </c>
      <c r="AO39">
        <v>38426.400000000001</v>
      </c>
      <c r="AP39">
        <v>16</v>
      </c>
      <c r="AQ39">
        <v>22771.200000000001</v>
      </c>
      <c r="AR39">
        <v>26.260347165236695</v>
      </c>
      <c r="AS39">
        <v>37373.726085564864</v>
      </c>
      <c r="AT39">
        <v>10.520180150080504</v>
      </c>
      <c r="AU39">
        <v>14972.320389594573</v>
      </c>
      <c r="AV39">
        <v>17</v>
      </c>
      <c r="AW39">
        <v>24194.400000000001</v>
      </c>
      <c r="AX39">
        <v>24.352551351678752</v>
      </c>
      <c r="AY39">
        <v>34658.551083709201</v>
      </c>
      <c r="AZ39">
        <v>11.413584177355386</v>
      </c>
      <c r="BA39">
        <v>16243.813001212186</v>
      </c>
      <c r="BB39">
        <v>19</v>
      </c>
      <c r="BC39">
        <v>27040.799999999999</v>
      </c>
      <c r="BD39">
        <v>18</v>
      </c>
      <c r="BE39">
        <v>25617.600000000002</v>
      </c>
      <c r="BF39">
        <v>25</v>
      </c>
      <c r="BG39">
        <v>35580</v>
      </c>
      <c r="BH39">
        <v>16.161006749502096</v>
      </c>
      <c r="BI39">
        <v>23000.344805891385</v>
      </c>
      <c r="BJ39">
        <v>14.118765744275461</v>
      </c>
      <c r="BK39">
        <v>20093.827407252837</v>
      </c>
      <c r="BL39">
        <v>21</v>
      </c>
      <c r="BM39">
        <v>29887.200000000001</v>
      </c>
      <c r="BN39">
        <v>13.322448427996139</v>
      </c>
      <c r="BO39">
        <v>18960.508602724105</v>
      </c>
      <c r="BP39">
        <v>21</v>
      </c>
      <c r="BQ39">
        <v>29887.200000000001</v>
      </c>
      <c r="BR39">
        <v>13.573877747870853</v>
      </c>
      <c r="BS39">
        <v>19318.342810769798</v>
      </c>
      <c r="BT39">
        <v>12.844892726083513</v>
      </c>
      <c r="BU39">
        <v>18280.851327762055</v>
      </c>
      <c r="BV39">
        <v>15.501268771322039</v>
      </c>
      <c r="BW39">
        <v>22061.405715345525</v>
      </c>
      <c r="BX39">
        <v>20.917832412521715</v>
      </c>
      <c r="BY39">
        <v>29770.259089500905</v>
      </c>
      <c r="BZ39">
        <v>19.007943366161037</v>
      </c>
      <c r="CA39">
        <v>27052.104998720388</v>
      </c>
      <c r="CB39">
        <v>24.578194958421935</v>
      </c>
      <c r="CC39">
        <v>34979.687064826103</v>
      </c>
      <c r="CD39">
        <v>22.177225403160573</v>
      </c>
      <c r="CE39">
        <v>31562.627193778128</v>
      </c>
      <c r="CF39">
        <v>20.087413748597918</v>
      </c>
      <c r="CG39">
        <v>28588.407247004558</v>
      </c>
      <c r="CH39">
        <v>13.204656846448357</v>
      </c>
      <c r="CI39">
        <v>18792.867623865302</v>
      </c>
      <c r="CJ39">
        <v>6.9095400373645361</v>
      </c>
      <c r="CK39">
        <v>9833.6573811772087</v>
      </c>
      <c r="CL39">
        <v>28</v>
      </c>
      <c r="CM39">
        <v>39849.599999999999</v>
      </c>
      <c r="CN39">
        <v>16.913965045541875</v>
      </c>
      <c r="CO39">
        <v>24071.955052815199</v>
      </c>
      <c r="CP39">
        <v>12.338351039627181</v>
      </c>
      <c r="CQ39">
        <v>17559.941199597404</v>
      </c>
      <c r="CR39">
        <v>14.614644843829783</v>
      </c>
      <c r="CS39">
        <v>20799.562541738549</v>
      </c>
      <c r="CT39">
        <v>17.926988162481841</v>
      </c>
      <c r="CU39">
        <v>25513.689552844156</v>
      </c>
    </row>
    <row r="40" spans="2:99" x14ac:dyDescent="0.2">
      <c r="C40" s="119" t="s">
        <v>206</v>
      </c>
      <c r="D40">
        <v>12.839818865204551</v>
      </c>
      <c r="E40">
        <v>9306.3007135002572</v>
      </c>
      <c r="F40">
        <v>24</v>
      </c>
      <c r="G40">
        <v>17395.199999999997</v>
      </c>
      <c r="H40">
        <v>10.383387490005862</v>
      </c>
      <c r="I40">
        <v>7525.8792527562482</v>
      </c>
      <c r="J40">
        <v>13.045040011079013</v>
      </c>
      <c r="K40">
        <v>9455.045000030068</v>
      </c>
      <c r="L40">
        <v>17</v>
      </c>
      <c r="M40">
        <v>12321.599999999999</v>
      </c>
      <c r="N40">
        <v>26</v>
      </c>
      <c r="O40">
        <v>18844.8</v>
      </c>
      <c r="P40">
        <v>21</v>
      </c>
      <c r="Q40">
        <v>15220.8</v>
      </c>
      <c r="R40">
        <v>15.301486474778661</v>
      </c>
      <c r="S40">
        <v>11090.517396919573</v>
      </c>
      <c r="T40">
        <v>28</v>
      </c>
      <c r="U40">
        <v>20294.399999999998</v>
      </c>
      <c r="V40">
        <v>12.775571770455025</v>
      </c>
      <c r="W40">
        <v>9259.7344192258024</v>
      </c>
      <c r="X40">
        <v>17</v>
      </c>
      <c r="Y40">
        <v>12321.599999999999</v>
      </c>
      <c r="Z40">
        <v>19</v>
      </c>
      <c r="AA40">
        <v>13771.199999999999</v>
      </c>
      <c r="AB40">
        <v>28</v>
      </c>
      <c r="AC40">
        <v>20294.399999999998</v>
      </c>
      <c r="AD40">
        <v>24</v>
      </c>
      <c r="AE40">
        <v>17395.199999999997</v>
      </c>
      <c r="AF40">
        <v>18.022345642723451</v>
      </c>
      <c r="AG40">
        <v>13062.596121845956</v>
      </c>
      <c r="AH40">
        <v>20.707379788241045</v>
      </c>
      <c r="AI40">
        <v>15008.708870517108</v>
      </c>
      <c r="AJ40">
        <v>23</v>
      </c>
      <c r="AK40">
        <v>16670.399999999998</v>
      </c>
      <c r="AL40">
        <v>19.328355334995702</v>
      </c>
      <c r="AM40">
        <v>14009.191946804884</v>
      </c>
      <c r="AN40">
        <v>30</v>
      </c>
      <c r="AO40">
        <v>21744</v>
      </c>
      <c r="AP40">
        <v>18</v>
      </c>
      <c r="AQ40">
        <v>13046.4</v>
      </c>
      <c r="AR40">
        <v>28.205558066365342</v>
      </c>
      <c r="AS40">
        <v>20443.388486501597</v>
      </c>
      <c r="AT40">
        <v>11.221525493419206</v>
      </c>
      <c r="AU40">
        <v>8133.3616776302397</v>
      </c>
      <c r="AV40">
        <v>18</v>
      </c>
      <c r="AW40">
        <v>13046.4</v>
      </c>
      <c r="AX40">
        <v>28.862283083471116</v>
      </c>
      <c r="AY40">
        <v>20919.382778899864</v>
      </c>
      <c r="AZ40">
        <v>11.413584177355386</v>
      </c>
      <c r="BA40">
        <v>8272.565811747183</v>
      </c>
      <c r="BB40">
        <v>20</v>
      </c>
      <c r="BC40">
        <v>14496</v>
      </c>
      <c r="BD40">
        <v>19</v>
      </c>
      <c r="BE40">
        <v>13771.199999999999</v>
      </c>
      <c r="BF40">
        <v>27</v>
      </c>
      <c r="BG40">
        <v>19569.599999999999</v>
      </c>
      <c r="BH40">
        <v>14.755701814762784</v>
      </c>
      <c r="BI40">
        <v>10694.932675340066</v>
      </c>
      <c r="BJ40">
        <v>15.060016793893825</v>
      </c>
      <c r="BK40">
        <v>10915.500172214244</v>
      </c>
      <c r="BL40">
        <v>23</v>
      </c>
      <c r="BM40">
        <v>16670.399999999998</v>
      </c>
      <c r="BN40">
        <v>14.859654015841848</v>
      </c>
      <c r="BO40">
        <v>10770.27723068217</v>
      </c>
      <c r="BP40">
        <v>21</v>
      </c>
      <c r="BQ40">
        <v>15220.8</v>
      </c>
      <c r="BR40">
        <v>15.170804541738011</v>
      </c>
      <c r="BS40">
        <v>10995.799131851711</v>
      </c>
      <c r="BT40">
        <v>12.131287574634429</v>
      </c>
      <c r="BU40">
        <v>8792.7572340950337</v>
      </c>
      <c r="BV40">
        <v>18.08481356654238</v>
      </c>
      <c r="BW40">
        <v>13107.872873029915</v>
      </c>
      <c r="BX40">
        <v>23.646245335894111</v>
      </c>
      <c r="BY40">
        <v>17138.798619456051</v>
      </c>
      <c r="BZ40">
        <v>23.327930494834</v>
      </c>
      <c r="CA40">
        <v>16908.084022655683</v>
      </c>
      <c r="CB40">
        <v>30.476961748443202</v>
      </c>
      <c r="CC40">
        <v>22089.701875271632</v>
      </c>
      <c r="CD40">
        <v>21.355846684524998</v>
      </c>
      <c r="CE40">
        <v>15478.717676943717</v>
      </c>
      <c r="CF40">
        <v>20.087413748597918</v>
      </c>
      <c r="CG40">
        <v>14559.35748498377</v>
      </c>
      <c r="CH40">
        <v>15.091036395940979</v>
      </c>
      <c r="CI40">
        <v>10937.983179778021</v>
      </c>
      <c r="CJ40">
        <v>7.7386848418482801</v>
      </c>
      <c r="CK40">
        <v>5608.9987733716334</v>
      </c>
      <c r="CL40">
        <v>31</v>
      </c>
      <c r="CM40">
        <v>22468.799999999999</v>
      </c>
      <c r="CN40">
        <v>16.913965045541875</v>
      </c>
      <c r="CO40">
        <v>12259.241865008751</v>
      </c>
      <c r="CP40">
        <v>13.411251130029544</v>
      </c>
      <c r="CQ40">
        <v>9720.4748190454138</v>
      </c>
      <c r="CR40">
        <v>16.563264156340423</v>
      </c>
      <c r="CS40">
        <v>12005.053860515538</v>
      </c>
      <c r="CT40">
        <v>17.926988162481841</v>
      </c>
      <c r="CU40">
        <v>12993.481020166837</v>
      </c>
    </row>
    <row r="41" spans="2:99" x14ac:dyDescent="0.2">
      <c r="C41" s="119" t="s">
        <v>207</v>
      </c>
      <c r="D41">
        <v>11.888721171485697</v>
      </c>
      <c r="E41">
        <v>7846.5559731805597</v>
      </c>
      <c r="F41">
        <v>26</v>
      </c>
      <c r="G41">
        <v>17160</v>
      </c>
      <c r="H41">
        <v>10.383387490005862</v>
      </c>
      <c r="I41">
        <v>6853.0357434038697</v>
      </c>
      <c r="J41">
        <v>14.746566969045841</v>
      </c>
      <c r="K41">
        <v>9732.7341995702554</v>
      </c>
      <c r="L41">
        <v>19</v>
      </c>
      <c r="M41">
        <v>12540</v>
      </c>
      <c r="N41">
        <v>26</v>
      </c>
      <c r="O41">
        <v>17160</v>
      </c>
      <c r="P41">
        <v>22</v>
      </c>
      <c r="Q41">
        <v>14520</v>
      </c>
      <c r="R41">
        <v>16.106827868188066</v>
      </c>
      <c r="S41">
        <v>10630.506393004123</v>
      </c>
      <c r="T41">
        <v>27</v>
      </c>
      <c r="U41">
        <v>17820</v>
      </c>
      <c r="V41">
        <v>14.600653451948601</v>
      </c>
      <c r="W41">
        <v>9636.4312782860761</v>
      </c>
      <c r="X41">
        <v>15</v>
      </c>
      <c r="Y41">
        <v>9900</v>
      </c>
      <c r="Z41">
        <v>21</v>
      </c>
      <c r="AA41">
        <v>13860</v>
      </c>
      <c r="AB41">
        <v>31</v>
      </c>
      <c r="AC41">
        <v>20460</v>
      </c>
      <c r="AD41">
        <v>24</v>
      </c>
      <c r="AE41">
        <v>15840</v>
      </c>
      <c r="AF41">
        <v>18.022345642723451</v>
      </c>
      <c r="AG41">
        <v>11894.748124197478</v>
      </c>
      <c r="AH41">
        <v>23.00819976471227</v>
      </c>
      <c r="AI41">
        <v>15185.411844710097</v>
      </c>
      <c r="AJ41">
        <v>20</v>
      </c>
      <c r="AK41">
        <v>13200</v>
      </c>
      <c r="AL41">
        <v>22.549747890828318</v>
      </c>
      <c r="AM41">
        <v>14882.83360794669</v>
      </c>
      <c r="AN41">
        <v>25</v>
      </c>
      <c r="AO41">
        <v>16500</v>
      </c>
      <c r="AP41">
        <v>17</v>
      </c>
      <c r="AQ41">
        <v>11220</v>
      </c>
      <c r="AR41">
        <v>26.260347165236695</v>
      </c>
      <c r="AS41">
        <v>17331.829129056219</v>
      </c>
      <c r="AT41">
        <v>11.221525493419206</v>
      </c>
      <c r="AU41">
        <v>7406.2068256566754</v>
      </c>
      <c r="AV41">
        <v>17</v>
      </c>
      <c r="AW41">
        <v>11220</v>
      </c>
      <c r="AX41">
        <v>28.862283083471116</v>
      </c>
      <c r="AY41">
        <v>19049.106835090937</v>
      </c>
      <c r="AZ41">
        <v>11.413584177355386</v>
      </c>
      <c r="BA41">
        <v>7532.9655570545547</v>
      </c>
      <c r="BB41">
        <v>19</v>
      </c>
      <c r="BC41">
        <v>12540</v>
      </c>
      <c r="BD41">
        <v>20</v>
      </c>
      <c r="BE41">
        <v>13200</v>
      </c>
      <c r="BF41">
        <v>27</v>
      </c>
      <c r="BG41">
        <v>17820</v>
      </c>
      <c r="BH41">
        <v>16.161006749502096</v>
      </c>
      <c r="BI41">
        <v>10666.264454671384</v>
      </c>
      <c r="BJ41">
        <v>15.060016793893825</v>
      </c>
      <c r="BK41">
        <v>9939.6110839699249</v>
      </c>
      <c r="BL41">
        <v>23</v>
      </c>
      <c r="BM41">
        <v>15180</v>
      </c>
      <c r="BN41">
        <v>15.884457741072321</v>
      </c>
      <c r="BO41">
        <v>10483.742109107732</v>
      </c>
      <c r="BP41">
        <v>21</v>
      </c>
      <c r="BQ41">
        <v>13860</v>
      </c>
      <c r="BR41">
        <v>15.170804541738011</v>
      </c>
      <c r="BS41">
        <v>10012.730997547087</v>
      </c>
      <c r="BT41">
        <v>12.844892726083513</v>
      </c>
      <c r="BU41">
        <v>8477.6291992151182</v>
      </c>
      <c r="BV41">
        <v>17.438927367737293</v>
      </c>
      <c r="BW41">
        <v>11509.692062706614</v>
      </c>
      <c r="BX41">
        <v>22.736774361436645</v>
      </c>
      <c r="BY41">
        <v>15006.271078548185</v>
      </c>
      <c r="BZ41">
        <v>19.871940791895629</v>
      </c>
      <c r="CA41">
        <v>13115.480922651115</v>
      </c>
      <c r="CB41">
        <v>29.493833950106325</v>
      </c>
      <c r="CC41">
        <v>19465.930407070173</v>
      </c>
      <c r="CD41">
        <v>22.177225403160573</v>
      </c>
      <c r="CE41">
        <v>14636.968766085978</v>
      </c>
      <c r="CF41">
        <v>19.343435461612813</v>
      </c>
      <c r="CG41">
        <v>12766.667404664457</v>
      </c>
      <c r="CH41">
        <v>16.977415945433602</v>
      </c>
      <c r="CI41">
        <v>11205.094523986178</v>
      </c>
      <c r="CJ41">
        <v>7.4623032403536982</v>
      </c>
      <c r="CK41">
        <v>4925.1201386334405</v>
      </c>
      <c r="CL41">
        <v>29</v>
      </c>
      <c r="CM41">
        <v>19140</v>
      </c>
      <c r="CN41">
        <v>18.005188596867153</v>
      </c>
      <c r="CO41">
        <v>11883.424473932322</v>
      </c>
      <c r="CP41">
        <v>13.411251130029544</v>
      </c>
      <c r="CQ41">
        <v>8851.4257458194988</v>
      </c>
      <c r="CR41">
        <v>14.614644843829783</v>
      </c>
      <c r="CS41">
        <v>9645.6655969276562</v>
      </c>
      <c r="CT41">
        <v>20.582838260627298</v>
      </c>
      <c r="CU41">
        <v>13584.673252014018</v>
      </c>
    </row>
    <row r="42" spans="2:99" x14ac:dyDescent="0.2">
      <c r="C42" s="119" t="s">
        <v>208</v>
      </c>
      <c r="D42">
        <v>10.93762347776684</v>
      </c>
      <c r="E42">
        <v>9253.2294621907458</v>
      </c>
      <c r="F42">
        <v>24</v>
      </c>
      <c r="G42">
        <v>20304</v>
      </c>
      <c r="H42">
        <v>10.025339645522902</v>
      </c>
      <c r="I42">
        <v>8481.4373401123739</v>
      </c>
      <c r="J42">
        <v>13.612215663734624</v>
      </c>
      <c r="K42">
        <v>11515.934451519492</v>
      </c>
      <c r="L42">
        <v>17</v>
      </c>
      <c r="M42">
        <v>14382</v>
      </c>
      <c r="N42">
        <v>25</v>
      </c>
      <c r="O42">
        <v>21150</v>
      </c>
      <c r="P42">
        <v>21</v>
      </c>
      <c r="Q42">
        <v>17766</v>
      </c>
      <c r="R42">
        <v>13.690803687959857</v>
      </c>
      <c r="S42">
        <v>11582.419920014039</v>
      </c>
      <c r="T42">
        <v>27</v>
      </c>
      <c r="U42">
        <v>22842</v>
      </c>
      <c r="V42">
        <v>11.863030929708238</v>
      </c>
      <c r="W42">
        <v>10036.124166533169</v>
      </c>
      <c r="X42">
        <v>16</v>
      </c>
      <c r="Y42">
        <v>13536</v>
      </c>
      <c r="Z42">
        <v>18</v>
      </c>
      <c r="AA42">
        <v>15228</v>
      </c>
      <c r="AB42">
        <v>26</v>
      </c>
      <c r="AC42">
        <v>21996</v>
      </c>
      <c r="AD42">
        <v>26</v>
      </c>
      <c r="AE42">
        <v>21996</v>
      </c>
      <c r="AF42">
        <v>17.20314811350875</v>
      </c>
      <c r="AG42">
        <v>14553.863304028402</v>
      </c>
      <c r="AH42">
        <v>23.00819976471227</v>
      </c>
      <c r="AI42">
        <v>19464.937000946582</v>
      </c>
      <c r="AJ42">
        <v>20</v>
      </c>
      <c r="AK42">
        <v>16920</v>
      </c>
      <c r="AL42">
        <v>22.549747890828318</v>
      </c>
      <c r="AM42">
        <v>19077.086715640758</v>
      </c>
      <c r="AN42">
        <v>25</v>
      </c>
      <c r="AO42">
        <v>21150</v>
      </c>
      <c r="AP42">
        <v>18</v>
      </c>
      <c r="AQ42">
        <v>15228</v>
      </c>
      <c r="AR42">
        <v>29.178163516929661</v>
      </c>
      <c r="AS42">
        <v>24684.726335322495</v>
      </c>
      <c r="AT42">
        <v>11.922870836757905</v>
      </c>
      <c r="AU42">
        <v>10086.748727897188</v>
      </c>
      <c r="AV42">
        <v>17</v>
      </c>
      <c r="AW42">
        <v>14382</v>
      </c>
      <c r="AX42">
        <v>25.254497698037227</v>
      </c>
      <c r="AY42">
        <v>21365.305052539494</v>
      </c>
      <c r="AZ42">
        <v>11.413584177355386</v>
      </c>
      <c r="BA42">
        <v>9655.8922140426566</v>
      </c>
      <c r="BB42">
        <v>18</v>
      </c>
      <c r="BC42">
        <v>15228</v>
      </c>
      <c r="BD42">
        <v>20</v>
      </c>
      <c r="BE42">
        <v>16920</v>
      </c>
      <c r="BF42">
        <v>23</v>
      </c>
      <c r="BG42">
        <v>19458</v>
      </c>
      <c r="BH42">
        <v>14.755701814762784</v>
      </c>
      <c r="BI42">
        <v>12483.323735289316</v>
      </c>
      <c r="BJ42">
        <v>16.942518893130551</v>
      </c>
      <c r="BK42">
        <v>14333.370983588446</v>
      </c>
      <c r="BL42">
        <v>22</v>
      </c>
      <c r="BM42">
        <v>18612</v>
      </c>
      <c r="BN42">
        <v>14.859654015841848</v>
      </c>
      <c r="BO42">
        <v>12571.267297402203</v>
      </c>
      <c r="BP42">
        <v>20</v>
      </c>
      <c r="BQ42">
        <v>16920</v>
      </c>
      <c r="BR42">
        <v>14.372341144804434</v>
      </c>
      <c r="BS42">
        <v>12159.000608504552</v>
      </c>
      <c r="BT42">
        <v>13.558497877532599</v>
      </c>
      <c r="BU42">
        <v>11470.489204392579</v>
      </c>
      <c r="BV42">
        <v>15.501268771322039</v>
      </c>
      <c r="BW42">
        <v>13114.073380538444</v>
      </c>
      <c r="BX42">
        <v>22.736774361436645</v>
      </c>
      <c r="BY42">
        <v>19235.311109775401</v>
      </c>
      <c r="BZ42">
        <v>23.327930494834</v>
      </c>
      <c r="CA42">
        <v>19735.429198629565</v>
      </c>
      <c r="CB42">
        <v>26.54445055509569</v>
      </c>
      <c r="CC42">
        <v>22456.605169610953</v>
      </c>
      <c r="CD42">
        <v>22.998604121796149</v>
      </c>
      <c r="CE42">
        <v>19456.819087039541</v>
      </c>
      <c r="CF42">
        <v>20.087413748597918</v>
      </c>
      <c r="CG42">
        <v>16993.952031313838</v>
      </c>
      <c r="CH42">
        <v>15.091036395940979</v>
      </c>
      <c r="CI42">
        <v>12767.016790966069</v>
      </c>
      <c r="CJ42">
        <v>6.9095400373645361</v>
      </c>
      <c r="CK42">
        <v>5845.4708716103978</v>
      </c>
      <c r="CL42">
        <v>26</v>
      </c>
      <c r="CM42">
        <v>21996</v>
      </c>
      <c r="CN42">
        <v>16.368353269879233</v>
      </c>
      <c r="CO42">
        <v>13847.626866317831</v>
      </c>
      <c r="CP42">
        <v>13.411251130029544</v>
      </c>
      <c r="CQ42">
        <v>11345.918456004994</v>
      </c>
      <c r="CR42">
        <v>14.614644843829783</v>
      </c>
      <c r="CS42">
        <v>12363.989537879996</v>
      </c>
      <c r="CT42">
        <v>17.926988162481841</v>
      </c>
      <c r="CU42">
        <v>15166.231985459637</v>
      </c>
    </row>
    <row r="43" spans="2:99" x14ac:dyDescent="0.2">
      <c r="C43" s="119" t="s">
        <v>209</v>
      </c>
      <c r="D43">
        <v>13.31536771206398</v>
      </c>
      <c r="E43">
        <v>13613.631948814213</v>
      </c>
      <c r="F43">
        <v>25</v>
      </c>
      <c r="G43">
        <v>25560</v>
      </c>
      <c r="H43">
        <v>9.6672918010399425</v>
      </c>
      <c r="I43">
        <v>9883.8391373832364</v>
      </c>
      <c r="J43">
        <v>13.045040011079013</v>
      </c>
      <c r="K43">
        <v>13337.248907327183</v>
      </c>
      <c r="L43">
        <v>19</v>
      </c>
      <c r="M43">
        <v>19425.599999999999</v>
      </c>
      <c r="N43">
        <v>26</v>
      </c>
      <c r="O43">
        <v>26582.399999999998</v>
      </c>
      <c r="P43">
        <v>22</v>
      </c>
      <c r="Q43">
        <v>22492.799999999999</v>
      </c>
      <c r="R43">
        <v>15.301486474778661</v>
      </c>
      <c r="S43">
        <v>15644.239771813704</v>
      </c>
      <c r="T43">
        <v>26</v>
      </c>
      <c r="U43">
        <v>26582.399999999998</v>
      </c>
      <c r="V43">
        <v>12.775571770455025</v>
      </c>
      <c r="W43">
        <v>13061.744578113217</v>
      </c>
      <c r="X43">
        <v>15</v>
      </c>
      <c r="Y43">
        <v>15336</v>
      </c>
      <c r="Z43">
        <v>19</v>
      </c>
      <c r="AA43">
        <v>19425.599999999999</v>
      </c>
      <c r="AB43">
        <v>29</v>
      </c>
      <c r="AC43">
        <v>29649.599999999999</v>
      </c>
      <c r="AD43">
        <v>25</v>
      </c>
      <c r="AE43">
        <v>25560</v>
      </c>
      <c r="AF43">
        <v>18.022345642723451</v>
      </c>
      <c r="AG43">
        <v>18426.046185120456</v>
      </c>
      <c r="AH43">
        <v>22.241259772555196</v>
      </c>
      <c r="AI43">
        <v>22739.46399146043</v>
      </c>
      <c r="AJ43">
        <v>20</v>
      </c>
      <c r="AK43">
        <v>20448</v>
      </c>
      <c r="AL43">
        <v>20.133703473953855</v>
      </c>
      <c r="AM43">
        <v>20584.698431770419</v>
      </c>
      <c r="AN43">
        <v>25</v>
      </c>
      <c r="AO43">
        <v>25560</v>
      </c>
      <c r="AP43">
        <v>16</v>
      </c>
      <c r="AQ43">
        <v>16358.4</v>
      </c>
      <c r="AR43">
        <v>28.205558066365342</v>
      </c>
      <c r="AS43">
        <v>28837.362567051925</v>
      </c>
      <c r="AT43">
        <v>9.8188348067418048</v>
      </c>
      <c r="AU43">
        <v>10038.77670641282</v>
      </c>
      <c r="AV43">
        <v>18</v>
      </c>
      <c r="AW43">
        <v>18403.2</v>
      </c>
      <c r="AX43">
        <v>27.960336737112645</v>
      </c>
      <c r="AY43">
        <v>28586.648280023968</v>
      </c>
      <c r="AZ43">
        <v>12.126933188440098</v>
      </c>
      <c r="BA43">
        <v>12398.576491861157</v>
      </c>
      <c r="BB43">
        <v>21</v>
      </c>
      <c r="BC43">
        <v>21470.399999999998</v>
      </c>
      <c r="BD43">
        <v>19</v>
      </c>
      <c r="BE43">
        <v>19425.599999999999</v>
      </c>
      <c r="BF43">
        <v>26</v>
      </c>
      <c r="BG43">
        <v>26582.399999999998</v>
      </c>
      <c r="BH43">
        <v>16.161006749502096</v>
      </c>
      <c r="BI43">
        <v>16523.013300690942</v>
      </c>
      <c r="BJ43">
        <v>16.942518893130551</v>
      </c>
      <c r="BK43">
        <v>17322.031316336674</v>
      </c>
      <c r="BL43">
        <v>24</v>
      </c>
      <c r="BM43">
        <v>24537.599999999999</v>
      </c>
      <c r="BN43">
        <v>14.859654015841848</v>
      </c>
      <c r="BO43">
        <v>15192.510265796705</v>
      </c>
      <c r="BP43">
        <v>21</v>
      </c>
      <c r="BQ43">
        <v>21470.399999999998</v>
      </c>
      <c r="BR43">
        <v>12.775414350937274</v>
      </c>
      <c r="BS43">
        <v>13061.583632398268</v>
      </c>
      <c r="BT43">
        <v>14.272103028981681</v>
      </c>
      <c r="BU43">
        <v>14591.79813683087</v>
      </c>
      <c r="BV43">
        <v>14.855382572516955</v>
      </c>
      <c r="BW43">
        <v>15188.143142141334</v>
      </c>
      <c r="BX43">
        <v>22.736774361436645</v>
      </c>
      <c r="BY43">
        <v>23246.078107132824</v>
      </c>
      <c r="BZ43">
        <v>19.871940791895629</v>
      </c>
      <c r="CA43">
        <v>20317.072265634091</v>
      </c>
      <c r="CB43">
        <v>29.493833950106325</v>
      </c>
      <c r="CC43">
        <v>30154.495830588705</v>
      </c>
      <c r="CD43">
        <v>22.177225403160573</v>
      </c>
      <c r="CE43">
        <v>22673.995252191369</v>
      </c>
      <c r="CF43">
        <v>18.599457174627702</v>
      </c>
      <c r="CG43">
        <v>19016.085015339362</v>
      </c>
      <c r="CH43">
        <v>14.147846621194669</v>
      </c>
      <c r="CI43">
        <v>14464.758385509429</v>
      </c>
      <c r="CJ43">
        <v>7.1859216388591172</v>
      </c>
      <c r="CK43">
        <v>7346.8862835695609</v>
      </c>
      <c r="CL43">
        <v>26</v>
      </c>
      <c r="CM43">
        <v>26582.399999999998</v>
      </c>
      <c r="CN43">
        <v>15.277129718553951</v>
      </c>
      <c r="CO43">
        <v>15619.337424249559</v>
      </c>
      <c r="CP43">
        <v>12.874801084828363</v>
      </c>
      <c r="CQ43">
        <v>13163.196629128517</v>
      </c>
      <c r="CR43">
        <v>13.640335187574465</v>
      </c>
      <c r="CS43">
        <v>13945.878695776133</v>
      </c>
      <c r="CT43">
        <v>18.590950687018204</v>
      </c>
      <c r="CU43">
        <v>19007.38798240741</v>
      </c>
    </row>
    <row r="44" spans="2:99" x14ac:dyDescent="0.2">
      <c r="C44" s="119" t="s">
        <v>210</v>
      </c>
      <c r="D44">
        <v>11.888721171485697</v>
      </c>
      <c r="E44">
        <v>12155.028525726977</v>
      </c>
      <c r="F44">
        <v>24</v>
      </c>
      <c r="G44">
        <v>24537.599999999999</v>
      </c>
      <c r="H44">
        <v>10.741435334488822</v>
      </c>
      <c r="I44">
        <v>10982.04348598137</v>
      </c>
      <c r="J44">
        <v>13.045040011079013</v>
      </c>
      <c r="K44">
        <v>13337.248907327183</v>
      </c>
      <c r="L44">
        <v>17</v>
      </c>
      <c r="M44">
        <v>17380.8</v>
      </c>
      <c r="N44">
        <v>26</v>
      </c>
      <c r="O44">
        <v>26582.399999999998</v>
      </c>
      <c r="P44">
        <v>22</v>
      </c>
      <c r="Q44">
        <v>22492.799999999999</v>
      </c>
      <c r="R44">
        <v>13.690803687959857</v>
      </c>
      <c r="S44">
        <v>13997.477690570158</v>
      </c>
      <c r="T44">
        <v>27</v>
      </c>
      <c r="U44">
        <v>27604.799999999999</v>
      </c>
      <c r="V44">
        <v>12.775571770455025</v>
      </c>
      <c r="W44">
        <v>13061.744578113217</v>
      </c>
      <c r="X44">
        <v>16</v>
      </c>
      <c r="Y44">
        <v>16358.4</v>
      </c>
      <c r="Z44">
        <v>17</v>
      </c>
      <c r="AA44">
        <v>17380.8</v>
      </c>
      <c r="AB44">
        <v>28</v>
      </c>
      <c r="AC44">
        <v>28627.200000000001</v>
      </c>
      <c r="AD44">
        <v>24</v>
      </c>
      <c r="AE44">
        <v>24537.599999999999</v>
      </c>
      <c r="AF44">
        <v>15.564753055079347</v>
      </c>
      <c r="AG44">
        <v>15913.403523513123</v>
      </c>
      <c r="AH44">
        <v>23.00819976471227</v>
      </c>
      <c r="AI44">
        <v>23523.583439441823</v>
      </c>
      <c r="AJ44">
        <v>19</v>
      </c>
      <c r="AK44">
        <v>19425.599999999999</v>
      </c>
      <c r="AL44">
        <v>20.133703473953855</v>
      </c>
      <c r="AM44">
        <v>20584.698431770419</v>
      </c>
      <c r="AN44">
        <v>27</v>
      </c>
      <c r="AO44">
        <v>27604.799999999999</v>
      </c>
      <c r="AP44">
        <v>19</v>
      </c>
      <c r="AQ44">
        <v>19425.599999999999</v>
      </c>
      <c r="AR44">
        <v>28.205558066365342</v>
      </c>
      <c r="AS44">
        <v>28837.362567051925</v>
      </c>
      <c r="AT44">
        <v>11.922870836757905</v>
      </c>
      <c r="AU44">
        <v>12189.943143501283</v>
      </c>
      <c r="AV44">
        <v>16</v>
      </c>
      <c r="AW44">
        <v>16358.4</v>
      </c>
      <c r="AX44">
        <v>23.450605005320281</v>
      </c>
      <c r="AY44">
        <v>23975.898557439454</v>
      </c>
      <c r="AZ44">
        <v>11.413584177355386</v>
      </c>
      <c r="BA44">
        <v>11669.248462928146</v>
      </c>
      <c r="BB44">
        <v>20</v>
      </c>
      <c r="BC44">
        <v>20448</v>
      </c>
      <c r="BD44">
        <v>19</v>
      </c>
      <c r="BE44">
        <v>19425.599999999999</v>
      </c>
      <c r="BF44">
        <v>26</v>
      </c>
      <c r="BG44">
        <v>26582.399999999998</v>
      </c>
      <c r="BH44">
        <v>16.161006749502096</v>
      </c>
      <c r="BI44">
        <v>16523.013300690942</v>
      </c>
      <c r="BJ44">
        <v>16.001267843512185</v>
      </c>
      <c r="BK44">
        <v>16359.696243206858</v>
      </c>
      <c r="BL44">
        <v>24</v>
      </c>
      <c r="BM44">
        <v>24537.599999999999</v>
      </c>
      <c r="BN44">
        <v>13.834850290611376</v>
      </c>
      <c r="BO44">
        <v>14144.750937121071</v>
      </c>
      <c r="BP44">
        <v>19</v>
      </c>
      <c r="BQ44">
        <v>19425.599999999999</v>
      </c>
      <c r="BR44">
        <v>11.976950954003696</v>
      </c>
      <c r="BS44">
        <v>12245.234655373379</v>
      </c>
      <c r="BT44">
        <v>12.844892726083513</v>
      </c>
      <c r="BU44">
        <v>13132.618323147783</v>
      </c>
      <c r="BV44">
        <v>16.147154970127126</v>
      </c>
      <c r="BW44">
        <v>16508.851241457975</v>
      </c>
      <c r="BX44">
        <v>23.646245335894111</v>
      </c>
      <c r="BY44">
        <v>24175.921231418139</v>
      </c>
      <c r="BZ44">
        <v>23.327930494834</v>
      </c>
      <c r="CA44">
        <v>23850.476137918282</v>
      </c>
      <c r="CB44">
        <v>28.510706151769448</v>
      </c>
      <c r="CC44">
        <v>29149.345969569084</v>
      </c>
      <c r="CD44">
        <v>22.998604121796149</v>
      </c>
      <c r="CE44">
        <v>23513.772854124381</v>
      </c>
      <c r="CF44">
        <v>17.111500600657486</v>
      </c>
      <c r="CG44">
        <v>17494.798214112212</v>
      </c>
      <c r="CH44">
        <v>14.147846621194669</v>
      </c>
      <c r="CI44">
        <v>14464.758385509429</v>
      </c>
      <c r="CJ44">
        <v>6.6331584358699534</v>
      </c>
      <c r="CK44">
        <v>6781.7411848334405</v>
      </c>
      <c r="CL44">
        <v>29</v>
      </c>
      <c r="CM44">
        <v>29649.599999999999</v>
      </c>
      <c r="CN44">
        <v>15.822741494216592</v>
      </c>
      <c r="CO44">
        <v>16177.170903687043</v>
      </c>
      <c r="CP44">
        <v>12.874801084828363</v>
      </c>
      <c r="CQ44">
        <v>13163.196629128517</v>
      </c>
      <c r="CR44">
        <v>14.614644843829783</v>
      </c>
      <c r="CS44">
        <v>14942.01288833157</v>
      </c>
      <c r="CT44">
        <v>20.582838260627298</v>
      </c>
      <c r="CU44">
        <v>21043.89383766535</v>
      </c>
    </row>
    <row r="45" spans="2:99" x14ac:dyDescent="0.2">
      <c r="C45" s="119" t="s">
        <v>211</v>
      </c>
      <c r="D45">
        <v>12.839818865204551</v>
      </c>
      <c r="E45">
        <v>16039.501726413526</v>
      </c>
      <c r="F45">
        <v>24</v>
      </c>
      <c r="G45">
        <v>29980.800000000003</v>
      </c>
      <c r="H45">
        <v>9.3092439565569798</v>
      </c>
      <c r="I45">
        <v>11629.10755053098</v>
      </c>
      <c r="J45">
        <v>12.477864358423405</v>
      </c>
      <c r="K45">
        <v>15587.348156542517</v>
      </c>
      <c r="L45">
        <v>16</v>
      </c>
      <c r="M45">
        <v>19987.2</v>
      </c>
      <c r="N45">
        <v>26</v>
      </c>
      <c r="O45">
        <v>32479.200000000001</v>
      </c>
      <c r="P45">
        <v>21</v>
      </c>
      <c r="Q45">
        <v>26233.200000000001</v>
      </c>
      <c r="R45">
        <v>13.690803687959857</v>
      </c>
      <c r="S45">
        <v>17102.551966999454</v>
      </c>
      <c r="T45">
        <v>24</v>
      </c>
      <c r="U45">
        <v>29980.800000000003</v>
      </c>
      <c r="V45">
        <v>14.600653451948601</v>
      </c>
      <c r="W45">
        <v>18239.136292174193</v>
      </c>
      <c r="X45">
        <v>14</v>
      </c>
      <c r="Y45">
        <v>17488.8</v>
      </c>
      <c r="Z45">
        <v>18</v>
      </c>
      <c r="AA45">
        <v>22485.600000000002</v>
      </c>
      <c r="AB45">
        <v>29</v>
      </c>
      <c r="AC45">
        <v>36226.800000000003</v>
      </c>
      <c r="AD45">
        <v>24</v>
      </c>
      <c r="AE45">
        <v>29980.800000000003</v>
      </c>
      <c r="AF45">
        <v>15.564753055079347</v>
      </c>
      <c r="AG45">
        <v>19443.48951640512</v>
      </c>
      <c r="AH45">
        <v>21.474319780398119</v>
      </c>
      <c r="AI45">
        <v>26825.720269673333</v>
      </c>
      <c r="AJ45">
        <v>21</v>
      </c>
      <c r="AK45">
        <v>26233.200000000001</v>
      </c>
      <c r="AL45">
        <v>20.93905161291201</v>
      </c>
      <c r="AM45">
        <v>26157.063274849683</v>
      </c>
      <c r="AN45">
        <v>27</v>
      </c>
      <c r="AO45">
        <v>33728.400000000001</v>
      </c>
      <c r="AP45">
        <v>18</v>
      </c>
      <c r="AQ45">
        <v>22485.600000000002</v>
      </c>
      <c r="AR45">
        <v>30.150768967493985</v>
      </c>
      <c r="AS45">
        <v>37664.340594193491</v>
      </c>
      <c r="AT45">
        <v>11.221525493419206</v>
      </c>
      <c r="AU45">
        <v>14017.929646379273</v>
      </c>
      <c r="AV45">
        <v>17</v>
      </c>
      <c r="AW45">
        <v>21236.400000000001</v>
      </c>
      <c r="AX45">
        <v>27.058390390754173</v>
      </c>
      <c r="AY45">
        <v>33801.341276130115</v>
      </c>
      <c r="AZ45">
        <v>11.413584177355386</v>
      </c>
      <c r="BA45">
        <v>14257.849354352349</v>
      </c>
      <c r="BB45">
        <v>21</v>
      </c>
      <c r="BC45">
        <v>26233.200000000001</v>
      </c>
      <c r="BD45">
        <v>20</v>
      </c>
      <c r="BE45">
        <v>24984</v>
      </c>
      <c r="BF45">
        <v>26</v>
      </c>
      <c r="BG45">
        <v>32479.200000000001</v>
      </c>
      <c r="BH45">
        <v>14.053049347393127</v>
      </c>
      <c r="BI45">
        <v>17555.069244763494</v>
      </c>
      <c r="BJ45">
        <v>16.001267843512185</v>
      </c>
      <c r="BK45">
        <v>19988.783790115423</v>
      </c>
      <c r="BL45">
        <v>22</v>
      </c>
      <c r="BM45">
        <v>27482.400000000001</v>
      </c>
      <c r="BN45">
        <v>14.347252153226613</v>
      </c>
      <c r="BO45">
        <v>17922.587389810684</v>
      </c>
      <c r="BP45">
        <v>20</v>
      </c>
      <c r="BQ45">
        <v>24984</v>
      </c>
      <c r="BR45">
        <v>13.573877747870853</v>
      </c>
      <c r="BS45">
        <v>16956.48808264027</v>
      </c>
      <c r="BT45">
        <v>12.844892726083513</v>
      </c>
      <c r="BU45">
        <v>16045.839993423526</v>
      </c>
      <c r="BV45">
        <v>14.855382572516955</v>
      </c>
      <c r="BW45">
        <v>18557.34390958818</v>
      </c>
      <c r="BX45">
        <v>21.827303386979182</v>
      </c>
      <c r="BY45">
        <v>27266.667391014395</v>
      </c>
      <c r="BZ45">
        <v>20.73593821763022</v>
      </c>
      <c r="CA45">
        <v>25903.334021463674</v>
      </c>
      <c r="CB45">
        <v>27.52757835343257</v>
      </c>
      <c r="CC45">
        <v>34387.450879107972</v>
      </c>
      <c r="CD45">
        <v>22.998604121796149</v>
      </c>
      <c r="CE45">
        <v>28729.856268947751</v>
      </c>
      <c r="CF45">
        <v>17.855478887642597</v>
      </c>
      <c r="CG45">
        <v>22305.064226443134</v>
      </c>
      <c r="CH45">
        <v>15.091036395940979</v>
      </c>
      <c r="CI45">
        <v>18851.72266580947</v>
      </c>
      <c r="CJ45">
        <v>6.6331584358699534</v>
      </c>
      <c r="CK45">
        <v>8286.1415180887452</v>
      </c>
      <c r="CL45">
        <v>26</v>
      </c>
      <c r="CM45">
        <v>32479.200000000001</v>
      </c>
      <c r="CN45">
        <v>15.277129718553951</v>
      </c>
      <c r="CO45">
        <v>19084.190444417596</v>
      </c>
      <c r="CP45">
        <v>13.411251130029544</v>
      </c>
      <c r="CQ45">
        <v>16753.334911632908</v>
      </c>
      <c r="CR45">
        <v>15.588954500085103</v>
      </c>
      <c r="CS45">
        <v>19473.721961506311</v>
      </c>
      <c r="CT45">
        <v>19.254913211554566</v>
      </c>
      <c r="CU45">
        <v>24053.237583873964</v>
      </c>
    </row>
    <row r="46" spans="2:99" x14ac:dyDescent="0.2">
      <c r="C46" s="119" t="s">
        <v>212</v>
      </c>
      <c r="D46">
        <v>11.413172324626268</v>
      </c>
      <c r="E46">
        <v>13832.764857447037</v>
      </c>
      <c r="F46">
        <v>24</v>
      </c>
      <c r="G46">
        <v>29088</v>
      </c>
      <c r="H46">
        <v>11.099483178971784</v>
      </c>
      <c r="I46">
        <v>13452.573612913802</v>
      </c>
      <c r="J46">
        <v>11.910688705767793</v>
      </c>
      <c r="K46">
        <v>14435.754711390566</v>
      </c>
      <c r="L46">
        <v>18</v>
      </c>
      <c r="M46">
        <v>21816</v>
      </c>
      <c r="N46">
        <v>26</v>
      </c>
      <c r="O46">
        <v>31512</v>
      </c>
      <c r="P46">
        <v>22</v>
      </c>
      <c r="Q46">
        <v>26664</v>
      </c>
      <c r="R46">
        <v>14.49614508136926</v>
      </c>
      <c r="S46">
        <v>17569.327838619542</v>
      </c>
      <c r="T46">
        <v>25</v>
      </c>
      <c r="U46">
        <v>30300</v>
      </c>
      <c r="V46">
        <v>13.688112611201815</v>
      </c>
      <c r="W46">
        <v>16589.992484776598</v>
      </c>
      <c r="X46">
        <v>15</v>
      </c>
      <c r="Y46">
        <v>18180</v>
      </c>
      <c r="Z46">
        <v>17</v>
      </c>
      <c r="AA46">
        <v>20604</v>
      </c>
      <c r="AB46">
        <v>25</v>
      </c>
      <c r="AC46">
        <v>30300</v>
      </c>
      <c r="AD46">
        <v>25</v>
      </c>
      <c r="AE46">
        <v>30300</v>
      </c>
      <c r="AF46">
        <v>14.745555525864644</v>
      </c>
      <c r="AG46">
        <v>17871.613297347947</v>
      </c>
      <c r="AH46">
        <v>21.474319780398119</v>
      </c>
      <c r="AI46">
        <v>26026.875573842521</v>
      </c>
      <c r="AJ46">
        <v>21</v>
      </c>
      <c r="AK46">
        <v>25452</v>
      </c>
      <c r="AL46">
        <v>19.328355334995702</v>
      </c>
      <c r="AM46">
        <v>23425.966666014792</v>
      </c>
      <c r="AN46">
        <v>27</v>
      </c>
      <c r="AO46">
        <v>32724</v>
      </c>
      <c r="AP46">
        <v>17</v>
      </c>
      <c r="AQ46">
        <v>20604</v>
      </c>
      <c r="AR46">
        <v>30.150768967493985</v>
      </c>
      <c r="AS46">
        <v>36542.731988602711</v>
      </c>
      <c r="AT46">
        <v>11.221525493419206</v>
      </c>
      <c r="AU46">
        <v>13600.488898024078</v>
      </c>
      <c r="AV46">
        <v>16</v>
      </c>
      <c r="AW46">
        <v>19392</v>
      </c>
      <c r="AX46">
        <v>27.058390390754173</v>
      </c>
      <c r="AY46">
        <v>32794.769153594061</v>
      </c>
      <c r="AZ46">
        <v>11.413584177355386</v>
      </c>
      <c r="BA46">
        <v>13833.264022954727</v>
      </c>
      <c r="BB46">
        <v>20</v>
      </c>
      <c r="BC46">
        <v>24240</v>
      </c>
      <c r="BD46">
        <v>17</v>
      </c>
      <c r="BE46">
        <v>20604</v>
      </c>
      <c r="BF46">
        <v>24</v>
      </c>
      <c r="BG46">
        <v>29088</v>
      </c>
      <c r="BH46">
        <v>15.458354282132438</v>
      </c>
      <c r="BI46">
        <v>18735.525389944516</v>
      </c>
      <c r="BJ46">
        <v>16.001267843512185</v>
      </c>
      <c r="BK46">
        <v>19393.536626336769</v>
      </c>
      <c r="BL46">
        <v>21</v>
      </c>
      <c r="BM46">
        <v>25452</v>
      </c>
      <c r="BN46">
        <v>13.322448427996139</v>
      </c>
      <c r="BO46">
        <v>16146.807494731322</v>
      </c>
      <c r="BP46">
        <v>19</v>
      </c>
      <c r="BQ46">
        <v>23028</v>
      </c>
      <c r="BR46">
        <v>11.976950954003696</v>
      </c>
      <c r="BS46">
        <v>14516.064556252479</v>
      </c>
      <c r="BT46">
        <v>13.558497877532599</v>
      </c>
      <c r="BU46">
        <v>16432.899427569511</v>
      </c>
      <c r="BV46">
        <v>14.20949637371187</v>
      </c>
      <c r="BW46">
        <v>17221.909604938788</v>
      </c>
      <c r="BX46">
        <v>25.465187284809044</v>
      </c>
      <c r="BY46">
        <v>30863.806989188561</v>
      </c>
      <c r="BZ46">
        <v>20.73593821763022</v>
      </c>
      <c r="CA46">
        <v>25131.957119767827</v>
      </c>
      <c r="CB46">
        <v>27.52757835343257</v>
      </c>
      <c r="CC46">
        <v>33363.424964360274</v>
      </c>
      <c r="CD46">
        <v>21.355846684524998</v>
      </c>
      <c r="CE46">
        <v>25883.286181644296</v>
      </c>
      <c r="CF46">
        <v>17.111500600657486</v>
      </c>
      <c r="CG46">
        <v>20739.138727996873</v>
      </c>
      <c r="CH46">
        <v>16.03422617068729</v>
      </c>
      <c r="CI46">
        <v>19433.482118872995</v>
      </c>
      <c r="CJ46">
        <v>7.1859216388591172</v>
      </c>
      <c r="CK46">
        <v>8709.3370262972494</v>
      </c>
      <c r="CL46">
        <v>26</v>
      </c>
      <c r="CM46">
        <v>31512</v>
      </c>
      <c r="CN46">
        <v>14.185906167228667</v>
      </c>
      <c r="CO46">
        <v>17193.318274681144</v>
      </c>
      <c r="CP46">
        <v>11.265450949224817</v>
      </c>
      <c r="CQ46">
        <v>13653.726550460478</v>
      </c>
      <c r="CR46">
        <v>15.588954500085103</v>
      </c>
      <c r="CS46">
        <v>18893.812854103144</v>
      </c>
      <c r="CT46">
        <v>19.918875736090932</v>
      </c>
      <c r="CU46">
        <v>24141.67739214221</v>
      </c>
    </row>
    <row r="47" spans="2:99" x14ac:dyDescent="0.2">
      <c r="C47" s="119" t="s">
        <v>213</v>
      </c>
      <c r="D47">
        <v>11.413172324626268</v>
      </c>
      <c r="E47">
        <v>17434.762043099086</v>
      </c>
      <c r="F47">
        <v>24</v>
      </c>
      <c r="G47">
        <v>36662.399999999994</v>
      </c>
      <c r="H47">
        <v>10.383387490005862</v>
      </c>
      <c r="I47">
        <v>15861.662729732954</v>
      </c>
      <c r="J47">
        <v>13.612215663734624</v>
      </c>
      <c r="K47">
        <v>20794.02064792101</v>
      </c>
      <c r="L47">
        <v>17</v>
      </c>
      <c r="M47">
        <v>25969.199999999997</v>
      </c>
      <c r="N47">
        <v>23</v>
      </c>
      <c r="O47">
        <v>35134.799999999996</v>
      </c>
      <c r="P47">
        <v>21</v>
      </c>
      <c r="Q47">
        <v>32079.599999999999</v>
      </c>
      <c r="R47">
        <v>12.885462294550454</v>
      </c>
      <c r="S47">
        <v>19683.832201155274</v>
      </c>
      <c r="T47">
        <v>28</v>
      </c>
      <c r="U47">
        <v>42772.799999999996</v>
      </c>
      <c r="V47">
        <v>13.688112611201815</v>
      </c>
      <c r="W47">
        <v>20909.960824871891</v>
      </c>
      <c r="X47">
        <v>15</v>
      </c>
      <c r="Y47">
        <v>22914</v>
      </c>
      <c r="Z47">
        <v>18</v>
      </c>
      <c r="AA47">
        <v>27496.799999999999</v>
      </c>
      <c r="AB47">
        <v>28</v>
      </c>
      <c r="AC47">
        <v>42772.799999999996</v>
      </c>
      <c r="AD47">
        <v>24</v>
      </c>
      <c r="AE47">
        <v>36662.399999999994</v>
      </c>
      <c r="AF47">
        <v>16.383950584294048</v>
      </c>
      <c r="AG47">
        <v>25028.122912567585</v>
      </c>
      <c r="AH47">
        <v>17.63961981961274</v>
      </c>
      <c r="AI47">
        <v>26946.28323644042</v>
      </c>
      <c r="AJ47">
        <v>21</v>
      </c>
      <c r="AK47">
        <v>32079.599999999999</v>
      </c>
      <c r="AL47">
        <v>20.93905161291201</v>
      </c>
      <c r="AM47">
        <v>31986.495243884383</v>
      </c>
      <c r="AN47">
        <v>25</v>
      </c>
      <c r="AO47">
        <v>38190</v>
      </c>
      <c r="AP47">
        <v>17</v>
      </c>
      <c r="AQ47">
        <v>25969.199999999997</v>
      </c>
      <c r="AR47">
        <v>29.178163516929661</v>
      </c>
      <c r="AS47">
        <v>44572.562588461748</v>
      </c>
      <c r="AT47">
        <v>11.221525493419206</v>
      </c>
      <c r="AU47">
        <v>17142.002343747179</v>
      </c>
      <c r="AV47">
        <v>17</v>
      </c>
      <c r="AW47">
        <v>25969.199999999997</v>
      </c>
      <c r="AX47">
        <v>23.450605005320281</v>
      </c>
      <c r="AY47">
        <v>35823.144206127261</v>
      </c>
      <c r="AZ47">
        <v>10.700235166270675</v>
      </c>
      <c r="BA47">
        <v>16345.679239995081</v>
      </c>
      <c r="BB47">
        <v>19</v>
      </c>
      <c r="BC47">
        <v>29024.399999999998</v>
      </c>
      <c r="BD47">
        <v>18</v>
      </c>
      <c r="BE47">
        <v>27496.799999999999</v>
      </c>
      <c r="BF47">
        <v>23</v>
      </c>
      <c r="BG47">
        <v>35134.799999999996</v>
      </c>
      <c r="BH47">
        <v>16.161006749502096</v>
      </c>
      <c r="BI47">
        <v>24687.553910539402</v>
      </c>
      <c r="BJ47">
        <v>14.118765744275461</v>
      </c>
      <c r="BK47">
        <v>21567.826550955193</v>
      </c>
      <c r="BL47">
        <v>20</v>
      </c>
      <c r="BM47">
        <v>30552</v>
      </c>
      <c r="BN47">
        <v>12.810046565380903</v>
      </c>
      <c r="BO47">
        <v>19568.627133275866</v>
      </c>
      <c r="BP47">
        <v>18</v>
      </c>
      <c r="BQ47">
        <v>27496.799999999999</v>
      </c>
      <c r="BR47">
        <v>11.976950954003696</v>
      </c>
      <c r="BS47">
        <v>18295.990277336045</v>
      </c>
      <c r="BT47">
        <v>12.844892726083513</v>
      </c>
      <c r="BU47">
        <v>19621.858128365173</v>
      </c>
      <c r="BV47">
        <v>16.793041168932213</v>
      </c>
      <c r="BW47">
        <v>25653.049689660846</v>
      </c>
      <c r="BX47">
        <v>23.646245335894111</v>
      </c>
      <c r="BY47">
        <v>36122.004375111843</v>
      </c>
      <c r="BZ47">
        <v>20.73593821763022</v>
      </c>
      <c r="CA47">
        <v>31676.219221251922</v>
      </c>
      <c r="CB47">
        <v>28.510706151769448</v>
      </c>
      <c r="CC47">
        <v>43552.954717443004</v>
      </c>
      <c r="CD47">
        <v>21.355846684524998</v>
      </c>
      <c r="CE47">
        <v>32623.191395280384</v>
      </c>
      <c r="CF47">
        <v>17.855478887642597</v>
      </c>
      <c r="CG47">
        <v>27276.029548762832</v>
      </c>
      <c r="CH47">
        <v>16.03422617068729</v>
      </c>
      <c r="CI47">
        <v>24493.883898341905</v>
      </c>
      <c r="CJ47">
        <v>6.0803952328807904</v>
      </c>
      <c r="CK47">
        <v>9288.4117577486941</v>
      </c>
      <c r="CL47">
        <v>29</v>
      </c>
      <c r="CM47">
        <v>44300.399999999994</v>
      </c>
      <c r="CN47">
        <v>16.368353269879233</v>
      </c>
      <c r="CO47">
        <v>25004.296455067513</v>
      </c>
      <c r="CP47">
        <v>11.801900994425999</v>
      </c>
      <c r="CQ47">
        <v>18028.583959085154</v>
      </c>
      <c r="CR47">
        <v>15.588954500085103</v>
      </c>
      <c r="CS47">
        <v>23813.686894330003</v>
      </c>
      <c r="CT47">
        <v>17.926988162481841</v>
      </c>
      <c r="CU47">
        <v>27385.267117007257</v>
      </c>
    </row>
    <row r="48" spans="2:99" x14ac:dyDescent="0.2">
      <c r="C48" s="119" t="s">
        <v>214</v>
      </c>
      <c r="D48">
        <v>12.839818865204551</v>
      </c>
      <c r="E48">
        <v>11139.826847451468</v>
      </c>
      <c r="F48">
        <v>25</v>
      </c>
      <c r="G48">
        <v>21690</v>
      </c>
      <c r="H48">
        <v>10.025339645522902</v>
      </c>
      <c r="I48">
        <v>8697.9846764556696</v>
      </c>
      <c r="J48">
        <v>14.179391316390232</v>
      </c>
      <c r="K48">
        <v>12302.039906100166</v>
      </c>
      <c r="L48">
        <v>18</v>
      </c>
      <c r="M48">
        <v>15616.800000000001</v>
      </c>
      <c r="N48">
        <v>24</v>
      </c>
      <c r="O48">
        <v>20822.400000000001</v>
      </c>
      <c r="P48">
        <v>20</v>
      </c>
      <c r="Q48">
        <v>17352</v>
      </c>
      <c r="R48">
        <v>13.690803687959857</v>
      </c>
      <c r="S48">
        <v>11878.141279673971</v>
      </c>
      <c r="T48">
        <v>29</v>
      </c>
      <c r="U48">
        <v>25160.400000000001</v>
      </c>
      <c r="V48">
        <v>13.688112611201815</v>
      </c>
      <c r="W48">
        <v>11875.806501478695</v>
      </c>
      <c r="X48">
        <v>17</v>
      </c>
      <c r="Y48">
        <v>14749.2</v>
      </c>
      <c r="Z48">
        <v>18</v>
      </c>
      <c r="AA48">
        <v>15616.800000000001</v>
      </c>
      <c r="AB48">
        <v>27</v>
      </c>
      <c r="AC48">
        <v>23425.200000000001</v>
      </c>
      <c r="AD48">
        <v>22</v>
      </c>
      <c r="AE48">
        <v>19087.2</v>
      </c>
      <c r="AF48">
        <v>18.022345642723451</v>
      </c>
      <c r="AG48">
        <v>15636.187079626867</v>
      </c>
      <c r="AH48">
        <v>19.940439796083968</v>
      </c>
      <c r="AI48">
        <v>17300.325567082451</v>
      </c>
      <c r="AJ48">
        <v>21</v>
      </c>
      <c r="AK48">
        <v>18219.600000000002</v>
      </c>
      <c r="AL48">
        <v>22.549747890828318</v>
      </c>
      <c r="AM48">
        <v>19564.161270082648</v>
      </c>
      <c r="AN48">
        <v>25</v>
      </c>
      <c r="AO48">
        <v>21690</v>
      </c>
      <c r="AP48">
        <v>18</v>
      </c>
      <c r="AQ48">
        <v>15616.800000000001</v>
      </c>
      <c r="AR48">
        <v>29.178163516929661</v>
      </c>
      <c r="AS48">
        <v>25314.974667288174</v>
      </c>
      <c r="AT48">
        <v>10.520180150080504</v>
      </c>
      <c r="AU48">
        <v>9127.3082982098458</v>
      </c>
      <c r="AV48">
        <v>17</v>
      </c>
      <c r="AW48">
        <v>14749.2</v>
      </c>
      <c r="AX48">
        <v>28.862283083471116</v>
      </c>
      <c r="AY48">
        <v>25040.916803219541</v>
      </c>
      <c r="AZ48">
        <v>12.126933188440098</v>
      </c>
      <c r="BA48">
        <v>10521.327234290629</v>
      </c>
      <c r="BB48">
        <v>20</v>
      </c>
      <c r="BC48">
        <v>17352</v>
      </c>
      <c r="BD48">
        <v>17</v>
      </c>
      <c r="BE48">
        <v>14749.2</v>
      </c>
      <c r="BF48">
        <v>28</v>
      </c>
      <c r="BG48">
        <v>24292.799999999999</v>
      </c>
      <c r="BH48">
        <v>16.161006749502096</v>
      </c>
      <c r="BI48">
        <v>14021.28945586802</v>
      </c>
      <c r="BJ48">
        <v>16.001267843512185</v>
      </c>
      <c r="BK48">
        <v>13882.699981031172</v>
      </c>
      <c r="BL48">
        <v>26</v>
      </c>
      <c r="BM48">
        <v>22557.600000000002</v>
      </c>
      <c r="BN48">
        <v>15.372055878457083</v>
      </c>
      <c r="BO48">
        <v>13336.795680149366</v>
      </c>
      <c r="BP48">
        <v>21</v>
      </c>
      <c r="BQ48">
        <v>18219.600000000002</v>
      </c>
      <c r="BR48">
        <v>13.573877747870853</v>
      </c>
      <c r="BS48">
        <v>11776.696334052753</v>
      </c>
      <c r="BT48">
        <v>12.131287574634429</v>
      </c>
      <c r="BU48">
        <v>10525.105099752831</v>
      </c>
      <c r="BV48">
        <v>15.501268771322039</v>
      </c>
      <c r="BW48">
        <v>13448.900785999002</v>
      </c>
      <c r="BX48">
        <v>26.374658259266511</v>
      </c>
      <c r="BY48">
        <v>22882.653505739625</v>
      </c>
      <c r="BZ48">
        <v>20.73593821763022</v>
      </c>
      <c r="CA48">
        <v>17990.499997615982</v>
      </c>
      <c r="CB48">
        <v>30.476961748443202</v>
      </c>
      <c r="CC48">
        <v>26441.812012949322</v>
      </c>
      <c r="CD48">
        <v>22.177225403160573</v>
      </c>
      <c r="CE48">
        <v>19240.960759782112</v>
      </c>
      <c r="CF48">
        <v>17.855478887642597</v>
      </c>
      <c r="CG48">
        <v>15491.413482918719</v>
      </c>
      <c r="CH48">
        <v>16.03422617068729</v>
      </c>
      <c r="CI48">
        <v>13911.294625688293</v>
      </c>
      <c r="CJ48">
        <v>6.9095400373645361</v>
      </c>
      <c r="CK48">
        <v>5994.7169364174715</v>
      </c>
      <c r="CL48">
        <v>30</v>
      </c>
      <c r="CM48">
        <v>26028</v>
      </c>
      <c r="CN48">
        <v>15.822741494216592</v>
      </c>
      <c r="CO48">
        <v>13727.810520382316</v>
      </c>
      <c r="CP48">
        <v>12.874801084828363</v>
      </c>
      <c r="CQ48">
        <v>11170.177421197088</v>
      </c>
      <c r="CR48">
        <v>13.640335187574465</v>
      </c>
      <c r="CS48">
        <v>11834.354808739607</v>
      </c>
      <c r="CT48">
        <v>19.918875736090932</v>
      </c>
      <c r="CU48">
        <v>17281.616588632492</v>
      </c>
    </row>
    <row r="49" spans="2:99" x14ac:dyDescent="0.2">
      <c r="B49" s="119" t="s">
        <v>129</v>
      </c>
      <c r="C49" s="119" t="s">
        <v>215</v>
      </c>
      <c r="D49">
        <v>3.1822352302452894</v>
      </c>
      <c r="E49">
        <v>3135.1381488376587</v>
      </c>
      <c r="F49">
        <v>3.2722954386252918</v>
      </c>
      <c r="G49">
        <v>3223.8654661336373</v>
      </c>
      <c r="H49">
        <v>0</v>
      </c>
      <c r="I49">
        <v>0</v>
      </c>
      <c r="J49">
        <v>0</v>
      </c>
      <c r="K49">
        <v>0</v>
      </c>
      <c r="L49">
        <v>8.8918230827819347</v>
      </c>
      <c r="M49">
        <v>8760.2241011567621</v>
      </c>
      <c r="N49">
        <v>3.4057274293540223</v>
      </c>
      <c r="O49">
        <v>3355.3226633995823</v>
      </c>
      <c r="P49">
        <v>3.0055660721192132</v>
      </c>
      <c r="Q49">
        <v>2961.0836942518486</v>
      </c>
      <c r="R49">
        <v>2.9362036115603449</v>
      </c>
      <c r="S49">
        <v>2892.7477981092516</v>
      </c>
      <c r="T49">
        <v>2.252637966117979</v>
      </c>
      <c r="U49">
        <v>2219.2989242194326</v>
      </c>
      <c r="V49">
        <v>2.2457491649983519</v>
      </c>
      <c r="W49">
        <v>2212.5120773563763</v>
      </c>
      <c r="X49">
        <v>2.7548337827873675</v>
      </c>
      <c r="Y49">
        <v>2714.0622428021143</v>
      </c>
      <c r="Z49">
        <v>2.0951782509399743</v>
      </c>
      <c r="AA49">
        <v>2064.1696128260628</v>
      </c>
      <c r="AB49">
        <v>3.5764284591938038</v>
      </c>
      <c r="AC49">
        <v>3523.4973179977351</v>
      </c>
      <c r="AD49">
        <v>2.391078476042201</v>
      </c>
      <c r="AE49">
        <v>2355.6905145967762</v>
      </c>
      <c r="AF49">
        <v>3.5087463766795497</v>
      </c>
      <c r="AG49">
        <v>3456.8169303046921</v>
      </c>
      <c r="AH49">
        <v>1.7042109169829265</v>
      </c>
      <c r="AI49">
        <v>1678.9885954115791</v>
      </c>
      <c r="AJ49">
        <v>2.9800115006847694</v>
      </c>
      <c r="AK49">
        <v>2935.9073304746348</v>
      </c>
      <c r="AL49">
        <v>0</v>
      </c>
      <c r="AM49">
        <v>0</v>
      </c>
      <c r="AN49">
        <v>3.1836415185887041</v>
      </c>
      <c r="AO49">
        <v>3136.5236241135913</v>
      </c>
      <c r="AP49">
        <v>2.1418832661171781</v>
      </c>
      <c r="AQ49">
        <v>2110.1833937786437</v>
      </c>
      <c r="AR49">
        <v>2.4236302869784194</v>
      </c>
      <c r="AS49">
        <v>2387.7605587311386</v>
      </c>
      <c r="AT49">
        <v>2.334477674242156</v>
      </c>
      <c r="AU49">
        <v>2299.9274046633718</v>
      </c>
      <c r="AV49">
        <v>1.9483742755665872</v>
      </c>
      <c r="AW49">
        <v>1919.5383362882014</v>
      </c>
      <c r="AX49">
        <v>2.8760834606571581</v>
      </c>
      <c r="AY49">
        <v>2833.5174254394319</v>
      </c>
      <c r="AZ49">
        <v>0</v>
      </c>
      <c r="BA49">
        <v>0</v>
      </c>
      <c r="BB49">
        <v>3.975653394185017</v>
      </c>
      <c r="BC49">
        <v>3916.8137239510784</v>
      </c>
      <c r="BD49">
        <v>3.0267283954846409</v>
      </c>
      <c r="BE49">
        <v>2981.9328152314679</v>
      </c>
      <c r="BF49">
        <v>1.7304969465507865</v>
      </c>
      <c r="BG49">
        <v>1704.8855917418348</v>
      </c>
      <c r="BH49">
        <v>2.4781551528272026</v>
      </c>
      <c r="BI49">
        <v>2441.4784565653599</v>
      </c>
      <c r="BJ49">
        <v>2.8339989462786725</v>
      </c>
      <c r="BK49">
        <v>2792.055761873748</v>
      </c>
      <c r="BL49">
        <v>2.2785992192735938</v>
      </c>
      <c r="BM49">
        <v>2244.8759508283442</v>
      </c>
      <c r="BN49">
        <v>2.8244614498248501</v>
      </c>
      <c r="BO49">
        <v>2782.6594203674422</v>
      </c>
      <c r="BP49">
        <v>2.6539369915446085</v>
      </c>
      <c r="BQ49">
        <v>2614.6587240697481</v>
      </c>
      <c r="BR49">
        <v>2.3926515539869659</v>
      </c>
      <c r="BS49">
        <v>2357.2403109879588</v>
      </c>
      <c r="BT49">
        <v>2.6744043719421247</v>
      </c>
      <c r="BU49">
        <v>2634.8231872373808</v>
      </c>
      <c r="BV49">
        <v>2.9737509723219859</v>
      </c>
      <c r="BW49">
        <v>2929.7394579316201</v>
      </c>
      <c r="BX49">
        <v>1.4944240475263757</v>
      </c>
      <c r="BY49">
        <v>1472.3065716229853</v>
      </c>
      <c r="BZ49">
        <v>1.816339364613393</v>
      </c>
      <c r="CA49">
        <v>1789.4575420171145</v>
      </c>
      <c r="CB49">
        <v>2.7085660745208338</v>
      </c>
      <c r="CC49">
        <v>2668.4792966179252</v>
      </c>
      <c r="CD49">
        <v>3.1064296825484816</v>
      </c>
      <c r="CE49">
        <v>3060.454523246764</v>
      </c>
      <c r="CF49">
        <v>2.6917032359262265</v>
      </c>
      <c r="CG49">
        <v>2651.866028034518</v>
      </c>
      <c r="CH49">
        <v>3.1183013883416608</v>
      </c>
      <c r="CI49">
        <v>3072.1505277942042</v>
      </c>
      <c r="CJ49">
        <v>1.85013172488527</v>
      </c>
      <c r="CK49">
        <v>1822.7497753569678</v>
      </c>
      <c r="CL49">
        <v>3.1293749017945784</v>
      </c>
      <c r="CM49">
        <v>3083.0601532480187</v>
      </c>
      <c r="CN49">
        <v>1.5475018671454159</v>
      </c>
      <c r="CO49">
        <v>1524.5988395116638</v>
      </c>
      <c r="CP49">
        <v>3.2508188444199249</v>
      </c>
      <c r="CQ49">
        <v>3202.7067255225097</v>
      </c>
      <c r="CR49">
        <v>1.9546846233431601</v>
      </c>
      <c r="CS49">
        <v>1925.7552909176811</v>
      </c>
      <c r="CT49">
        <v>1.570976224523351</v>
      </c>
      <c r="CU49">
        <v>1547.7257764004053</v>
      </c>
    </row>
    <row r="50" spans="2:99" x14ac:dyDescent="0.2">
      <c r="C50" s="119" t="s">
        <v>216</v>
      </c>
      <c r="D50">
        <v>7.6087815497508453</v>
      </c>
      <c r="E50">
        <v>2145.6763970297384</v>
      </c>
      <c r="F50">
        <v>23</v>
      </c>
      <c r="G50">
        <v>6486</v>
      </c>
      <c r="H50">
        <v>7.5190047341421771</v>
      </c>
      <c r="I50">
        <v>2120.3593350280939</v>
      </c>
      <c r="J50">
        <v>9.0748104424897491</v>
      </c>
      <c r="K50">
        <v>2559.096544782109</v>
      </c>
      <c r="L50">
        <v>18</v>
      </c>
      <c r="M50">
        <v>5076</v>
      </c>
      <c r="N50">
        <v>16</v>
      </c>
      <c r="O50">
        <v>4512</v>
      </c>
      <c r="P50">
        <v>18</v>
      </c>
      <c r="Q50">
        <v>5076</v>
      </c>
      <c r="R50">
        <v>15.301486474778661</v>
      </c>
      <c r="S50">
        <v>4315.0191858875824</v>
      </c>
      <c r="T50">
        <v>12</v>
      </c>
      <c r="U50">
        <v>3384</v>
      </c>
      <c r="V50">
        <v>13.688112611201815</v>
      </c>
      <c r="W50">
        <v>3860.0477563589116</v>
      </c>
      <c r="X50">
        <v>16</v>
      </c>
      <c r="Y50">
        <v>4512</v>
      </c>
      <c r="Z50">
        <v>13</v>
      </c>
      <c r="AA50">
        <v>3666</v>
      </c>
      <c r="AB50">
        <v>18</v>
      </c>
      <c r="AC50">
        <v>5076</v>
      </c>
      <c r="AD50">
        <v>19</v>
      </c>
      <c r="AE50">
        <v>5358</v>
      </c>
      <c r="AF50">
        <v>15.564753055079347</v>
      </c>
      <c r="AG50">
        <v>4389.260361532376</v>
      </c>
      <c r="AH50">
        <v>9.9702198980419841</v>
      </c>
      <c r="AI50">
        <v>2811.6020112478395</v>
      </c>
      <c r="AJ50">
        <v>15</v>
      </c>
      <c r="AK50">
        <v>4230</v>
      </c>
      <c r="AL50">
        <v>10.469525806456005</v>
      </c>
      <c r="AM50">
        <v>2952.4062774205936</v>
      </c>
      <c r="AN50">
        <v>11</v>
      </c>
      <c r="AO50">
        <v>3102</v>
      </c>
      <c r="AP50">
        <v>16</v>
      </c>
      <c r="AQ50">
        <v>4512</v>
      </c>
      <c r="AR50">
        <v>20.424714461850762</v>
      </c>
      <c r="AS50">
        <v>5759.7694782419148</v>
      </c>
      <c r="AT50">
        <v>11.221525493419206</v>
      </c>
      <c r="AU50">
        <v>3164.470189144216</v>
      </c>
      <c r="AV50">
        <v>11</v>
      </c>
      <c r="AW50">
        <v>3102</v>
      </c>
      <c r="AX50">
        <v>16.235034234452502</v>
      </c>
      <c r="AY50">
        <v>4578.2796541156058</v>
      </c>
      <c r="AZ50">
        <v>11.413584177355386</v>
      </c>
      <c r="BA50">
        <v>3218.6307380142189</v>
      </c>
      <c r="BB50">
        <v>15</v>
      </c>
      <c r="BC50">
        <v>4230</v>
      </c>
      <c r="BD50">
        <v>20</v>
      </c>
      <c r="BE50">
        <v>5640</v>
      </c>
      <c r="BF50">
        <v>13</v>
      </c>
      <c r="BG50">
        <v>3666</v>
      </c>
      <c r="BH50">
        <v>14.053049347393127</v>
      </c>
      <c r="BI50">
        <v>3962.9599159648619</v>
      </c>
      <c r="BJ50">
        <v>15.060016793893825</v>
      </c>
      <c r="BK50">
        <v>4246.9247358780585</v>
      </c>
      <c r="BL50">
        <v>16</v>
      </c>
      <c r="BM50">
        <v>4512</v>
      </c>
      <c r="BN50">
        <v>9.2232335270742514</v>
      </c>
      <c r="BO50">
        <v>2600.9518546349391</v>
      </c>
      <c r="BP50">
        <v>18</v>
      </c>
      <c r="BQ50">
        <v>5076</v>
      </c>
      <c r="BR50">
        <v>10.380024160136534</v>
      </c>
      <c r="BS50">
        <v>2927.1668131585025</v>
      </c>
      <c r="BT50">
        <v>14.272103028981681</v>
      </c>
      <c r="BU50">
        <v>4024.7330541728338</v>
      </c>
      <c r="BV50">
        <v>12.271837777296616</v>
      </c>
      <c r="BW50">
        <v>3460.6582531976455</v>
      </c>
      <c r="BX50">
        <v>10.004180719032124</v>
      </c>
      <c r="BY50">
        <v>2821.1789627670591</v>
      </c>
      <c r="BZ50">
        <v>11.231966534549704</v>
      </c>
      <c r="CA50">
        <v>3167.4145627430166</v>
      </c>
      <c r="CB50">
        <v>14.746916975053162</v>
      </c>
      <c r="CC50">
        <v>4158.6305869649914</v>
      </c>
      <c r="CD50">
        <v>17.248953091347115</v>
      </c>
      <c r="CE50">
        <v>4864.2047717598862</v>
      </c>
      <c r="CF50">
        <v>12.647630878746838</v>
      </c>
      <c r="CG50">
        <v>3566.6319078066085</v>
      </c>
      <c r="CH50">
        <v>15.091036395940979</v>
      </c>
      <c r="CI50">
        <v>4255.6722636553559</v>
      </c>
      <c r="CJ50">
        <v>3.5929608194295586</v>
      </c>
      <c r="CK50">
        <v>1013.2149510791355</v>
      </c>
      <c r="CL50">
        <v>21</v>
      </c>
      <c r="CM50">
        <v>5922</v>
      </c>
      <c r="CN50">
        <v>6.0017295322890511</v>
      </c>
      <c r="CO50">
        <v>1692.4877281055124</v>
      </c>
      <c r="CP50">
        <v>11.265450949224817</v>
      </c>
      <c r="CQ50">
        <v>3176.8571676813986</v>
      </c>
      <c r="CR50">
        <v>14.614644843829783</v>
      </c>
      <c r="CS50">
        <v>4121.3298459599991</v>
      </c>
      <c r="CT50">
        <v>8.6315128189727375</v>
      </c>
      <c r="CU50">
        <v>2434.0866149503117</v>
      </c>
    </row>
    <row r="51" spans="2:99" x14ac:dyDescent="0.2">
      <c r="C51" s="119" t="s">
        <v>217</v>
      </c>
      <c r="D51">
        <v>6.6576838560319898</v>
      </c>
      <c r="E51">
        <v>5688.3250865937316</v>
      </c>
      <c r="F51">
        <v>21</v>
      </c>
      <c r="G51">
        <v>17942.399999999998</v>
      </c>
      <c r="H51">
        <v>7.1609568896592153</v>
      </c>
      <c r="I51">
        <v>6118.3215665248335</v>
      </c>
      <c r="J51">
        <v>8.5076347898341407</v>
      </c>
      <c r="K51">
        <v>7268.9231644342899</v>
      </c>
      <c r="L51">
        <v>17</v>
      </c>
      <c r="M51">
        <v>14524.8</v>
      </c>
      <c r="N51">
        <v>15</v>
      </c>
      <c r="O51">
        <v>12816</v>
      </c>
      <c r="P51">
        <v>18</v>
      </c>
      <c r="Q51">
        <v>15379.199999999999</v>
      </c>
      <c r="R51">
        <v>13.690803687959857</v>
      </c>
      <c r="S51">
        <v>11697.422670992901</v>
      </c>
      <c r="T51">
        <v>12</v>
      </c>
      <c r="U51">
        <v>10252.799999999999</v>
      </c>
      <c r="V51">
        <v>14.600653451948601</v>
      </c>
      <c r="W51">
        <v>12474.798309344884</v>
      </c>
      <c r="X51">
        <v>15</v>
      </c>
      <c r="Y51">
        <v>12816</v>
      </c>
      <c r="Z51">
        <v>12</v>
      </c>
      <c r="AA51">
        <v>10252.799999999999</v>
      </c>
      <c r="AB51">
        <v>17</v>
      </c>
      <c r="AC51">
        <v>14524.8</v>
      </c>
      <c r="AD51">
        <v>19</v>
      </c>
      <c r="AE51">
        <v>16233.6</v>
      </c>
      <c r="AF51">
        <v>13.107160467435239</v>
      </c>
      <c r="AG51">
        <v>11198.757903376669</v>
      </c>
      <c r="AH51">
        <v>9.2032799058849086</v>
      </c>
      <c r="AI51">
        <v>7863.2823515880655</v>
      </c>
      <c r="AJ51">
        <v>13</v>
      </c>
      <c r="AK51">
        <v>11107.199999999999</v>
      </c>
      <c r="AL51">
        <v>10.469525806456005</v>
      </c>
      <c r="AM51">
        <v>8945.1628490360108</v>
      </c>
      <c r="AN51">
        <v>10</v>
      </c>
      <c r="AO51">
        <v>8544</v>
      </c>
      <c r="AP51">
        <v>16</v>
      </c>
      <c r="AQ51">
        <v>13670.4</v>
      </c>
      <c r="AR51">
        <v>18.479503560722119</v>
      </c>
      <c r="AS51">
        <v>15788.887842280978</v>
      </c>
      <c r="AT51">
        <v>10.520180150080504</v>
      </c>
      <c r="AU51">
        <v>8988.4419202287827</v>
      </c>
      <c r="AV51">
        <v>12</v>
      </c>
      <c r="AW51">
        <v>10252.799999999999</v>
      </c>
      <c r="AX51">
        <v>15.333087888094031</v>
      </c>
      <c r="AY51">
        <v>13100.590291587539</v>
      </c>
      <c r="AZ51">
        <v>9.986886155185962</v>
      </c>
      <c r="BA51">
        <v>8532.7955309908866</v>
      </c>
      <c r="BB51">
        <v>14</v>
      </c>
      <c r="BC51">
        <v>11961.6</v>
      </c>
      <c r="BD51">
        <v>16</v>
      </c>
      <c r="BE51">
        <v>13670.4</v>
      </c>
      <c r="BF51">
        <v>11</v>
      </c>
      <c r="BG51">
        <v>9398.4</v>
      </c>
      <c r="BH51">
        <v>13.350396880023471</v>
      </c>
      <c r="BI51">
        <v>11406.579094292054</v>
      </c>
      <c r="BJ51">
        <v>12.236263645038731</v>
      </c>
      <c r="BK51">
        <v>10454.663658321091</v>
      </c>
      <c r="BL51">
        <v>13</v>
      </c>
      <c r="BM51">
        <v>11107.199999999999</v>
      </c>
      <c r="BN51">
        <v>9.2232335270742514</v>
      </c>
      <c r="BO51">
        <v>7880.3307255322397</v>
      </c>
      <c r="BP51">
        <v>16</v>
      </c>
      <c r="BQ51">
        <v>13670.4</v>
      </c>
      <c r="BR51">
        <v>9.5815607632029565</v>
      </c>
      <c r="BS51">
        <v>8186.4855160806055</v>
      </c>
      <c r="BT51">
        <v>12.844892726083513</v>
      </c>
      <c r="BU51">
        <v>10974.676345165753</v>
      </c>
      <c r="BV51">
        <v>10.980065379686446</v>
      </c>
      <c r="BW51">
        <v>9381.3678604040997</v>
      </c>
      <c r="BX51">
        <v>10.004180719032124</v>
      </c>
      <c r="BY51">
        <v>8547.5720063410463</v>
      </c>
      <c r="BZ51">
        <v>11.231966534549704</v>
      </c>
      <c r="CA51">
        <v>9596.5922071192672</v>
      </c>
      <c r="CB51">
        <v>14.746916975053162</v>
      </c>
      <c r="CC51">
        <v>12599.765863485422</v>
      </c>
      <c r="CD51">
        <v>15.606195654075957</v>
      </c>
      <c r="CE51">
        <v>13333.933566842497</v>
      </c>
      <c r="CF51">
        <v>11.159674304776622</v>
      </c>
      <c r="CG51">
        <v>9534.8257260011451</v>
      </c>
      <c r="CH51">
        <v>12.261467071702045</v>
      </c>
      <c r="CI51">
        <v>10476.197466062227</v>
      </c>
      <c r="CJ51">
        <v>3.86934242092414</v>
      </c>
      <c r="CK51">
        <v>3305.9661644375851</v>
      </c>
      <c r="CL51">
        <v>17</v>
      </c>
      <c r="CM51">
        <v>14524.8</v>
      </c>
      <c r="CN51">
        <v>6.5473413079516929</v>
      </c>
      <c r="CO51">
        <v>5594.0484135139259</v>
      </c>
      <c r="CP51">
        <v>10.729000904023636</v>
      </c>
      <c r="CQ51">
        <v>9166.8583723977936</v>
      </c>
      <c r="CR51">
        <v>14.614644843829783</v>
      </c>
      <c r="CS51">
        <v>12486.752554568166</v>
      </c>
      <c r="CT51">
        <v>7.3035877699000089</v>
      </c>
      <c r="CU51">
        <v>6240.1853906025672</v>
      </c>
    </row>
    <row r="52" spans="2:99" x14ac:dyDescent="0.2">
      <c r="C52" s="119" t="s">
        <v>218</v>
      </c>
      <c r="D52">
        <v>7.1332327028914184</v>
      </c>
      <c r="E52">
        <v>3851.945659561366</v>
      </c>
      <c r="F52">
        <v>20</v>
      </c>
      <c r="G52">
        <v>10800</v>
      </c>
      <c r="H52">
        <v>6.8029090451762544</v>
      </c>
      <c r="I52">
        <v>3673.5708843951775</v>
      </c>
      <c r="J52">
        <v>8.5076347898341407</v>
      </c>
      <c r="K52">
        <v>4594.1227865104356</v>
      </c>
      <c r="L52">
        <v>17</v>
      </c>
      <c r="M52">
        <v>9180</v>
      </c>
      <c r="N52">
        <v>15</v>
      </c>
      <c r="O52">
        <v>8100</v>
      </c>
      <c r="P52">
        <v>20</v>
      </c>
      <c r="Q52">
        <v>10800</v>
      </c>
      <c r="R52">
        <v>16.106827868188066</v>
      </c>
      <c r="S52">
        <v>8697.6870488215554</v>
      </c>
      <c r="T52">
        <v>12</v>
      </c>
      <c r="U52">
        <v>6480</v>
      </c>
      <c r="V52">
        <v>14.600653451948601</v>
      </c>
      <c r="W52">
        <v>7884.3528640522445</v>
      </c>
      <c r="X52">
        <v>16</v>
      </c>
      <c r="Y52">
        <v>8640</v>
      </c>
      <c r="Z52">
        <v>12</v>
      </c>
      <c r="AA52">
        <v>6480</v>
      </c>
      <c r="AB52">
        <v>19</v>
      </c>
      <c r="AC52">
        <v>10260</v>
      </c>
      <c r="AD52">
        <v>19</v>
      </c>
      <c r="AE52">
        <v>10260</v>
      </c>
      <c r="AF52">
        <v>13.107160467435239</v>
      </c>
      <c r="AG52">
        <v>7077.8666524150294</v>
      </c>
      <c r="AH52">
        <v>9.9702198980419841</v>
      </c>
      <c r="AI52">
        <v>5383.9187449426718</v>
      </c>
      <c r="AJ52">
        <v>13</v>
      </c>
      <c r="AK52">
        <v>7020</v>
      </c>
      <c r="AL52">
        <v>9.6641776674978512</v>
      </c>
      <c r="AM52">
        <v>5218.6559404488398</v>
      </c>
      <c r="AN52">
        <v>11</v>
      </c>
      <c r="AO52">
        <v>5940</v>
      </c>
      <c r="AP52">
        <v>14</v>
      </c>
      <c r="AQ52">
        <v>7560</v>
      </c>
      <c r="AR52">
        <v>18.479503560722119</v>
      </c>
      <c r="AS52">
        <v>9978.931922789945</v>
      </c>
      <c r="AT52">
        <v>10.520180150080504</v>
      </c>
      <c r="AU52">
        <v>5680.8972810434725</v>
      </c>
      <c r="AV52">
        <v>12</v>
      </c>
      <c r="AW52">
        <v>6480</v>
      </c>
      <c r="AX52">
        <v>17.136980580810977</v>
      </c>
      <c r="AY52">
        <v>9253.9695136379287</v>
      </c>
      <c r="AZ52">
        <v>9.986886155185962</v>
      </c>
      <c r="BA52">
        <v>5392.9185238004193</v>
      </c>
      <c r="BB52">
        <v>16</v>
      </c>
      <c r="BC52">
        <v>8640</v>
      </c>
      <c r="BD52">
        <v>17</v>
      </c>
      <c r="BE52">
        <v>9180</v>
      </c>
      <c r="BF52">
        <v>12</v>
      </c>
      <c r="BG52">
        <v>6480</v>
      </c>
      <c r="BH52">
        <v>14.053049347393127</v>
      </c>
      <c r="BI52">
        <v>7588.6466475922889</v>
      </c>
      <c r="BJ52">
        <v>14.118765744275461</v>
      </c>
      <c r="BK52">
        <v>7624.1335019087492</v>
      </c>
      <c r="BL52">
        <v>15</v>
      </c>
      <c r="BM52">
        <v>8100</v>
      </c>
      <c r="BN52">
        <v>10.248037252304723</v>
      </c>
      <c r="BO52">
        <v>5533.9401162445502</v>
      </c>
      <c r="BP52">
        <v>18</v>
      </c>
      <c r="BQ52">
        <v>9720</v>
      </c>
      <c r="BR52">
        <v>11.178487557070115</v>
      </c>
      <c r="BS52">
        <v>6036.3832808178622</v>
      </c>
      <c r="BT52">
        <v>12.844892726083513</v>
      </c>
      <c r="BU52">
        <v>6936.2420720850969</v>
      </c>
      <c r="BV52">
        <v>13.563610174906785</v>
      </c>
      <c r="BW52">
        <v>7324.3494944496633</v>
      </c>
      <c r="BX52">
        <v>9.0947097445746596</v>
      </c>
      <c r="BY52">
        <v>4911.1432620703163</v>
      </c>
      <c r="BZ52">
        <v>11.231966534549704</v>
      </c>
      <c r="CA52">
        <v>6065.2619286568397</v>
      </c>
      <c r="CB52">
        <v>15.730044773390039</v>
      </c>
      <c r="CC52">
        <v>8494.2241776306219</v>
      </c>
      <c r="CD52">
        <v>16.427574372711536</v>
      </c>
      <c r="CE52">
        <v>8870.8901612642294</v>
      </c>
      <c r="CF52">
        <v>11.159674304776622</v>
      </c>
      <c r="CG52">
        <v>6026.2241245793757</v>
      </c>
      <c r="CH52">
        <v>15.091036395940979</v>
      </c>
      <c r="CI52">
        <v>8149.1596538081285</v>
      </c>
      <c r="CJ52">
        <v>3.5929608194295586</v>
      </c>
      <c r="CK52">
        <v>1940.1988424919616</v>
      </c>
      <c r="CL52">
        <v>21</v>
      </c>
      <c r="CM52">
        <v>11340</v>
      </c>
      <c r="CN52">
        <v>6.0017295322890511</v>
      </c>
      <c r="CO52">
        <v>3240.9339474360877</v>
      </c>
      <c r="CP52">
        <v>10.729000904023636</v>
      </c>
      <c r="CQ52">
        <v>5793.6604881727635</v>
      </c>
      <c r="CR52">
        <v>12.666025531319146</v>
      </c>
      <c r="CS52">
        <v>6839.6537869123395</v>
      </c>
      <c r="CT52">
        <v>7.9675502944363723</v>
      </c>
      <c r="CU52">
        <v>4302.4771589956408</v>
      </c>
    </row>
    <row r="53" spans="2:99" x14ac:dyDescent="0.2">
      <c r="C53" s="119" t="s">
        <v>219</v>
      </c>
      <c r="D53">
        <v>7.6087815497508453</v>
      </c>
      <c r="E53">
        <v>3095.2523344386441</v>
      </c>
      <c r="F53">
        <v>22</v>
      </c>
      <c r="G53">
        <v>8949.6</v>
      </c>
      <c r="H53">
        <v>7.8770525786251371</v>
      </c>
      <c r="I53">
        <v>3204.3849889847061</v>
      </c>
      <c r="J53">
        <v>9.6419860951453575</v>
      </c>
      <c r="K53">
        <v>3922.3599435051315</v>
      </c>
      <c r="L53">
        <v>19</v>
      </c>
      <c r="M53">
        <v>7729.2</v>
      </c>
      <c r="N53">
        <v>15</v>
      </c>
      <c r="O53">
        <v>6102</v>
      </c>
      <c r="P53">
        <v>20</v>
      </c>
      <c r="Q53">
        <v>8136</v>
      </c>
      <c r="R53">
        <v>16.912169261597469</v>
      </c>
      <c r="S53">
        <v>6879.8704556178509</v>
      </c>
      <c r="T53">
        <v>13</v>
      </c>
      <c r="U53">
        <v>5288.4000000000005</v>
      </c>
      <c r="V53">
        <v>15.513194292695387</v>
      </c>
      <c r="W53">
        <v>6310.7674382684836</v>
      </c>
      <c r="X53">
        <v>16</v>
      </c>
      <c r="Y53">
        <v>6508.8</v>
      </c>
      <c r="Z53">
        <v>13</v>
      </c>
      <c r="AA53">
        <v>5288.4000000000005</v>
      </c>
      <c r="AB53">
        <v>19</v>
      </c>
      <c r="AC53">
        <v>7729.2</v>
      </c>
      <c r="AD53">
        <v>17</v>
      </c>
      <c r="AE53">
        <v>6915.6</v>
      </c>
      <c r="AF53">
        <v>13.107160467435239</v>
      </c>
      <c r="AG53">
        <v>5331.9928781526551</v>
      </c>
      <c r="AH53">
        <v>9.9702198980419841</v>
      </c>
      <c r="AI53">
        <v>4055.8854545234794</v>
      </c>
      <c r="AJ53">
        <v>13</v>
      </c>
      <c r="AK53">
        <v>5288.4000000000005</v>
      </c>
      <c r="AL53">
        <v>10.469525806456005</v>
      </c>
      <c r="AM53">
        <v>4259.0030980663032</v>
      </c>
      <c r="AN53">
        <v>11</v>
      </c>
      <c r="AO53">
        <v>4474.8</v>
      </c>
      <c r="AP53">
        <v>16</v>
      </c>
      <c r="AQ53">
        <v>6508.8</v>
      </c>
      <c r="AR53">
        <v>18.479503560722119</v>
      </c>
      <c r="AS53">
        <v>7517.4620485017585</v>
      </c>
      <c r="AT53">
        <v>11.221525493419206</v>
      </c>
      <c r="AU53">
        <v>4564.9165707229331</v>
      </c>
      <c r="AV53">
        <v>12</v>
      </c>
      <c r="AW53">
        <v>4881.6000000000004</v>
      </c>
      <c r="AX53">
        <v>16.235034234452502</v>
      </c>
      <c r="AY53">
        <v>6604.4119265752779</v>
      </c>
      <c r="AZ53">
        <v>11.413584177355386</v>
      </c>
      <c r="BA53">
        <v>4643.0460433481712</v>
      </c>
      <c r="BB53">
        <v>16</v>
      </c>
      <c r="BC53">
        <v>6508.8</v>
      </c>
      <c r="BD53">
        <v>20</v>
      </c>
      <c r="BE53">
        <v>8136</v>
      </c>
      <c r="BF53">
        <v>13</v>
      </c>
      <c r="BG53">
        <v>5288.4000000000005</v>
      </c>
      <c r="BH53">
        <v>14.053049347393127</v>
      </c>
      <c r="BI53">
        <v>5716.7804745195244</v>
      </c>
      <c r="BJ53">
        <v>15.060016793893825</v>
      </c>
      <c r="BK53">
        <v>6126.4148317560084</v>
      </c>
      <c r="BL53">
        <v>15</v>
      </c>
      <c r="BM53">
        <v>6102</v>
      </c>
      <c r="BN53">
        <v>9.2232335270742514</v>
      </c>
      <c r="BO53">
        <v>3752.0113988138055</v>
      </c>
      <c r="BP53">
        <v>18</v>
      </c>
      <c r="BQ53">
        <v>7322.4000000000005</v>
      </c>
      <c r="BR53">
        <v>12.775414350937274</v>
      </c>
      <c r="BS53">
        <v>5197.038557961283</v>
      </c>
      <c r="BT53">
        <v>14.272103028981681</v>
      </c>
      <c r="BU53">
        <v>5805.891512189748</v>
      </c>
      <c r="BV53">
        <v>11.625951578491529</v>
      </c>
      <c r="BW53">
        <v>4729.4371021303541</v>
      </c>
      <c r="BX53">
        <v>10.913651693489591</v>
      </c>
      <c r="BY53">
        <v>4439.6735089115655</v>
      </c>
      <c r="BZ53">
        <v>12.95996138601889</v>
      </c>
      <c r="CA53">
        <v>5272.1122918324845</v>
      </c>
      <c r="CB53">
        <v>17.696300370063796</v>
      </c>
      <c r="CC53">
        <v>7198.8549905419522</v>
      </c>
      <c r="CD53">
        <v>16.427574372711536</v>
      </c>
      <c r="CE53">
        <v>6682.7372548190533</v>
      </c>
      <c r="CF53">
        <v>11.159674304776622</v>
      </c>
      <c r="CG53">
        <v>4539.7555071831302</v>
      </c>
      <c r="CH53">
        <v>14.147846621194669</v>
      </c>
      <c r="CI53">
        <v>5755.344005501991</v>
      </c>
      <c r="CJ53">
        <v>3.3165792179349767</v>
      </c>
      <c r="CK53">
        <v>1349.1844258559486</v>
      </c>
      <c r="CL53">
        <v>18</v>
      </c>
      <c r="CM53">
        <v>7322.4000000000005</v>
      </c>
      <c r="CN53">
        <v>6.5473413079516929</v>
      </c>
      <c r="CO53">
        <v>2663.458444074749</v>
      </c>
      <c r="CP53">
        <v>10.729000904023636</v>
      </c>
      <c r="CQ53">
        <v>4364.5575677568149</v>
      </c>
      <c r="CR53">
        <v>12.666025531319146</v>
      </c>
      <c r="CS53">
        <v>5152.5391861406288</v>
      </c>
      <c r="CT53">
        <v>8.6315128189727375</v>
      </c>
      <c r="CU53">
        <v>3511.2994147581098</v>
      </c>
    </row>
    <row r="54" spans="2:99" x14ac:dyDescent="0.2">
      <c r="C54" s="119" t="s">
        <v>220</v>
      </c>
      <c r="D54">
        <v>6.6576838560319898</v>
      </c>
      <c r="E54">
        <v>2228.99255499951</v>
      </c>
      <c r="F54">
        <v>22</v>
      </c>
      <c r="G54">
        <v>7365.6</v>
      </c>
      <c r="H54">
        <v>7.1609568896592153</v>
      </c>
      <c r="I54">
        <v>2397.4883666579053</v>
      </c>
      <c r="J54">
        <v>8.5076347898341407</v>
      </c>
      <c r="K54">
        <v>2848.3561276364703</v>
      </c>
      <c r="L54">
        <v>19</v>
      </c>
      <c r="M54">
        <v>6361.2</v>
      </c>
      <c r="N54">
        <v>17</v>
      </c>
      <c r="O54">
        <v>5691.6</v>
      </c>
      <c r="P54">
        <v>21</v>
      </c>
      <c r="Q54">
        <v>7030.8</v>
      </c>
      <c r="R54">
        <v>16.912169261597469</v>
      </c>
      <c r="S54">
        <v>5662.1942687828332</v>
      </c>
      <c r="T54">
        <v>13</v>
      </c>
      <c r="U54">
        <v>4352.4000000000005</v>
      </c>
      <c r="V54">
        <v>13.688112611201815</v>
      </c>
      <c r="W54">
        <v>4582.7801022303674</v>
      </c>
      <c r="X54">
        <v>15</v>
      </c>
      <c r="Y54">
        <v>5022</v>
      </c>
      <c r="Z54">
        <v>12</v>
      </c>
      <c r="AA54">
        <v>4017.6000000000004</v>
      </c>
      <c r="AB54">
        <v>19</v>
      </c>
      <c r="AC54">
        <v>6361.2</v>
      </c>
      <c r="AD54">
        <v>20</v>
      </c>
      <c r="AE54">
        <v>6696</v>
      </c>
      <c r="AF54">
        <v>13.107160467435239</v>
      </c>
      <c r="AG54">
        <v>4388.2773244973187</v>
      </c>
      <c r="AH54">
        <v>9.9702198980419841</v>
      </c>
      <c r="AI54">
        <v>3338.0296218644562</v>
      </c>
      <c r="AJ54">
        <v>14</v>
      </c>
      <c r="AK54">
        <v>4687.2</v>
      </c>
      <c r="AL54">
        <v>11.274873945414159</v>
      </c>
      <c r="AM54">
        <v>3774.8277969246606</v>
      </c>
      <c r="AN54">
        <v>11</v>
      </c>
      <c r="AO54">
        <v>3682.8</v>
      </c>
      <c r="AP54">
        <v>17</v>
      </c>
      <c r="AQ54">
        <v>5691.6</v>
      </c>
      <c r="AR54">
        <v>20.424714461850762</v>
      </c>
      <c r="AS54">
        <v>6838.1944018276354</v>
      </c>
      <c r="AT54">
        <v>11.221525493419206</v>
      </c>
      <c r="AU54">
        <v>3756.9667351967501</v>
      </c>
      <c r="AV54">
        <v>11</v>
      </c>
      <c r="AW54">
        <v>3682.8</v>
      </c>
      <c r="AX54">
        <v>18.94087327352792</v>
      </c>
      <c r="AY54">
        <v>6341.404371977148</v>
      </c>
      <c r="AZ54">
        <v>10.700235166270675</v>
      </c>
      <c r="BA54">
        <v>3582.4387336674222</v>
      </c>
      <c r="BB54">
        <v>16</v>
      </c>
      <c r="BC54">
        <v>5356.8</v>
      </c>
      <c r="BD54">
        <v>20</v>
      </c>
      <c r="BE54">
        <v>6696</v>
      </c>
      <c r="BF54">
        <v>11</v>
      </c>
      <c r="BG54">
        <v>3682.8</v>
      </c>
      <c r="BH54">
        <v>12.647744412653815</v>
      </c>
      <c r="BI54">
        <v>4234.4648293564969</v>
      </c>
      <c r="BJ54">
        <v>13.177514694657097</v>
      </c>
      <c r="BK54">
        <v>4411.8319197711962</v>
      </c>
      <c r="BL54">
        <v>14</v>
      </c>
      <c r="BM54">
        <v>4687.2</v>
      </c>
      <c r="BN54">
        <v>9.2232335270742514</v>
      </c>
      <c r="BO54">
        <v>3087.9385848644592</v>
      </c>
      <c r="BP54">
        <v>19</v>
      </c>
      <c r="BQ54">
        <v>6361.2</v>
      </c>
      <c r="BR54">
        <v>12.775414350937274</v>
      </c>
      <c r="BS54">
        <v>4277.208724693799</v>
      </c>
      <c r="BT54">
        <v>14.272103028981681</v>
      </c>
      <c r="BU54">
        <v>4778.3000941030668</v>
      </c>
      <c r="BV54">
        <v>14.20949637371187</v>
      </c>
      <c r="BW54">
        <v>4757.3393859187345</v>
      </c>
      <c r="BX54">
        <v>10.004180719032124</v>
      </c>
      <c r="BY54">
        <v>3349.3997047319554</v>
      </c>
      <c r="BZ54">
        <v>11.231966534549704</v>
      </c>
      <c r="CA54">
        <v>3760.4623957672411</v>
      </c>
      <c r="CB54">
        <v>16.713172571726918</v>
      </c>
      <c r="CC54">
        <v>5595.5701770141723</v>
      </c>
      <c r="CD54">
        <v>15.606195654075957</v>
      </c>
      <c r="CE54">
        <v>5224.9543049846307</v>
      </c>
      <c r="CF54">
        <v>11.159674304776622</v>
      </c>
      <c r="CG54">
        <v>3736.2589572392135</v>
      </c>
      <c r="CH54">
        <v>13.204656846448357</v>
      </c>
      <c r="CI54">
        <v>4420.9191121909098</v>
      </c>
      <c r="CJ54">
        <v>3.86934242092414</v>
      </c>
      <c r="CK54">
        <v>1295.4558425254022</v>
      </c>
      <c r="CL54">
        <v>18</v>
      </c>
      <c r="CM54">
        <v>6026.4000000000005</v>
      </c>
      <c r="CN54">
        <v>6.5473413079516929</v>
      </c>
      <c r="CO54">
        <v>2192.0498699022269</v>
      </c>
      <c r="CP54">
        <v>10.192550858822454</v>
      </c>
      <c r="CQ54">
        <v>3412.4660275337578</v>
      </c>
      <c r="CR54">
        <v>14.614644843829783</v>
      </c>
      <c r="CS54">
        <v>4892.9830937142115</v>
      </c>
      <c r="CT54">
        <v>7.9675502944363723</v>
      </c>
      <c r="CU54">
        <v>2667.5358385772975</v>
      </c>
    </row>
    <row r="55" spans="2:99" x14ac:dyDescent="0.2">
      <c r="C55" s="119" t="s">
        <v>221</v>
      </c>
      <c r="D55">
        <v>6.6576838560319898</v>
      </c>
      <c r="E55">
        <v>4418.0390068628285</v>
      </c>
      <c r="F55">
        <v>20</v>
      </c>
      <c r="G55">
        <v>13272</v>
      </c>
      <c r="H55">
        <v>6.8029090451762544</v>
      </c>
      <c r="I55">
        <v>4514.4104423789622</v>
      </c>
      <c r="J55">
        <v>9.0748104424897491</v>
      </c>
      <c r="K55">
        <v>6022.0442096361976</v>
      </c>
      <c r="L55">
        <v>17</v>
      </c>
      <c r="M55">
        <v>11281.2</v>
      </c>
      <c r="N55">
        <v>16</v>
      </c>
      <c r="O55">
        <v>10617.6</v>
      </c>
      <c r="P55">
        <v>21</v>
      </c>
      <c r="Q55">
        <v>13935.6</v>
      </c>
      <c r="R55">
        <v>14.49614508136926</v>
      </c>
      <c r="S55">
        <v>9619.6418759966418</v>
      </c>
      <c r="T55">
        <v>13</v>
      </c>
      <c r="U55">
        <v>8626.8000000000011</v>
      </c>
      <c r="V55">
        <v>15.513194292695387</v>
      </c>
      <c r="W55">
        <v>10294.555732632658</v>
      </c>
      <c r="X55">
        <v>17</v>
      </c>
      <c r="Y55">
        <v>11281.2</v>
      </c>
      <c r="Z55">
        <v>11</v>
      </c>
      <c r="AA55">
        <v>7299.6</v>
      </c>
      <c r="AB55">
        <v>16</v>
      </c>
      <c r="AC55">
        <v>10617.6</v>
      </c>
      <c r="AD55">
        <v>17</v>
      </c>
      <c r="AE55">
        <v>11281.2</v>
      </c>
      <c r="AF55">
        <v>13.926357996649941</v>
      </c>
      <c r="AG55">
        <v>9241.5311665769004</v>
      </c>
      <c r="AH55">
        <v>9.2032799058849086</v>
      </c>
      <c r="AI55">
        <v>6107.2965455452259</v>
      </c>
      <c r="AJ55">
        <v>12</v>
      </c>
      <c r="AK55">
        <v>7963.2000000000007</v>
      </c>
      <c r="AL55">
        <v>9.6641776674978512</v>
      </c>
      <c r="AM55">
        <v>6413.1483001515744</v>
      </c>
      <c r="AN55">
        <v>10</v>
      </c>
      <c r="AO55">
        <v>6636</v>
      </c>
      <c r="AP55">
        <v>17</v>
      </c>
      <c r="AQ55">
        <v>11281.2</v>
      </c>
      <c r="AR55">
        <v>18.479503560722119</v>
      </c>
      <c r="AS55">
        <v>12262.998562895198</v>
      </c>
      <c r="AT55">
        <v>11.221525493419206</v>
      </c>
      <c r="AU55">
        <v>7446.6043174329852</v>
      </c>
      <c r="AV55">
        <v>11</v>
      </c>
      <c r="AW55">
        <v>7299.6</v>
      </c>
      <c r="AX55">
        <v>16.235034234452502</v>
      </c>
      <c r="AY55">
        <v>10773.568717982682</v>
      </c>
      <c r="AZ55">
        <v>10.700235166270675</v>
      </c>
      <c r="BA55">
        <v>7100.67605633722</v>
      </c>
      <c r="BB55">
        <v>17</v>
      </c>
      <c r="BC55">
        <v>11281.2</v>
      </c>
      <c r="BD55">
        <v>16</v>
      </c>
      <c r="BE55">
        <v>10617.6</v>
      </c>
      <c r="BF55">
        <v>12</v>
      </c>
      <c r="BG55">
        <v>7963.2000000000007</v>
      </c>
      <c r="BH55">
        <v>12.647744412653815</v>
      </c>
      <c r="BI55">
        <v>8393.0431922370717</v>
      </c>
      <c r="BJ55">
        <v>13.177514694657097</v>
      </c>
      <c r="BK55">
        <v>8744.5987513744494</v>
      </c>
      <c r="BL55">
        <v>14</v>
      </c>
      <c r="BM55">
        <v>9290.4</v>
      </c>
      <c r="BN55">
        <v>9.2232335270742514</v>
      </c>
      <c r="BO55">
        <v>6120.5377685664735</v>
      </c>
      <c r="BP55">
        <v>19</v>
      </c>
      <c r="BQ55">
        <v>12608.4</v>
      </c>
      <c r="BR55">
        <v>11.178487557070115</v>
      </c>
      <c r="BS55">
        <v>7418.044342871729</v>
      </c>
      <c r="BT55">
        <v>14.272103028981681</v>
      </c>
      <c r="BU55">
        <v>9470.9675700322441</v>
      </c>
      <c r="BV55">
        <v>12.917723976101701</v>
      </c>
      <c r="BW55">
        <v>8572.2016305410889</v>
      </c>
      <c r="BX55">
        <v>10.004180719032124</v>
      </c>
      <c r="BY55">
        <v>6638.7743251497177</v>
      </c>
      <c r="BZ55">
        <v>11.231966534549704</v>
      </c>
      <c r="CA55">
        <v>7453.5329923271838</v>
      </c>
      <c r="CB55">
        <v>16.713172571726918</v>
      </c>
      <c r="CC55">
        <v>11090.861318597983</v>
      </c>
      <c r="CD55">
        <v>14.784816935440384</v>
      </c>
      <c r="CE55">
        <v>9811.2045183582395</v>
      </c>
      <c r="CF55">
        <v>12.647630878746838</v>
      </c>
      <c r="CG55">
        <v>8392.9678511364018</v>
      </c>
      <c r="CH55">
        <v>13.204656846448357</v>
      </c>
      <c r="CI55">
        <v>8762.6102833031291</v>
      </c>
      <c r="CJ55">
        <v>3.86934242092414</v>
      </c>
      <c r="CK55">
        <v>2567.6956305252593</v>
      </c>
      <c r="CL55">
        <v>20</v>
      </c>
      <c r="CM55">
        <v>13272</v>
      </c>
      <c r="CN55">
        <v>6.0017295322890511</v>
      </c>
      <c r="CO55">
        <v>3982.7477176270145</v>
      </c>
      <c r="CP55">
        <v>11.265450949224817</v>
      </c>
      <c r="CQ55">
        <v>7475.7532499055887</v>
      </c>
      <c r="CR55">
        <v>12.666025531319146</v>
      </c>
      <c r="CS55">
        <v>8405.1745425833851</v>
      </c>
      <c r="CT55">
        <v>8.6315128189727375</v>
      </c>
      <c r="CU55">
        <v>5727.8719066703088</v>
      </c>
    </row>
    <row r="56" spans="2:99" x14ac:dyDescent="0.2">
      <c r="C56" s="119" t="s">
        <v>222</v>
      </c>
      <c r="D56">
        <v>2.954932713799197</v>
      </c>
      <c r="E56">
        <v>3400.5365670401156</v>
      </c>
      <c r="F56">
        <v>2.6490010693633317</v>
      </c>
      <c r="G56">
        <v>3048.470430623322</v>
      </c>
      <c r="H56">
        <v>0</v>
      </c>
      <c r="I56">
        <v>0</v>
      </c>
      <c r="J56">
        <v>0</v>
      </c>
      <c r="K56">
        <v>0</v>
      </c>
      <c r="L56">
        <v>8.3687746661477043</v>
      </c>
      <c r="M56">
        <v>9630.7858858027776</v>
      </c>
      <c r="N56">
        <v>3.4057274293540223</v>
      </c>
      <c r="O56">
        <v>3919.3111257006085</v>
      </c>
      <c r="P56">
        <v>3.3395178579102369</v>
      </c>
      <c r="Q56">
        <v>3843.1171508831003</v>
      </c>
      <c r="R56">
        <v>2.4725925149981856</v>
      </c>
      <c r="S56">
        <v>2845.459466259912</v>
      </c>
      <c r="T56">
        <v>2.252637966117979</v>
      </c>
      <c r="U56">
        <v>2592.3357714085701</v>
      </c>
      <c r="V56">
        <v>2.1053898421859549</v>
      </c>
      <c r="W56">
        <v>2422.8826303875967</v>
      </c>
      <c r="X56">
        <v>3.1483814660427054</v>
      </c>
      <c r="Y56">
        <v>3623.1573911219452</v>
      </c>
      <c r="Z56">
        <v>1.9205800633616432</v>
      </c>
      <c r="AA56">
        <v>2210.2035369165787</v>
      </c>
      <c r="AB56">
        <v>3.3777379892385921</v>
      </c>
      <c r="AC56">
        <v>3887.1008780157717</v>
      </c>
      <c r="AD56">
        <v>2.5405208807948387</v>
      </c>
      <c r="AE56">
        <v>2923.6314296187002</v>
      </c>
      <c r="AF56">
        <v>2.8895558396184526</v>
      </c>
      <c r="AG56">
        <v>3325.3008602329151</v>
      </c>
      <c r="AH56">
        <v>1.8591391821631924</v>
      </c>
      <c r="AI56">
        <v>2139.4973708334019</v>
      </c>
      <c r="AJ56">
        <v>2.5542955720155169</v>
      </c>
      <c r="AK56">
        <v>2939.4833442754566</v>
      </c>
      <c r="AL56">
        <v>0</v>
      </c>
      <c r="AM56">
        <v>0</v>
      </c>
      <c r="AN56">
        <v>3.5373794650985597</v>
      </c>
      <c r="AO56">
        <v>4070.8162884354224</v>
      </c>
      <c r="AP56">
        <v>2.2948749279826908</v>
      </c>
      <c r="AQ56">
        <v>2640.9420671224802</v>
      </c>
      <c r="AR56">
        <v>2.6929225410871327</v>
      </c>
      <c r="AS56">
        <v>3099.0152602830722</v>
      </c>
      <c r="AT56">
        <v>2.5012260795451668</v>
      </c>
      <c r="AU56">
        <v>2878.4109723405777</v>
      </c>
      <c r="AV56">
        <v>1.9483742755665872</v>
      </c>
      <c r="AW56">
        <v>2242.1891163220284</v>
      </c>
      <c r="AX56">
        <v>2.7163010461762047</v>
      </c>
      <c r="AY56">
        <v>3125.9192439395761</v>
      </c>
      <c r="AZ56">
        <v>0</v>
      </c>
      <c r="BA56">
        <v>0</v>
      </c>
      <c r="BB56">
        <v>4.5436038790685913</v>
      </c>
      <c r="BC56">
        <v>5228.7793440321348</v>
      </c>
      <c r="BD56">
        <v>3.2158989202024313</v>
      </c>
      <c r="BE56">
        <v>3700.8564773689577</v>
      </c>
      <c r="BF56">
        <v>1.8878148507826762</v>
      </c>
      <c r="BG56">
        <v>2172.4973302807039</v>
      </c>
      <c r="BH56">
        <v>2.4781551528272026</v>
      </c>
      <c r="BI56">
        <v>2851.8609498735445</v>
      </c>
      <c r="BJ56">
        <v>2.4797490779938385</v>
      </c>
      <c r="BK56">
        <v>2853.6952389553094</v>
      </c>
      <c r="BL56">
        <v>2.1158421321826228</v>
      </c>
      <c r="BM56">
        <v>2434.9111257157624</v>
      </c>
      <c r="BN56">
        <v>2.9813759748151196</v>
      </c>
      <c r="BO56">
        <v>3430.9674718172396</v>
      </c>
      <c r="BP56">
        <v>2.4978230508655135</v>
      </c>
      <c r="BQ56">
        <v>2874.4947669360326</v>
      </c>
      <c r="BR56">
        <v>2.3926515539869659</v>
      </c>
      <c r="BS56">
        <v>2753.4634083282003</v>
      </c>
      <c r="BT56">
        <v>2.6744043719421247</v>
      </c>
      <c r="BU56">
        <v>3077.7045512309969</v>
      </c>
      <c r="BV56">
        <v>3.1302641813915644</v>
      </c>
      <c r="BW56">
        <v>3602.3080199454121</v>
      </c>
      <c r="BX56">
        <v>1.6438664522790134</v>
      </c>
      <c r="BY56">
        <v>1891.7615132826886</v>
      </c>
      <c r="BZ56">
        <v>1.816339364613393</v>
      </c>
      <c r="CA56">
        <v>2090.2433407970925</v>
      </c>
      <c r="CB56">
        <v>2.5392806948632813</v>
      </c>
      <c r="CC56">
        <v>2922.2042236486641</v>
      </c>
      <c r="CD56">
        <v>2.7957867142936332</v>
      </c>
      <c r="CE56">
        <v>3217.3913508091132</v>
      </c>
      <c r="CF56">
        <v>2.2166967825274804</v>
      </c>
      <c r="CG56">
        <v>2550.9746573326242</v>
      </c>
      <c r="CH56">
        <v>2.9234075515703069</v>
      </c>
      <c r="CI56">
        <v>3364.2574103471088</v>
      </c>
      <c r="CJ56">
        <v>1.5654960749029208</v>
      </c>
      <c r="CK56">
        <v>1801.5728829982811</v>
      </c>
      <c r="CL56">
        <v>2.9555207405837685</v>
      </c>
      <c r="CM56">
        <v>3401.2132682638007</v>
      </c>
      <c r="CN56">
        <v>1.5475018671454159</v>
      </c>
      <c r="CO56">
        <v>1780.8651487109446</v>
      </c>
      <c r="CP56">
        <v>3.0882779021989286</v>
      </c>
      <c r="CQ56">
        <v>3553.9902098505268</v>
      </c>
      <c r="CR56">
        <v>1.9546846233431601</v>
      </c>
      <c r="CS56">
        <v>2249.4510645433083</v>
      </c>
      <c r="CT56">
        <v>1.570976224523351</v>
      </c>
      <c r="CU56">
        <v>1807.8794391814722</v>
      </c>
    </row>
    <row r="57" spans="2:99" x14ac:dyDescent="0.2">
      <c r="C57" s="119" t="s">
        <v>223</v>
      </c>
      <c r="D57">
        <v>6.1821350091725629</v>
      </c>
      <c r="E57">
        <v>8724.2289249443202</v>
      </c>
      <c r="F57">
        <v>18</v>
      </c>
      <c r="G57">
        <v>25401.600000000002</v>
      </c>
      <c r="H57">
        <v>6.8029090451762544</v>
      </c>
      <c r="I57">
        <v>9600.265244552731</v>
      </c>
      <c r="J57">
        <v>8.5076347898341407</v>
      </c>
      <c r="K57">
        <v>12005.97421541394</v>
      </c>
      <c r="L57">
        <v>18</v>
      </c>
      <c r="M57">
        <v>25401.600000000002</v>
      </c>
      <c r="N57">
        <v>15</v>
      </c>
      <c r="O57">
        <v>21168</v>
      </c>
      <c r="P57">
        <v>16</v>
      </c>
      <c r="Q57">
        <v>22579.200000000001</v>
      </c>
      <c r="R57">
        <v>13.690803687959857</v>
      </c>
      <c r="S57">
        <v>19320.462164448949</v>
      </c>
      <c r="T57">
        <v>13</v>
      </c>
      <c r="U57">
        <v>18345.600000000002</v>
      </c>
      <c r="V57">
        <v>13.688112611201815</v>
      </c>
      <c r="W57">
        <v>19316.664516928002</v>
      </c>
      <c r="X57">
        <v>14</v>
      </c>
      <c r="Y57">
        <v>19756.8</v>
      </c>
      <c r="Z57">
        <v>10</v>
      </c>
      <c r="AA57">
        <v>14112</v>
      </c>
      <c r="AB57">
        <v>17</v>
      </c>
      <c r="AC57">
        <v>23990.400000000001</v>
      </c>
      <c r="AD57">
        <v>17</v>
      </c>
      <c r="AE57">
        <v>23990.400000000001</v>
      </c>
      <c r="AF57">
        <v>12.287962938220536</v>
      </c>
      <c r="AG57">
        <v>17340.773298416821</v>
      </c>
      <c r="AH57">
        <v>9.2032799058849086</v>
      </c>
      <c r="AI57">
        <v>12987.668603184784</v>
      </c>
      <c r="AJ57">
        <v>12</v>
      </c>
      <c r="AK57">
        <v>16934.400000000001</v>
      </c>
      <c r="AL57">
        <v>8.8588295285396974</v>
      </c>
      <c r="AM57">
        <v>12501.580230675221</v>
      </c>
      <c r="AN57">
        <v>10</v>
      </c>
      <c r="AO57">
        <v>14112</v>
      </c>
      <c r="AP57">
        <v>13</v>
      </c>
      <c r="AQ57">
        <v>18345.600000000002</v>
      </c>
      <c r="AR57">
        <v>16.534292659593476</v>
      </c>
      <c r="AS57">
        <v>23333.193801218313</v>
      </c>
      <c r="AT57">
        <v>9.8188348067418048</v>
      </c>
      <c r="AU57">
        <v>13856.339679274035</v>
      </c>
      <c r="AV57">
        <v>12</v>
      </c>
      <c r="AW57">
        <v>16934.400000000001</v>
      </c>
      <c r="AX57">
        <v>17.136980580810977</v>
      </c>
      <c r="AY57">
        <v>24183.706995640452</v>
      </c>
      <c r="AZ57">
        <v>9.986886155185962</v>
      </c>
      <c r="BA57">
        <v>14093.49374219843</v>
      </c>
      <c r="BB57">
        <v>13</v>
      </c>
      <c r="BC57">
        <v>18345.600000000002</v>
      </c>
      <c r="BD57">
        <v>17</v>
      </c>
      <c r="BE57">
        <v>23990.400000000001</v>
      </c>
      <c r="BF57">
        <v>11</v>
      </c>
      <c r="BG57">
        <v>15523.2</v>
      </c>
      <c r="BH57">
        <v>13.350396880023471</v>
      </c>
      <c r="BI57">
        <v>18840.080077089122</v>
      </c>
      <c r="BJ57">
        <v>11.295012595420367</v>
      </c>
      <c r="BK57">
        <v>15939.521774657222</v>
      </c>
      <c r="BL57">
        <v>12</v>
      </c>
      <c r="BM57">
        <v>16934.400000000001</v>
      </c>
      <c r="BN57">
        <v>9.7356353896894863</v>
      </c>
      <c r="BO57">
        <v>13738.928661929804</v>
      </c>
      <c r="BP57">
        <v>17</v>
      </c>
      <c r="BQ57">
        <v>23990.400000000001</v>
      </c>
      <c r="BR57">
        <v>11.178487557070115</v>
      </c>
      <c r="BS57">
        <v>15775.081640537346</v>
      </c>
      <c r="BT57">
        <v>11.417682423185346</v>
      </c>
      <c r="BU57">
        <v>16112.63343559916</v>
      </c>
      <c r="BV57">
        <v>11.625951578491529</v>
      </c>
      <c r="BW57">
        <v>16406.542867567245</v>
      </c>
      <c r="BX57">
        <v>10.004180719032124</v>
      </c>
      <c r="BY57">
        <v>14117.899830698134</v>
      </c>
      <c r="BZ57">
        <v>12.095963960284296</v>
      </c>
      <c r="CA57">
        <v>17069.824340753199</v>
      </c>
      <c r="CB57">
        <v>15.730044773390039</v>
      </c>
      <c r="CC57">
        <v>22198.239184208025</v>
      </c>
      <c r="CD57">
        <v>13.963438216804805</v>
      </c>
      <c r="CE57">
        <v>19705.204011554943</v>
      </c>
      <c r="CF57">
        <v>9.6717177308064066</v>
      </c>
      <c r="CG57">
        <v>13648.728061714002</v>
      </c>
      <c r="CH57">
        <v>12.261467071702045</v>
      </c>
      <c r="CI57">
        <v>17303.382331585926</v>
      </c>
      <c r="CJ57">
        <v>3.5929608194295586</v>
      </c>
      <c r="CK57">
        <v>5070.3863083789929</v>
      </c>
      <c r="CL57">
        <v>18</v>
      </c>
      <c r="CM57">
        <v>25401.600000000002</v>
      </c>
      <c r="CN57">
        <v>6.0017295322890511</v>
      </c>
      <c r="CO57">
        <v>8469.6407159663086</v>
      </c>
      <c r="CP57">
        <v>9.656100813621272</v>
      </c>
      <c r="CQ57">
        <v>13626.68946818234</v>
      </c>
      <c r="CR57">
        <v>13.640335187574465</v>
      </c>
      <c r="CS57">
        <v>19249.241016705084</v>
      </c>
      <c r="CT57">
        <v>7.9675502944363723</v>
      </c>
      <c r="CU57">
        <v>11243.806975508609</v>
      </c>
    </row>
    <row r="58" spans="2:99" x14ac:dyDescent="0.2">
      <c r="C58" s="119" t="s">
        <v>224</v>
      </c>
      <c r="D58">
        <v>2.954932713799197</v>
      </c>
      <c r="E58">
        <v>3478.5467906844146</v>
      </c>
      <c r="F58">
        <v>2.8048246616788215</v>
      </c>
      <c r="G58">
        <v>3301.8395917283087</v>
      </c>
      <c r="H58">
        <v>0</v>
      </c>
      <c r="I58">
        <v>0</v>
      </c>
      <c r="J58">
        <v>0</v>
      </c>
      <c r="K58">
        <v>0</v>
      </c>
      <c r="L58">
        <v>8.8918230827819347</v>
      </c>
      <c r="M58">
        <v>10467.454133050895</v>
      </c>
      <c r="N58">
        <v>3.4057274293540223</v>
      </c>
      <c r="O58">
        <v>4009.2223298355552</v>
      </c>
      <c r="P58">
        <v>3.1725419650147249</v>
      </c>
      <c r="Q58">
        <v>3734.7164012153344</v>
      </c>
      <c r="R58">
        <v>2.7816665793729585</v>
      </c>
      <c r="S58">
        <v>3274.5778972378466</v>
      </c>
      <c r="T58">
        <v>2.44035779662781</v>
      </c>
      <c r="U58">
        <v>2872.789198190258</v>
      </c>
      <c r="V58">
        <v>2.2457491649983519</v>
      </c>
      <c r="W58">
        <v>2643.6959170360601</v>
      </c>
      <c r="X58">
        <v>2.7548337827873675</v>
      </c>
      <c r="Y58">
        <v>3242.9903290972893</v>
      </c>
      <c r="Z58">
        <v>2.0951782509399743</v>
      </c>
      <c r="AA58">
        <v>2466.4438370065377</v>
      </c>
      <c r="AB58">
        <v>3.5764284591938038</v>
      </c>
      <c r="AC58">
        <v>4210.1715821629459</v>
      </c>
      <c r="AD58">
        <v>2.2416360712895638</v>
      </c>
      <c r="AE58">
        <v>2638.8539831220746</v>
      </c>
      <c r="AF58">
        <v>3.302349530992517</v>
      </c>
      <c r="AG58">
        <v>3887.5258678843911</v>
      </c>
      <c r="AH58">
        <v>1.8591391821631924</v>
      </c>
      <c r="AI58">
        <v>2188.57864524251</v>
      </c>
      <c r="AJ58">
        <v>2.9800115006847694</v>
      </c>
      <c r="AK58">
        <v>3508.0695386061107</v>
      </c>
      <c r="AL58">
        <v>0</v>
      </c>
      <c r="AM58">
        <v>0</v>
      </c>
      <c r="AN58">
        <v>3.5373794650985597</v>
      </c>
      <c r="AO58">
        <v>4164.2031063140248</v>
      </c>
      <c r="AP58">
        <v>2.4478665898482035</v>
      </c>
      <c r="AQ58">
        <v>2881.6285495693051</v>
      </c>
      <c r="AR58">
        <v>2.2889841599240626</v>
      </c>
      <c r="AS58">
        <v>2694.5921530626065</v>
      </c>
      <c r="AT58">
        <v>2.5012260795451668</v>
      </c>
      <c r="AU58">
        <v>2944.4433408405707</v>
      </c>
      <c r="AV58">
        <v>2.1254992097090049</v>
      </c>
      <c r="AW58">
        <v>2502.1376696694406</v>
      </c>
      <c r="AX58">
        <v>2.8760834606571581</v>
      </c>
      <c r="AY58">
        <v>3385.7254498856068</v>
      </c>
      <c r="AZ58">
        <v>0</v>
      </c>
      <c r="BA58">
        <v>0</v>
      </c>
      <c r="BB58">
        <v>4.2596286366268039</v>
      </c>
      <c r="BC58">
        <v>5014.4348310370733</v>
      </c>
      <c r="BD58">
        <v>3.4050694449202212</v>
      </c>
      <c r="BE58">
        <v>4008.4477505600844</v>
      </c>
      <c r="BF58">
        <v>1.5731790423188969</v>
      </c>
      <c r="BG58">
        <v>1851.9463686178055</v>
      </c>
      <c r="BH58">
        <v>2.3404798665590247</v>
      </c>
      <c r="BI58">
        <v>2755.2128989132839</v>
      </c>
      <c r="BJ58">
        <v>2.6568740121362553</v>
      </c>
      <c r="BK58">
        <v>3127.6720870867998</v>
      </c>
      <c r="BL58">
        <v>2.1158421321826228</v>
      </c>
      <c r="BM58">
        <v>2490.7693580053838</v>
      </c>
      <c r="BN58">
        <v>2.6675469248345807</v>
      </c>
      <c r="BO58">
        <v>3140.2362399152685</v>
      </c>
      <c r="BP58">
        <v>2.3417091101864194</v>
      </c>
      <c r="BQ58">
        <v>2756.6599645114529</v>
      </c>
      <c r="BR58">
        <v>2.3926515539869659</v>
      </c>
      <c r="BS58">
        <v>2816.6294093534566</v>
      </c>
      <c r="BT58">
        <v>2.8317222761740144</v>
      </c>
      <c r="BU58">
        <v>3333.5034635120501</v>
      </c>
      <c r="BV58">
        <v>3.1302641813915644</v>
      </c>
      <c r="BW58">
        <v>3684.9469943341496</v>
      </c>
      <c r="BX58">
        <v>1.6438664522790134</v>
      </c>
      <c r="BY58">
        <v>1935.1595876228546</v>
      </c>
      <c r="BZ58">
        <v>1.816339364613393</v>
      </c>
      <c r="CA58">
        <v>2138.1947000228861</v>
      </c>
      <c r="CB58">
        <v>2.5392806948632813</v>
      </c>
      <c r="CC58">
        <v>2989.2412339930547</v>
      </c>
      <c r="CD58">
        <v>2.640465230166209</v>
      </c>
      <c r="CE58">
        <v>3108.3556689516613</v>
      </c>
      <c r="CF58">
        <v>2.2166967825274804</v>
      </c>
      <c r="CG58">
        <v>2609.4954523913498</v>
      </c>
      <c r="CH58">
        <v>2.9234075515703069</v>
      </c>
      <c r="CI58">
        <v>3441.4353697085653</v>
      </c>
      <c r="CJ58">
        <v>1.85013172488527</v>
      </c>
      <c r="CK58">
        <v>2177.9750665349397</v>
      </c>
      <c r="CL58">
        <v>3.1293749017945784</v>
      </c>
      <c r="CM58">
        <v>3683.9001343925779</v>
      </c>
      <c r="CN58">
        <v>1.5475018671454159</v>
      </c>
      <c r="CO58">
        <v>1821.7191980035836</v>
      </c>
      <c r="CP58">
        <v>2.9257369599779324</v>
      </c>
      <c r="CQ58">
        <v>3444.177549286022</v>
      </c>
      <c r="CR58">
        <v>1.8043242677013787</v>
      </c>
      <c r="CS58">
        <v>2124.0505279380632</v>
      </c>
      <c r="CT58">
        <v>1.570976224523351</v>
      </c>
      <c r="CU58">
        <v>1849.3532115088888</v>
      </c>
    </row>
    <row r="59" spans="2:99" x14ac:dyDescent="0.2">
      <c r="C59" s="119" t="s">
        <v>225</v>
      </c>
      <c r="D59">
        <v>7.1332327028914184</v>
      </c>
      <c r="E59">
        <v>2165.6494485978342</v>
      </c>
      <c r="F59">
        <v>19</v>
      </c>
      <c r="G59">
        <v>5768.4</v>
      </c>
      <c r="H59">
        <v>7.8770525786251371</v>
      </c>
      <c r="I59">
        <v>2391.4731628705913</v>
      </c>
      <c r="J59">
        <v>9.0748104424897491</v>
      </c>
      <c r="K59">
        <v>2755.1124503398873</v>
      </c>
      <c r="L59">
        <v>17</v>
      </c>
      <c r="M59">
        <v>5161.2</v>
      </c>
      <c r="N59">
        <v>15</v>
      </c>
      <c r="O59">
        <v>4553.9999999999991</v>
      </c>
      <c r="P59">
        <v>19</v>
      </c>
      <c r="Q59">
        <v>5768.4</v>
      </c>
      <c r="R59">
        <v>15.301486474778661</v>
      </c>
      <c r="S59">
        <v>4645.5312937428007</v>
      </c>
      <c r="T59">
        <v>13</v>
      </c>
      <c r="U59">
        <v>3946.7999999999997</v>
      </c>
      <c r="V59">
        <v>14.600653451948601</v>
      </c>
      <c r="W59">
        <v>4432.7583880115944</v>
      </c>
      <c r="X59">
        <v>16</v>
      </c>
      <c r="Y59">
        <v>4857.5999999999995</v>
      </c>
      <c r="Z59">
        <v>11</v>
      </c>
      <c r="AA59">
        <v>3339.5999999999995</v>
      </c>
      <c r="AB59">
        <v>17</v>
      </c>
      <c r="AC59">
        <v>5161.2</v>
      </c>
      <c r="AD59">
        <v>18</v>
      </c>
      <c r="AE59">
        <v>5464.7999999999993</v>
      </c>
      <c r="AF59">
        <v>13.926357996649941</v>
      </c>
      <c r="AG59">
        <v>4228.0422877829214</v>
      </c>
      <c r="AH59">
        <v>9.9702198980419841</v>
      </c>
      <c r="AI59">
        <v>3026.958761045546</v>
      </c>
      <c r="AJ59">
        <v>15</v>
      </c>
      <c r="AK59">
        <v>4553.9999999999991</v>
      </c>
      <c r="AL59">
        <v>10.469525806456005</v>
      </c>
      <c r="AM59">
        <v>3178.5480348400429</v>
      </c>
      <c r="AN59">
        <v>10</v>
      </c>
      <c r="AO59">
        <v>3035.9999999999995</v>
      </c>
      <c r="AP59">
        <v>16</v>
      </c>
      <c r="AQ59">
        <v>4857.5999999999995</v>
      </c>
      <c r="AR59">
        <v>18.479503560722119</v>
      </c>
      <c r="AS59">
        <v>5610.3772810352348</v>
      </c>
      <c r="AT59">
        <v>9.8188348067418048</v>
      </c>
      <c r="AU59">
        <v>2980.9982473268115</v>
      </c>
      <c r="AV59">
        <v>11</v>
      </c>
      <c r="AW59">
        <v>3339.5999999999995</v>
      </c>
      <c r="AX59">
        <v>17.136980580810977</v>
      </c>
      <c r="AY59">
        <v>5202.7873043342124</v>
      </c>
      <c r="AZ59">
        <v>10.700235166270675</v>
      </c>
      <c r="BA59">
        <v>3248.5913964797764</v>
      </c>
      <c r="BB59">
        <v>15</v>
      </c>
      <c r="BC59">
        <v>4553.9999999999991</v>
      </c>
      <c r="BD59">
        <v>20</v>
      </c>
      <c r="BE59">
        <v>6071.9999999999991</v>
      </c>
      <c r="BF59">
        <v>12</v>
      </c>
      <c r="BG59">
        <v>3643.2</v>
      </c>
      <c r="BH59">
        <v>12.647744412653815</v>
      </c>
      <c r="BI59">
        <v>3839.8552036816977</v>
      </c>
      <c r="BJ59">
        <v>16.001267843512185</v>
      </c>
      <c r="BK59">
        <v>4857.9849172902987</v>
      </c>
      <c r="BL59">
        <v>15</v>
      </c>
      <c r="BM59">
        <v>4553.9999999999991</v>
      </c>
      <c r="BN59">
        <v>10.76043911491996</v>
      </c>
      <c r="BO59">
        <v>3266.8693152896994</v>
      </c>
      <c r="BP59">
        <v>18</v>
      </c>
      <c r="BQ59">
        <v>5464.7999999999993</v>
      </c>
      <c r="BR59">
        <v>11.976950954003696</v>
      </c>
      <c r="BS59">
        <v>3636.2023096355215</v>
      </c>
      <c r="BT59">
        <v>12.844892726083513</v>
      </c>
      <c r="BU59">
        <v>3899.7094316389544</v>
      </c>
      <c r="BV59">
        <v>11.625951578491529</v>
      </c>
      <c r="BW59">
        <v>3529.6388992300276</v>
      </c>
      <c r="BX59">
        <v>10.913651693489591</v>
      </c>
      <c r="BY59">
        <v>3313.3846541434395</v>
      </c>
      <c r="BZ59">
        <v>11.231966534549704</v>
      </c>
      <c r="CA59">
        <v>3410.0250398892899</v>
      </c>
      <c r="CB59">
        <v>17.696300370063796</v>
      </c>
      <c r="CC59">
        <v>5372.5967923513681</v>
      </c>
      <c r="CD59">
        <v>16.427574372711536</v>
      </c>
      <c r="CE59">
        <v>4987.4115795552216</v>
      </c>
      <c r="CF59">
        <v>13.391609165731948</v>
      </c>
      <c r="CG59">
        <v>4065.6925427162191</v>
      </c>
      <c r="CH59">
        <v>14.147846621194669</v>
      </c>
      <c r="CI59">
        <v>4295.2862341947011</v>
      </c>
      <c r="CJ59">
        <v>3.86934242092414</v>
      </c>
      <c r="CK59">
        <v>1174.7323589925688</v>
      </c>
      <c r="CL59">
        <v>22</v>
      </c>
      <c r="CM59">
        <v>6679.1999999999989</v>
      </c>
      <c r="CN59">
        <v>7.0929530836143337</v>
      </c>
      <c r="CO59">
        <v>2153.4205561853114</v>
      </c>
      <c r="CP59">
        <v>11.265450949224817</v>
      </c>
      <c r="CQ59">
        <v>3420.1909081846543</v>
      </c>
      <c r="CR59">
        <v>13.640335187574465</v>
      </c>
      <c r="CS59">
        <v>4141.2057629476067</v>
      </c>
      <c r="CT59">
        <v>9.2954753435091018</v>
      </c>
      <c r="CU59">
        <v>2822.1063142893631</v>
      </c>
    </row>
    <row r="60" spans="2:99" x14ac:dyDescent="0.2">
      <c r="C60" s="119" t="s">
        <v>226</v>
      </c>
      <c r="D60">
        <v>6.6576838560319898</v>
      </c>
      <c r="E60">
        <v>4338.1468005904444</v>
      </c>
      <c r="F60">
        <v>20</v>
      </c>
      <c r="G60">
        <v>13032</v>
      </c>
      <c r="H60">
        <v>7.5190047341421771</v>
      </c>
      <c r="I60">
        <v>4899.3834847670423</v>
      </c>
      <c r="J60">
        <v>9.0748104424897491</v>
      </c>
      <c r="K60">
        <v>5913.1464843263211</v>
      </c>
      <c r="L60">
        <v>18</v>
      </c>
      <c r="M60">
        <v>11728.800000000001</v>
      </c>
      <c r="N60">
        <v>15</v>
      </c>
      <c r="O60">
        <v>9774</v>
      </c>
      <c r="P60">
        <v>20</v>
      </c>
      <c r="Q60">
        <v>13032</v>
      </c>
      <c r="R60">
        <v>15.301486474778661</v>
      </c>
      <c r="S60">
        <v>9970.4485869657765</v>
      </c>
      <c r="T60">
        <v>11</v>
      </c>
      <c r="U60">
        <v>7167.6</v>
      </c>
      <c r="V60">
        <v>16.425735133442178</v>
      </c>
      <c r="W60">
        <v>10703.009012950923</v>
      </c>
      <c r="X60">
        <v>16</v>
      </c>
      <c r="Y60">
        <v>10425.6</v>
      </c>
      <c r="Z60">
        <v>11</v>
      </c>
      <c r="AA60">
        <v>7167.6</v>
      </c>
      <c r="AB60">
        <v>19</v>
      </c>
      <c r="AC60">
        <v>12380.4</v>
      </c>
      <c r="AD60">
        <v>17</v>
      </c>
      <c r="AE60">
        <v>11077.2</v>
      </c>
      <c r="AF60">
        <v>13.107160467435239</v>
      </c>
      <c r="AG60">
        <v>8540.6257605808023</v>
      </c>
      <c r="AH60">
        <v>8.4363399137278314</v>
      </c>
      <c r="AI60">
        <v>5497.1190877850549</v>
      </c>
      <c r="AJ60">
        <v>15</v>
      </c>
      <c r="AK60">
        <v>9774</v>
      </c>
      <c r="AL60">
        <v>10.469525806456005</v>
      </c>
      <c r="AM60">
        <v>6821.9430154867332</v>
      </c>
      <c r="AN60">
        <v>11</v>
      </c>
      <c r="AO60">
        <v>7167.6</v>
      </c>
      <c r="AP60">
        <v>17</v>
      </c>
      <c r="AQ60">
        <v>11077.2</v>
      </c>
      <c r="AR60">
        <v>18.479503560722119</v>
      </c>
      <c r="AS60">
        <v>12041.244520166532</v>
      </c>
      <c r="AT60">
        <v>10.520180150080504</v>
      </c>
      <c r="AU60">
        <v>6854.9493857924572</v>
      </c>
      <c r="AV60">
        <v>11</v>
      </c>
      <c r="AW60">
        <v>7167.6</v>
      </c>
      <c r="AX60">
        <v>17.136980580810977</v>
      </c>
      <c r="AY60">
        <v>11166.456546456433</v>
      </c>
      <c r="AZ60">
        <v>9.986886155185962</v>
      </c>
      <c r="BA60">
        <v>6507.4550187191735</v>
      </c>
      <c r="BB60">
        <v>15</v>
      </c>
      <c r="BC60">
        <v>9774</v>
      </c>
      <c r="BD60">
        <v>19</v>
      </c>
      <c r="BE60">
        <v>12380.4</v>
      </c>
      <c r="BF60">
        <v>13</v>
      </c>
      <c r="BG60">
        <v>8470.8000000000011</v>
      </c>
      <c r="BH60">
        <v>13.350396880023471</v>
      </c>
      <c r="BI60">
        <v>8699.1186070232943</v>
      </c>
      <c r="BJ60">
        <v>13.177514694657097</v>
      </c>
      <c r="BK60">
        <v>8586.4685750385652</v>
      </c>
      <c r="BL60">
        <v>14</v>
      </c>
      <c r="BM60">
        <v>9122.4</v>
      </c>
      <c r="BN60">
        <v>10.248037252304723</v>
      </c>
      <c r="BO60">
        <v>6677.6210736017574</v>
      </c>
      <c r="BP60">
        <v>17</v>
      </c>
      <c r="BQ60">
        <v>11077.2</v>
      </c>
      <c r="BR60">
        <v>11.178487557070115</v>
      </c>
      <c r="BS60">
        <v>7283.9024921868868</v>
      </c>
      <c r="BT60">
        <v>14.272103028981681</v>
      </c>
      <c r="BU60">
        <v>9299.7023336844632</v>
      </c>
      <c r="BV60">
        <v>12.271837777296616</v>
      </c>
      <c r="BW60">
        <v>7996.3294956864756</v>
      </c>
      <c r="BX60">
        <v>10.004180719032124</v>
      </c>
      <c r="BY60">
        <v>6518.7241565213326</v>
      </c>
      <c r="BZ60">
        <v>12.095963960284296</v>
      </c>
      <c r="CA60">
        <v>7881.7301165212475</v>
      </c>
      <c r="CB60">
        <v>14.746916975053162</v>
      </c>
      <c r="CC60">
        <v>9609.0911009446409</v>
      </c>
      <c r="CD60">
        <v>17.248953091347115</v>
      </c>
      <c r="CE60">
        <v>11239.417834321781</v>
      </c>
      <c r="CF60">
        <v>11.90365259176173</v>
      </c>
      <c r="CG60">
        <v>7756.4200287919439</v>
      </c>
      <c r="CH60">
        <v>15.091036395940979</v>
      </c>
      <c r="CI60">
        <v>9833.3193155951412</v>
      </c>
      <c r="CJ60">
        <v>3.86934242092414</v>
      </c>
      <c r="CK60">
        <v>2521.2635214741699</v>
      </c>
      <c r="CL60">
        <v>21</v>
      </c>
      <c r="CM60">
        <v>13683.6</v>
      </c>
      <c r="CN60">
        <v>5.4561177566264112</v>
      </c>
      <c r="CO60">
        <v>3555.2063302177698</v>
      </c>
      <c r="CP60">
        <v>11.265450949224817</v>
      </c>
      <c r="CQ60">
        <v>7340.5678385148913</v>
      </c>
      <c r="CR60">
        <v>14.614644843829783</v>
      </c>
      <c r="CS60">
        <v>9522.9025802394863</v>
      </c>
      <c r="CT60">
        <v>8.6315128189727375</v>
      </c>
      <c r="CU60">
        <v>5624.2937528426355</v>
      </c>
    </row>
    <row r="61" spans="2:99" x14ac:dyDescent="0.2">
      <c r="C61" s="119" t="s">
        <v>227</v>
      </c>
      <c r="D61">
        <v>7.1332327028914184</v>
      </c>
      <c r="E61">
        <v>6787.9842400714733</v>
      </c>
      <c r="F61">
        <v>20</v>
      </c>
      <c r="G61">
        <v>19032</v>
      </c>
      <c r="H61">
        <v>6.4448612006932935</v>
      </c>
      <c r="I61">
        <v>6132.9299185797372</v>
      </c>
      <c r="J61">
        <v>8.5076347898341407</v>
      </c>
      <c r="K61">
        <v>8095.8652660061671</v>
      </c>
      <c r="L61">
        <v>19</v>
      </c>
      <c r="M61">
        <v>18080.399999999998</v>
      </c>
      <c r="N61">
        <v>15</v>
      </c>
      <c r="O61">
        <v>14273.999999999998</v>
      </c>
      <c r="P61">
        <v>17</v>
      </c>
      <c r="Q61">
        <v>16177.199999999999</v>
      </c>
      <c r="R61">
        <v>13.690803687959857</v>
      </c>
      <c r="S61">
        <v>13028.168789462599</v>
      </c>
      <c r="T61">
        <v>13</v>
      </c>
      <c r="U61">
        <v>12370.8</v>
      </c>
      <c r="V61">
        <v>15.513194292695387</v>
      </c>
      <c r="W61">
        <v>14762.355688928928</v>
      </c>
      <c r="X61">
        <v>16</v>
      </c>
      <c r="Y61">
        <v>15225.599999999999</v>
      </c>
      <c r="Z61">
        <v>11</v>
      </c>
      <c r="AA61">
        <v>10467.599999999999</v>
      </c>
      <c r="AB61">
        <v>17</v>
      </c>
      <c r="AC61">
        <v>16177.199999999999</v>
      </c>
      <c r="AD61">
        <v>18</v>
      </c>
      <c r="AE61">
        <v>17128.8</v>
      </c>
      <c r="AF61">
        <v>13.107160467435239</v>
      </c>
      <c r="AG61">
        <v>12472.773900811373</v>
      </c>
      <c r="AH61">
        <v>9.2032799058849086</v>
      </c>
      <c r="AI61">
        <v>8757.8411584400783</v>
      </c>
      <c r="AJ61">
        <v>14</v>
      </c>
      <c r="AK61">
        <v>13322.399999999998</v>
      </c>
      <c r="AL61">
        <v>10.469525806456005</v>
      </c>
      <c r="AM61">
        <v>9962.8007574235326</v>
      </c>
      <c r="AN61">
        <v>10</v>
      </c>
      <c r="AO61">
        <v>9516</v>
      </c>
      <c r="AP61">
        <v>16</v>
      </c>
      <c r="AQ61">
        <v>15225.599999999999</v>
      </c>
      <c r="AR61">
        <v>18.479503560722119</v>
      </c>
      <c r="AS61">
        <v>17585.095588383167</v>
      </c>
      <c r="AT61">
        <v>9.8188348067418048</v>
      </c>
      <c r="AU61">
        <v>9343.6032020955008</v>
      </c>
      <c r="AV61">
        <v>12</v>
      </c>
      <c r="AW61">
        <v>11419.199999999999</v>
      </c>
      <c r="AX61">
        <v>17.136980580810977</v>
      </c>
      <c r="AY61">
        <v>16307.550720699724</v>
      </c>
      <c r="AZ61">
        <v>10.700235166270675</v>
      </c>
      <c r="BA61">
        <v>10182.343784223172</v>
      </c>
      <c r="BB61">
        <v>16</v>
      </c>
      <c r="BC61">
        <v>15225.599999999999</v>
      </c>
      <c r="BD61">
        <v>19</v>
      </c>
      <c r="BE61">
        <v>18080.399999999998</v>
      </c>
      <c r="BF61">
        <v>10</v>
      </c>
      <c r="BG61">
        <v>9516</v>
      </c>
      <c r="BH61">
        <v>13.350396880023471</v>
      </c>
      <c r="BI61">
        <v>12704.237671030334</v>
      </c>
      <c r="BJ61">
        <v>13.177514694657097</v>
      </c>
      <c r="BK61">
        <v>12539.722983435691</v>
      </c>
      <c r="BL61">
        <v>14</v>
      </c>
      <c r="BM61">
        <v>13322.399999999998</v>
      </c>
      <c r="BN61">
        <v>8.7108316644590129</v>
      </c>
      <c r="BO61">
        <v>8289.2274118991954</v>
      </c>
      <c r="BP61">
        <v>16</v>
      </c>
      <c r="BQ61">
        <v>15225.599999999999</v>
      </c>
      <c r="BR61">
        <v>10.380024160136534</v>
      </c>
      <c r="BS61">
        <v>9877.630990785925</v>
      </c>
      <c r="BT61">
        <v>12.131287574634429</v>
      </c>
      <c r="BU61">
        <v>11544.133256022122</v>
      </c>
      <c r="BV61">
        <v>10.980065379686446</v>
      </c>
      <c r="BW61">
        <v>10448.63021530962</v>
      </c>
      <c r="BX61">
        <v>10.004180719032124</v>
      </c>
      <c r="BY61">
        <v>9519.9783722309694</v>
      </c>
      <c r="BZ61">
        <v>10.36796910881511</v>
      </c>
      <c r="CA61">
        <v>9866.1594039484571</v>
      </c>
      <c r="CB61">
        <v>15.730044773390039</v>
      </c>
      <c r="CC61">
        <v>14968.710606357959</v>
      </c>
      <c r="CD61">
        <v>14.784816935440384</v>
      </c>
      <c r="CE61">
        <v>14069.231795765068</v>
      </c>
      <c r="CF61">
        <v>11.90365259176173</v>
      </c>
      <c r="CG61">
        <v>11327.515806320462</v>
      </c>
      <c r="CH61">
        <v>15.091036395940979</v>
      </c>
      <c r="CI61">
        <v>14360.630234377433</v>
      </c>
      <c r="CJ61">
        <v>3.5929608194295586</v>
      </c>
      <c r="CK61">
        <v>3419.0615157691677</v>
      </c>
      <c r="CL61">
        <v>20</v>
      </c>
      <c r="CM61">
        <v>19032</v>
      </c>
      <c r="CN61">
        <v>5.4561177566264112</v>
      </c>
      <c r="CO61">
        <v>5192.041657205692</v>
      </c>
      <c r="CP61">
        <v>11.265450949224817</v>
      </c>
      <c r="CQ61">
        <v>10720.203123282336</v>
      </c>
      <c r="CR61">
        <v>12.666025531319146</v>
      </c>
      <c r="CS61">
        <v>12052.989895603299</v>
      </c>
      <c r="CT61">
        <v>7.3035877699000089</v>
      </c>
      <c r="CU61">
        <v>6950.094121836848</v>
      </c>
    </row>
    <row r="62" spans="2:99" x14ac:dyDescent="0.2">
      <c r="C62" s="119" t="s">
        <v>228</v>
      </c>
      <c r="D62">
        <v>6.1821350091725629</v>
      </c>
      <c r="E62">
        <v>10541.776617641055</v>
      </c>
      <c r="F62">
        <v>17</v>
      </c>
      <c r="G62">
        <v>28988.400000000001</v>
      </c>
      <c r="H62">
        <v>6.0868133562103335</v>
      </c>
      <c r="I62">
        <v>10379.234135009861</v>
      </c>
      <c r="J62">
        <v>7.9404591371785296</v>
      </c>
      <c r="K62">
        <v>13540.070920716829</v>
      </c>
      <c r="L62">
        <v>17</v>
      </c>
      <c r="M62">
        <v>28988.400000000001</v>
      </c>
      <c r="N62">
        <v>13</v>
      </c>
      <c r="O62">
        <v>22167.600000000002</v>
      </c>
      <c r="P62">
        <v>17</v>
      </c>
      <c r="Q62">
        <v>28988.400000000001</v>
      </c>
      <c r="R62">
        <v>13.690803687959857</v>
      </c>
      <c r="S62">
        <v>23345.558448709147</v>
      </c>
      <c r="T62">
        <v>12</v>
      </c>
      <c r="U62">
        <v>20462.400000000001</v>
      </c>
      <c r="V62">
        <v>14.600653451948601</v>
      </c>
      <c r="W62">
        <v>24897.034266262755</v>
      </c>
      <c r="X62">
        <v>14</v>
      </c>
      <c r="Y62">
        <v>23872.799999999999</v>
      </c>
      <c r="Z62">
        <v>10</v>
      </c>
      <c r="AA62">
        <v>17052</v>
      </c>
      <c r="AB62">
        <v>17</v>
      </c>
      <c r="AC62">
        <v>28988.400000000001</v>
      </c>
      <c r="AD62">
        <v>16</v>
      </c>
      <c r="AE62">
        <v>27283.200000000001</v>
      </c>
      <c r="AF62">
        <v>13.107160467435239</v>
      </c>
      <c r="AG62">
        <v>22350.33002907057</v>
      </c>
      <c r="AH62">
        <v>8.4363399137278314</v>
      </c>
      <c r="AI62">
        <v>14385.646820888698</v>
      </c>
      <c r="AJ62">
        <v>13</v>
      </c>
      <c r="AK62">
        <v>22167.600000000002</v>
      </c>
      <c r="AL62">
        <v>8.8588295285396974</v>
      </c>
      <c r="AM62">
        <v>15106.076112065892</v>
      </c>
      <c r="AN62">
        <v>9</v>
      </c>
      <c r="AO62">
        <v>15346.800000000001</v>
      </c>
      <c r="AP62">
        <v>13</v>
      </c>
      <c r="AQ62">
        <v>22167.600000000002</v>
      </c>
      <c r="AR62">
        <v>17.506898110157799</v>
      </c>
      <c r="AS62">
        <v>29852.762657441079</v>
      </c>
      <c r="AT62">
        <v>9.1174894634031052</v>
      </c>
      <c r="AU62">
        <v>15547.143032994976</v>
      </c>
      <c r="AV62">
        <v>10</v>
      </c>
      <c r="AW62">
        <v>17052</v>
      </c>
      <c r="AX62">
        <v>15.333087888094031</v>
      </c>
      <c r="AY62">
        <v>26145.981466777943</v>
      </c>
      <c r="AZ62">
        <v>8.5601881330165401</v>
      </c>
      <c r="BA62">
        <v>14596.832804419804</v>
      </c>
      <c r="BB62">
        <v>13</v>
      </c>
      <c r="BC62">
        <v>22167.600000000002</v>
      </c>
      <c r="BD62">
        <v>15</v>
      </c>
      <c r="BE62">
        <v>25578</v>
      </c>
      <c r="BF62">
        <v>10</v>
      </c>
      <c r="BG62">
        <v>17052</v>
      </c>
      <c r="BH62">
        <v>11.242439477914502</v>
      </c>
      <c r="BI62">
        <v>19170.607797739809</v>
      </c>
      <c r="BJ62">
        <v>12.236263645038731</v>
      </c>
      <c r="BK62">
        <v>20865.276767520045</v>
      </c>
      <c r="BL62">
        <v>13</v>
      </c>
      <c r="BM62">
        <v>22167.600000000002</v>
      </c>
      <c r="BN62">
        <v>8.7108316644590129</v>
      </c>
      <c r="BO62">
        <v>14853.710154235509</v>
      </c>
      <c r="BP62">
        <v>15</v>
      </c>
      <c r="BQ62">
        <v>25578</v>
      </c>
      <c r="BR62">
        <v>9.5815607632029565</v>
      </c>
      <c r="BS62">
        <v>16338.477413413682</v>
      </c>
      <c r="BT62">
        <v>13.558497877532599</v>
      </c>
      <c r="BU62">
        <v>23119.950580768589</v>
      </c>
      <c r="BV62">
        <v>12.271837777296616</v>
      </c>
      <c r="BW62">
        <v>20925.937777846189</v>
      </c>
      <c r="BX62">
        <v>9.0947097445746596</v>
      </c>
      <c r="BY62">
        <v>15508.29905644871</v>
      </c>
      <c r="BZ62">
        <v>11.231966534549704</v>
      </c>
      <c r="CA62">
        <v>19152.749334714157</v>
      </c>
      <c r="CB62">
        <v>13.763789176716285</v>
      </c>
      <c r="CC62">
        <v>23470.01330413661</v>
      </c>
      <c r="CD62">
        <v>13.963438216804805</v>
      </c>
      <c r="CE62">
        <v>23810.454847295554</v>
      </c>
      <c r="CF62">
        <v>11.159674304776622</v>
      </c>
      <c r="CG62">
        <v>19029.476624505096</v>
      </c>
      <c r="CH62">
        <v>12.261467071702045</v>
      </c>
      <c r="CI62">
        <v>20908.253650666327</v>
      </c>
      <c r="CJ62">
        <v>3.0401976164403952</v>
      </c>
      <c r="CK62">
        <v>5184.1449755541616</v>
      </c>
      <c r="CL62">
        <v>16</v>
      </c>
      <c r="CM62">
        <v>27283.200000000001</v>
      </c>
      <c r="CN62">
        <v>4.9105059809637703</v>
      </c>
      <c r="CO62">
        <v>8373.3947987394222</v>
      </c>
      <c r="CP62">
        <v>9.1196507684200903</v>
      </c>
      <c r="CQ62">
        <v>15550.828490309937</v>
      </c>
      <c r="CR62">
        <v>11.691715875063826</v>
      </c>
      <c r="CS62">
        <v>19936.713910158836</v>
      </c>
      <c r="CT62">
        <v>7.9675502944363723</v>
      </c>
      <c r="CU62">
        <v>13586.266762072903</v>
      </c>
    </row>
    <row r="63" spans="2:99" x14ac:dyDescent="0.2">
      <c r="C63" s="119" t="s">
        <v>229</v>
      </c>
      <c r="D63">
        <v>7.1332327028914184</v>
      </c>
      <c r="E63">
        <v>5675.1999384204128</v>
      </c>
      <c r="F63">
        <v>21</v>
      </c>
      <c r="G63">
        <v>16707.600000000002</v>
      </c>
      <c r="H63">
        <v>6.4448612006932935</v>
      </c>
      <c r="I63">
        <v>5127.5315712715847</v>
      </c>
      <c r="J63">
        <v>7.9404591371785296</v>
      </c>
      <c r="K63">
        <v>6317.4292895392382</v>
      </c>
      <c r="L63">
        <v>19</v>
      </c>
      <c r="M63">
        <v>15116.4</v>
      </c>
      <c r="N63">
        <v>16</v>
      </c>
      <c r="O63">
        <v>12729.6</v>
      </c>
      <c r="P63">
        <v>20</v>
      </c>
      <c r="Q63">
        <v>15912</v>
      </c>
      <c r="R63">
        <v>14.49614508136926</v>
      </c>
      <c r="S63">
        <v>11533.133026737383</v>
      </c>
      <c r="T63">
        <v>14</v>
      </c>
      <c r="U63">
        <v>11138.4</v>
      </c>
      <c r="V63">
        <v>13.688112611201815</v>
      </c>
      <c r="W63">
        <v>10890.262393472163</v>
      </c>
      <c r="X63">
        <v>16</v>
      </c>
      <c r="Y63">
        <v>12729.6</v>
      </c>
      <c r="Z63">
        <v>10</v>
      </c>
      <c r="AA63">
        <v>7956</v>
      </c>
      <c r="AB63">
        <v>17</v>
      </c>
      <c r="AC63">
        <v>13525.2</v>
      </c>
      <c r="AD63">
        <v>18</v>
      </c>
      <c r="AE63">
        <v>14320.800000000001</v>
      </c>
      <c r="AF63">
        <v>13.926357996649941</v>
      </c>
      <c r="AG63">
        <v>11079.810422134693</v>
      </c>
      <c r="AH63">
        <v>9.2032799058849086</v>
      </c>
      <c r="AI63">
        <v>7322.1294931220336</v>
      </c>
      <c r="AJ63">
        <v>13</v>
      </c>
      <c r="AK63">
        <v>10342.800000000001</v>
      </c>
      <c r="AL63">
        <v>8.8588295285396974</v>
      </c>
      <c r="AM63">
        <v>7048.0847729061834</v>
      </c>
      <c r="AN63">
        <v>11</v>
      </c>
      <c r="AO63">
        <v>8751.6</v>
      </c>
      <c r="AP63">
        <v>15</v>
      </c>
      <c r="AQ63">
        <v>11934</v>
      </c>
      <c r="AR63">
        <v>17.506898110157799</v>
      </c>
      <c r="AS63">
        <v>13928.488136441545</v>
      </c>
      <c r="AT63">
        <v>9.8188348067418048</v>
      </c>
      <c r="AU63">
        <v>7811.8649722437804</v>
      </c>
      <c r="AV63">
        <v>11</v>
      </c>
      <c r="AW63">
        <v>8751.6</v>
      </c>
      <c r="AX63">
        <v>18.038926927169449</v>
      </c>
      <c r="AY63">
        <v>14351.770263256014</v>
      </c>
      <c r="AZ63">
        <v>9.986886155185962</v>
      </c>
      <c r="BA63">
        <v>7945.5666250659515</v>
      </c>
      <c r="BB63">
        <v>16</v>
      </c>
      <c r="BC63">
        <v>12729.6</v>
      </c>
      <c r="BD63">
        <v>19</v>
      </c>
      <c r="BE63">
        <v>15116.4</v>
      </c>
      <c r="BF63">
        <v>11</v>
      </c>
      <c r="BG63">
        <v>8751.6</v>
      </c>
      <c r="BH63">
        <v>13.350396880023471</v>
      </c>
      <c r="BI63">
        <v>10621.575757746674</v>
      </c>
      <c r="BJ63">
        <v>14.118765744275461</v>
      </c>
      <c r="BK63">
        <v>11232.890026145556</v>
      </c>
      <c r="BL63">
        <v>15</v>
      </c>
      <c r="BM63">
        <v>11934</v>
      </c>
      <c r="BN63">
        <v>9.7356353896894863</v>
      </c>
      <c r="BO63">
        <v>7745.6715160369558</v>
      </c>
      <c r="BP63">
        <v>17</v>
      </c>
      <c r="BQ63">
        <v>13525.2</v>
      </c>
      <c r="BR63">
        <v>11.178487557070115</v>
      </c>
      <c r="BS63">
        <v>8893.6047004049833</v>
      </c>
      <c r="BT63">
        <v>13.558497877532599</v>
      </c>
      <c r="BU63">
        <v>10787.140911364935</v>
      </c>
      <c r="BV63">
        <v>12.271837777296616</v>
      </c>
      <c r="BW63">
        <v>9763.4741356171871</v>
      </c>
      <c r="BX63">
        <v>10.004180719032124</v>
      </c>
      <c r="BY63">
        <v>7959.3261800619584</v>
      </c>
      <c r="BZ63">
        <v>10.36796910881511</v>
      </c>
      <c r="CA63">
        <v>8248.7562229733012</v>
      </c>
      <c r="CB63">
        <v>15.730044773390039</v>
      </c>
      <c r="CC63">
        <v>12514.823621709116</v>
      </c>
      <c r="CD63">
        <v>14.784816935440384</v>
      </c>
      <c r="CE63">
        <v>11762.80035383637</v>
      </c>
      <c r="CF63">
        <v>11.159674304776622</v>
      </c>
      <c r="CG63">
        <v>8878.6368768802804</v>
      </c>
      <c r="CH63">
        <v>15.091036395940979</v>
      </c>
      <c r="CI63">
        <v>12006.428556610643</v>
      </c>
      <c r="CJ63">
        <v>3.5929608194295586</v>
      </c>
      <c r="CK63">
        <v>2858.5596279381571</v>
      </c>
      <c r="CL63">
        <v>18</v>
      </c>
      <c r="CM63">
        <v>14320.800000000001</v>
      </c>
      <c r="CN63">
        <v>6.5473413079516929</v>
      </c>
      <c r="CO63">
        <v>5209.0647446063667</v>
      </c>
      <c r="CP63">
        <v>10.729000904023636</v>
      </c>
      <c r="CQ63">
        <v>8535.9931192412041</v>
      </c>
      <c r="CR63">
        <v>13.640335187574465</v>
      </c>
      <c r="CS63">
        <v>10852.250675234245</v>
      </c>
      <c r="CT63">
        <v>7.9675502944363723</v>
      </c>
      <c r="CU63">
        <v>6338.9830142535784</v>
      </c>
    </row>
    <row r="64" spans="2:99" x14ac:dyDescent="0.2">
      <c r="C64" s="119" t="s">
        <v>230</v>
      </c>
      <c r="D64">
        <v>5.7065861623131342</v>
      </c>
      <c r="E64">
        <v>5759.086755006414</v>
      </c>
      <c r="F64">
        <v>20</v>
      </c>
      <c r="G64">
        <v>20183.999999999996</v>
      </c>
      <c r="H64">
        <v>6.0868133562103335</v>
      </c>
      <c r="I64">
        <v>6142.8120390874674</v>
      </c>
      <c r="J64">
        <v>8.5076347898341407</v>
      </c>
      <c r="K64">
        <v>8585.905029900614</v>
      </c>
      <c r="L64">
        <v>18</v>
      </c>
      <c r="M64">
        <v>18165.599999999999</v>
      </c>
      <c r="N64">
        <v>14</v>
      </c>
      <c r="O64">
        <v>14128.799999999997</v>
      </c>
      <c r="P64">
        <v>19</v>
      </c>
      <c r="Q64">
        <v>19174.799999999996</v>
      </c>
      <c r="R64">
        <v>13.690803687959857</v>
      </c>
      <c r="S64">
        <v>13816.759081889086</v>
      </c>
      <c r="T64">
        <v>12</v>
      </c>
      <c r="U64">
        <v>12110.399999999998</v>
      </c>
      <c r="V64">
        <v>14.600653451948601</v>
      </c>
      <c r="W64">
        <v>14734.979463706524</v>
      </c>
      <c r="X64">
        <v>15</v>
      </c>
      <c r="Y64">
        <v>15137.999999999996</v>
      </c>
      <c r="Z64">
        <v>12</v>
      </c>
      <c r="AA64">
        <v>12110.399999999998</v>
      </c>
      <c r="AB64">
        <v>16</v>
      </c>
      <c r="AC64">
        <v>16147.199999999997</v>
      </c>
      <c r="AD64">
        <v>19</v>
      </c>
      <c r="AE64">
        <v>19174.799999999996</v>
      </c>
      <c r="AF64">
        <v>13.107160467435239</v>
      </c>
      <c r="AG64">
        <v>13227.746343735642</v>
      </c>
      <c r="AH64">
        <v>9.2032799058849086</v>
      </c>
      <c r="AI64">
        <v>9287.9500810190475</v>
      </c>
      <c r="AJ64">
        <v>13</v>
      </c>
      <c r="AK64">
        <v>13119.599999999999</v>
      </c>
      <c r="AL64">
        <v>9.6641776674978512</v>
      </c>
      <c r="AM64">
        <v>9753.0881020388297</v>
      </c>
      <c r="AN64">
        <v>11</v>
      </c>
      <c r="AO64">
        <v>11101.199999999997</v>
      </c>
      <c r="AP64">
        <v>14</v>
      </c>
      <c r="AQ64">
        <v>14128.799999999997</v>
      </c>
      <c r="AR64">
        <v>19.452109011286442</v>
      </c>
      <c r="AS64">
        <v>19631.068414190275</v>
      </c>
      <c r="AT64">
        <v>11.221525493419206</v>
      </c>
      <c r="AU64">
        <v>11324.763527958661</v>
      </c>
      <c r="AV64">
        <v>11</v>
      </c>
      <c r="AW64">
        <v>11101.199999999997</v>
      </c>
      <c r="AX64">
        <v>15.333087888094031</v>
      </c>
      <c r="AY64">
        <v>15474.152296664493</v>
      </c>
      <c r="AZ64">
        <v>9.986886155185962</v>
      </c>
      <c r="BA64">
        <v>10078.76550781367</v>
      </c>
      <c r="BB64">
        <v>14</v>
      </c>
      <c r="BC64">
        <v>14128.799999999997</v>
      </c>
      <c r="BD64">
        <v>18</v>
      </c>
      <c r="BE64">
        <v>18165.599999999999</v>
      </c>
      <c r="BF64">
        <v>11</v>
      </c>
      <c r="BG64">
        <v>11101.199999999997</v>
      </c>
      <c r="BH64">
        <v>13.350396880023471</v>
      </c>
      <c r="BI64">
        <v>13473.220531319685</v>
      </c>
      <c r="BJ64">
        <v>13.177514694657097</v>
      </c>
      <c r="BK64">
        <v>13298.74782984794</v>
      </c>
      <c r="BL64">
        <v>13</v>
      </c>
      <c r="BM64">
        <v>13119.599999999999</v>
      </c>
      <c r="BN64">
        <v>8.7108316644590129</v>
      </c>
      <c r="BO64">
        <v>8790.9713157720344</v>
      </c>
      <c r="BP64">
        <v>18</v>
      </c>
      <c r="BQ64">
        <v>18165.599999999999</v>
      </c>
      <c r="BR64">
        <v>10.380024160136534</v>
      </c>
      <c r="BS64">
        <v>10475.520382409788</v>
      </c>
      <c r="BT64">
        <v>12.131287574634429</v>
      </c>
      <c r="BU64">
        <v>12242.895420321063</v>
      </c>
      <c r="BV64">
        <v>10.980065379686446</v>
      </c>
      <c r="BW64">
        <v>11081.081981179559</v>
      </c>
      <c r="BX64">
        <v>10.004180719032124</v>
      </c>
      <c r="BY64">
        <v>10096.219181647219</v>
      </c>
      <c r="BZ64">
        <v>11.231966534549704</v>
      </c>
      <c r="CA64">
        <v>11335.300626667558</v>
      </c>
      <c r="CB64">
        <v>15.730044773390039</v>
      </c>
      <c r="CC64">
        <v>15874.761185305226</v>
      </c>
      <c r="CD64">
        <v>17.248953091347115</v>
      </c>
      <c r="CE64">
        <v>17407.643459787505</v>
      </c>
      <c r="CF64">
        <v>12.647630878746838</v>
      </c>
      <c r="CG64">
        <v>12763.989082831307</v>
      </c>
      <c r="CH64">
        <v>14.147846621194669</v>
      </c>
      <c r="CI64">
        <v>14278.006810109657</v>
      </c>
      <c r="CJ64">
        <v>3.5929608194295586</v>
      </c>
      <c r="CK64">
        <v>3626.0160589683101</v>
      </c>
      <c r="CL64">
        <v>17</v>
      </c>
      <c r="CM64">
        <v>17156.399999999998</v>
      </c>
      <c r="CN64">
        <v>6.5473413079516929</v>
      </c>
      <c r="CO64">
        <v>6607.5768479848475</v>
      </c>
      <c r="CP64">
        <v>10.729000904023636</v>
      </c>
      <c r="CQ64">
        <v>10827.707712340651</v>
      </c>
      <c r="CR64">
        <v>14.614644843829783</v>
      </c>
      <c r="CS64">
        <v>14749.099576393015</v>
      </c>
      <c r="CT64">
        <v>7.9675502944363723</v>
      </c>
      <c r="CU64">
        <v>8040.8517571451857</v>
      </c>
    </row>
    <row r="65" spans="2:99" x14ac:dyDescent="0.2">
      <c r="C65" s="119" t="s">
        <v>231</v>
      </c>
      <c r="D65">
        <v>6.1821350091725629</v>
      </c>
      <c r="E65">
        <v>6342.8705194110498</v>
      </c>
      <c r="F65">
        <v>19</v>
      </c>
      <c r="G65">
        <v>19494</v>
      </c>
      <c r="H65">
        <v>7.1609568896592153</v>
      </c>
      <c r="I65">
        <v>7347.1417687903549</v>
      </c>
      <c r="J65">
        <v>7.9404591371785296</v>
      </c>
      <c r="K65">
        <v>8146.9110747451714</v>
      </c>
      <c r="L65">
        <v>19</v>
      </c>
      <c r="M65">
        <v>19494</v>
      </c>
      <c r="N65">
        <v>15</v>
      </c>
      <c r="O65">
        <v>15390</v>
      </c>
      <c r="P65">
        <v>18</v>
      </c>
      <c r="Q65">
        <v>18468</v>
      </c>
      <c r="R65">
        <v>13.690803687959857</v>
      </c>
      <c r="S65">
        <v>14046.764583846812</v>
      </c>
      <c r="T65">
        <v>13</v>
      </c>
      <c r="U65">
        <v>13338</v>
      </c>
      <c r="V65">
        <v>13.688112611201815</v>
      </c>
      <c r="W65">
        <v>14044.003539093062</v>
      </c>
      <c r="X65">
        <v>16</v>
      </c>
      <c r="Y65">
        <v>16416</v>
      </c>
      <c r="Z65">
        <v>11</v>
      </c>
      <c r="AA65">
        <v>11286</v>
      </c>
      <c r="AB65">
        <v>16</v>
      </c>
      <c r="AC65">
        <v>16416</v>
      </c>
      <c r="AD65">
        <v>16</v>
      </c>
      <c r="AE65">
        <v>16416</v>
      </c>
      <c r="AF65">
        <v>13.107160467435239</v>
      </c>
      <c r="AG65">
        <v>13447.946639588556</v>
      </c>
      <c r="AH65">
        <v>9.9702198980419841</v>
      </c>
      <c r="AI65">
        <v>10229.445615391076</v>
      </c>
      <c r="AJ65">
        <v>14</v>
      </c>
      <c r="AK65">
        <v>14364</v>
      </c>
      <c r="AL65">
        <v>9.6641776674978512</v>
      </c>
      <c r="AM65">
        <v>9915.4462868527953</v>
      </c>
      <c r="AN65">
        <v>10</v>
      </c>
      <c r="AO65">
        <v>10260</v>
      </c>
      <c r="AP65">
        <v>14</v>
      </c>
      <c r="AQ65">
        <v>14364</v>
      </c>
      <c r="AR65">
        <v>17.506898110157799</v>
      </c>
      <c r="AS65">
        <v>17962.077461021901</v>
      </c>
      <c r="AT65">
        <v>10.520180150080504</v>
      </c>
      <c r="AU65">
        <v>10793.704833982598</v>
      </c>
      <c r="AV65">
        <v>11</v>
      </c>
      <c r="AW65">
        <v>11286</v>
      </c>
      <c r="AX65">
        <v>15.333087888094031</v>
      </c>
      <c r="AY65">
        <v>15731.748173184476</v>
      </c>
      <c r="AZ65">
        <v>9.986886155185962</v>
      </c>
      <c r="BA65">
        <v>10246.545195220797</v>
      </c>
      <c r="BB65">
        <v>13</v>
      </c>
      <c r="BC65">
        <v>13338</v>
      </c>
      <c r="BD65">
        <v>16</v>
      </c>
      <c r="BE65">
        <v>16416</v>
      </c>
      <c r="BF65">
        <v>12</v>
      </c>
      <c r="BG65">
        <v>12312</v>
      </c>
      <c r="BH65">
        <v>14.053049347393127</v>
      </c>
      <c r="BI65">
        <v>14418.428630425349</v>
      </c>
      <c r="BJ65">
        <v>14.118765744275461</v>
      </c>
      <c r="BK65">
        <v>14485.853653626622</v>
      </c>
      <c r="BL65">
        <v>14</v>
      </c>
      <c r="BM65">
        <v>14364</v>
      </c>
      <c r="BN65">
        <v>8.7108316644590129</v>
      </c>
      <c r="BO65">
        <v>8937.3132877349472</v>
      </c>
      <c r="BP65">
        <v>18</v>
      </c>
      <c r="BQ65">
        <v>18468</v>
      </c>
      <c r="BR65">
        <v>11.178487557070115</v>
      </c>
      <c r="BS65">
        <v>11469.128233553938</v>
      </c>
      <c r="BT65">
        <v>12.844892726083513</v>
      </c>
      <c r="BU65">
        <v>13178.859936961684</v>
      </c>
      <c r="BV65">
        <v>11.625951578491529</v>
      </c>
      <c r="BW65">
        <v>11928.226319532308</v>
      </c>
      <c r="BX65">
        <v>10.004180719032124</v>
      </c>
      <c r="BY65">
        <v>10264.289417726959</v>
      </c>
      <c r="BZ65">
        <v>11.231966534549704</v>
      </c>
      <c r="CA65">
        <v>11523.997664447996</v>
      </c>
      <c r="CB65">
        <v>15.730044773390039</v>
      </c>
      <c r="CC65">
        <v>16139.02593749818</v>
      </c>
      <c r="CD65">
        <v>14.784816935440384</v>
      </c>
      <c r="CE65">
        <v>15169.222175761834</v>
      </c>
      <c r="CF65">
        <v>11.90365259176173</v>
      </c>
      <c r="CG65">
        <v>12213.147559147536</v>
      </c>
      <c r="CH65">
        <v>14.147846621194669</v>
      </c>
      <c r="CI65">
        <v>14515.69063334573</v>
      </c>
      <c r="CJ65">
        <v>3.3165792179349767</v>
      </c>
      <c r="CK65">
        <v>3402.8102776012861</v>
      </c>
      <c r="CL65">
        <v>19</v>
      </c>
      <c r="CM65">
        <v>19494</v>
      </c>
      <c r="CN65">
        <v>5.4561177566264112</v>
      </c>
      <c r="CO65">
        <v>5597.9768182986982</v>
      </c>
      <c r="CP65">
        <v>10.192550858822454</v>
      </c>
      <c r="CQ65">
        <v>10457.557181151838</v>
      </c>
      <c r="CR65">
        <v>13.640335187574465</v>
      </c>
      <c r="CS65">
        <v>13994.9839024514</v>
      </c>
      <c r="CT65">
        <v>7.3035877699000089</v>
      </c>
      <c r="CU65">
        <v>7493.4810519174089</v>
      </c>
    </row>
    <row r="66" spans="2:99" x14ac:dyDescent="0.2">
      <c r="C66" s="119" t="s">
        <v>232</v>
      </c>
      <c r="D66">
        <v>5.7065861623131342</v>
      </c>
      <c r="E66">
        <v>6793.1201676175542</v>
      </c>
      <c r="F66">
        <v>18</v>
      </c>
      <c r="G66">
        <v>21427.199999999997</v>
      </c>
      <c r="H66">
        <v>6.4448612006932935</v>
      </c>
      <c r="I66">
        <v>7671.9627733052957</v>
      </c>
      <c r="J66">
        <v>7.9404591371785296</v>
      </c>
      <c r="K66">
        <v>9452.3225568973212</v>
      </c>
      <c r="L66">
        <v>19</v>
      </c>
      <c r="M66">
        <v>22617.599999999999</v>
      </c>
      <c r="N66">
        <v>15</v>
      </c>
      <c r="O66">
        <v>17855.999999999996</v>
      </c>
      <c r="P66">
        <v>18</v>
      </c>
      <c r="Q66">
        <v>21427.199999999997</v>
      </c>
      <c r="R66">
        <v>13.690803687959857</v>
      </c>
      <c r="S66">
        <v>16297.532710147412</v>
      </c>
      <c r="T66">
        <v>11</v>
      </c>
      <c r="U66">
        <v>13094.399999999998</v>
      </c>
      <c r="V66">
        <v>12.775571770455025</v>
      </c>
      <c r="W66">
        <v>15208.04063554966</v>
      </c>
      <c r="X66">
        <v>14</v>
      </c>
      <c r="Y66">
        <v>16665.599999999999</v>
      </c>
      <c r="Z66">
        <v>11</v>
      </c>
      <c r="AA66">
        <v>13094.399999999998</v>
      </c>
      <c r="AB66">
        <v>16</v>
      </c>
      <c r="AC66">
        <v>19046.399999999998</v>
      </c>
      <c r="AD66">
        <v>16</v>
      </c>
      <c r="AE66">
        <v>19046.399999999998</v>
      </c>
      <c r="AF66">
        <v>11.468765409005833</v>
      </c>
      <c r="AG66">
        <v>13652.418342880543</v>
      </c>
      <c r="AH66">
        <v>9.2032799058849086</v>
      </c>
      <c r="AI66">
        <v>10955.584399965393</v>
      </c>
      <c r="AJ66">
        <v>14</v>
      </c>
      <c r="AK66">
        <v>16665.599999999999</v>
      </c>
      <c r="AL66">
        <v>10.469525806456005</v>
      </c>
      <c r="AM66">
        <v>12462.923520005226</v>
      </c>
      <c r="AN66">
        <v>11</v>
      </c>
      <c r="AO66">
        <v>13094.399999999998</v>
      </c>
      <c r="AP66">
        <v>15</v>
      </c>
      <c r="AQ66">
        <v>17855.999999999996</v>
      </c>
      <c r="AR66">
        <v>18.479503560722119</v>
      </c>
      <c r="AS66">
        <v>21998.001038683607</v>
      </c>
      <c r="AT66">
        <v>11.221525493419206</v>
      </c>
      <c r="AU66">
        <v>13358.10394736622</v>
      </c>
      <c r="AV66">
        <v>11</v>
      </c>
      <c r="AW66">
        <v>13094.399999999998</v>
      </c>
      <c r="AX66">
        <v>16.235034234452502</v>
      </c>
      <c r="AY66">
        <v>19326.184752692257</v>
      </c>
      <c r="AZ66">
        <v>9.986886155185962</v>
      </c>
      <c r="BA66">
        <v>11888.389279133367</v>
      </c>
      <c r="BB66">
        <v>15</v>
      </c>
      <c r="BC66">
        <v>17855.999999999996</v>
      </c>
      <c r="BD66">
        <v>16</v>
      </c>
      <c r="BE66">
        <v>19046.399999999998</v>
      </c>
      <c r="BF66">
        <v>12</v>
      </c>
      <c r="BG66">
        <v>14284.8</v>
      </c>
      <c r="BH66">
        <v>11.945091945284158</v>
      </c>
      <c r="BI66">
        <v>14219.437451666261</v>
      </c>
      <c r="BJ66">
        <v>14.118765744275461</v>
      </c>
      <c r="BK66">
        <v>16806.978741985506</v>
      </c>
      <c r="BL66">
        <v>13</v>
      </c>
      <c r="BM66">
        <v>15475.199999999999</v>
      </c>
      <c r="BN66">
        <v>9.2232335270742514</v>
      </c>
      <c r="BO66">
        <v>10979.337190629187</v>
      </c>
      <c r="BP66">
        <v>17</v>
      </c>
      <c r="BQ66">
        <v>20236.8</v>
      </c>
      <c r="BR66">
        <v>11.178487557070115</v>
      </c>
      <c r="BS66">
        <v>13306.871587936263</v>
      </c>
      <c r="BT66">
        <v>11.417682423185346</v>
      </c>
      <c r="BU66">
        <v>13591.609156559834</v>
      </c>
      <c r="BV66">
        <v>11.625951578491529</v>
      </c>
      <c r="BW66">
        <v>13839.532759036314</v>
      </c>
      <c r="BX66">
        <v>9.0947097445746596</v>
      </c>
      <c r="BY66">
        <v>10826.342479941673</v>
      </c>
      <c r="BZ66">
        <v>11.231966534549704</v>
      </c>
      <c r="CA66">
        <v>13370.532962727966</v>
      </c>
      <c r="CB66">
        <v>14.746916975053162</v>
      </c>
      <c r="CC66">
        <v>17554.729967103282</v>
      </c>
      <c r="CD66">
        <v>13.963438216804805</v>
      </c>
      <c r="CE66">
        <v>16622.076853284438</v>
      </c>
      <c r="CF66">
        <v>11.90365259176173</v>
      </c>
      <c r="CG66">
        <v>14170.108045233163</v>
      </c>
      <c r="CH66">
        <v>13.204656846448357</v>
      </c>
      <c r="CI66">
        <v>15718.823510012122</v>
      </c>
      <c r="CJ66">
        <v>3.3165792179349767</v>
      </c>
      <c r="CK66">
        <v>3948.0559010297957</v>
      </c>
      <c r="CL66">
        <v>16</v>
      </c>
      <c r="CM66">
        <v>19046.399999999998</v>
      </c>
      <c r="CN66">
        <v>6.0017295322890511</v>
      </c>
      <c r="CO66">
        <v>7144.4588352368855</v>
      </c>
      <c r="CP66">
        <v>11.265450949224817</v>
      </c>
      <c r="CQ66">
        <v>13410.39280995722</v>
      </c>
      <c r="CR66">
        <v>13.640335187574465</v>
      </c>
      <c r="CS66">
        <v>16237.455007288641</v>
      </c>
      <c r="CT66">
        <v>7.3035877699000089</v>
      </c>
      <c r="CU66">
        <v>8694.1908812889687</v>
      </c>
    </row>
    <row r="67" spans="2:99" x14ac:dyDescent="0.2">
      <c r="C67" s="119" t="s">
        <v>233</v>
      </c>
      <c r="D67">
        <v>6.6576838560319898</v>
      </c>
      <c r="E67">
        <v>7477.9105070951309</v>
      </c>
      <c r="F67">
        <v>17</v>
      </c>
      <c r="G67">
        <v>19094.400000000001</v>
      </c>
      <c r="H67">
        <v>6.8029090451762544</v>
      </c>
      <c r="I67">
        <v>7641.0274395419692</v>
      </c>
      <c r="J67">
        <v>7.9404591371785296</v>
      </c>
      <c r="K67">
        <v>8918.7237028789241</v>
      </c>
      <c r="L67">
        <v>17</v>
      </c>
      <c r="M67">
        <v>19094.400000000001</v>
      </c>
      <c r="N67">
        <v>14</v>
      </c>
      <c r="O67">
        <v>15724.800000000001</v>
      </c>
      <c r="P67">
        <v>19</v>
      </c>
      <c r="Q67">
        <v>21340.799999999999</v>
      </c>
      <c r="R67">
        <v>14.49614508136926</v>
      </c>
      <c r="S67">
        <v>16282.070155393954</v>
      </c>
      <c r="T67">
        <v>13</v>
      </c>
      <c r="U67">
        <v>14601.6</v>
      </c>
      <c r="V67">
        <v>12.775571770455025</v>
      </c>
      <c r="W67">
        <v>14349.522212575084</v>
      </c>
      <c r="X67">
        <v>15</v>
      </c>
      <c r="Y67">
        <v>16848</v>
      </c>
      <c r="Z67">
        <v>11</v>
      </c>
      <c r="AA67">
        <v>12355.2</v>
      </c>
      <c r="AB67">
        <v>16</v>
      </c>
      <c r="AC67">
        <v>17971.2</v>
      </c>
      <c r="AD67">
        <v>18</v>
      </c>
      <c r="AE67">
        <v>20217.600000000002</v>
      </c>
      <c r="AF67">
        <v>11.468765409005833</v>
      </c>
      <c r="AG67">
        <v>12881.717307395353</v>
      </c>
      <c r="AH67">
        <v>9.9702198980419841</v>
      </c>
      <c r="AI67">
        <v>11198.550989480756</v>
      </c>
      <c r="AJ67">
        <v>13</v>
      </c>
      <c r="AK67">
        <v>14601.6</v>
      </c>
      <c r="AL67">
        <v>8.8588295285396974</v>
      </c>
      <c r="AM67">
        <v>9950.2373264557882</v>
      </c>
      <c r="AN67">
        <v>11</v>
      </c>
      <c r="AO67">
        <v>12355.2</v>
      </c>
      <c r="AP67">
        <v>16</v>
      </c>
      <c r="AQ67">
        <v>17971.2</v>
      </c>
      <c r="AR67">
        <v>15.561687209029154</v>
      </c>
      <c r="AS67">
        <v>17478.887073181548</v>
      </c>
      <c r="AT67">
        <v>10.520180150080504</v>
      </c>
      <c r="AU67">
        <v>11816.266344570424</v>
      </c>
      <c r="AV67">
        <v>11</v>
      </c>
      <c r="AW67">
        <v>12355.2</v>
      </c>
      <c r="AX67">
        <v>16.235034234452502</v>
      </c>
      <c r="AY67">
        <v>18235.190452137052</v>
      </c>
      <c r="AZ67">
        <v>10.700235166270675</v>
      </c>
      <c r="BA67">
        <v>12018.504138755223</v>
      </c>
      <c r="BB67">
        <v>16</v>
      </c>
      <c r="BC67">
        <v>17971.2</v>
      </c>
      <c r="BD67">
        <v>17</v>
      </c>
      <c r="BE67">
        <v>19094.400000000001</v>
      </c>
      <c r="BF67">
        <v>12</v>
      </c>
      <c r="BG67">
        <v>13478.400000000001</v>
      </c>
      <c r="BH67">
        <v>11.945091945284158</v>
      </c>
      <c r="BI67">
        <v>13416.727272943168</v>
      </c>
      <c r="BJ67">
        <v>14.118765744275461</v>
      </c>
      <c r="BK67">
        <v>15858.197683970198</v>
      </c>
      <c r="BL67">
        <v>14</v>
      </c>
      <c r="BM67">
        <v>15724.800000000001</v>
      </c>
      <c r="BN67">
        <v>8.7108316644590129</v>
      </c>
      <c r="BO67">
        <v>9784.0061255203636</v>
      </c>
      <c r="BP67">
        <v>17</v>
      </c>
      <c r="BQ67">
        <v>19094.400000000001</v>
      </c>
      <c r="BR67">
        <v>10.380024160136534</v>
      </c>
      <c r="BS67">
        <v>11658.843136665355</v>
      </c>
      <c r="BT67">
        <v>11.417682423185346</v>
      </c>
      <c r="BU67">
        <v>12824.34089772178</v>
      </c>
      <c r="BV67">
        <v>12.917723976101701</v>
      </c>
      <c r="BW67">
        <v>14509.187569957432</v>
      </c>
      <c r="BX67">
        <v>9.0947097445746596</v>
      </c>
      <c r="BY67">
        <v>10215.177985106258</v>
      </c>
      <c r="BZ67">
        <v>10.36796910881511</v>
      </c>
      <c r="CA67">
        <v>11645.302903021133</v>
      </c>
      <c r="CB67">
        <v>14.746916975053162</v>
      </c>
      <c r="CC67">
        <v>16563.737146379714</v>
      </c>
      <c r="CD67">
        <v>14.784816935440384</v>
      </c>
      <c r="CE67">
        <v>16606.306381886639</v>
      </c>
      <c r="CF67">
        <v>11.159674304776622</v>
      </c>
      <c r="CG67">
        <v>12534.546179125104</v>
      </c>
      <c r="CH67">
        <v>13.204656846448357</v>
      </c>
      <c r="CI67">
        <v>14831.470569930794</v>
      </c>
      <c r="CJ67">
        <v>3.3165792179349767</v>
      </c>
      <c r="CK67">
        <v>3725.1817775845661</v>
      </c>
      <c r="CL67">
        <v>19</v>
      </c>
      <c r="CM67">
        <v>21340.799999999999</v>
      </c>
      <c r="CN67">
        <v>6.5473413079516929</v>
      </c>
      <c r="CO67">
        <v>7353.9737570913421</v>
      </c>
      <c r="CP67">
        <v>10.729000904023636</v>
      </c>
      <c r="CQ67">
        <v>12050.813815399348</v>
      </c>
      <c r="CR67">
        <v>13.640335187574465</v>
      </c>
      <c r="CS67">
        <v>15320.82448268364</v>
      </c>
      <c r="CT67">
        <v>7.9675502944363723</v>
      </c>
      <c r="CU67">
        <v>8949.1524907109342</v>
      </c>
    </row>
    <row r="68" spans="2:99" x14ac:dyDescent="0.2">
      <c r="C68" s="119" t="s">
        <v>234</v>
      </c>
      <c r="D68">
        <v>5.7065861623131342</v>
      </c>
      <c r="E68">
        <v>5896.0448229019303</v>
      </c>
      <c r="F68">
        <v>18</v>
      </c>
      <c r="G68">
        <v>18597.600000000002</v>
      </c>
      <c r="H68">
        <v>6.4448612006932935</v>
      </c>
      <c r="I68">
        <v>6658.8305925563109</v>
      </c>
      <c r="J68">
        <v>8.5076347898341407</v>
      </c>
      <c r="K68">
        <v>8790.0882648566349</v>
      </c>
      <c r="L68">
        <v>19</v>
      </c>
      <c r="M68">
        <v>19630.8</v>
      </c>
      <c r="N68">
        <v>15</v>
      </c>
      <c r="O68">
        <v>15498</v>
      </c>
      <c r="P68">
        <v>20</v>
      </c>
      <c r="Q68">
        <v>20664</v>
      </c>
      <c r="R68">
        <v>15.301486474778661</v>
      </c>
      <c r="S68">
        <v>15809.495825741315</v>
      </c>
      <c r="T68">
        <v>12</v>
      </c>
      <c r="U68">
        <v>12398.400000000001</v>
      </c>
      <c r="V68">
        <v>14.600653451948601</v>
      </c>
      <c r="W68">
        <v>15085.395146553295</v>
      </c>
      <c r="X68">
        <v>14</v>
      </c>
      <c r="Y68">
        <v>14464.800000000001</v>
      </c>
      <c r="Z68">
        <v>12</v>
      </c>
      <c r="AA68">
        <v>12398.400000000001</v>
      </c>
      <c r="AB68">
        <v>16</v>
      </c>
      <c r="AC68">
        <v>16531.2</v>
      </c>
      <c r="AD68">
        <v>19</v>
      </c>
      <c r="AE68">
        <v>19630.8</v>
      </c>
      <c r="AF68">
        <v>13.107160467435239</v>
      </c>
      <c r="AG68">
        <v>13542.31819495409</v>
      </c>
      <c r="AH68">
        <v>9.2032799058849086</v>
      </c>
      <c r="AI68">
        <v>9508.8287987602889</v>
      </c>
      <c r="AJ68">
        <v>13</v>
      </c>
      <c r="AK68">
        <v>13431.6</v>
      </c>
      <c r="AL68">
        <v>10.469525806456005</v>
      </c>
      <c r="AM68">
        <v>10817.114063230345</v>
      </c>
      <c r="AN68">
        <v>10</v>
      </c>
      <c r="AO68">
        <v>10332</v>
      </c>
      <c r="AP68">
        <v>16</v>
      </c>
      <c r="AQ68">
        <v>16531.2</v>
      </c>
      <c r="AR68">
        <v>19.452109011286442</v>
      </c>
      <c r="AS68">
        <v>20097.919030461151</v>
      </c>
      <c r="AT68">
        <v>9.8188348067418048</v>
      </c>
      <c r="AU68">
        <v>10144.820122325633</v>
      </c>
      <c r="AV68">
        <v>10</v>
      </c>
      <c r="AW68">
        <v>10332</v>
      </c>
      <c r="AX68">
        <v>17.136980580810977</v>
      </c>
      <c r="AY68">
        <v>17705.928336093904</v>
      </c>
      <c r="AZ68">
        <v>9.2735371441012511</v>
      </c>
      <c r="BA68">
        <v>9581.4185772854125</v>
      </c>
      <c r="BB68">
        <v>15</v>
      </c>
      <c r="BC68">
        <v>15498</v>
      </c>
      <c r="BD68">
        <v>17</v>
      </c>
      <c r="BE68">
        <v>17564.400000000001</v>
      </c>
      <c r="BF68">
        <v>10</v>
      </c>
      <c r="BG68">
        <v>10332</v>
      </c>
      <c r="BH68">
        <v>13.350396880023471</v>
      </c>
      <c r="BI68">
        <v>13793.63005644025</v>
      </c>
      <c r="BJ68">
        <v>13.177514694657097</v>
      </c>
      <c r="BK68">
        <v>13615.008182519712</v>
      </c>
      <c r="BL68">
        <v>15</v>
      </c>
      <c r="BM68">
        <v>15498</v>
      </c>
      <c r="BN68">
        <v>9.2232335270742514</v>
      </c>
      <c r="BO68">
        <v>9529.4448801731178</v>
      </c>
      <c r="BP68">
        <v>18</v>
      </c>
      <c r="BQ68">
        <v>18597.600000000002</v>
      </c>
      <c r="BR68">
        <v>11.178487557070115</v>
      </c>
      <c r="BS68">
        <v>11549.613343964844</v>
      </c>
      <c r="BT68">
        <v>12.844892726083513</v>
      </c>
      <c r="BU68">
        <v>13271.343164589487</v>
      </c>
      <c r="BV68">
        <v>11.625951578491529</v>
      </c>
      <c r="BW68">
        <v>12011.933170897448</v>
      </c>
      <c r="BX68">
        <v>10.004180719032124</v>
      </c>
      <c r="BY68">
        <v>10336.319518903991</v>
      </c>
      <c r="BZ68">
        <v>10.36796910881511</v>
      </c>
      <c r="CA68">
        <v>10712.185683227772</v>
      </c>
      <c r="CB68">
        <v>15.730044773390039</v>
      </c>
      <c r="CC68">
        <v>16252.28225986659</v>
      </c>
      <c r="CD68">
        <v>16.427574372711536</v>
      </c>
      <c r="CE68">
        <v>16972.969841885559</v>
      </c>
      <c r="CF68">
        <v>11.159674304776622</v>
      </c>
      <c r="CG68">
        <v>11530.175491695207</v>
      </c>
      <c r="CH68">
        <v>13.204656846448357</v>
      </c>
      <c r="CI68">
        <v>13643.051453750442</v>
      </c>
      <c r="CJ68">
        <v>3.0401976164403952</v>
      </c>
      <c r="CK68">
        <v>3141.1321773062164</v>
      </c>
      <c r="CL68">
        <v>19</v>
      </c>
      <c r="CM68">
        <v>19630.8</v>
      </c>
      <c r="CN68">
        <v>6.5473413079516929</v>
      </c>
      <c r="CO68">
        <v>6764.7130393756897</v>
      </c>
      <c r="CP68">
        <v>10.729000904023636</v>
      </c>
      <c r="CQ68">
        <v>11085.203734037221</v>
      </c>
      <c r="CR68">
        <v>14.614644843829783</v>
      </c>
      <c r="CS68">
        <v>15099.851052644932</v>
      </c>
      <c r="CT68">
        <v>7.9675502944363723</v>
      </c>
      <c r="CU68">
        <v>8232.0729642116603</v>
      </c>
    </row>
    <row r="69" spans="2:99" x14ac:dyDescent="0.2">
      <c r="C69" s="119" t="s">
        <v>235</v>
      </c>
      <c r="D69">
        <v>6.6576838560319898</v>
      </c>
      <c r="E69">
        <v>5049.1874364146606</v>
      </c>
      <c r="F69">
        <v>22</v>
      </c>
      <c r="G69">
        <v>16684.8</v>
      </c>
      <c r="H69">
        <v>7.5190047341421771</v>
      </c>
      <c r="I69">
        <v>5702.4131903734269</v>
      </c>
      <c r="J69">
        <v>8.5076347898341407</v>
      </c>
      <c r="K69">
        <v>6452.1902246102118</v>
      </c>
      <c r="L69">
        <v>18</v>
      </c>
      <c r="M69">
        <v>13651.199999999999</v>
      </c>
      <c r="N69">
        <v>17</v>
      </c>
      <c r="O69">
        <v>12892.8</v>
      </c>
      <c r="P69">
        <v>20</v>
      </c>
      <c r="Q69">
        <v>15168</v>
      </c>
      <c r="R69">
        <v>14.49614508136926</v>
      </c>
      <c r="S69">
        <v>10993.876429710446</v>
      </c>
      <c r="T69">
        <v>13</v>
      </c>
      <c r="U69">
        <v>9859.1999999999989</v>
      </c>
      <c r="V69">
        <v>15.513194292695387</v>
      </c>
      <c r="W69">
        <v>11765.206551580181</v>
      </c>
      <c r="X69">
        <v>17</v>
      </c>
      <c r="Y69">
        <v>12892.8</v>
      </c>
      <c r="Z69">
        <v>11</v>
      </c>
      <c r="AA69">
        <v>8342.4</v>
      </c>
      <c r="AB69">
        <v>19</v>
      </c>
      <c r="AC69">
        <v>14409.6</v>
      </c>
      <c r="AD69">
        <v>19</v>
      </c>
      <c r="AE69">
        <v>14409.6</v>
      </c>
      <c r="AF69">
        <v>13.107160467435239</v>
      </c>
      <c r="AG69">
        <v>9940.4704985028857</v>
      </c>
      <c r="AH69">
        <v>9.2032799058849086</v>
      </c>
      <c r="AI69">
        <v>6979.7674806231144</v>
      </c>
      <c r="AJ69">
        <v>14</v>
      </c>
      <c r="AK69">
        <v>10617.6</v>
      </c>
      <c r="AL69">
        <v>8.8588295285396974</v>
      </c>
      <c r="AM69">
        <v>6718.5363144445064</v>
      </c>
      <c r="AN69">
        <v>11</v>
      </c>
      <c r="AO69">
        <v>8342.4</v>
      </c>
      <c r="AP69">
        <v>15</v>
      </c>
      <c r="AQ69">
        <v>11376</v>
      </c>
      <c r="AR69">
        <v>17.506898110157799</v>
      </c>
      <c r="AS69">
        <v>13277.231526743675</v>
      </c>
      <c r="AT69">
        <v>9.8188348067418048</v>
      </c>
      <c r="AU69">
        <v>7446.6043174329843</v>
      </c>
      <c r="AV69">
        <v>12</v>
      </c>
      <c r="AW69">
        <v>9100.7999999999993</v>
      </c>
      <c r="AX69">
        <v>17.136980580810977</v>
      </c>
      <c r="AY69">
        <v>12996.686072487046</v>
      </c>
      <c r="AZ69">
        <v>9.2735371441012511</v>
      </c>
      <c r="BA69">
        <v>7033.0505700863887</v>
      </c>
      <c r="BB69">
        <v>14</v>
      </c>
      <c r="BC69">
        <v>10617.6</v>
      </c>
      <c r="BD69">
        <v>19</v>
      </c>
      <c r="BE69">
        <v>14409.6</v>
      </c>
      <c r="BF69">
        <v>11</v>
      </c>
      <c r="BG69">
        <v>8342.4</v>
      </c>
      <c r="BH69">
        <v>14.053049347393127</v>
      </c>
      <c r="BI69">
        <v>10657.832625062947</v>
      </c>
      <c r="BJ69">
        <v>13.177514694657097</v>
      </c>
      <c r="BK69">
        <v>9993.8271444279417</v>
      </c>
      <c r="BL69">
        <v>13</v>
      </c>
      <c r="BM69">
        <v>9859.1999999999989</v>
      </c>
      <c r="BN69">
        <v>8.7108316644590129</v>
      </c>
      <c r="BO69">
        <v>6606.2947343257156</v>
      </c>
      <c r="BP69">
        <v>18</v>
      </c>
      <c r="BQ69">
        <v>13651.199999999999</v>
      </c>
      <c r="BR69">
        <v>10.380024160136534</v>
      </c>
      <c r="BS69">
        <v>7872.2103230475468</v>
      </c>
      <c r="BT69">
        <v>12.844892726083513</v>
      </c>
      <c r="BU69">
        <v>9741.566643461736</v>
      </c>
      <c r="BV69">
        <v>12.271837777296616</v>
      </c>
      <c r="BW69">
        <v>9306.9617703017539</v>
      </c>
      <c r="BX69">
        <v>10.004180719032124</v>
      </c>
      <c r="BY69">
        <v>7587.1706573139627</v>
      </c>
      <c r="BZ69">
        <v>11.231966534549704</v>
      </c>
      <c r="CA69">
        <v>8518.3234198024948</v>
      </c>
      <c r="CB69">
        <v>16.713172571726918</v>
      </c>
      <c r="CC69">
        <v>12675.270078397694</v>
      </c>
      <c r="CD69">
        <v>15.606195654075957</v>
      </c>
      <c r="CE69">
        <v>11835.738784051206</v>
      </c>
      <c r="CF69">
        <v>11.159674304776622</v>
      </c>
      <c r="CG69">
        <v>8463.49699274259</v>
      </c>
      <c r="CH69">
        <v>13.204656846448357</v>
      </c>
      <c r="CI69">
        <v>10014.411752346434</v>
      </c>
      <c r="CJ69">
        <v>3.5929608194295586</v>
      </c>
      <c r="CK69">
        <v>2724.901485455377</v>
      </c>
      <c r="CL69">
        <v>18</v>
      </c>
      <c r="CM69">
        <v>13651.199999999999</v>
      </c>
      <c r="CN69">
        <v>6.5473413079516929</v>
      </c>
      <c r="CO69">
        <v>4965.5036479505634</v>
      </c>
      <c r="CP69">
        <v>10.192550858822454</v>
      </c>
      <c r="CQ69">
        <v>7730.030571330949</v>
      </c>
      <c r="CR69">
        <v>14.614644843829783</v>
      </c>
      <c r="CS69">
        <v>11083.746649560508</v>
      </c>
      <c r="CT69">
        <v>7.3035877699000089</v>
      </c>
      <c r="CU69">
        <v>5539.0409646921662</v>
      </c>
    </row>
    <row r="70" spans="2:99" x14ac:dyDescent="0.2">
      <c r="C70" s="119" t="s">
        <v>236</v>
      </c>
      <c r="D70">
        <v>6.6576838560319898</v>
      </c>
      <c r="E70">
        <v>3563.1923997483204</v>
      </c>
      <c r="F70">
        <v>21</v>
      </c>
      <c r="G70">
        <v>11239.199999999999</v>
      </c>
      <c r="H70">
        <v>7.1609568896592153</v>
      </c>
      <c r="I70">
        <v>3832.5441273456117</v>
      </c>
      <c r="J70">
        <v>9.0748104424897491</v>
      </c>
      <c r="K70">
        <v>4856.8385488205131</v>
      </c>
      <c r="L70">
        <v>17</v>
      </c>
      <c r="M70">
        <v>9098.4</v>
      </c>
      <c r="N70">
        <v>16</v>
      </c>
      <c r="O70">
        <v>8563.1999999999989</v>
      </c>
      <c r="P70">
        <v>19</v>
      </c>
      <c r="Q70">
        <v>10168.799999999999</v>
      </c>
      <c r="R70">
        <v>16.106827868188066</v>
      </c>
      <c r="S70">
        <v>8620.3742750542515</v>
      </c>
      <c r="T70">
        <v>12</v>
      </c>
      <c r="U70">
        <v>6422.4</v>
      </c>
      <c r="V70">
        <v>15.513194292695387</v>
      </c>
      <c r="W70">
        <v>8302.661585450569</v>
      </c>
      <c r="X70">
        <v>17</v>
      </c>
      <c r="Y70">
        <v>9098.4</v>
      </c>
      <c r="Z70">
        <v>12</v>
      </c>
      <c r="AA70">
        <v>6422.4</v>
      </c>
      <c r="AB70">
        <v>17</v>
      </c>
      <c r="AC70">
        <v>9098.4</v>
      </c>
      <c r="AD70">
        <v>18</v>
      </c>
      <c r="AE70">
        <v>9633.5999999999985</v>
      </c>
      <c r="AF70">
        <v>13.926357996649941</v>
      </c>
      <c r="AG70">
        <v>7453.3867998070473</v>
      </c>
      <c r="AH70">
        <v>9.2032799058849086</v>
      </c>
      <c r="AI70">
        <v>4925.5954056296023</v>
      </c>
      <c r="AJ70">
        <v>14</v>
      </c>
      <c r="AK70">
        <v>7492.7999999999993</v>
      </c>
      <c r="AL70">
        <v>10.469525806456005</v>
      </c>
      <c r="AM70">
        <v>5603.2902116152536</v>
      </c>
      <c r="AN70">
        <v>11</v>
      </c>
      <c r="AO70">
        <v>5887.1999999999989</v>
      </c>
      <c r="AP70">
        <v>15</v>
      </c>
      <c r="AQ70">
        <v>8027.9999999999991</v>
      </c>
      <c r="AR70">
        <v>20.424714461850762</v>
      </c>
      <c r="AS70">
        <v>10931.307179982527</v>
      </c>
      <c r="AT70">
        <v>9.8188348067418048</v>
      </c>
      <c r="AU70">
        <v>5255.0403885682135</v>
      </c>
      <c r="AV70">
        <v>12</v>
      </c>
      <c r="AW70">
        <v>6422.4</v>
      </c>
      <c r="AX70">
        <v>16.235034234452502</v>
      </c>
      <c r="AY70">
        <v>8688.9903222789781</v>
      </c>
      <c r="AZ70">
        <v>10.700235166270675</v>
      </c>
      <c r="BA70">
        <v>5726.7658609880646</v>
      </c>
      <c r="BB70">
        <v>17</v>
      </c>
      <c r="BC70">
        <v>9098.4</v>
      </c>
      <c r="BD70">
        <v>18</v>
      </c>
      <c r="BE70">
        <v>9633.5999999999985</v>
      </c>
      <c r="BF70">
        <v>13</v>
      </c>
      <c r="BG70">
        <v>6957.5999999999995</v>
      </c>
      <c r="BH70">
        <v>13.350396880023471</v>
      </c>
      <c r="BI70">
        <v>7145.1324101885612</v>
      </c>
      <c r="BJ70">
        <v>14.118765744275461</v>
      </c>
      <c r="BK70">
        <v>7556.3634263362255</v>
      </c>
      <c r="BL70">
        <v>16</v>
      </c>
      <c r="BM70">
        <v>8563.1999999999989</v>
      </c>
      <c r="BN70">
        <v>10.248037252304723</v>
      </c>
      <c r="BO70">
        <v>5484.7495374334867</v>
      </c>
      <c r="BP70">
        <v>16</v>
      </c>
      <c r="BQ70">
        <v>8563.1999999999989</v>
      </c>
      <c r="BR70">
        <v>11.178487557070115</v>
      </c>
      <c r="BS70">
        <v>5982.7265405439248</v>
      </c>
      <c r="BT70">
        <v>12.844892726083513</v>
      </c>
      <c r="BU70">
        <v>6874.5865869998952</v>
      </c>
      <c r="BV70">
        <v>12.917723976101701</v>
      </c>
      <c r="BW70">
        <v>6913.5658720096299</v>
      </c>
      <c r="BX70">
        <v>9.0947097445746596</v>
      </c>
      <c r="BY70">
        <v>4867.4886552963571</v>
      </c>
      <c r="BZ70">
        <v>11.231966534549704</v>
      </c>
      <c r="CA70">
        <v>6011.348489291001</v>
      </c>
      <c r="CB70">
        <v>16.713172571726918</v>
      </c>
      <c r="CC70">
        <v>8944.8899603882455</v>
      </c>
      <c r="CD70">
        <v>18.07033180998269</v>
      </c>
      <c r="CE70">
        <v>9671.2415847027351</v>
      </c>
      <c r="CF70">
        <v>12.647630878746838</v>
      </c>
      <c r="CG70">
        <v>6769.0120463053072</v>
      </c>
      <c r="CH70">
        <v>15.091036395940979</v>
      </c>
      <c r="CI70">
        <v>8076.7226791076109</v>
      </c>
      <c r="CJ70">
        <v>3.5929608194295586</v>
      </c>
      <c r="CK70">
        <v>1922.9526305586994</v>
      </c>
      <c r="CL70">
        <v>20</v>
      </c>
      <c r="CM70">
        <v>10703.999999999998</v>
      </c>
      <c r="CN70">
        <v>6.0017295322890511</v>
      </c>
      <c r="CO70">
        <v>3212.1256456810997</v>
      </c>
      <c r="CP70">
        <v>9.656100813621272</v>
      </c>
      <c r="CQ70">
        <v>5167.9451554501038</v>
      </c>
      <c r="CR70">
        <v>12.666025531319146</v>
      </c>
      <c r="CS70">
        <v>6778.8568643620065</v>
      </c>
      <c r="CT70">
        <v>8.6315128189727375</v>
      </c>
      <c r="CU70">
        <v>4619.5856607142086</v>
      </c>
    </row>
    <row r="71" spans="2:99" x14ac:dyDescent="0.2">
      <c r="B71" s="119" t="s">
        <v>130</v>
      </c>
      <c r="C71" s="119" t="s">
        <v>237</v>
      </c>
      <c r="D71">
        <v>6.59177297693667</v>
      </c>
      <c r="E71">
        <v>3717.759958992282</v>
      </c>
      <c r="F71">
        <v>4.0514134002027422</v>
      </c>
      <c r="G71">
        <v>2284.9971577143465</v>
      </c>
      <c r="H71">
        <v>0</v>
      </c>
      <c r="I71">
        <v>0</v>
      </c>
      <c r="J71">
        <v>0</v>
      </c>
      <c r="K71">
        <v>0</v>
      </c>
      <c r="L71">
        <v>11.507065165953094</v>
      </c>
      <c r="M71">
        <v>6489.984753597545</v>
      </c>
      <c r="N71">
        <v>3.8314433580232752</v>
      </c>
      <c r="O71">
        <v>2160.934053925127</v>
      </c>
      <c r="P71">
        <v>4.3413732152833076</v>
      </c>
      <c r="Q71">
        <v>2448.5344934197856</v>
      </c>
      <c r="R71">
        <v>4.7906479978089846</v>
      </c>
      <c r="S71">
        <v>2701.9254707642672</v>
      </c>
      <c r="T71">
        <v>4.3175561017261259</v>
      </c>
      <c r="U71">
        <v>2435.1016413735351</v>
      </c>
      <c r="V71">
        <v>4.912576298433895</v>
      </c>
      <c r="W71">
        <v>2770.6930323167167</v>
      </c>
      <c r="X71">
        <v>3.3451553076703746</v>
      </c>
      <c r="Y71">
        <v>1886.6675935260912</v>
      </c>
      <c r="Z71">
        <v>3.6665619391449549</v>
      </c>
      <c r="AA71">
        <v>2067.9409336777544</v>
      </c>
      <c r="AB71">
        <v>3.775118929149015</v>
      </c>
      <c r="AC71">
        <v>2129.1670760400443</v>
      </c>
      <c r="AD71">
        <v>3.7360601188159395</v>
      </c>
      <c r="AE71">
        <v>2107.1379070121898</v>
      </c>
      <c r="AF71">
        <v>3.9215400680536145</v>
      </c>
      <c r="AG71">
        <v>2211.7485983822385</v>
      </c>
      <c r="AH71">
        <v>4.8027762205882478</v>
      </c>
      <c r="AI71">
        <v>2708.7657884117716</v>
      </c>
      <c r="AJ71">
        <v>4.470017251027155</v>
      </c>
      <c r="AK71">
        <v>2521.0897295793152</v>
      </c>
      <c r="AL71">
        <v>0</v>
      </c>
      <c r="AM71">
        <v>0</v>
      </c>
      <c r="AN71">
        <v>8.1359727697266866</v>
      </c>
      <c r="AO71">
        <v>4588.6886421258514</v>
      </c>
      <c r="AP71">
        <v>5.2017165034274324</v>
      </c>
      <c r="AQ71">
        <v>2933.7681079330719</v>
      </c>
      <c r="AR71">
        <v>4.7126144469024824</v>
      </c>
      <c r="AS71">
        <v>2657.9145480530001</v>
      </c>
      <c r="AT71">
        <v>5.3359489696963562</v>
      </c>
      <c r="AU71">
        <v>3009.4752189087449</v>
      </c>
      <c r="AV71">
        <v>4.2509984194180097</v>
      </c>
      <c r="AW71">
        <v>2397.5631085517575</v>
      </c>
      <c r="AX71">
        <v>3.9945603620238312</v>
      </c>
      <c r="AY71">
        <v>2252.9320441814407</v>
      </c>
      <c r="AZ71">
        <v>0</v>
      </c>
      <c r="BA71">
        <v>0</v>
      </c>
      <c r="BB71">
        <v>8.8032325156953952</v>
      </c>
      <c r="BC71">
        <v>4965.0231388522025</v>
      </c>
      <c r="BD71">
        <v>4.3509220685091723</v>
      </c>
      <c r="BE71">
        <v>2453.9200466391731</v>
      </c>
      <c r="BF71">
        <v>5.19149083965236</v>
      </c>
      <c r="BG71">
        <v>2928.0008335639309</v>
      </c>
      <c r="BH71">
        <v>4.6809597331180495</v>
      </c>
      <c r="BI71">
        <v>2640.06128947858</v>
      </c>
      <c r="BJ71">
        <v>4.959498155987677</v>
      </c>
      <c r="BK71">
        <v>2797.1569599770496</v>
      </c>
      <c r="BL71">
        <v>3.7434130030923325</v>
      </c>
      <c r="BM71">
        <v>2111.2849337440757</v>
      </c>
      <c r="BN71">
        <v>4.550521224717814</v>
      </c>
      <c r="BO71">
        <v>2566.4939707408471</v>
      </c>
      <c r="BP71">
        <v>3.9028485169773655</v>
      </c>
      <c r="BQ71">
        <v>2201.2065635752342</v>
      </c>
      <c r="BR71">
        <v>3.4969522712117191</v>
      </c>
      <c r="BS71">
        <v>1972.2810809634095</v>
      </c>
      <c r="BT71">
        <v>4.2475834142610216</v>
      </c>
      <c r="BU71">
        <v>2395.637045643216</v>
      </c>
      <c r="BV71">
        <v>3.4432905995307208</v>
      </c>
      <c r="BW71">
        <v>1942.0158981353266</v>
      </c>
      <c r="BX71">
        <v>4.1843873330738521</v>
      </c>
      <c r="BY71">
        <v>2359.9944558536527</v>
      </c>
      <c r="BZ71">
        <v>4.7504260305273354</v>
      </c>
      <c r="CA71">
        <v>2679.2402812174173</v>
      </c>
      <c r="CB71">
        <v>3.7242783524661465</v>
      </c>
      <c r="CC71">
        <v>2100.4929907909068</v>
      </c>
      <c r="CD71">
        <v>3.8830371031856017</v>
      </c>
      <c r="CE71">
        <v>2190.0329261966795</v>
      </c>
      <c r="CF71">
        <v>3.3250451737912208</v>
      </c>
      <c r="CG71">
        <v>1875.3254780182485</v>
      </c>
      <c r="CH71">
        <v>3.5080890618843683</v>
      </c>
      <c r="CI71">
        <v>1978.5622309027838</v>
      </c>
      <c r="CJ71">
        <v>5.123441699682286</v>
      </c>
      <c r="CK71">
        <v>2889.6211186208093</v>
      </c>
      <c r="CL71">
        <v>3.6509373854270084</v>
      </c>
      <c r="CM71">
        <v>2059.1286853808328</v>
      </c>
      <c r="CN71">
        <v>3.7984136739023846</v>
      </c>
      <c r="CO71">
        <v>2142.305312080945</v>
      </c>
      <c r="CP71">
        <v>3.7384416710829136</v>
      </c>
      <c r="CQ71">
        <v>2108.4811024907631</v>
      </c>
      <c r="CR71">
        <v>4.6611710248952285</v>
      </c>
      <c r="CS71">
        <v>2628.9004580409087</v>
      </c>
      <c r="CT71">
        <v>4.570112653158839</v>
      </c>
      <c r="CU71">
        <v>2577.543536381585</v>
      </c>
    </row>
    <row r="72" spans="2:99" x14ac:dyDescent="0.2">
      <c r="C72" s="119" t="s">
        <v>238</v>
      </c>
      <c r="D72">
        <v>7.046378009828854</v>
      </c>
      <c r="E72">
        <v>524.25052393126668</v>
      </c>
      <c r="F72">
        <v>4.0514134002027422</v>
      </c>
      <c r="G72">
        <v>301.42515697508401</v>
      </c>
      <c r="H72">
        <v>0</v>
      </c>
      <c r="I72">
        <v>0</v>
      </c>
      <c r="J72">
        <v>0</v>
      </c>
      <c r="K72">
        <v>0</v>
      </c>
      <c r="L72">
        <v>10.984016749318862</v>
      </c>
      <c r="M72">
        <v>817.21084614932317</v>
      </c>
      <c r="N72">
        <v>4.6828752153617801</v>
      </c>
      <c r="O72">
        <v>348.40591602291641</v>
      </c>
      <c r="P72">
        <v>4.8423008939698438</v>
      </c>
      <c r="Q72">
        <v>360.26718651135633</v>
      </c>
      <c r="R72">
        <v>5.0997220621837567</v>
      </c>
      <c r="S72">
        <v>379.41932142647147</v>
      </c>
      <c r="T72">
        <v>4.692995762745789</v>
      </c>
      <c r="U72">
        <v>349.15888474828665</v>
      </c>
      <c r="V72">
        <v>4.912576298433895</v>
      </c>
      <c r="W72">
        <v>365.49567660348174</v>
      </c>
      <c r="X72">
        <v>4.1322506741810514</v>
      </c>
      <c r="Y72">
        <v>307.43945015907019</v>
      </c>
      <c r="Z72">
        <v>3.4919637515666242</v>
      </c>
      <c r="AA72">
        <v>259.80210311655679</v>
      </c>
      <c r="AB72">
        <v>3.9738093991042263</v>
      </c>
      <c r="AC72">
        <v>295.65141929335442</v>
      </c>
      <c r="AD72">
        <v>4.7821569520844021</v>
      </c>
      <c r="AE72">
        <v>355.79247723507945</v>
      </c>
      <c r="AF72">
        <v>3.5087463766795497</v>
      </c>
      <c r="AG72">
        <v>261.05073042495849</v>
      </c>
      <c r="AH72">
        <v>5.5774175464895777</v>
      </c>
      <c r="AI72">
        <v>414.95986545882454</v>
      </c>
      <c r="AJ72">
        <v>4.470017251027155</v>
      </c>
      <c r="AK72">
        <v>332.56928347642031</v>
      </c>
      <c r="AL72">
        <v>0</v>
      </c>
      <c r="AM72">
        <v>0</v>
      </c>
      <c r="AN72">
        <v>9.9046625022759684</v>
      </c>
      <c r="AO72">
        <v>736.90689016933197</v>
      </c>
      <c r="AP72">
        <v>5.5076998271584579</v>
      </c>
      <c r="AQ72">
        <v>409.7728671405892</v>
      </c>
      <c r="AR72">
        <v>5.1165528280655517</v>
      </c>
      <c r="AS72">
        <v>380.67153040807699</v>
      </c>
      <c r="AT72">
        <v>5.3359489696963562</v>
      </c>
      <c r="AU72">
        <v>396.99460334540885</v>
      </c>
      <c r="AV72">
        <v>4.4281233535604256</v>
      </c>
      <c r="AW72">
        <v>329.45237750489565</v>
      </c>
      <c r="AX72">
        <v>4.3141251909857372</v>
      </c>
      <c r="AY72">
        <v>320.97091420933879</v>
      </c>
      <c r="AZ72">
        <v>0</v>
      </c>
      <c r="BA72">
        <v>0</v>
      </c>
      <c r="BB72">
        <v>9.3711830005789682</v>
      </c>
      <c r="BC72">
        <v>697.21601524307516</v>
      </c>
      <c r="BD72">
        <v>4.3509220685091723</v>
      </c>
      <c r="BE72">
        <v>323.70860189708236</v>
      </c>
      <c r="BF72">
        <v>4.8768550311885797</v>
      </c>
      <c r="BG72">
        <v>362.83801432043026</v>
      </c>
      <c r="BH72">
        <v>4.4056091605816938</v>
      </c>
      <c r="BI72">
        <v>327.77732154727801</v>
      </c>
      <c r="BJ72">
        <v>4.959498155987677</v>
      </c>
      <c r="BK72">
        <v>368.98666280548315</v>
      </c>
      <c r="BL72">
        <v>3.906170090183303</v>
      </c>
      <c r="BM72">
        <v>290.61905470963768</v>
      </c>
      <c r="BN72">
        <v>4.3936066997275445</v>
      </c>
      <c r="BO72">
        <v>326.88433845972929</v>
      </c>
      <c r="BP72">
        <v>3.9028485169773655</v>
      </c>
      <c r="BQ72">
        <v>290.37192966311596</v>
      </c>
      <c r="BR72">
        <v>3.6810023907491778</v>
      </c>
      <c r="BS72">
        <v>273.8665778717388</v>
      </c>
      <c r="BT72">
        <v>4.4049013184929118</v>
      </c>
      <c r="BU72">
        <v>327.7246580958726</v>
      </c>
      <c r="BV72">
        <v>3.5998038086002992</v>
      </c>
      <c r="BW72">
        <v>267.82540335986221</v>
      </c>
      <c r="BX72">
        <v>4.1843873330738521</v>
      </c>
      <c r="BY72">
        <v>311.31841758069459</v>
      </c>
      <c r="BZ72">
        <v>5.1695812685150413</v>
      </c>
      <c r="CA72">
        <v>384.61684637751904</v>
      </c>
      <c r="CB72">
        <v>4.2321344914388028</v>
      </c>
      <c r="CC72">
        <v>314.87080616304689</v>
      </c>
      <c r="CD72">
        <v>4.1936800714404496</v>
      </c>
      <c r="CE72">
        <v>312.00979731516941</v>
      </c>
      <c r="CF72">
        <v>3.9583871116562155</v>
      </c>
      <c r="CG72">
        <v>294.50400110722239</v>
      </c>
      <c r="CH72">
        <v>3.7029828986557218</v>
      </c>
      <c r="CI72">
        <v>275.50192765998565</v>
      </c>
      <c r="CJ72">
        <v>5.123441699682286</v>
      </c>
      <c r="CK72">
        <v>381.18406245636203</v>
      </c>
      <c r="CL72">
        <v>3.6509373854270084</v>
      </c>
      <c r="CM72">
        <v>271.62974147576938</v>
      </c>
      <c r="CN72">
        <v>4.2204596376693164</v>
      </c>
      <c r="CO72">
        <v>314.00219704259712</v>
      </c>
      <c r="CP72">
        <v>4.2260644977459023</v>
      </c>
      <c r="CQ72">
        <v>314.41919863229509</v>
      </c>
      <c r="CR72">
        <v>4.6611710248952285</v>
      </c>
      <c r="CS72">
        <v>346.79112425220495</v>
      </c>
      <c r="CT72">
        <v>4.570112653158839</v>
      </c>
      <c r="CU72">
        <v>340.01638139501756</v>
      </c>
    </row>
    <row r="73" spans="2:99" x14ac:dyDescent="0.2">
      <c r="C73" s="119" t="s">
        <v>239</v>
      </c>
      <c r="D73">
        <v>6.8190754933827629</v>
      </c>
      <c r="E73">
        <v>3813.2270158996407</v>
      </c>
      <c r="F73">
        <v>4.3630605848337227</v>
      </c>
      <c r="G73">
        <v>2439.8234790390175</v>
      </c>
      <c r="H73">
        <v>0</v>
      </c>
      <c r="I73">
        <v>0</v>
      </c>
      <c r="J73">
        <v>0</v>
      </c>
      <c r="K73">
        <v>0</v>
      </c>
      <c r="L73">
        <v>10.460968332684629</v>
      </c>
      <c r="M73">
        <v>5849.7734916372438</v>
      </c>
      <c r="N73">
        <v>3.8314433580232752</v>
      </c>
      <c r="O73">
        <v>2142.5431258066151</v>
      </c>
      <c r="P73">
        <v>4.8423008939698438</v>
      </c>
      <c r="Q73">
        <v>2707.8146599079364</v>
      </c>
      <c r="R73">
        <v>4.9451850299963711</v>
      </c>
      <c r="S73">
        <v>2765.3474687739704</v>
      </c>
      <c r="T73">
        <v>4.3175561017261259</v>
      </c>
      <c r="U73">
        <v>2414.3773720852491</v>
      </c>
      <c r="V73">
        <v>4.2107796843719099</v>
      </c>
      <c r="W73">
        <v>2354.6679995007717</v>
      </c>
      <c r="X73">
        <v>3.7387029909257126</v>
      </c>
      <c r="Y73">
        <v>2090.6827125256582</v>
      </c>
      <c r="Z73">
        <v>3.6665619391449549</v>
      </c>
      <c r="AA73">
        <v>2050.3414363698585</v>
      </c>
      <c r="AB73">
        <v>3.9738093991042263</v>
      </c>
      <c r="AC73">
        <v>2222.1542159790829</v>
      </c>
      <c r="AD73">
        <v>3.8855025235685767</v>
      </c>
      <c r="AE73">
        <v>2172.7730111795477</v>
      </c>
      <c r="AF73">
        <v>3.302349530992517</v>
      </c>
      <c r="AG73">
        <v>1846.6738577310152</v>
      </c>
      <c r="AH73">
        <v>4.8027762205882478</v>
      </c>
      <c r="AI73">
        <v>2685.7124625529477</v>
      </c>
      <c r="AJ73">
        <v>4.2571592866925281</v>
      </c>
      <c r="AK73">
        <v>2380.6034731184614</v>
      </c>
      <c r="AL73">
        <v>0</v>
      </c>
      <c r="AM73">
        <v>0</v>
      </c>
      <c r="AN73">
        <v>7.7822348232168315</v>
      </c>
      <c r="AO73">
        <v>4351.8257131428518</v>
      </c>
      <c r="AP73">
        <v>4.4367581940998688</v>
      </c>
      <c r="AQ73">
        <v>2481.0351821406462</v>
      </c>
      <c r="AR73">
        <v>4.3086760657394114</v>
      </c>
      <c r="AS73">
        <v>2409.4116559614786</v>
      </c>
      <c r="AT73">
        <v>4.8357037537873229</v>
      </c>
      <c r="AU73">
        <v>2704.1255391178706</v>
      </c>
      <c r="AV73">
        <v>4.2509984194180097</v>
      </c>
      <c r="AW73">
        <v>2377.1583161385506</v>
      </c>
      <c r="AX73">
        <v>3.8347779475428774</v>
      </c>
      <c r="AY73">
        <v>2144.4078282659766</v>
      </c>
      <c r="AZ73">
        <v>0</v>
      </c>
      <c r="BA73">
        <v>0</v>
      </c>
      <c r="BB73">
        <v>7.9513067883700339</v>
      </c>
      <c r="BC73">
        <v>4446.3707560565226</v>
      </c>
      <c r="BD73">
        <v>3.9725810190735911</v>
      </c>
      <c r="BE73">
        <v>2221.4673058659519</v>
      </c>
      <c r="BF73">
        <v>5.0341729354204698</v>
      </c>
      <c r="BG73">
        <v>2815.1095054871262</v>
      </c>
      <c r="BH73">
        <v>4.4056091605816938</v>
      </c>
      <c r="BI73">
        <v>2463.6166425972829</v>
      </c>
      <c r="BJ73">
        <v>4.959498155987677</v>
      </c>
      <c r="BK73">
        <v>2773.3513688283088</v>
      </c>
      <c r="BL73">
        <v>3.906170090183303</v>
      </c>
      <c r="BM73">
        <v>2184.3303144305028</v>
      </c>
      <c r="BN73">
        <v>4.2366921747372759</v>
      </c>
      <c r="BO73">
        <v>2369.1582641130844</v>
      </c>
      <c r="BP73">
        <v>3.7467345762982704</v>
      </c>
      <c r="BQ73">
        <v>2095.1739750659926</v>
      </c>
      <c r="BR73">
        <v>3.8650525102866373</v>
      </c>
      <c r="BS73">
        <v>2161.3373637522873</v>
      </c>
      <c r="BT73">
        <v>3.7756297015653524</v>
      </c>
      <c r="BU73">
        <v>2111.3321291153447</v>
      </c>
      <c r="BV73">
        <v>3.4432905995307208</v>
      </c>
      <c r="BW73">
        <v>1925.4881032575788</v>
      </c>
      <c r="BX73">
        <v>3.5866177140633018</v>
      </c>
      <c r="BY73">
        <v>2005.6366257041982</v>
      </c>
      <c r="BZ73">
        <v>4.8901444431899037</v>
      </c>
      <c r="CA73">
        <v>2734.5687726317938</v>
      </c>
      <c r="CB73">
        <v>3.8935637321236984</v>
      </c>
      <c r="CC73">
        <v>2177.2808390035721</v>
      </c>
      <c r="CD73">
        <v>3.8830371031856017</v>
      </c>
      <c r="CE73">
        <v>2171.394348101388</v>
      </c>
      <c r="CF73">
        <v>3.3250451737912208</v>
      </c>
      <c r="CG73">
        <v>1859.3652611840505</v>
      </c>
      <c r="CH73">
        <v>3.3131952251130143</v>
      </c>
      <c r="CI73">
        <v>1852.7387698831974</v>
      </c>
      <c r="CJ73">
        <v>4.8388060496999374</v>
      </c>
      <c r="CK73">
        <v>2705.8603429922046</v>
      </c>
      <c r="CL73">
        <v>4.172499869059437</v>
      </c>
      <c r="CM73">
        <v>2333.2619267780369</v>
      </c>
      <c r="CN73">
        <v>4.0797776497470055</v>
      </c>
      <c r="CO73">
        <v>2281.4116617385253</v>
      </c>
      <c r="CP73">
        <v>4.5511463821878948</v>
      </c>
      <c r="CQ73">
        <v>2545.0010569194706</v>
      </c>
      <c r="CR73">
        <v>4.3604503136116648</v>
      </c>
      <c r="CS73">
        <v>2438.3638153716424</v>
      </c>
      <c r="CT73">
        <v>4.570112653158839</v>
      </c>
      <c r="CU73">
        <v>2555.6069956464225</v>
      </c>
    </row>
    <row r="74" spans="2:99" x14ac:dyDescent="0.2">
      <c r="C74" s="119" t="s">
        <v>240</v>
      </c>
      <c r="D74">
        <v>6.3644704604905789</v>
      </c>
      <c r="E74">
        <v>2566.1544896698015</v>
      </c>
      <c r="F74">
        <v>3.895589807887252</v>
      </c>
      <c r="G74">
        <v>1570.7018105401398</v>
      </c>
      <c r="H74">
        <v>0</v>
      </c>
      <c r="I74">
        <v>0</v>
      </c>
      <c r="J74">
        <v>0</v>
      </c>
      <c r="K74">
        <v>0</v>
      </c>
      <c r="L74">
        <v>12.553161999221556</v>
      </c>
      <c r="M74">
        <v>5061.4349180861318</v>
      </c>
      <c r="N74">
        <v>3.8314433580232752</v>
      </c>
      <c r="O74">
        <v>1544.8379619549846</v>
      </c>
      <c r="P74">
        <v>5.0092767868653558</v>
      </c>
      <c r="Q74">
        <v>2019.7404004641114</v>
      </c>
      <c r="R74">
        <v>4.9451850299963711</v>
      </c>
      <c r="S74">
        <v>1993.8986040945367</v>
      </c>
      <c r="T74">
        <v>3.9421164407064628</v>
      </c>
      <c r="U74">
        <v>1589.4613488928458</v>
      </c>
      <c r="V74">
        <v>4.6318576528091011</v>
      </c>
      <c r="W74">
        <v>1867.5650056126294</v>
      </c>
      <c r="X74">
        <v>3.9354768325533818</v>
      </c>
      <c r="Y74">
        <v>1586.7842588855235</v>
      </c>
      <c r="Z74">
        <v>3.4919637515666242</v>
      </c>
      <c r="AA74">
        <v>1407.9597846316628</v>
      </c>
      <c r="AB74">
        <v>3.9738093991042263</v>
      </c>
      <c r="AC74">
        <v>1602.2399497188239</v>
      </c>
      <c r="AD74">
        <v>4.1843873330738521</v>
      </c>
      <c r="AE74">
        <v>1687.1449726953772</v>
      </c>
      <c r="AF74">
        <v>3.7151432223665819</v>
      </c>
      <c r="AG74">
        <v>1497.9457472582058</v>
      </c>
      <c r="AH74">
        <v>5.4224892813093115</v>
      </c>
      <c r="AI74">
        <v>2186.3476782239145</v>
      </c>
      <c r="AJ74">
        <v>4.2571592866925281</v>
      </c>
      <c r="AK74">
        <v>1716.4866243944273</v>
      </c>
      <c r="AL74">
        <v>0</v>
      </c>
      <c r="AM74">
        <v>0</v>
      </c>
      <c r="AN74">
        <v>8.8434486627464004</v>
      </c>
      <c r="AO74">
        <v>3565.6785008193488</v>
      </c>
      <c r="AP74">
        <v>5.2017165034274324</v>
      </c>
      <c r="AQ74">
        <v>2097.3320941819406</v>
      </c>
      <c r="AR74">
        <v>4.4433221927937687</v>
      </c>
      <c r="AS74">
        <v>1791.5475081344475</v>
      </c>
      <c r="AT74">
        <v>4.8357037537873229</v>
      </c>
      <c r="AU74">
        <v>1949.7557535270485</v>
      </c>
      <c r="AV74">
        <v>3.8967485511331743</v>
      </c>
      <c r="AW74">
        <v>1571.1690158168958</v>
      </c>
      <c r="AX74">
        <v>4.1543427765047847</v>
      </c>
      <c r="AY74">
        <v>1675.0310074867291</v>
      </c>
      <c r="AZ74">
        <v>0</v>
      </c>
      <c r="BA74">
        <v>0</v>
      </c>
      <c r="BB74">
        <v>8.5192572732536078</v>
      </c>
      <c r="BC74">
        <v>3434.9645325758547</v>
      </c>
      <c r="BD74">
        <v>3.7834104943558016</v>
      </c>
      <c r="BE74">
        <v>1525.4711113242593</v>
      </c>
      <c r="BF74">
        <v>5.0341729354204698</v>
      </c>
      <c r="BG74">
        <v>2029.7785275615333</v>
      </c>
      <c r="BH74">
        <v>4.4056091605816938</v>
      </c>
      <c r="BI74">
        <v>1776.3416135465388</v>
      </c>
      <c r="BJ74">
        <v>4.7823732218452593</v>
      </c>
      <c r="BK74">
        <v>1928.2528830480085</v>
      </c>
      <c r="BL74">
        <v>4.2316842643652457</v>
      </c>
      <c r="BM74">
        <v>1706.215095392067</v>
      </c>
      <c r="BN74">
        <v>4.3936066997275445</v>
      </c>
      <c r="BO74">
        <v>1771.5022213301459</v>
      </c>
      <c r="BP74">
        <v>4.0589624576564605</v>
      </c>
      <c r="BQ74">
        <v>1636.5736629270848</v>
      </c>
      <c r="BR74">
        <v>3.8650525102866373</v>
      </c>
      <c r="BS74">
        <v>1558.389172147572</v>
      </c>
      <c r="BT74">
        <v>3.9329476057972421</v>
      </c>
      <c r="BU74">
        <v>1585.7644746574481</v>
      </c>
      <c r="BV74">
        <v>3.7563170176698777</v>
      </c>
      <c r="BW74">
        <v>1514.5470215244945</v>
      </c>
      <c r="BX74">
        <v>4.1843873330738521</v>
      </c>
      <c r="BY74">
        <v>1687.1449726953772</v>
      </c>
      <c r="BZ74">
        <v>5.3092996811776096</v>
      </c>
      <c r="CA74">
        <v>2140.7096314508121</v>
      </c>
      <c r="CB74">
        <v>4.2321344914388028</v>
      </c>
      <c r="CC74">
        <v>1706.3966269481252</v>
      </c>
      <c r="CD74">
        <v>3.41707265080333</v>
      </c>
      <c r="CE74">
        <v>1377.7636928039026</v>
      </c>
      <c r="CF74">
        <v>3.9583871116562155</v>
      </c>
      <c r="CG74">
        <v>1596.0216834197861</v>
      </c>
      <c r="CH74">
        <v>3.3131952251130143</v>
      </c>
      <c r="CI74">
        <v>1335.8803147655674</v>
      </c>
      <c r="CJ74">
        <v>5.4080773496646355</v>
      </c>
      <c r="CK74">
        <v>2180.5367873847808</v>
      </c>
      <c r="CL74">
        <v>3.824791546637818</v>
      </c>
      <c r="CM74">
        <v>1542.1559516043681</v>
      </c>
      <c r="CN74">
        <v>3.5170496980577637</v>
      </c>
      <c r="CO74">
        <v>1418.0744382568903</v>
      </c>
      <c r="CP74">
        <v>3.9009826133039098</v>
      </c>
      <c r="CQ74">
        <v>1572.8761896841363</v>
      </c>
      <c r="CR74">
        <v>4.5108106692534458</v>
      </c>
      <c r="CS74">
        <v>1818.7588618429893</v>
      </c>
      <c r="CT74">
        <v>4.427296632747626</v>
      </c>
      <c r="CU74">
        <v>1785.0860023238426</v>
      </c>
    </row>
    <row r="75" spans="2:99" x14ac:dyDescent="0.2">
      <c r="C75" s="119" t="s">
        <v>241</v>
      </c>
      <c r="D75">
        <v>6.59177297693667</v>
      </c>
      <c r="E75">
        <v>4239.8283787656655</v>
      </c>
      <c r="F75">
        <v>4.3630605848337227</v>
      </c>
      <c r="G75">
        <v>2806.3205681650502</v>
      </c>
      <c r="H75">
        <v>0</v>
      </c>
      <c r="I75">
        <v>0</v>
      </c>
      <c r="J75">
        <v>0</v>
      </c>
      <c r="K75">
        <v>0</v>
      </c>
      <c r="L75">
        <v>10.460968332684629</v>
      </c>
      <c r="M75">
        <v>6728.4948315827532</v>
      </c>
      <c r="N75">
        <v>4.2571592866925281</v>
      </c>
      <c r="O75">
        <v>2738.2048532006338</v>
      </c>
      <c r="P75">
        <v>4.5083491081788196</v>
      </c>
      <c r="Q75">
        <v>2899.7701463806166</v>
      </c>
      <c r="R75">
        <v>4.3270369012468244</v>
      </c>
      <c r="S75">
        <v>2783.150134881957</v>
      </c>
      <c r="T75">
        <v>4.1298362712162939</v>
      </c>
      <c r="U75">
        <v>2656.31068964632</v>
      </c>
      <c r="V75">
        <v>4.912576298433895</v>
      </c>
      <c r="W75">
        <v>3159.7690751526811</v>
      </c>
      <c r="X75">
        <v>3.9354768325533818</v>
      </c>
      <c r="Y75">
        <v>2531.2986986983351</v>
      </c>
      <c r="Z75">
        <v>3.1427673764099615</v>
      </c>
      <c r="AA75">
        <v>2021.427976506887</v>
      </c>
      <c r="AB75">
        <v>3.5764284591938038</v>
      </c>
      <c r="AC75">
        <v>2300.3587849534542</v>
      </c>
      <c r="AD75">
        <v>4.3338297378264894</v>
      </c>
      <c r="AE75">
        <v>2787.5192873699975</v>
      </c>
      <c r="AF75">
        <v>3.302349530992517</v>
      </c>
      <c r="AG75">
        <v>2124.0712183343867</v>
      </c>
      <c r="AH75">
        <v>5.1126327509487792</v>
      </c>
      <c r="AI75">
        <v>3288.4453854102544</v>
      </c>
      <c r="AJ75">
        <v>4.0443013223579012</v>
      </c>
      <c r="AK75">
        <v>2601.2946105406018</v>
      </c>
      <c r="AL75">
        <v>0</v>
      </c>
      <c r="AM75">
        <v>0</v>
      </c>
      <c r="AN75">
        <v>8.1359727697266866</v>
      </c>
      <c r="AO75">
        <v>5233.0576854882047</v>
      </c>
      <c r="AP75">
        <v>4.7427415178308943</v>
      </c>
      <c r="AQ75">
        <v>3050.5313442688307</v>
      </c>
      <c r="AR75">
        <v>4.7126144469024824</v>
      </c>
      <c r="AS75">
        <v>3031.1536122476764</v>
      </c>
      <c r="AT75">
        <v>5.0024521590903337</v>
      </c>
      <c r="AU75">
        <v>3217.5772287269024</v>
      </c>
      <c r="AV75">
        <v>3.7196236169907579</v>
      </c>
      <c r="AW75">
        <v>2392.4619104484555</v>
      </c>
      <c r="AX75">
        <v>3.8347779475428774</v>
      </c>
      <c r="AY75">
        <v>2466.5291758595786</v>
      </c>
      <c r="AZ75">
        <v>0</v>
      </c>
      <c r="BA75">
        <v>0</v>
      </c>
      <c r="BB75">
        <v>9.0872077581371826</v>
      </c>
      <c r="BC75">
        <v>5844.892030033835</v>
      </c>
      <c r="BD75">
        <v>3.9725810190735911</v>
      </c>
      <c r="BE75">
        <v>2555.1641114681333</v>
      </c>
      <c r="BF75">
        <v>4.4049013184929118</v>
      </c>
      <c r="BG75">
        <v>2833.2325280546406</v>
      </c>
      <c r="BH75">
        <v>4.8186350193862273</v>
      </c>
      <c r="BI75">
        <v>3099.3460444692209</v>
      </c>
      <c r="BJ75">
        <v>4.2509984194180097</v>
      </c>
      <c r="BK75">
        <v>2734.2421833696635</v>
      </c>
      <c r="BL75">
        <v>3.906170090183303</v>
      </c>
      <c r="BM75">
        <v>2512.4486020059003</v>
      </c>
      <c r="BN75">
        <v>4.3936066997275445</v>
      </c>
      <c r="BO75">
        <v>2825.9678292647563</v>
      </c>
      <c r="BP75">
        <v>3.9028485169773655</v>
      </c>
      <c r="BQ75">
        <v>2510.3121661198411</v>
      </c>
      <c r="BR75">
        <v>4.0491026298240955</v>
      </c>
      <c r="BS75">
        <v>2604.3828115028577</v>
      </c>
      <c r="BT75">
        <v>3.7756297015653524</v>
      </c>
      <c r="BU75">
        <v>2428.4850240468345</v>
      </c>
      <c r="BV75">
        <v>3.2867773904611428</v>
      </c>
      <c r="BW75">
        <v>2114.0552175446069</v>
      </c>
      <c r="BX75">
        <v>4.3338297378264894</v>
      </c>
      <c r="BY75">
        <v>2787.5192873699975</v>
      </c>
      <c r="BZ75">
        <v>4.8901444431899037</v>
      </c>
      <c r="CA75">
        <v>3145.3409058597458</v>
      </c>
      <c r="CB75">
        <v>3.8935637321236984</v>
      </c>
      <c r="CC75">
        <v>2504.3401925019625</v>
      </c>
      <c r="CD75">
        <v>3.5723941349307538</v>
      </c>
      <c r="CE75">
        <v>2297.7639075874604</v>
      </c>
      <c r="CF75">
        <v>3.6417161427237179</v>
      </c>
      <c r="CG75">
        <v>2342.3518229998949</v>
      </c>
      <c r="CH75">
        <v>3.3131952251130143</v>
      </c>
      <c r="CI75">
        <v>2131.0471687926906</v>
      </c>
      <c r="CJ75">
        <v>4.554170399717588</v>
      </c>
      <c r="CK75">
        <v>2929.2424010983523</v>
      </c>
      <c r="CL75">
        <v>3.477083224216198</v>
      </c>
      <c r="CM75">
        <v>2236.4599298158582</v>
      </c>
      <c r="CN75">
        <v>4.0797776497470055</v>
      </c>
      <c r="CO75">
        <v>2624.1129843172735</v>
      </c>
      <c r="CP75">
        <v>4.2260644977459023</v>
      </c>
      <c r="CQ75">
        <v>2718.2046849501639</v>
      </c>
      <c r="CR75">
        <v>3.9093692466863201</v>
      </c>
      <c r="CS75">
        <v>2514.5062994686409</v>
      </c>
      <c r="CT75">
        <v>4.7129286735700537</v>
      </c>
      <c r="CU75">
        <v>3031.3557228402583</v>
      </c>
    </row>
    <row r="76" spans="2:99" x14ac:dyDescent="0.2">
      <c r="C76" s="119" t="s">
        <v>242</v>
      </c>
      <c r="D76">
        <v>6.59177297693667</v>
      </c>
      <c r="E76">
        <v>5133.6727944382783</v>
      </c>
      <c r="F76">
        <v>4.207236992518232</v>
      </c>
      <c r="G76">
        <v>3276.5961697731991</v>
      </c>
      <c r="H76">
        <v>0</v>
      </c>
      <c r="I76">
        <v>0</v>
      </c>
      <c r="J76">
        <v>0</v>
      </c>
      <c r="K76">
        <v>0</v>
      </c>
      <c r="L76">
        <v>10.984016749318862</v>
      </c>
      <c r="M76">
        <v>8554.3522443695292</v>
      </c>
      <c r="N76">
        <v>4.0443013223579012</v>
      </c>
      <c r="O76">
        <v>3149.7018698523334</v>
      </c>
      <c r="P76">
        <v>4.8423008939698438</v>
      </c>
      <c r="Q76">
        <v>3771.1839362237142</v>
      </c>
      <c r="R76">
        <v>4.9451850299963711</v>
      </c>
      <c r="S76">
        <v>3851.3101013611736</v>
      </c>
      <c r="T76">
        <v>4.3175561017261259</v>
      </c>
      <c r="U76">
        <v>3362.5126920243065</v>
      </c>
      <c r="V76">
        <v>4.4914983299967037</v>
      </c>
      <c r="W76">
        <v>3497.9788994014325</v>
      </c>
      <c r="X76">
        <v>3.9354768325533818</v>
      </c>
      <c r="Y76">
        <v>3064.9493571925736</v>
      </c>
      <c r="Z76">
        <v>3.1427673764099615</v>
      </c>
      <c r="AA76">
        <v>2447.5872327480779</v>
      </c>
      <c r="AB76">
        <v>3.3777379892385921</v>
      </c>
      <c r="AC76">
        <v>2630.5823460190154</v>
      </c>
      <c r="AD76">
        <v>4.0349449283212149</v>
      </c>
      <c r="AE76">
        <v>3142.4151101765619</v>
      </c>
      <c r="AF76">
        <v>3.7151432223665819</v>
      </c>
      <c r="AG76">
        <v>2893.3535415790939</v>
      </c>
      <c r="AH76">
        <v>4.8027762205882478</v>
      </c>
      <c r="AI76">
        <v>3740.4021205941272</v>
      </c>
      <c r="AJ76">
        <v>4.2571592866925281</v>
      </c>
      <c r="AK76">
        <v>3315.4756524761406</v>
      </c>
      <c r="AL76">
        <v>0</v>
      </c>
      <c r="AM76">
        <v>0</v>
      </c>
      <c r="AN76">
        <v>7.4284968767069754</v>
      </c>
      <c r="AO76">
        <v>5785.3133675793924</v>
      </c>
      <c r="AP76">
        <v>4.5897498559653815</v>
      </c>
      <c r="AQ76">
        <v>3574.4971878258389</v>
      </c>
      <c r="AR76">
        <v>4.3086760657394114</v>
      </c>
      <c r="AS76">
        <v>3355.5969199978535</v>
      </c>
      <c r="AT76">
        <v>4.5022069431813012</v>
      </c>
      <c r="AU76">
        <v>3506.3187673495972</v>
      </c>
      <c r="AV76">
        <v>4.073873485275592</v>
      </c>
      <c r="AW76">
        <v>3172.7326703326307</v>
      </c>
      <c r="AX76">
        <v>3.5152131185809714</v>
      </c>
      <c r="AY76">
        <v>2737.6479767508604</v>
      </c>
      <c r="AZ76">
        <v>0</v>
      </c>
      <c r="BA76">
        <v>0</v>
      </c>
      <c r="BB76">
        <v>9.0872077581371826</v>
      </c>
      <c r="BC76">
        <v>7077.1174020372373</v>
      </c>
      <c r="BD76">
        <v>4.1617515437913815</v>
      </c>
      <c r="BE76">
        <v>3241.1721023047276</v>
      </c>
      <c r="BF76">
        <v>4.7195371269566904</v>
      </c>
      <c r="BG76">
        <v>3675.57551447387</v>
      </c>
      <c r="BH76">
        <v>4.8186350193862273</v>
      </c>
      <c r="BI76">
        <v>3752.7529530979937</v>
      </c>
      <c r="BJ76">
        <v>4.4281233535604256</v>
      </c>
      <c r="BK76">
        <v>3448.6224677528594</v>
      </c>
      <c r="BL76">
        <v>3.4178988289103902</v>
      </c>
      <c r="BM76">
        <v>2661.8596079554118</v>
      </c>
      <c r="BN76">
        <v>4.8643502746983529</v>
      </c>
      <c r="BO76">
        <v>3788.3559939350771</v>
      </c>
      <c r="BP76">
        <v>3.9028485169773655</v>
      </c>
      <c r="BQ76">
        <v>3039.5384250219722</v>
      </c>
      <c r="BR76">
        <v>3.8650525102866373</v>
      </c>
      <c r="BS76">
        <v>3010.1028950112332</v>
      </c>
      <c r="BT76">
        <v>3.9329476057972421</v>
      </c>
      <c r="BU76">
        <v>3062.9795953948919</v>
      </c>
      <c r="BV76">
        <v>3.2867773904611428</v>
      </c>
      <c r="BW76">
        <v>2559.7422316911379</v>
      </c>
      <c r="BX76">
        <v>3.5866177140633018</v>
      </c>
      <c r="BY76">
        <v>2793.2578757124993</v>
      </c>
      <c r="BZ76">
        <v>4.1915523798770602</v>
      </c>
      <c r="CA76">
        <v>3264.3809934482542</v>
      </c>
      <c r="CB76">
        <v>4.4014198710963548</v>
      </c>
      <c r="CC76">
        <v>3427.825795609841</v>
      </c>
      <c r="CD76">
        <v>3.7277156190581779</v>
      </c>
      <c r="CE76">
        <v>2903.1449241225087</v>
      </c>
      <c r="CF76">
        <v>3.4833806582574693</v>
      </c>
      <c r="CG76">
        <v>2712.8568566509171</v>
      </c>
      <c r="CH76">
        <v>3.3131952251130143</v>
      </c>
      <c r="CI76">
        <v>2580.3164413180152</v>
      </c>
      <c r="CJ76">
        <v>4.4118525747264137</v>
      </c>
      <c r="CK76">
        <v>3435.9507851969306</v>
      </c>
      <c r="CL76">
        <v>3.9986457078486275</v>
      </c>
      <c r="CM76">
        <v>3114.1452772725111</v>
      </c>
      <c r="CN76">
        <v>3.6577316859800741</v>
      </c>
      <c r="CO76">
        <v>2848.6414370412817</v>
      </c>
      <c r="CP76">
        <v>4.3886054399668994</v>
      </c>
      <c r="CQ76">
        <v>3417.8459166462212</v>
      </c>
      <c r="CR76">
        <v>4.2100899579698829</v>
      </c>
      <c r="CS76">
        <v>3278.8180592669446</v>
      </c>
      <c r="CT76">
        <v>4.8557446939812676</v>
      </c>
      <c r="CU76">
        <v>3781.6539676726111</v>
      </c>
    </row>
    <row r="77" spans="2:99" x14ac:dyDescent="0.2">
      <c r="C77" s="119" t="s">
        <v>243</v>
      </c>
      <c r="D77">
        <v>7.7282855591671309</v>
      </c>
      <c r="E77">
        <v>2151.5546996721291</v>
      </c>
      <c r="F77">
        <v>4.0514134002027422</v>
      </c>
      <c r="G77">
        <v>1127.9134906164434</v>
      </c>
      <c r="H77">
        <v>0</v>
      </c>
      <c r="I77">
        <v>0</v>
      </c>
      <c r="J77">
        <v>0</v>
      </c>
      <c r="K77">
        <v>0</v>
      </c>
      <c r="L77">
        <v>13.076210415855787</v>
      </c>
      <c r="M77">
        <v>3640.4169797742506</v>
      </c>
      <c r="N77">
        <v>4.470017251027155</v>
      </c>
      <c r="O77">
        <v>1244.4528026859598</v>
      </c>
      <c r="P77">
        <v>5.3432285726563791</v>
      </c>
      <c r="Q77">
        <v>1487.5548346275359</v>
      </c>
      <c r="R77">
        <v>5.4087961265585305</v>
      </c>
      <c r="S77">
        <v>1505.8088416338949</v>
      </c>
      <c r="T77">
        <v>4.1298362712162939</v>
      </c>
      <c r="U77">
        <v>1149.7464179066162</v>
      </c>
      <c r="V77">
        <v>5.0529356212462915</v>
      </c>
      <c r="W77">
        <v>1406.7372769549675</v>
      </c>
      <c r="X77">
        <v>4.1322506741810514</v>
      </c>
      <c r="Y77">
        <v>1150.4185876920046</v>
      </c>
      <c r="Z77">
        <v>3.6665619391449549</v>
      </c>
      <c r="AA77">
        <v>1020.7708438579554</v>
      </c>
      <c r="AB77">
        <v>3.3777379892385921</v>
      </c>
      <c r="AC77">
        <v>940.36225620402399</v>
      </c>
      <c r="AD77">
        <v>4.1843873330738521</v>
      </c>
      <c r="AE77">
        <v>1164.9334335277604</v>
      </c>
      <c r="AF77">
        <v>3.5087463766795497</v>
      </c>
      <c r="AG77">
        <v>976.83499126758659</v>
      </c>
      <c r="AH77">
        <v>4.6478479554079817</v>
      </c>
      <c r="AI77">
        <v>1293.9608707855821</v>
      </c>
      <c r="AJ77">
        <v>4.6828752153617801</v>
      </c>
      <c r="AK77">
        <v>1303.7124599567194</v>
      </c>
      <c r="AL77">
        <v>0</v>
      </c>
      <c r="AM77">
        <v>0</v>
      </c>
      <c r="AN77">
        <v>9.1971866092562564</v>
      </c>
      <c r="AO77">
        <v>2560.4967520169416</v>
      </c>
      <c r="AP77">
        <v>5.0487248415619197</v>
      </c>
      <c r="AQ77">
        <v>1405.5649958908384</v>
      </c>
      <c r="AR77">
        <v>4.1740299386850559</v>
      </c>
      <c r="AS77">
        <v>1162.0499349299196</v>
      </c>
      <c r="AT77">
        <v>5.3359489696963562</v>
      </c>
      <c r="AU77">
        <v>1485.5281931634654</v>
      </c>
      <c r="AV77">
        <v>3.8967485511331743</v>
      </c>
      <c r="AW77">
        <v>1084.8547966354756</v>
      </c>
      <c r="AX77">
        <v>3.6749955330619244</v>
      </c>
      <c r="AY77">
        <v>1023.1187564044396</v>
      </c>
      <c r="AZ77">
        <v>0</v>
      </c>
      <c r="BA77">
        <v>0</v>
      </c>
      <c r="BB77">
        <v>9.3711830005789682</v>
      </c>
      <c r="BC77">
        <v>2608.9373473611845</v>
      </c>
      <c r="BD77">
        <v>3.9725810190735911</v>
      </c>
      <c r="BE77">
        <v>1105.9665557100877</v>
      </c>
      <c r="BF77">
        <v>4.7195371269566904</v>
      </c>
      <c r="BG77">
        <v>1313.9191361447424</v>
      </c>
      <c r="BH77">
        <v>4.8186350193862273</v>
      </c>
      <c r="BI77">
        <v>1341.5079893971256</v>
      </c>
      <c r="BJ77">
        <v>4.7823732218452593</v>
      </c>
      <c r="BK77">
        <v>1331.41270496172</v>
      </c>
      <c r="BL77">
        <v>3.906170090183303</v>
      </c>
      <c r="BM77">
        <v>1087.4777531070315</v>
      </c>
      <c r="BN77">
        <v>5.0212647996886224</v>
      </c>
      <c r="BO77">
        <v>1397.9201202333124</v>
      </c>
      <c r="BP77">
        <v>4.0589624576564605</v>
      </c>
      <c r="BQ77">
        <v>1130.0151482115584</v>
      </c>
      <c r="BR77">
        <v>4.0491026298240955</v>
      </c>
      <c r="BS77">
        <v>1127.270172143028</v>
      </c>
      <c r="BT77">
        <v>3.7756297015653524</v>
      </c>
      <c r="BU77">
        <v>1051.135308915794</v>
      </c>
      <c r="BV77">
        <v>3.7563170176698777</v>
      </c>
      <c r="BW77">
        <v>1045.7586577192938</v>
      </c>
      <c r="BX77">
        <v>4.0349449283212149</v>
      </c>
      <c r="BY77">
        <v>1123.3286680446261</v>
      </c>
      <c r="BZ77">
        <v>4.8901444431899037</v>
      </c>
      <c r="CA77">
        <v>1361.416212984069</v>
      </c>
      <c r="CB77">
        <v>4.5707052507539068</v>
      </c>
      <c r="CC77">
        <v>1272.4843418098876</v>
      </c>
      <c r="CD77">
        <v>3.41707265080333</v>
      </c>
      <c r="CE77">
        <v>951.31302598364698</v>
      </c>
      <c r="CF77">
        <v>3.4833806582574693</v>
      </c>
      <c r="CG77">
        <v>969.77317525887941</v>
      </c>
      <c r="CH77">
        <v>3.8978767354270758</v>
      </c>
      <c r="CI77">
        <v>1085.1688831428978</v>
      </c>
      <c r="CJ77">
        <v>5.2657595246734612</v>
      </c>
      <c r="CK77">
        <v>1465.9874516690916</v>
      </c>
      <c r="CL77">
        <v>3.6509373854270084</v>
      </c>
      <c r="CM77">
        <v>1016.4209681028791</v>
      </c>
      <c r="CN77">
        <v>3.9390956618246951</v>
      </c>
      <c r="CO77">
        <v>1096.6442322519949</v>
      </c>
      <c r="CP77">
        <v>4.713687324408891</v>
      </c>
      <c r="CQ77">
        <v>1312.2905511154352</v>
      </c>
      <c r="CR77">
        <v>4.0597296023281011</v>
      </c>
      <c r="CS77">
        <v>1130.2287212881433</v>
      </c>
      <c r="CT77">
        <v>5.1413767348036945</v>
      </c>
      <c r="CU77">
        <v>1431.3592829693484</v>
      </c>
    </row>
    <row r="78" spans="2:99" x14ac:dyDescent="0.2">
      <c r="C78" s="119" t="s">
        <v>244</v>
      </c>
      <c r="D78">
        <v>7.2736805262749469</v>
      </c>
      <c r="E78">
        <v>4015.0716505037708</v>
      </c>
      <c r="F78">
        <v>3.895589807887252</v>
      </c>
      <c r="G78">
        <v>2150.365573953763</v>
      </c>
      <c r="H78">
        <v>0</v>
      </c>
      <c r="I78">
        <v>0</v>
      </c>
      <c r="J78">
        <v>0</v>
      </c>
      <c r="K78">
        <v>0</v>
      </c>
      <c r="L78">
        <v>12.553161999221556</v>
      </c>
      <c r="M78">
        <v>6929.3454235702993</v>
      </c>
      <c r="N78">
        <v>4.470017251027155</v>
      </c>
      <c r="O78">
        <v>2467.4495225669893</v>
      </c>
      <c r="P78">
        <v>4.8423008939698438</v>
      </c>
      <c r="Q78">
        <v>2672.9500934713537</v>
      </c>
      <c r="R78">
        <v>4.3270369012468244</v>
      </c>
      <c r="S78">
        <v>2388.524369488247</v>
      </c>
      <c r="T78">
        <v>4.3175561017261259</v>
      </c>
      <c r="U78">
        <v>2383.2909681528217</v>
      </c>
      <c r="V78">
        <v>4.2107796843719099</v>
      </c>
      <c r="W78">
        <v>2324.3503857732944</v>
      </c>
      <c r="X78">
        <v>3.7387029909257126</v>
      </c>
      <c r="Y78">
        <v>2063.7640509909934</v>
      </c>
      <c r="Z78">
        <v>3.6665619391449549</v>
      </c>
      <c r="AA78">
        <v>2023.942190408015</v>
      </c>
      <c r="AB78">
        <v>3.3777379892385921</v>
      </c>
      <c r="AC78">
        <v>1864.5113700597028</v>
      </c>
      <c r="AD78">
        <v>4.0349449283212149</v>
      </c>
      <c r="AE78">
        <v>2227.2896004333106</v>
      </c>
      <c r="AF78">
        <v>3.7151432223665819</v>
      </c>
      <c r="AG78">
        <v>2050.7590587463533</v>
      </c>
      <c r="AH78">
        <v>4.4929196902277155</v>
      </c>
      <c r="AI78">
        <v>2480.0916690056988</v>
      </c>
      <c r="AJ78">
        <v>4.2571592866925281</v>
      </c>
      <c r="AK78">
        <v>2349.9519262542753</v>
      </c>
      <c r="AL78">
        <v>0</v>
      </c>
      <c r="AM78">
        <v>0</v>
      </c>
      <c r="AN78">
        <v>8.4897107162365426</v>
      </c>
      <c r="AO78">
        <v>4686.3203153625718</v>
      </c>
      <c r="AP78">
        <v>5.0487248415619197</v>
      </c>
      <c r="AQ78">
        <v>2786.8961125421797</v>
      </c>
      <c r="AR78">
        <v>4.1740299386850559</v>
      </c>
      <c r="AS78">
        <v>2304.0645261541508</v>
      </c>
      <c r="AT78">
        <v>5.3359489696963562</v>
      </c>
      <c r="AU78">
        <v>2945.4438312723887</v>
      </c>
      <c r="AV78">
        <v>4.2509984194180097</v>
      </c>
      <c r="AW78">
        <v>2346.5511275187414</v>
      </c>
      <c r="AX78">
        <v>3.9945603620238312</v>
      </c>
      <c r="AY78">
        <v>2204.9973198371549</v>
      </c>
      <c r="AZ78">
        <v>0</v>
      </c>
      <c r="BA78">
        <v>0</v>
      </c>
      <c r="BB78">
        <v>7.9513067883700339</v>
      </c>
      <c r="BC78">
        <v>4389.1213471802585</v>
      </c>
      <c r="BD78">
        <v>4.1617515437913815</v>
      </c>
      <c r="BE78">
        <v>2297.2868521728424</v>
      </c>
      <c r="BF78">
        <v>4.7195371269566904</v>
      </c>
      <c r="BG78">
        <v>2605.1844940800929</v>
      </c>
      <c r="BH78">
        <v>4.9563103056544051</v>
      </c>
      <c r="BI78">
        <v>2735.8832887212316</v>
      </c>
      <c r="BJ78">
        <v>4.4281233535604256</v>
      </c>
      <c r="BK78">
        <v>2444.3240911653547</v>
      </c>
      <c r="BL78">
        <v>3.5806559160013616</v>
      </c>
      <c r="BM78">
        <v>1976.5220656327515</v>
      </c>
      <c r="BN78">
        <v>4.8643502746983529</v>
      </c>
      <c r="BO78">
        <v>2685.121351633491</v>
      </c>
      <c r="BP78">
        <v>3.9028485169773655</v>
      </c>
      <c r="BQ78">
        <v>2154.3723813715055</v>
      </c>
      <c r="BR78">
        <v>3.4969522712117191</v>
      </c>
      <c r="BS78">
        <v>1930.3176537088689</v>
      </c>
      <c r="BT78">
        <v>4.2475834142610216</v>
      </c>
      <c r="BU78">
        <v>2344.6660446720839</v>
      </c>
      <c r="BV78">
        <v>3.5998038086002992</v>
      </c>
      <c r="BW78">
        <v>1987.0917023473653</v>
      </c>
      <c r="BX78">
        <v>3.7360601188159395</v>
      </c>
      <c r="BY78">
        <v>2062.3051855863987</v>
      </c>
      <c r="BZ78">
        <v>4.610707617864767</v>
      </c>
      <c r="CA78">
        <v>2545.1106050613512</v>
      </c>
      <c r="CB78">
        <v>4.2321344914388028</v>
      </c>
      <c r="CC78">
        <v>2336.1382392742194</v>
      </c>
      <c r="CD78">
        <v>4.0383585873130263</v>
      </c>
      <c r="CE78">
        <v>2229.1739401967907</v>
      </c>
      <c r="CF78">
        <v>3.3250451737912208</v>
      </c>
      <c r="CG78">
        <v>1835.4249359327539</v>
      </c>
      <c r="CH78">
        <v>3.7029828986557218</v>
      </c>
      <c r="CI78">
        <v>2044.0465600579585</v>
      </c>
      <c r="CJ78">
        <v>5.2657595246734612</v>
      </c>
      <c r="CK78">
        <v>2906.6992576197504</v>
      </c>
      <c r="CL78">
        <v>3.9986457078486275</v>
      </c>
      <c r="CM78">
        <v>2207.2524307324425</v>
      </c>
      <c r="CN78">
        <v>3.6577316859800741</v>
      </c>
      <c r="CO78">
        <v>2019.067890661001</v>
      </c>
      <c r="CP78">
        <v>4.2260644977459023</v>
      </c>
      <c r="CQ78">
        <v>2332.7876027557381</v>
      </c>
      <c r="CR78">
        <v>3.7590088910445387</v>
      </c>
      <c r="CS78">
        <v>2074.9729078565852</v>
      </c>
      <c r="CT78">
        <v>4.8557446939812676</v>
      </c>
      <c r="CU78">
        <v>2680.3710710776595</v>
      </c>
    </row>
    <row r="79" spans="2:99" x14ac:dyDescent="0.2">
      <c r="C79" s="119" t="s">
        <v>245</v>
      </c>
      <c r="D79">
        <v>7.046378009828854</v>
      </c>
      <c r="E79">
        <v>5335.5174290424075</v>
      </c>
      <c r="F79">
        <v>3.895589807887252</v>
      </c>
      <c r="G79">
        <v>2949.7406025322271</v>
      </c>
      <c r="H79">
        <v>0</v>
      </c>
      <c r="I79">
        <v>0</v>
      </c>
      <c r="J79">
        <v>0</v>
      </c>
      <c r="K79">
        <v>0</v>
      </c>
      <c r="L79">
        <v>11.507065165953094</v>
      </c>
      <c r="M79">
        <v>8713.1497436596819</v>
      </c>
      <c r="N79">
        <v>3.8314433580232752</v>
      </c>
      <c r="O79">
        <v>2901.1689106952235</v>
      </c>
      <c r="P79">
        <v>4.3413732152833076</v>
      </c>
      <c r="Q79">
        <v>3287.28779861252</v>
      </c>
      <c r="R79">
        <v>4.9451850299963711</v>
      </c>
      <c r="S79">
        <v>3744.494104713252</v>
      </c>
      <c r="T79">
        <v>3.9421164407064628</v>
      </c>
      <c r="U79">
        <v>2984.9705689029333</v>
      </c>
      <c r="V79">
        <v>4.2107796843719099</v>
      </c>
      <c r="W79">
        <v>3188.40237700641</v>
      </c>
      <c r="X79">
        <v>3.3451553076703746</v>
      </c>
      <c r="Y79">
        <v>2532.9515989680076</v>
      </c>
      <c r="Z79">
        <v>3.1427673764099615</v>
      </c>
      <c r="AA79">
        <v>2379.7034574176228</v>
      </c>
      <c r="AB79">
        <v>3.775118929149015</v>
      </c>
      <c r="AC79">
        <v>2858.5200531516339</v>
      </c>
      <c r="AD79">
        <v>3.8855025235685767</v>
      </c>
      <c r="AE79">
        <v>2942.1025108461258</v>
      </c>
      <c r="AF79">
        <v>3.7151432223665819</v>
      </c>
      <c r="AG79">
        <v>2813.1064479759757</v>
      </c>
      <c r="AH79">
        <v>4.6478479554079817</v>
      </c>
      <c r="AI79">
        <v>3519.3504718349236</v>
      </c>
      <c r="AJ79">
        <v>4.895733179696407</v>
      </c>
      <c r="AK79">
        <v>3707.0491636661191</v>
      </c>
      <c r="AL79">
        <v>0</v>
      </c>
      <c r="AM79">
        <v>0</v>
      </c>
      <c r="AN79">
        <v>8.1359727697266866</v>
      </c>
      <c r="AO79">
        <v>6160.5585812370464</v>
      </c>
      <c r="AP79">
        <v>5.0487248415619197</v>
      </c>
      <c r="AQ79">
        <v>3822.8944500306852</v>
      </c>
      <c r="AR79">
        <v>4.5779683198481251</v>
      </c>
      <c r="AS79">
        <v>3466.4376117890001</v>
      </c>
      <c r="AT79">
        <v>4.5022069431813012</v>
      </c>
      <c r="AU79">
        <v>3409.071097376881</v>
      </c>
      <c r="AV79">
        <v>3.5424986828483407</v>
      </c>
      <c r="AW79">
        <v>2682.3800026527633</v>
      </c>
      <c r="AX79">
        <v>3.355430704100018</v>
      </c>
      <c r="AY79">
        <v>2540.7321291445332</v>
      </c>
      <c r="AZ79">
        <v>0</v>
      </c>
      <c r="BA79">
        <v>0</v>
      </c>
      <c r="BB79">
        <v>8.8032325156953952</v>
      </c>
      <c r="BC79">
        <v>6665.8076608845531</v>
      </c>
      <c r="BD79">
        <v>4.3509220685091723</v>
      </c>
      <c r="BE79">
        <v>3294.5181902751451</v>
      </c>
      <c r="BF79">
        <v>4.4049013184929118</v>
      </c>
      <c r="BG79">
        <v>3335.3912783628325</v>
      </c>
      <c r="BH79">
        <v>4.1302585880453382</v>
      </c>
      <c r="BI79">
        <v>3127.4318028679299</v>
      </c>
      <c r="BJ79">
        <v>4.6052482877028433</v>
      </c>
      <c r="BK79">
        <v>3487.0940034485925</v>
      </c>
      <c r="BL79">
        <v>3.7434130030923325</v>
      </c>
      <c r="BM79">
        <v>2834.5123259415141</v>
      </c>
      <c r="BN79">
        <v>4.3936066997275445</v>
      </c>
      <c r="BO79">
        <v>3326.8389930336962</v>
      </c>
      <c r="BP79">
        <v>4.0589624576564605</v>
      </c>
      <c r="BQ79">
        <v>3073.4463729374716</v>
      </c>
      <c r="BR79">
        <v>3.4969522712117191</v>
      </c>
      <c r="BS79">
        <v>2647.8922597615133</v>
      </c>
      <c r="BT79">
        <v>3.6183117973334626</v>
      </c>
      <c r="BU79">
        <v>2739.7856929408977</v>
      </c>
      <c r="BV79">
        <v>3.5998038086002992</v>
      </c>
      <c r="BW79">
        <v>2725.7714438721464</v>
      </c>
      <c r="BX79">
        <v>4.0349449283212149</v>
      </c>
      <c r="BY79">
        <v>3055.2602997248237</v>
      </c>
      <c r="BZ79">
        <v>4.4709892052021978</v>
      </c>
      <c r="CA79">
        <v>3385.4330261791038</v>
      </c>
      <c r="CB79">
        <v>4.4014198710963548</v>
      </c>
      <c r="CC79">
        <v>3332.7551263941596</v>
      </c>
      <c r="CD79">
        <v>3.8830371031856017</v>
      </c>
      <c r="CE79">
        <v>2940.2356945321371</v>
      </c>
      <c r="CF79">
        <v>3.6417161427237179</v>
      </c>
      <c r="CG79">
        <v>2757.5074632703991</v>
      </c>
      <c r="CH79">
        <v>3.5080890618843683</v>
      </c>
      <c r="CI79">
        <v>2656.3250376588435</v>
      </c>
      <c r="CJ79">
        <v>5.123441699682286</v>
      </c>
      <c r="CK79">
        <v>3879.4700549994268</v>
      </c>
      <c r="CL79">
        <v>3.6509373854270084</v>
      </c>
      <c r="CM79">
        <v>2764.4897882453306</v>
      </c>
      <c r="CN79">
        <v>3.3763677101354532</v>
      </c>
      <c r="CO79">
        <v>2556.585630114565</v>
      </c>
      <c r="CP79">
        <v>4.3886054399668994</v>
      </c>
      <c r="CQ79">
        <v>3323.0520391429359</v>
      </c>
      <c r="CR79">
        <v>4.2100899579698829</v>
      </c>
      <c r="CS79">
        <v>3187.8801161747951</v>
      </c>
      <c r="CT79">
        <v>4.8557446939812676</v>
      </c>
      <c r="CU79">
        <v>3676.7698822826155</v>
      </c>
    </row>
    <row r="80" spans="2:99" x14ac:dyDescent="0.2">
      <c r="C80" s="119" t="s">
        <v>246</v>
      </c>
      <c r="D80">
        <v>6.8190754933827629</v>
      </c>
      <c r="E80">
        <v>5490.7195872718003</v>
      </c>
      <c r="F80">
        <v>3.895589807887252</v>
      </c>
      <c r="G80">
        <v>3136.7289133108152</v>
      </c>
      <c r="H80">
        <v>0</v>
      </c>
      <c r="I80">
        <v>0</v>
      </c>
      <c r="J80">
        <v>0</v>
      </c>
      <c r="K80">
        <v>0</v>
      </c>
      <c r="L80">
        <v>10.984016749318862</v>
      </c>
      <c r="M80">
        <v>8844.330286551547</v>
      </c>
      <c r="N80">
        <v>4.2571592866925281</v>
      </c>
      <c r="O80">
        <v>3427.8646576448232</v>
      </c>
      <c r="P80">
        <v>5.176252679760867</v>
      </c>
      <c r="Q80">
        <v>4167.9186577434493</v>
      </c>
      <c r="R80">
        <v>5.0997220621837567</v>
      </c>
      <c r="S80">
        <v>4106.2962044703609</v>
      </c>
      <c r="T80">
        <v>3.9421164407064628</v>
      </c>
      <c r="U80">
        <v>3174.1921580568437</v>
      </c>
      <c r="V80">
        <v>4.6318576528091011</v>
      </c>
      <c r="W80">
        <v>3729.5717820418877</v>
      </c>
      <c r="X80">
        <v>3.7387029909257126</v>
      </c>
      <c r="Y80">
        <v>3010.4036482933834</v>
      </c>
      <c r="Z80">
        <v>3.4919637515666242</v>
      </c>
      <c r="AA80">
        <v>2811.7292127614455</v>
      </c>
      <c r="AB80">
        <v>3.775118929149015</v>
      </c>
      <c r="AC80">
        <v>3039.7257617507867</v>
      </c>
      <c r="AD80">
        <v>4.1843873330738521</v>
      </c>
      <c r="AE80">
        <v>3369.2686805910653</v>
      </c>
      <c r="AF80">
        <v>3.5087463766795497</v>
      </c>
      <c r="AG80">
        <v>2825.2425825023734</v>
      </c>
      <c r="AH80">
        <v>4.6478479554079817</v>
      </c>
      <c r="AI80">
        <v>3742.4471736945065</v>
      </c>
      <c r="AJ80">
        <v>4.470017251027155</v>
      </c>
      <c r="AK80">
        <v>3599.2578905270648</v>
      </c>
      <c r="AL80">
        <v>0</v>
      </c>
      <c r="AM80">
        <v>0</v>
      </c>
      <c r="AN80">
        <v>7.7822348232168315</v>
      </c>
      <c r="AO80">
        <v>6266.2554796541917</v>
      </c>
      <c r="AP80">
        <v>4.7427415178308943</v>
      </c>
      <c r="AQ80">
        <v>3818.8554701574358</v>
      </c>
      <c r="AR80">
        <v>4.1740299386850559</v>
      </c>
      <c r="AS80">
        <v>3360.9289066292067</v>
      </c>
      <c r="AT80">
        <v>4.668955348484312</v>
      </c>
      <c r="AU80">
        <v>3759.4428465995679</v>
      </c>
      <c r="AV80">
        <v>4.073873485275592</v>
      </c>
      <c r="AW80">
        <v>3280.2829303439066</v>
      </c>
      <c r="AX80">
        <v>3.6749955330619244</v>
      </c>
      <c r="AY80">
        <v>2959.1064032214613</v>
      </c>
      <c r="AZ80">
        <v>0</v>
      </c>
      <c r="BA80">
        <v>0</v>
      </c>
      <c r="BB80">
        <v>7.9513067883700339</v>
      </c>
      <c r="BC80">
        <v>6402.3922259955507</v>
      </c>
      <c r="BD80">
        <v>3.9725810190735911</v>
      </c>
      <c r="BE80">
        <v>3198.7222365580551</v>
      </c>
      <c r="BF80">
        <v>4.7195371269566904</v>
      </c>
      <c r="BG80">
        <v>3800.1712946255266</v>
      </c>
      <c r="BH80">
        <v>3.9925833017771599</v>
      </c>
      <c r="BI80">
        <v>3214.8280745909688</v>
      </c>
      <c r="BJ80">
        <v>4.4281233535604256</v>
      </c>
      <c r="BK80">
        <v>3565.5249242868545</v>
      </c>
      <c r="BL80">
        <v>3.4178988289103902</v>
      </c>
      <c r="BM80">
        <v>2752.0921370386459</v>
      </c>
      <c r="BN80">
        <v>4.3936066997275445</v>
      </c>
      <c r="BO80">
        <v>3537.7321146206186</v>
      </c>
      <c r="BP80">
        <v>3.7467345762982704</v>
      </c>
      <c r="BQ80">
        <v>3016.8706808353672</v>
      </c>
      <c r="BR80">
        <v>3.4969522712117191</v>
      </c>
      <c r="BS80">
        <v>2815.7459687796759</v>
      </c>
      <c r="BT80">
        <v>4.0902655100291314</v>
      </c>
      <c r="BU80">
        <v>3293.4817886754563</v>
      </c>
      <c r="BV80">
        <v>3.7563170176698777</v>
      </c>
      <c r="BW80">
        <v>3024.5864626277853</v>
      </c>
      <c r="BX80">
        <v>3.5866177140633018</v>
      </c>
      <c r="BY80">
        <v>2887.9445833637706</v>
      </c>
      <c r="BZ80">
        <v>4.8901444431899037</v>
      </c>
      <c r="CA80">
        <v>3937.54430565651</v>
      </c>
      <c r="CB80">
        <v>4.0628491117812509</v>
      </c>
      <c r="CC80">
        <v>3271.4061048062631</v>
      </c>
      <c r="CD80">
        <v>3.41707265080333</v>
      </c>
      <c r="CE80">
        <v>2751.426898426841</v>
      </c>
      <c r="CF80">
        <v>3.3250451737912208</v>
      </c>
      <c r="CG80">
        <v>2677.3263739366907</v>
      </c>
      <c r="CH80">
        <v>3.7029828986557218</v>
      </c>
      <c r="CI80">
        <v>2981.6418299975871</v>
      </c>
      <c r="CJ80">
        <v>4.8388060496999374</v>
      </c>
      <c r="CK80">
        <v>3896.2066312183892</v>
      </c>
      <c r="CL80">
        <v>3.6509373854270084</v>
      </c>
      <c r="CM80">
        <v>2939.734782745827</v>
      </c>
      <c r="CN80">
        <v>3.5170496980577637</v>
      </c>
      <c r="CO80">
        <v>2831.928416876111</v>
      </c>
      <c r="CP80">
        <v>4.3886054399668994</v>
      </c>
      <c r="CQ80">
        <v>3533.7051002613471</v>
      </c>
      <c r="CR80">
        <v>4.0597296023281011</v>
      </c>
      <c r="CS80">
        <v>3268.8942757945865</v>
      </c>
      <c r="CT80">
        <v>4.9985607143924815</v>
      </c>
      <c r="CU80">
        <v>4024.8410872288259</v>
      </c>
    </row>
    <row r="81" spans="2:99" x14ac:dyDescent="0.2">
      <c r="C81" s="119" t="s">
        <v>247</v>
      </c>
      <c r="D81">
        <v>6.8190754933827629</v>
      </c>
      <c r="E81">
        <v>5138.85529181325</v>
      </c>
      <c r="F81">
        <v>4.0514134002027422</v>
      </c>
      <c r="G81">
        <v>3053.1451383927865</v>
      </c>
      <c r="H81">
        <v>0</v>
      </c>
      <c r="I81">
        <v>0</v>
      </c>
      <c r="J81">
        <v>0</v>
      </c>
      <c r="K81">
        <v>0</v>
      </c>
      <c r="L81">
        <v>12.553161999221556</v>
      </c>
      <c r="M81">
        <v>9460.0628826133652</v>
      </c>
      <c r="N81">
        <v>4.2571592866925281</v>
      </c>
      <c r="O81">
        <v>3208.1952384514893</v>
      </c>
      <c r="P81">
        <v>4.8423008939698438</v>
      </c>
      <c r="Q81">
        <v>3649.1579536956742</v>
      </c>
      <c r="R81">
        <v>4.9451850299963711</v>
      </c>
      <c r="S81">
        <v>3726.6914386052654</v>
      </c>
      <c r="T81">
        <v>3.7543966101966313</v>
      </c>
      <c r="U81">
        <v>2829.3132854441815</v>
      </c>
      <c r="V81">
        <v>4.7722169756214976</v>
      </c>
      <c r="W81">
        <v>3596.3427128283606</v>
      </c>
      <c r="X81">
        <v>3.7387029909257126</v>
      </c>
      <c r="Y81">
        <v>2817.4865739616171</v>
      </c>
      <c r="Z81">
        <v>3.4919637515666242</v>
      </c>
      <c r="AA81">
        <v>2631.5438831806082</v>
      </c>
      <c r="AB81">
        <v>3.775118929149015</v>
      </c>
      <c r="AC81">
        <v>2844.9296250066977</v>
      </c>
      <c r="AD81">
        <v>4.0349449283212149</v>
      </c>
      <c r="AE81">
        <v>3040.7344979828677</v>
      </c>
      <c r="AF81">
        <v>3.5087463766795497</v>
      </c>
      <c r="AG81">
        <v>2644.191269465709</v>
      </c>
      <c r="AH81">
        <v>4.6478479554079817</v>
      </c>
      <c r="AI81">
        <v>3502.6182191954549</v>
      </c>
      <c r="AJ81">
        <v>4.895733179696407</v>
      </c>
      <c r="AK81">
        <v>3689.4245242192123</v>
      </c>
      <c r="AL81">
        <v>0</v>
      </c>
      <c r="AM81">
        <v>0</v>
      </c>
      <c r="AN81">
        <v>8.4897107162365426</v>
      </c>
      <c r="AO81">
        <v>6397.8459957558589</v>
      </c>
      <c r="AP81">
        <v>5.2017165034274324</v>
      </c>
      <c r="AQ81">
        <v>3920.0135569829131</v>
      </c>
      <c r="AR81">
        <v>4.4433221927937687</v>
      </c>
      <c r="AS81">
        <v>3348.487604489384</v>
      </c>
      <c r="AT81">
        <v>5.0024521590903337</v>
      </c>
      <c r="AU81">
        <v>3769.8479470904754</v>
      </c>
      <c r="AV81">
        <v>3.7196236169907579</v>
      </c>
      <c r="AW81">
        <v>2803.1083577642353</v>
      </c>
      <c r="AX81">
        <v>3.6749955330619244</v>
      </c>
      <c r="AY81">
        <v>2769.4766337154665</v>
      </c>
      <c r="AZ81">
        <v>0</v>
      </c>
      <c r="BA81">
        <v>0</v>
      </c>
      <c r="BB81">
        <v>7.9513067883700339</v>
      </c>
      <c r="BC81">
        <v>5992.1047957156579</v>
      </c>
      <c r="BD81">
        <v>3.7834104943558016</v>
      </c>
      <c r="BE81">
        <v>2851.1781485465322</v>
      </c>
      <c r="BF81">
        <v>4.4049013184929118</v>
      </c>
      <c r="BG81">
        <v>3319.5336336162586</v>
      </c>
      <c r="BH81">
        <v>4.1302585880453382</v>
      </c>
      <c r="BI81">
        <v>3112.5628719509668</v>
      </c>
      <c r="BJ81">
        <v>4.6052482877028433</v>
      </c>
      <c r="BK81">
        <v>3470.5151096128629</v>
      </c>
      <c r="BL81">
        <v>4.0689271772742748</v>
      </c>
      <c r="BM81">
        <v>3066.3435207938937</v>
      </c>
      <c r="BN81">
        <v>4.0797776497470055</v>
      </c>
      <c r="BO81">
        <v>3074.5204368493432</v>
      </c>
      <c r="BP81">
        <v>3.5906206356191763</v>
      </c>
      <c r="BQ81">
        <v>2705.8917110026114</v>
      </c>
      <c r="BR81">
        <v>4.0491026298240955</v>
      </c>
      <c r="BS81">
        <v>3051.4037418354383</v>
      </c>
      <c r="BT81">
        <v>3.6183117973334626</v>
      </c>
      <c r="BU81">
        <v>2726.7597704704976</v>
      </c>
      <c r="BV81">
        <v>3.4432905995307208</v>
      </c>
      <c r="BW81">
        <v>2594.8637958063514</v>
      </c>
      <c r="BX81">
        <v>4.1843873330738521</v>
      </c>
      <c r="BY81">
        <v>3153.3542942044551</v>
      </c>
      <c r="BZ81">
        <v>4.4709892052021978</v>
      </c>
      <c r="CA81">
        <v>3369.3374650403762</v>
      </c>
      <c r="CB81">
        <v>3.7242783524661465</v>
      </c>
      <c r="CC81">
        <v>2806.6161664184879</v>
      </c>
      <c r="CD81">
        <v>3.7277156190581779</v>
      </c>
      <c r="CE81">
        <v>2809.2064905222428</v>
      </c>
      <c r="CF81">
        <v>3.3250451737912208</v>
      </c>
      <c r="CG81">
        <v>2505.7540429690639</v>
      </c>
      <c r="CH81">
        <v>3.7029828986557218</v>
      </c>
      <c r="CI81">
        <v>2790.5679124269523</v>
      </c>
      <c r="CJ81">
        <v>4.4118525747264137</v>
      </c>
      <c r="CK81">
        <v>3324.7721003138254</v>
      </c>
      <c r="CL81">
        <v>3.3032290630053884</v>
      </c>
      <c r="CM81">
        <v>2489.3134218808609</v>
      </c>
      <c r="CN81">
        <v>3.6577316859800741</v>
      </c>
      <c r="CO81">
        <v>2756.4665985545839</v>
      </c>
      <c r="CP81">
        <v>4.0635235555249061</v>
      </c>
      <c r="CQ81">
        <v>3062.2713514435695</v>
      </c>
      <c r="CR81">
        <v>4.2100899579698829</v>
      </c>
      <c r="CS81">
        <v>3172.7237923261041</v>
      </c>
      <c r="CT81">
        <v>4.9985607143924815</v>
      </c>
      <c r="CU81">
        <v>3766.9153543661741</v>
      </c>
    </row>
    <row r="82" spans="2:99" x14ac:dyDescent="0.2">
      <c r="C82" s="119" t="s">
        <v>248</v>
      </c>
      <c r="D82">
        <v>7.046378009828854</v>
      </c>
      <c r="E82">
        <v>3585.1971314009202</v>
      </c>
      <c r="F82">
        <v>4.207236992518232</v>
      </c>
      <c r="G82">
        <v>2140.642181793276</v>
      </c>
      <c r="H82">
        <v>0</v>
      </c>
      <c r="I82">
        <v>0</v>
      </c>
      <c r="J82">
        <v>0</v>
      </c>
      <c r="K82">
        <v>0</v>
      </c>
      <c r="L82">
        <v>12.553161999221556</v>
      </c>
      <c r="M82">
        <v>6387.0488252039268</v>
      </c>
      <c r="N82">
        <v>3.8314433580232752</v>
      </c>
      <c r="O82">
        <v>1949.4383805622419</v>
      </c>
      <c r="P82">
        <v>5.3432285726563791</v>
      </c>
      <c r="Q82">
        <v>2718.6346977675653</v>
      </c>
      <c r="R82">
        <v>5.0997220621837567</v>
      </c>
      <c r="S82">
        <v>2594.7385852390948</v>
      </c>
      <c r="T82">
        <v>3.9421164407064628</v>
      </c>
      <c r="U82">
        <v>2005.7488450314479</v>
      </c>
      <c r="V82">
        <v>4.912576298433895</v>
      </c>
      <c r="W82">
        <v>2499.5188206431653</v>
      </c>
      <c r="X82">
        <v>3.9354768325533818</v>
      </c>
      <c r="Y82">
        <v>2002.3706124031603</v>
      </c>
      <c r="Z82">
        <v>3.1427673764099615</v>
      </c>
      <c r="AA82">
        <v>1599.040041117388</v>
      </c>
      <c r="AB82">
        <v>3.9738093991042263</v>
      </c>
      <c r="AC82">
        <v>2021.87422226423</v>
      </c>
      <c r="AD82">
        <v>3.8855025235685767</v>
      </c>
      <c r="AE82">
        <v>1976.9436839916914</v>
      </c>
      <c r="AF82">
        <v>3.302349530992517</v>
      </c>
      <c r="AG82">
        <v>1680.2354413689923</v>
      </c>
      <c r="AH82">
        <v>4.6478479554079817</v>
      </c>
      <c r="AI82">
        <v>2364.8250397115808</v>
      </c>
      <c r="AJ82">
        <v>4.2571592866925281</v>
      </c>
      <c r="AK82">
        <v>2166.042645069158</v>
      </c>
      <c r="AL82">
        <v>0</v>
      </c>
      <c r="AM82">
        <v>0</v>
      </c>
      <c r="AN82">
        <v>8.8434486627464004</v>
      </c>
      <c r="AO82">
        <v>4499.5466796053679</v>
      </c>
      <c r="AP82">
        <v>4.5897498559653815</v>
      </c>
      <c r="AQ82">
        <v>2335.2647267151856</v>
      </c>
      <c r="AR82">
        <v>4.5779683198481251</v>
      </c>
      <c r="AS82">
        <v>2329.2702811387257</v>
      </c>
      <c r="AT82">
        <v>4.668955348484312</v>
      </c>
      <c r="AU82">
        <v>2375.5644813088174</v>
      </c>
      <c r="AV82">
        <v>4.2509984194180097</v>
      </c>
      <c r="AW82">
        <v>2162.9079957998829</v>
      </c>
      <c r="AX82">
        <v>3.6749955330619244</v>
      </c>
      <c r="AY82">
        <v>1869.8377272219068</v>
      </c>
      <c r="AZ82">
        <v>0</v>
      </c>
      <c r="BA82">
        <v>0</v>
      </c>
      <c r="BB82">
        <v>9.0872077581371826</v>
      </c>
      <c r="BC82">
        <v>4623.5713073401976</v>
      </c>
      <c r="BD82">
        <v>3.7834104943558016</v>
      </c>
      <c r="BE82">
        <v>1924.9992595282315</v>
      </c>
      <c r="BF82">
        <v>4.2475834142610216</v>
      </c>
      <c r="BG82">
        <v>2161.1704411760074</v>
      </c>
      <c r="BH82">
        <v>4.8186350193862273</v>
      </c>
      <c r="BI82">
        <v>2451.7214978637121</v>
      </c>
      <c r="BJ82">
        <v>4.7823732218452593</v>
      </c>
      <c r="BK82">
        <v>2433.2714952748674</v>
      </c>
      <c r="BL82">
        <v>3.7434130030923325</v>
      </c>
      <c r="BM82">
        <v>1904.6485359733783</v>
      </c>
      <c r="BN82">
        <v>4.2366921747372759</v>
      </c>
      <c r="BO82">
        <v>2155.6289785063254</v>
      </c>
      <c r="BP82">
        <v>4.3711903390146487</v>
      </c>
      <c r="BQ82">
        <v>2224.0616444906527</v>
      </c>
      <c r="BR82">
        <v>4.0491026298240955</v>
      </c>
      <c r="BS82">
        <v>2060.1834180544993</v>
      </c>
      <c r="BT82">
        <v>3.6183117973334626</v>
      </c>
      <c r="BU82">
        <v>1840.9970424832654</v>
      </c>
      <c r="BV82">
        <v>3.9128302267394561</v>
      </c>
      <c r="BW82">
        <v>1990.8480193650348</v>
      </c>
      <c r="BX82">
        <v>4.3338297378264894</v>
      </c>
      <c r="BY82">
        <v>2205.0525706061176</v>
      </c>
      <c r="BZ82">
        <v>4.610707617864767</v>
      </c>
      <c r="CA82">
        <v>2345.9280359695931</v>
      </c>
      <c r="CB82">
        <v>4.4014198710963548</v>
      </c>
      <c r="CC82">
        <v>2239.4424304138247</v>
      </c>
      <c r="CD82">
        <v>3.41707265080333</v>
      </c>
      <c r="CE82">
        <v>1738.6065647287339</v>
      </c>
      <c r="CF82">
        <v>3.8000516271899669</v>
      </c>
      <c r="CG82">
        <v>1933.4662679142548</v>
      </c>
      <c r="CH82">
        <v>3.5080890618843683</v>
      </c>
      <c r="CI82">
        <v>1784.9157146867663</v>
      </c>
      <c r="CJ82">
        <v>5.2657595246734612</v>
      </c>
      <c r="CK82">
        <v>2679.2184461538563</v>
      </c>
      <c r="CL82">
        <v>3.9986457078486275</v>
      </c>
      <c r="CM82">
        <v>2034.5109361533812</v>
      </c>
      <c r="CN82">
        <v>3.9390956618246951</v>
      </c>
      <c r="CO82">
        <v>2004.2118727364045</v>
      </c>
      <c r="CP82">
        <v>4.5511463821878948</v>
      </c>
      <c r="CQ82">
        <v>2315.6232792572005</v>
      </c>
      <c r="CR82">
        <v>4.2100899579698829</v>
      </c>
      <c r="CS82">
        <v>2142.0937706150762</v>
      </c>
      <c r="CT82">
        <v>4.8557446939812676</v>
      </c>
      <c r="CU82">
        <v>2470.6029002976684</v>
      </c>
    </row>
    <row r="83" spans="2:99" x14ac:dyDescent="0.2">
      <c r="C83" s="119" t="s">
        <v>249</v>
      </c>
      <c r="D83">
        <v>7.2736805262749469</v>
      </c>
      <c r="E83">
        <v>6258.2747248069645</v>
      </c>
      <c r="F83">
        <v>3.7397662155717621</v>
      </c>
      <c r="G83">
        <v>3217.6948518779441</v>
      </c>
      <c r="H83">
        <v>0</v>
      </c>
      <c r="I83">
        <v>0</v>
      </c>
      <c r="J83">
        <v>0</v>
      </c>
      <c r="K83">
        <v>0</v>
      </c>
      <c r="L83">
        <v>11.507065165953094</v>
      </c>
      <c r="M83">
        <v>9900.6788687860408</v>
      </c>
      <c r="N83">
        <v>3.6185853936886487</v>
      </c>
      <c r="O83">
        <v>3113.4308727297134</v>
      </c>
      <c r="P83">
        <v>4.5083491081788196</v>
      </c>
      <c r="Q83">
        <v>3878.9835726770561</v>
      </c>
      <c r="R83">
        <v>4.9451850299963711</v>
      </c>
      <c r="S83">
        <v>4254.8371998088778</v>
      </c>
      <c r="T83">
        <v>3.5666767796867993</v>
      </c>
      <c r="U83">
        <v>3068.7687012425222</v>
      </c>
      <c r="V83">
        <v>4.6318576528091011</v>
      </c>
      <c r="W83">
        <v>3985.2503244769505</v>
      </c>
      <c r="X83">
        <v>3.9354768325533818</v>
      </c>
      <c r="Y83">
        <v>3386.0842667289294</v>
      </c>
      <c r="Z83">
        <v>3.1427673764099615</v>
      </c>
      <c r="AA83">
        <v>2704.0370506631307</v>
      </c>
      <c r="AB83">
        <v>3.1790475192833814</v>
      </c>
      <c r="AC83">
        <v>2735.2524855914212</v>
      </c>
      <c r="AD83">
        <v>4.3338297378264894</v>
      </c>
      <c r="AE83">
        <v>3728.8271064259116</v>
      </c>
      <c r="AF83">
        <v>3.0959526853054853</v>
      </c>
      <c r="AG83">
        <v>2663.7576904368393</v>
      </c>
      <c r="AH83">
        <v>4.3379914250474494</v>
      </c>
      <c r="AI83">
        <v>3732.4078221108252</v>
      </c>
      <c r="AJ83">
        <v>4.2571592866925281</v>
      </c>
      <c r="AK83">
        <v>3662.8598502702512</v>
      </c>
      <c r="AL83">
        <v>0</v>
      </c>
      <c r="AM83">
        <v>0</v>
      </c>
      <c r="AN83">
        <v>7.7822348232168315</v>
      </c>
      <c r="AO83">
        <v>6695.8348418957612</v>
      </c>
      <c r="AP83">
        <v>4.7427415178308943</v>
      </c>
      <c r="AQ83">
        <v>4080.6548019417014</v>
      </c>
      <c r="AR83">
        <v>4.7126144469024824</v>
      </c>
      <c r="AS83">
        <v>4054.7334701148957</v>
      </c>
      <c r="AT83">
        <v>4.668955348484312</v>
      </c>
      <c r="AU83">
        <v>4017.1691818359018</v>
      </c>
      <c r="AV83">
        <v>3.5424986828483407</v>
      </c>
      <c r="AW83">
        <v>3047.9658667227122</v>
      </c>
      <c r="AX83">
        <v>3.355430704100018</v>
      </c>
      <c r="AY83">
        <v>2887.0125778076554</v>
      </c>
      <c r="AZ83">
        <v>0</v>
      </c>
      <c r="BA83">
        <v>0</v>
      </c>
      <c r="BB83">
        <v>7.9513067883700339</v>
      </c>
      <c r="BC83">
        <v>6841.3043607135769</v>
      </c>
      <c r="BD83">
        <v>3.5942399696380112</v>
      </c>
      <c r="BE83">
        <v>3092.4840698765447</v>
      </c>
      <c r="BF83">
        <v>4.0902655100291314</v>
      </c>
      <c r="BG83">
        <v>3519.2644448290644</v>
      </c>
      <c r="BH83">
        <v>4.267933874313516</v>
      </c>
      <c r="BI83">
        <v>3672.1303054593491</v>
      </c>
      <c r="BJ83">
        <v>4.6052482877028433</v>
      </c>
      <c r="BK83">
        <v>3962.3556267395261</v>
      </c>
      <c r="BL83">
        <v>3.5806559160013616</v>
      </c>
      <c r="BM83">
        <v>3080.7963501275713</v>
      </c>
      <c r="BN83">
        <v>4.550521224717814</v>
      </c>
      <c r="BO83">
        <v>3915.2684617472069</v>
      </c>
      <c r="BP83">
        <v>3.5906206356191763</v>
      </c>
      <c r="BQ83">
        <v>3089.3699948867393</v>
      </c>
      <c r="BR83">
        <v>3.3129021516742605</v>
      </c>
      <c r="BS83">
        <v>2850.4210113005338</v>
      </c>
      <c r="BT83">
        <v>3.7756297015653524</v>
      </c>
      <c r="BU83">
        <v>3248.5517952268292</v>
      </c>
      <c r="BV83">
        <v>3.4432905995307208</v>
      </c>
      <c r="BW83">
        <v>2962.6072318362321</v>
      </c>
      <c r="BX83">
        <v>4.0349449283212149</v>
      </c>
      <c r="BY83">
        <v>3471.6666163275731</v>
      </c>
      <c r="BZ83">
        <v>5.0298628558524729</v>
      </c>
      <c r="CA83">
        <v>4327.6940011754677</v>
      </c>
      <c r="CB83">
        <v>4.0628491117812509</v>
      </c>
      <c r="CC83">
        <v>3495.6753757765882</v>
      </c>
      <c r="CD83">
        <v>3.5723941349307538</v>
      </c>
      <c r="CE83">
        <v>3073.6879136944203</v>
      </c>
      <c r="CF83">
        <v>3.3250451737912208</v>
      </c>
      <c r="CG83">
        <v>2860.8688675299663</v>
      </c>
      <c r="CH83">
        <v>3.5080890618843683</v>
      </c>
      <c r="CI83">
        <v>3018.3598288453104</v>
      </c>
      <c r="CJ83">
        <v>4.6964882247087631</v>
      </c>
      <c r="CK83">
        <v>4040.8584685394198</v>
      </c>
      <c r="CL83">
        <v>3.477083224216198</v>
      </c>
      <c r="CM83">
        <v>2991.6824061156167</v>
      </c>
      <c r="CN83">
        <v>3.7984136739023846</v>
      </c>
      <c r="CO83">
        <v>3268.1551250256116</v>
      </c>
      <c r="CP83">
        <v>4.3886054399668994</v>
      </c>
      <c r="CQ83">
        <v>3775.9561205475202</v>
      </c>
      <c r="CR83">
        <v>3.7590088910445387</v>
      </c>
      <c r="CS83">
        <v>3234.2512498547212</v>
      </c>
      <c r="CT83">
        <v>4.8557446939812676</v>
      </c>
      <c r="CU83">
        <v>4177.8827347014821</v>
      </c>
    </row>
    <row r="84" spans="2:99" x14ac:dyDescent="0.2">
      <c r="C84" s="119" t="s">
        <v>250</v>
      </c>
      <c r="D84">
        <v>7.2736805262749469</v>
      </c>
      <c r="E84">
        <v>5682.1992271259878</v>
      </c>
      <c r="F84">
        <v>4.207236992518232</v>
      </c>
      <c r="G84">
        <v>3286.6935385552424</v>
      </c>
      <c r="H84">
        <v>0</v>
      </c>
      <c r="I84">
        <v>0</v>
      </c>
      <c r="J84">
        <v>0</v>
      </c>
      <c r="K84">
        <v>0</v>
      </c>
      <c r="L84">
        <v>11.507065165953094</v>
      </c>
      <c r="M84">
        <v>8989.3193076425559</v>
      </c>
      <c r="N84">
        <v>3.8314433580232752</v>
      </c>
      <c r="O84">
        <v>2993.1235512877824</v>
      </c>
      <c r="P84">
        <v>4.8423008939698438</v>
      </c>
      <c r="Q84">
        <v>3782.8054583692415</v>
      </c>
      <c r="R84">
        <v>4.9451850299963711</v>
      </c>
      <c r="S84">
        <v>3863.1785454331648</v>
      </c>
      <c r="T84">
        <v>3.7543966101966313</v>
      </c>
      <c r="U84">
        <v>2932.9346318856083</v>
      </c>
      <c r="V84">
        <v>4.912576298433895</v>
      </c>
      <c r="W84">
        <v>3837.7046043365585</v>
      </c>
      <c r="X84">
        <v>3.9354768325533818</v>
      </c>
      <c r="Y84">
        <v>3074.3945015907016</v>
      </c>
      <c r="Z84">
        <v>3.1427673764099615</v>
      </c>
      <c r="AA84">
        <v>2455.1298744514615</v>
      </c>
      <c r="AB84">
        <v>3.775118929149015</v>
      </c>
      <c r="AC84">
        <v>2949.1229074512103</v>
      </c>
      <c r="AD84">
        <v>4.0349449283212149</v>
      </c>
      <c r="AE84">
        <v>3152.0989780045329</v>
      </c>
      <c r="AF84">
        <v>3.302349530992517</v>
      </c>
      <c r="AG84">
        <v>2579.7954536113539</v>
      </c>
      <c r="AH84">
        <v>5.1126327509487792</v>
      </c>
      <c r="AI84">
        <v>3993.9887050411858</v>
      </c>
      <c r="AJ84">
        <v>4.2571592866925281</v>
      </c>
      <c r="AK84">
        <v>3325.6928347642024</v>
      </c>
      <c r="AL84">
        <v>0</v>
      </c>
      <c r="AM84">
        <v>0</v>
      </c>
      <c r="AN84">
        <v>8.1359727697266866</v>
      </c>
      <c r="AO84">
        <v>6355.8219277104872</v>
      </c>
      <c r="AP84">
        <v>4.2837665322343561</v>
      </c>
      <c r="AQ84">
        <v>3346.4784149814786</v>
      </c>
      <c r="AR84">
        <v>4.4433221927937687</v>
      </c>
      <c r="AS84">
        <v>3471.123297010492</v>
      </c>
      <c r="AT84">
        <v>4.3354585378782895</v>
      </c>
      <c r="AU84">
        <v>3386.8602097905195</v>
      </c>
      <c r="AV84">
        <v>3.8967485511331743</v>
      </c>
      <c r="AW84">
        <v>3044.1399681452353</v>
      </c>
      <c r="AX84">
        <v>3.6749955330619244</v>
      </c>
      <c r="AY84">
        <v>2870.9065104279753</v>
      </c>
      <c r="AZ84">
        <v>0</v>
      </c>
      <c r="BA84">
        <v>0</v>
      </c>
      <c r="BB84">
        <v>8.2352820308118204</v>
      </c>
      <c r="BC84">
        <v>6433.4023224701932</v>
      </c>
      <c r="BD84">
        <v>3.9725810190735911</v>
      </c>
      <c r="BE84">
        <v>3103.3802921002889</v>
      </c>
      <c r="BF84">
        <v>4.4049013184929118</v>
      </c>
      <c r="BG84">
        <v>3441.1089100066624</v>
      </c>
      <c r="BH84">
        <v>4.6809597331180495</v>
      </c>
      <c r="BI84">
        <v>3656.7657435118199</v>
      </c>
      <c r="BJ84">
        <v>4.4281233535604256</v>
      </c>
      <c r="BK84">
        <v>3459.2499638014042</v>
      </c>
      <c r="BL84">
        <v>3.906170090183303</v>
      </c>
      <c r="BM84">
        <v>3051.5000744511958</v>
      </c>
      <c r="BN84">
        <v>4.7074357497080843</v>
      </c>
      <c r="BO84">
        <v>3677.4488076719554</v>
      </c>
      <c r="BP84">
        <v>4.2150763983355537</v>
      </c>
      <c r="BQ84">
        <v>3292.8176823797344</v>
      </c>
      <c r="BR84">
        <v>3.8650525102866373</v>
      </c>
      <c r="BS84">
        <v>3019.3790210359207</v>
      </c>
      <c r="BT84">
        <v>3.9329476057972421</v>
      </c>
      <c r="BU84">
        <v>3072.4186696488055</v>
      </c>
      <c r="BV84">
        <v>3.7563170176698777</v>
      </c>
      <c r="BW84">
        <v>2934.4348542037083</v>
      </c>
      <c r="BX84">
        <v>3.7360601188159395</v>
      </c>
      <c r="BY84">
        <v>2918.6101648190115</v>
      </c>
      <c r="BZ84">
        <v>4.8901444431899037</v>
      </c>
      <c r="CA84">
        <v>3820.1808390199526</v>
      </c>
      <c r="CB84">
        <v>4.0628491117812509</v>
      </c>
      <c r="CC84">
        <v>3173.8977261235127</v>
      </c>
      <c r="CD84">
        <v>3.2617511666759058</v>
      </c>
      <c r="CE84">
        <v>2548.0800114072172</v>
      </c>
      <c r="CF84">
        <v>3.3250451737912208</v>
      </c>
      <c r="CG84">
        <v>2597.5252897657015</v>
      </c>
      <c r="CH84">
        <v>3.7029828986557218</v>
      </c>
      <c r="CI84">
        <v>2892.7702404298498</v>
      </c>
      <c r="CJ84">
        <v>4.4118525747264137</v>
      </c>
      <c r="CK84">
        <v>3446.5392313762741</v>
      </c>
      <c r="CL84">
        <v>3.9986457078486275</v>
      </c>
      <c r="CM84">
        <v>3123.7420269713475</v>
      </c>
      <c r="CN84">
        <v>3.9390956618246951</v>
      </c>
      <c r="CO84">
        <v>3077.2215310174515</v>
      </c>
      <c r="CP84">
        <v>4.0635235555249061</v>
      </c>
      <c r="CQ84">
        <v>3174.4246015760564</v>
      </c>
      <c r="CR84">
        <v>3.7590088910445387</v>
      </c>
      <c r="CS84">
        <v>2936.5377456839933</v>
      </c>
      <c r="CT84">
        <v>4.1416645919251982</v>
      </c>
      <c r="CU84">
        <v>3235.4683792119645</v>
      </c>
    </row>
    <row r="85" spans="2:99" x14ac:dyDescent="0.2">
      <c r="C85" s="119" t="s">
        <v>251</v>
      </c>
      <c r="D85">
        <v>7.7282855591671309</v>
      </c>
      <c r="E85">
        <v>1159.2428338750697</v>
      </c>
      <c r="F85">
        <v>4.3630605848337227</v>
      </c>
      <c r="G85">
        <v>654.45908772505845</v>
      </c>
      <c r="H85">
        <v>0</v>
      </c>
      <c r="I85">
        <v>0</v>
      </c>
      <c r="J85">
        <v>0</v>
      </c>
      <c r="K85">
        <v>0</v>
      </c>
      <c r="L85">
        <v>13.076210415855787</v>
      </c>
      <c r="M85">
        <v>1961.431562378368</v>
      </c>
      <c r="N85">
        <v>4.470017251027155</v>
      </c>
      <c r="O85">
        <v>670.5025876540733</v>
      </c>
      <c r="P85">
        <v>5.176252679760867</v>
      </c>
      <c r="Q85">
        <v>776.43790196413011</v>
      </c>
      <c r="R85">
        <v>4.6361109656215973</v>
      </c>
      <c r="S85">
        <v>695.41664484323962</v>
      </c>
      <c r="T85">
        <v>4.692995762745789</v>
      </c>
      <c r="U85">
        <v>703.94936441186837</v>
      </c>
      <c r="V85">
        <v>4.7722169756214976</v>
      </c>
      <c r="W85">
        <v>715.83254634322464</v>
      </c>
      <c r="X85">
        <v>3.9354768325533818</v>
      </c>
      <c r="Y85">
        <v>590.32152488300721</v>
      </c>
      <c r="Z85">
        <v>3.3173655639882931</v>
      </c>
      <c r="AA85">
        <v>497.60483459824394</v>
      </c>
      <c r="AB85">
        <v>3.9738093991042263</v>
      </c>
      <c r="AC85">
        <v>596.071409865634</v>
      </c>
      <c r="AD85">
        <v>4.4832721425791275</v>
      </c>
      <c r="AE85">
        <v>672.49082138686913</v>
      </c>
      <c r="AF85">
        <v>3.5087463766795497</v>
      </c>
      <c r="AG85">
        <v>526.3119565019324</v>
      </c>
      <c r="AH85">
        <v>4.8027762205882478</v>
      </c>
      <c r="AI85">
        <v>720.41643308823723</v>
      </c>
      <c r="AJ85">
        <v>4.470017251027155</v>
      </c>
      <c r="AK85">
        <v>670.5025876540733</v>
      </c>
      <c r="AL85">
        <v>0</v>
      </c>
      <c r="AM85">
        <v>0</v>
      </c>
      <c r="AN85">
        <v>8.8434486627464004</v>
      </c>
      <c r="AO85">
        <v>1326.51729941196</v>
      </c>
      <c r="AP85">
        <v>5.0487248415619197</v>
      </c>
      <c r="AQ85">
        <v>757.30872623428797</v>
      </c>
      <c r="AR85">
        <v>4.4433221927937687</v>
      </c>
      <c r="AS85">
        <v>666.49832891906533</v>
      </c>
      <c r="AT85">
        <v>4.8357037537873229</v>
      </c>
      <c r="AU85">
        <v>725.35556306809838</v>
      </c>
      <c r="AV85">
        <v>3.8967485511331743</v>
      </c>
      <c r="AW85">
        <v>584.51228266997612</v>
      </c>
      <c r="AX85">
        <v>3.6749955330619244</v>
      </c>
      <c r="AY85">
        <v>551.24932995928862</v>
      </c>
      <c r="AZ85">
        <v>0</v>
      </c>
      <c r="BA85">
        <v>0</v>
      </c>
      <c r="BB85">
        <v>8.2352820308118204</v>
      </c>
      <c r="BC85">
        <v>1235.2923046217732</v>
      </c>
      <c r="BD85">
        <v>4.1617515437913815</v>
      </c>
      <c r="BE85">
        <v>624.26273156870718</v>
      </c>
      <c r="BF85">
        <v>5.19149083965236</v>
      </c>
      <c r="BG85">
        <v>778.72362594785398</v>
      </c>
      <c r="BH85">
        <v>4.9563103056544051</v>
      </c>
      <c r="BI85">
        <v>743.44654584816078</v>
      </c>
      <c r="BJ85">
        <v>4.6052482877028433</v>
      </c>
      <c r="BK85">
        <v>690.78724315542649</v>
      </c>
      <c r="BL85">
        <v>3.5806559160013616</v>
      </c>
      <c r="BM85">
        <v>537.09838740020427</v>
      </c>
      <c r="BN85">
        <v>4.7074357497080843</v>
      </c>
      <c r="BO85">
        <v>706.11536245621267</v>
      </c>
      <c r="BP85">
        <v>4.2150763983355537</v>
      </c>
      <c r="BQ85">
        <v>632.26145975033307</v>
      </c>
      <c r="BR85">
        <v>4.0491026298240955</v>
      </c>
      <c r="BS85">
        <v>607.36539447361429</v>
      </c>
      <c r="BT85">
        <v>3.6183117973334626</v>
      </c>
      <c r="BU85">
        <v>542.74676960001943</v>
      </c>
      <c r="BV85">
        <v>4.0693434358090341</v>
      </c>
      <c r="BW85">
        <v>610.40151537135512</v>
      </c>
      <c r="BX85">
        <v>4.3338297378264894</v>
      </c>
      <c r="BY85">
        <v>650.07446067397336</v>
      </c>
      <c r="BZ85">
        <v>4.4709892052021978</v>
      </c>
      <c r="CA85">
        <v>670.64838078032972</v>
      </c>
      <c r="CB85">
        <v>4.4014198710963548</v>
      </c>
      <c r="CC85">
        <v>660.2129806644532</v>
      </c>
      <c r="CD85">
        <v>4.1936800714404496</v>
      </c>
      <c r="CE85">
        <v>629.05201071606746</v>
      </c>
      <c r="CF85">
        <v>3.4833806582574693</v>
      </c>
      <c r="CG85">
        <v>522.50709873862036</v>
      </c>
      <c r="CH85">
        <v>3.8978767354270758</v>
      </c>
      <c r="CI85">
        <v>584.68151031406137</v>
      </c>
      <c r="CJ85">
        <v>5.2657595246734612</v>
      </c>
      <c r="CK85">
        <v>789.86392870101918</v>
      </c>
      <c r="CL85">
        <v>3.6509373854270084</v>
      </c>
      <c r="CM85">
        <v>547.64060781405124</v>
      </c>
      <c r="CN85">
        <v>4.0797776497470055</v>
      </c>
      <c r="CO85">
        <v>611.96664746205079</v>
      </c>
      <c r="CP85">
        <v>4.2260644977459023</v>
      </c>
      <c r="CQ85">
        <v>633.90967466188533</v>
      </c>
      <c r="CR85">
        <v>4.8115313805370095</v>
      </c>
      <c r="CS85">
        <v>721.72970708055141</v>
      </c>
      <c r="CT85">
        <v>4.9985607143924815</v>
      </c>
      <c r="CU85">
        <v>749.78410715887219</v>
      </c>
    </row>
    <row r="86" spans="2:99" x14ac:dyDescent="0.2">
      <c r="C86" s="119" t="s">
        <v>252</v>
      </c>
      <c r="D86">
        <v>7.2736805262749469</v>
      </c>
      <c r="E86">
        <v>3927.7874841884714</v>
      </c>
      <c r="F86">
        <v>4.207236992518232</v>
      </c>
      <c r="G86">
        <v>2271.9079759598453</v>
      </c>
      <c r="H86">
        <v>0</v>
      </c>
      <c r="I86">
        <v>0</v>
      </c>
      <c r="J86">
        <v>0</v>
      </c>
      <c r="K86">
        <v>0</v>
      </c>
      <c r="L86">
        <v>10.984016749318862</v>
      </c>
      <c r="M86">
        <v>5931.3690446321853</v>
      </c>
      <c r="N86">
        <v>4.2571592866925281</v>
      </c>
      <c r="O86">
        <v>2298.8660148139652</v>
      </c>
      <c r="P86">
        <v>5.176252679760867</v>
      </c>
      <c r="Q86">
        <v>2795.1764470708681</v>
      </c>
      <c r="R86">
        <v>4.4815739334342108</v>
      </c>
      <c r="S86">
        <v>2420.0499240544736</v>
      </c>
      <c r="T86">
        <v>4.1298362712162939</v>
      </c>
      <c r="U86">
        <v>2230.1115864567987</v>
      </c>
      <c r="V86">
        <v>4.6318576528091011</v>
      </c>
      <c r="W86">
        <v>2501.2031325169146</v>
      </c>
      <c r="X86">
        <v>3.7387029909257126</v>
      </c>
      <c r="Y86">
        <v>2018.8996150998848</v>
      </c>
      <c r="Z86">
        <v>3.4919637515666242</v>
      </c>
      <c r="AA86">
        <v>1885.660425845977</v>
      </c>
      <c r="AB86">
        <v>3.3777379892385921</v>
      </c>
      <c r="AC86">
        <v>1823.9785141888397</v>
      </c>
      <c r="AD86">
        <v>3.8855025235685767</v>
      </c>
      <c r="AE86">
        <v>2098.1713627270315</v>
      </c>
      <c r="AF86">
        <v>3.5087463766795497</v>
      </c>
      <c r="AG86">
        <v>1894.7230434069568</v>
      </c>
      <c r="AH86">
        <v>4.8027762205882478</v>
      </c>
      <c r="AI86">
        <v>2593.499159117654</v>
      </c>
      <c r="AJ86">
        <v>4.6828752153617801</v>
      </c>
      <c r="AK86">
        <v>2528.7526162953613</v>
      </c>
      <c r="AL86">
        <v>0</v>
      </c>
      <c r="AM86">
        <v>0</v>
      </c>
      <c r="AN86">
        <v>7.7822348232168315</v>
      </c>
      <c r="AO86">
        <v>4202.4068045370886</v>
      </c>
      <c r="AP86">
        <v>4.895733179696407</v>
      </c>
      <c r="AQ86">
        <v>2643.6959170360597</v>
      </c>
      <c r="AR86">
        <v>4.4433221927937687</v>
      </c>
      <c r="AS86">
        <v>2399.3939841086353</v>
      </c>
      <c r="AT86">
        <v>5.0024521590903337</v>
      </c>
      <c r="AU86">
        <v>2701.3241659087803</v>
      </c>
      <c r="AV86">
        <v>3.7196236169907579</v>
      </c>
      <c r="AW86">
        <v>2008.5967531750093</v>
      </c>
      <c r="AX86">
        <v>3.5152131185809714</v>
      </c>
      <c r="AY86">
        <v>1898.2150840337245</v>
      </c>
      <c r="AZ86">
        <v>0</v>
      </c>
      <c r="BA86">
        <v>0</v>
      </c>
      <c r="BB86">
        <v>7.9513067883700339</v>
      </c>
      <c r="BC86">
        <v>4293.7056657198182</v>
      </c>
      <c r="BD86">
        <v>3.9725810190735911</v>
      </c>
      <c r="BE86">
        <v>2145.1937502997393</v>
      </c>
      <c r="BF86">
        <v>4.4049013184929118</v>
      </c>
      <c r="BG86">
        <v>2378.6467119861722</v>
      </c>
      <c r="BH86">
        <v>4.267933874313516</v>
      </c>
      <c r="BI86">
        <v>2304.6842921292987</v>
      </c>
      <c r="BJ86">
        <v>4.7823732218452593</v>
      </c>
      <c r="BK86">
        <v>2582.4815397964398</v>
      </c>
      <c r="BL86">
        <v>4.0689271772742748</v>
      </c>
      <c r="BM86">
        <v>2197.2206757281083</v>
      </c>
      <c r="BN86">
        <v>4.7074357497080843</v>
      </c>
      <c r="BO86">
        <v>2542.0153048423654</v>
      </c>
      <c r="BP86">
        <v>3.7467345762982704</v>
      </c>
      <c r="BQ86">
        <v>2023.236671201066</v>
      </c>
      <c r="BR86">
        <v>4.0491026298240955</v>
      </c>
      <c r="BS86">
        <v>2186.5154201050118</v>
      </c>
      <c r="BT86">
        <v>3.9329476057972421</v>
      </c>
      <c r="BU86">
        <v>2123.7917071305105</v>
      </c>
      <c r="BV86">
        <v>3.7563170176698777</v>
      </c>
      <c r="BW86">
        <v>2028.4111895417338</v>
      </c>
      <c r="BX86">
        <v>4.3338297378264894</v>
      </c>
      <c r="BY86">
        <v>2340.2680584263044</v>
      </c>
      <c r="BZ86">
        <v>4.8901444431899037</v>
      </c>
      <c r="CA86">
        <v>2640.6779993225482</v>
      </c>
      <c r="CB86">
        <v>3.8935637321236984</v>
      </c>
      <c r="CC86">
        <v>2102.524415346797</v>
      </c>
      <c r="CD86">
        <v>3.41707265080333</v>
      </c>
      <c r="CE86">
        <v>1845.2192314337983</v>
      </c>
      <c r="CF86">
        <v>3.3250451737912208</v>
      </c>
      <c r="CG86">
        <v>1795.5243938472593</v>
      </c>
      <c r="CH86">
        <v>3.5080890618843683</v>
      </c>
      <c r="CI86">
        <v>1894.3680934175588</v>
      </c>
      <c r="CJ86">
        <v>5.123441699682286</v>
      </c>
      <c r="CK86">
        <v>2766.6585178284345</v>
      </c>
      <c r="CL86">
        <v>3.477083224216198</v>
      </c>
      <c r="CM86">
        <v>1877.6249410767468</v>
      </c>
      <c r="CN86">
        <v>3.6577316859800741</v>
      </c>
      <c r="CO86">
        <v>1975.17511042924</v>
      </c>
      <c r="CP86">
        <v>4.0635235555249061</v>
      </c>
      <c r="CQ86">
        <v>2194.3027199834492</v>
      </c>
      <c r="CR86">
        <v>3.9093692466863201</v>
      </c>
      <c r="CS86">
        <v>2111.0593932106131</v>
      </c>
      <c r="CT86">
        <v>4.9985607143924815</v>
      </c>
      <c r="CU86">
        <v>2699.2227857719399</v>
      </c>
    </row>
    <row r="87" spans="2:99" x14ac:dyDescent="0.2">
      <c r="B87" s="119" t="s">
        <v>131</v>
      </c>
      <c r="C87" s="119" t="s">
        <v>253</v>
      </c>
      <c r="D87">
        <v>2.954932713799197</v>
      </c>
      <c r="E87">
        <v>5776.3024689346703</v>
      </c>
      <c r="F87">
        <v>1.558235923154901</v>
      </c>
      <c r="G87">
        <v>3046.0395825832006</v>
      </c>
      <c r="H87">
        <v>0</v>
      </c>
      <c r="I87">
        <v>0</v>
      </c>
      <c r="J87">
        <v>0</v>
      </c>
      <c r="K87">
        <v>0</v>
      </c>
      <c r="L87">
        <v>6.2765809996107782</v>
      </c>
      <c r="M87">
        <v>12269.460538039149</v>
      </c>
      <c r="N87">
        <v>2.34143760768089</v>
      </c>
      <c r="O87">
        <v>4577.042235494604</v>
      </c>
      <c r="P87">
        <v>1.8367348218506303</v>
      </c>
      <c r="Q87">
        <v>3590.4492297536121</v>
      </c>
      <c r="R87">
        <v>2.3180554828107987</v>
      </c>
      <c r="S87">
        <v>4531.3348577985489</v>
      </c>
      <c r="T87">
        <v>3.1912371186671362</v>
      </c>
      <c r="U87">
        <v>6238.2303195705181</v>
      </c>
      <c r="V87">
        <v>3.2282644246851309</v>
      </c>
      <c r="W87">
        <v>6310.6112973744939</v>
      </c>
      <c r="X87">
        <v>2.1645122579043599</v>
      </c>
      <c r="Y87">
        <v>4231.1885617514426</v>
      </c>
      <c r="Z87">
        <v>3.8411601267232864</v>
      </c>
      <c r="AA87">
        <v>7508.6998157186799</v>
      </c>
      <c r="AB87">
        <v>3.5764284591938038</v>
      </c>
      <c r="AC87">
        <v>6991.2023520320472</v>
      </c>
      <c r="AD87">
        <v>2.6899632855474764</v>
      </c>
      <c r="AE87">
        <v>5258.3402305882064</v>
      </c>
      <c r="AF87">
        <v>2.4767621482443878</v>
      </c>
      <c r="AG87">
        <v>4841.5746473881291</v>
      </c>
      <c r="AH87">
        <v>2.3239239777039908</v>
      </c>
      <c r="AI87">
        <v>4542.8065916157611</v>
      </c>
      <c r="AJ87">
        <v>2.34143760768089</v>
      </c>
      <c r="AK87">
        <v>4577.042235494604</v>
      </c>
      <c r="AL87">
        <v>0</v>
      </c>
      <c r="AM87">
        <v>0</v>
      </c>
      <c r="AN87">
        <v>6.0135450906675523</v>
      </c>
      <c r="AO87">
        <v>11755.277943236932</v>
      </c>
      <c r="AP87">
        <v>1.8358999423861526</v>
      </c>
      <c r="AQ87">
        <v>3588.8172073764513</v>
      </c>
      <c r="AR87">
        <v>2.8275686681414891</v>
      </c>
      <c r="AS87">
        <v>5527.3312324829831</v>
      </c>
      <c r="AT87">
        <v>2.0009808636361335</v>
      </c>
      <c r="AU87">
        <v>3911.5173922359136</v>
      </c>
      <c r="AV87">
        <v>3.3653737487059239</v>
      </c>
      <c r="AW87">
        <v>6578.6326039703399</v>
      </c>
      <c r="AX87">
        <v>3.0358658751381111</v>
      </c>
      <c r="AY87">
        <v>5934.5106127199797</v>
      </c>
      <c r="AZ87">
        <v>0</v>
      </c>
      <c r="BA87">
        <v>0</v>
      </c>
      <c r="BB87">
        <v>5.3955296063939517</v>
      </c>
      <c r="BC87">
        <v>10547.181274578898</v>
      </c>
      <c r="BD87">
        <v>2.4592168213312711</v>
      </c>
      <c r="BE87">
        <v>4807.2770423383681</v>
      </c>
      <c r="BF87">
        <v>1.8878148507826762</v>
      </c>
      <c r="BG87">
        <v>3690.3004703099755</v>
      </c>
      <c r="BH87">
        <v>3.0288562978999143</v>
      </c>
      <c r="BI87">
        <v>5920.8082911347519</v>
      </c>
      <c r="BJ87">
        <v>2.4797490779938385</v>
      </c>
      <c r="BK87">
        <v>4847.4134976623554</v>
      </c>
      <c r="BL87">
        <v>2.9296275676374774</v>
      </c>
      <c r="BM87">
        <v>5726.835969217741</v>
      </c>
      <c r="BN87">
        <v>3.2952050247956586</v>
      </c>
      <c r="BO87">
        <v>6441.466782470553</v>
      </c>
      <c r="BP87">
        <v>3.1222788135818922</v>
      </c>
      <c r="BQ87">
        <v>6103.430624789883</v>
      </c>
      <c r="BR87">
        <v>4.4172028688990137</v>
      </c>
      <c r="BS87">
        <v>8634.7481681237914</v>
      </c>
      <c r="BT87">
        <v>3.6183117973334626</v>
      </c>
      <c r="BU87">
        <v>7073.0759014274527</v>
      </c>
      <c r="BV87">
        <v>3.2867773904611428</v>
      </c>
      <c r="BW87">
        <v>6424.9924428734421</v>
      </c>
      <c r="BX87">
        <v>3.5866177140633018</v>
      </c>
      <c r="BY87">
        <v>7011.1203074509422</v>
      </c>
      <c r="BZ87">
        <v>2.6546498405888048</v>
      </c>
      <c r="CA87">
        <v>5189.3095083829958</v>
      </c>
      <c r="CB87">
        <v>3.2164222134934901</v>
      </c>
      <c r="CC87">
        <v>6287.4621429370745</v>
      </c>
      <c r="CD87">
        <v>2.9511081984210574</v>
      </c>
      <c r="CE87">
        <v>5768.8263062734832</v>
      </c>
      <c r="CF87">
        <v>4.1167225961224636</v>
      </c>
      <c r="CG87">
        <v>8047.3693309001919</v>
      </c>
      <c r="CH87">
        <v>3.1183013883416608</v>
      </c>
      <c r="CI87">
        <v>6095.6555539302781</v>
      </c>
      <c r="CJ87">
        <v>1.9924495498764447</v>
      </c>
      <c r="CK87">
        <v>3894.8403800984743</v>
      </c>
      <c r="CL87">
        <v>2.9555207405837685</v>
      </c>
      <c r="CM87">
        <v>5777.4519436931505</v>
      </c>
      <c r="CN87">
        <v>3.2356857222131423</v>
      </c>
      <c r="CO87">
        <v>6325.1184497822505</v>
      </c>
      <c r="CP87">
        <v>3.4133597866409211</v>
      </c>
      <c r="CQ87">
        <v>6672.4357109256725</v>
      </c>
      <c r="CR87">
        <v>2.2554053346267229</v>
      </c>
      <c r="CS87">
        <v>4408.8663481283174</v>
      </c>
      <c r="CT87">
        <v>2.5706883674018473</v>
      </c>
      <c r="CU87">
        <v>5025.1816205971309</v>
      </c>
    </row>
    <row r="88" spans="2:99" x14ac:dyDescent="0.2">
      <c r="C88" s="119" t="s">
        <v>254</v>
      </c>
      <c r="D88">
        <v>2.727630197353105</v>
      </c>
      <c r="E88">
        <v>5161.7673854710156</v>
      </c>
      <c r="F88">
        <v>1.7140595154703908</v>
      </c>
      <c r="G88">
        <v>3243.6862270761671</v>
      </c>
      <c r="H88">
        <v>0</v>
      </c>
      <c r="I88">
        <v>0</v>
      </c>
      <c r="J88">
        <v>0</v>
      </c>
      <c r="K88">
        <v>0</v>
      </c>
      <c r="L88">
        <v>6.7996294162450086</v>
      </c>
      <c r="M88">
        <v>12867.618707302054</v>
      </c>
      <c r="N88">
        <v>2.5542955720155169</v>
      </c>
      <c r="O88">
        <v>4833.7489404821636</v>
      </c>
      <c r="P88">
        <v>1.6697589289551185</v>
      </c>
      <c r="Q88">
        <v>3159.8517971546657</v>
      </c>
      <c r="R88">
        <v>2.1635184506234122</v>
      </c>
      <c r="S88">
        <v>4094.2423159597452</v>
      </c>
      <c r="T88">
        <v>3.5666767796867993</v>
      </c>
      <c r="U88">
        <v>6749.5791378792983</v>
      </c>
      <c r="V88">
        <v>2.947545779060337</v>
      </c>
      <c r="W88">
        <v>5577.9356322937811</v>
      </c>
      <c r="X88">
        <v>2.1645122579043599</v>
      </c>
      <c r="Y88">
        <v>4096.1229968582102</v>
      </c>
      <c r="Z88">
        <v>3.3173655639882931</v>
      </c>
      <c r="AA88">
        <v>6277.7825932914457</v>
      </c>
      <c r="AB88">
        <v>3.775118929149015</v>
      </c>
      <c r="AC88">
        <v>7144.0350615215957</v>
      </c>
      <c r="AD88">
        <v>2.9888480950527514</v>
      </c>
      <c r="AE88">
        <v>5656.0961350778261</v>
      </c>
      <c r="AF88">
        <v>2.6831589939314204</v>
      </c>
      <c r="AG88">
        <v>5077.61008011582</v>
      </c>
      <c r="AH88">
        <v>2.4788522428842565</v>
      </c>
      <c r="AI88">
        <v>4690.9799844341669</v>
      </c>
      <c r="AJ88">
        <v>2.5542955720155169</v>
      </c>
      <c r="AK88">
        <v>4833.7489404821636</v>
      </c>
      <c r="AL88">
        <v>0</v>
      </c>
      <c r="AM88">
        <v>0</v>
      </c>
      <c r="AN88">
        <v>6.0135450906675523</v>
      </c>
      <c r="AO88">
        <v>11380.032729579276</v>
      </c>
      <c r="AP88">
        <v>1.8358999423861526</v>
      </c>
      <c r="AQ88">
        <v>3474.2570509715551</v>
      </c>
      <c r="AR88">
        <v>2.9622147951958455</v>
      </c>
      <c r="AS88">
        <v>5605.6952784286177</v>
      </c>
      <c r="AT88">
        <v>2.1677292689391447</v>
      </c>
      <c r="AU88">
        <v>4102.2108685404373</v>
      </c>
      <c r="AV88">
        <v>3.7196236169907579</v>
      </c>
      <c r="AW88">
        <v>7039.0157327933102</v>
      </c>
      <c r="AX88">
        <v>2.8760834606571581</v>
      </c>
      <c r="AY88">
        <v>5442.7003409476056</v>
      </c>
      <c r="AZ88">
        <v>0</v>
      </c>
      <c r="BA88">
        <v>0</v>
      </c>
      <c r="BB88">
        <v>4.5436038790685913</v>
      </c>
      <c r="BC88">
        <v>8598.3159807494012</v>
      </c>
      <c r="BD88">
        <v>2.648387346049061</v>
      </c>
      <c r="BE88">
        <v>5011.8082136632429</v>
      </c>
      <c r="BF88">
        <v>1.8878148507826762</v>
      </c>
      <c r="BG88">
        <v>3572.5008236211361</v>
      </c>
      <c r="BH88">
        <v>2.7535057253635582</v>
      </c>
      <c r="BI88">
        <v>5210.7342346779969</v>
      </c>
      <c r="BJ88">
        <v>2.4797490779938385</v>
      </c>
      <c r="BK88">
        <v>4692.6771551955399</v>
      </c>
      <c r="BL88">
        <v>2.6041133934555356</v>
      </c>
      <c r="BM88">
        <v>4928.0241857752553</v>
      </c>
      <c r="BN88">
        <v>2.9813759748151196</v>
      </c>
      <c r="BO88">
        <v>5641.955894740132</v>
      </c>
      <c r="BP88">
        <v>3.7467345762982704</v>
      </c>
      <c r="BQ88">
        <v>7090.3205121868468</v>
      </c>
      <c r="BR88">
        <v>4.6012529884364728</v>
      </c>
      <c r="BS88">
        <v>8707.4111553171806</v>
      </c>
      <c r="BT88">
        <v>3.4609938931015729</v>
      </c>
      <c r="BU88">
        <v>6549.5848433054161</v>
      </c>
      <c r="BV88">
        <v>3.5998038086002992</v>
      </c>
      <c r="BW88">
        <v>6812.268727395206</v>
      </c>
      <c r="BX88">
        <v>3.5866177140633018</v>
      </c>
      <c r="BY88">
        <v>6787.3153620933917</v>
      </c>
      <c r="BZ88">
        <v>2.7943682532513736</v>
      </c>
      <c r="CA88">
        <v>5288.0624824528986</v>
      </c>
      <c r="CB88">
        <v>2.8778514541783857</v>
      </c>
      <c r="CC88">
        <v>5446.0460918871768</v>
      </c>
      <c r="CD88">
        <v>2.7957867142936332</v>
      </c>
      <c r="CE88">
        <v>5290.7467781292708</v>
      </c>
      <c r="CF88">
        <v>3.8000516271899669</v>
      </c>
      <c r="CG88">
        <v>7191.2176992942932</v>
      </c>
      <c r="CH88">
        <v>3.1183013883416608</v>
      </c>
      <c r="CI88">
        <v>5901.0735472977585</v>
      </c>
      <c r="CJ88">
        <v>2.277085199858794</v>
      </c>
      <c r="CK88">
        <v>4309.1560322127816</v>
      </c>
      <c r="CL88">
        <v>2.9555207405837685</v>
      </c>
      <c r="CM88">
        <v>5593.0274494807227</v>
      </c>
      <c r="CN88">
        <v>3.3763677101354532</v>
      </c>
      <c r="CO88">
        <v>6389.438254660331</v>
      </c>
      <c r="CP88">
        <v>3.4133597866409211</v>
      </c>
      <c r="CQ88">
        <v>6459.4420602392784</v>
      </c>
      <c r="CR88">
        <v>2.4057656902685047</v>
      </c>
      <c r="CS88">
        <v>4552.6709922641185</v>
      </c>
      <c r="CT88">
        <v>2.7135043878130611</v>
      </c>
      <c r="CU88">
        <v>5135.0357034974368</v>
      </c>
    </row>
    <row r="89" spans="2:99" x14ac:dyDescent="0.2">
      <c r="C89" s="119" t="s">
        <v>255</v>
      </c>
      <c r="D89">
        <v>2.727630197353105</v>
      </c>
      <c r="E89">
        <v>6539.766161173804</v>
      </c>
      <c r="F89">
        <v>1.558235923154901</v>
      </c>
      <c r="G89">
        <v>3736.0264493561904</v>
      </c>
      <c r="H89">
        <v>0</v>
      </c>
      <c r="I89">
        <v>0</v>
      </c>
      <c r="J89">
        <v>0</v>
      </c>
      <c r="K89">
        <v>0</v>
      </c>
      <c r="L89">
        <v>6.2765809996107782</v>
      </c>
      <c r="M89">
        <v>15048.730604666802</v>
      </c>
      <c r="N89">
        <v>2.34143760768089</v>
      </c>
      <c r="O89">
        <v>5613.8308081757013</v>
      </c>
      <c r="P89">
        <v>1.5027830360596066</v>
      </c>
      <c r="Q89">
        <v>3603.0726072565126</v>
      </c>
      <c r="R89">
        <v>2.4725925149981856</v>
      </c>
      <c r="S89">
        <v>5928.2878139596496</v>
      </c>
      <c r="T89">
        <v>2.8157974576474731</v>
      </c>
      <c r="U89">
        <v>6751.1559844555813</v>
      </c>
      <c r="V89">
        <v>2.947545779060337</v>
      </c>
      <c r="W89">
        <v>7067.0357598750634</v>
      </c>
      <c r="X89">
        <v>1.9677384162766909</v>
      </c>
      <c r="Y89">
        <v>4717.8496268649942</v>
      </c>
      <c r="Z89">
        <v>3.8411601267232864</v>
      </c>
      <c r="AA89">
        <v>9209.5655198317509</v>
      </c>
      <c r="AB89">
        <v>2.9803570493281701</v>
      </c>
      <c r="AC89">
        <v>7145.7040614692205</v>
      </c>
      <c r="AD89">
        <v>2.5405208807948387</v>
      </c>
      <c r="AE89">
        <v>6091.1528637937054</v>
      </c>
      <c r="AF89">
        <v>2.4767621482443878</v>
      </c>
      <c r="AG89">
        <v>5938.2849266307439</v>
      </c>
      <c r="AH89">
        <v>2.3239239777039908</v>
      </c>
      <c r="AI89">
        <v>5571.8401289430885</v>
      </c>
      <c r="AJ89">
        <v>2.128579643346264</v>
      </c>
      <c r="AK89">
        <v>5103.4825528870024</v>
      </c>
      <c r="AL89">
        <v>0</v>
      </c>
      <c r="AM89">
        <v>0</v>
      </c>
      <c r="AN89">
        <v>5.3060691976478402</v>
      </c>
      <c r="AO89">
        <v>12721.831508280462</v>
      </c>
      <c r="AP89">
        <v>1.9888916042516653</v>
      </c>
      <c r="AQ89">
        <v>4768.5665103537922</v>
      </c>
      <c r="AR89">
        <v>3.0968609222502024</v>
      </c>
      <c r="AS89">
        <v>7425.0337471870853</v>
      </c>
      <c r="AT89">
        <v>2.0009808636361335</v>
      </c>
      <c r="AU89">
        <v>4797.5517186539937</v>
      </c>
      <c r="AV89">
        <v>3.7196236169907579</v>
      </c>
      <c r="AW89">
        <v>8918.1695840970406</v>
      </c>
      <c r="AX89">
        <v>3.0358658751381111</v>
      </c>
      <c r="AY89">
        <v>7278.792022231135</v>
      </c>
      <c r="AZ89">
        <v>0</v>
      </c>
      <c r="BA89">
        <v>0</v>
      </c>
      <c r="BB89">
        <v>5.1115543639521652</v>
      </c>
      <c r="BC89">
        <v>12255.462743011711</v>
      </c>
      <c r="BD89">
        <v>2.2700462966134807</v>
      </c>
      <c r="BE89">
        <v>5442.6630007604808</v>
      </c>
      <c r="BF89">
        <v>1.7304969465507865</v>
      </c>
      <c r="BG89">
        <v>4149.039479050165</v>
      </c>
      <c r="BH89">
        <v>2.4781551528272026</v>
      </c>
      <c r="BI89">
        <v>5941.6247944185006</v>
      </c>
      <c r="BJ89">
        <v>2.3026241438514217</v>
      </c>
      <c r="BK89">
        <v>5520.7716472981683</v>
      </c>
      <c r="BL89">
        <v>2.9296275676374774</v>
      </c>
      <c r="BM89">
        <v>7024.0750561676159</v>
      </c>
      <c r="BN89">
        <v>2.8244614498248501</v>
      </c>
      <c r="BO89">
        <v>6771.9287721000601</v>
      </c>
      <c r="BP89">
        <v>3.1222788135818922</v>
      </c>
      <c r="BQ89">
        <v>7485.975683443944</v>
      </c>
      <c r="BR89">
        <v>4.4172028688990137</v>
      </c>
      <c r="BS89">
        <v>10590.685598472275</v>
      </c>
      <c r="BT89">
        <v>3.6183117973334626</v>
      </c>
      <c r="BU89">
        <v>8675.26436528671</v>
      </c>
      <c r="BV89">
        <v>3.2867773904611428</v>
      </c>
      <c r="BW89">
        <v>7880.3774713696357</v>
      </c>
      <c r="BX89">
        <v>3.1382904998053891</v>
      </c>
      <c r="BY89">
        <v>7524.3653023334009</v>
      </c>
      <c r="BZ89">
        <v>2.5149314279262365</v>
      </c>
      <c r="CA89">
        <v>6029.7995915959445</v>
      </c>
      <c r="CB89">
        <v>3.2164222134934901</v>
      </c>
      <c r="CC89">
        <v>7711.6938990719918</v>
      </c>
      <c r="CD89">
        <v>2.4851437460387853</v>
      </c>
      <c r="CE89">
        <v>5958.3806455025915</v>
      </c>
      <c r="CF89">
        <v>3.9583871116562155</v>
      </c>
      <c r="CG89">
        <v>9490.6289389069425</v>
      </c>
      <c r="CH89">
        <v>3.5080890618843683</v>
      </c>
      <c r="CI89">
        <v>8410.9943347739609</v>
      </c>
      <c r="CJ89">
        <v>2.1347673748676192</v>
      </c>
      <c r="CK89">
        <v>5118.3182579826034</v>
      </c>
      <c r="CL89">
        <v>2.7816665793729585</v>
      </c>
      <c r="CM89">
        <v>6669.323790704605</v>
      </c>
      <c r="CN89">
        <v>3.3763677101354532</v>
      </c>
      <c r="CO89">
        <v>8095.179221820762</v>
      </c>
      <c r="CP89">
        <v>3.4133597866409211</v>
      </c>
      <c r="CQ89">
        <v>8183.8714244502726</v>
      </c>
      <c r="CR89">
        <v>2.2554053346267229</v>
      </c>
      <c r="CS89">
        <v>5407.5598303010302</v>
      </c>
      <c r="CT89">
        <v>2.5706883674018473</v>
      </c>
      <c r="CU89">
        <v>6163.4824296826691</v>
      </c>
    </row>
    <row r="90" spans="2:99" x14ac:dyDescent="0.2">
      <c r="C90" s="119" t="s">
        <v>256</v>
      </c>
      <c r="D90">
        <v>2.273025164460921</v>
      </c>
      <c r="E90">
        <v>4994.2908913535348</v>
      </c>
      <c r="F90">
        <v>1.558235923154901</v>
      </c>
      <c r="G90">
        <v>3423.7559703559482</v>
      </c>
      <c r="H90">
        <v>0</v>
      </c>
      <c r="I90">
        <v>0</v>
      </c>
      <c r="J90">
        <v>0</v>
      </c>
      <c r="K90">
        <v>0</v>
      </c>
      <c r="L90">
        <v>6.2765809996107782</v>
      </c>
      <c r="M90">
        <v>13790.9037723448</v>
      </c>
      <c r="N90">
        <v>2.34143760768089</v>
      </c>
      <c r="O90">
        <v>5144.6067115964515</v>
      </c>
      <c r="P90">
        <v>1.8367348218506303</v>
      </c>
      <c r="Q90">
        <v>4035.6737505702044</v>
      </c>
      <c r="R90">
        <v>2.3180554828107987</v>
      </c>
      <c r="S90">
        <v>5093.2315068318867</v>
      </c>
      <c r="T90">
        <v>3.1912371186671362</v>
      </c>
      <c r="U90">
        <v>7011.7861971354314</v>
      </c>
      <c r="V90">
        <v>2.6668271334355431</v>
      </c>
      <c r="W90">
        <v>5859.5525775845745</v>
      </c>
      <c r="X90">
        <v>1.9677384162766909</v>
      </c>
      <c r="Y90">
        <v>4323.514848243145</v>
      </c>
      <c r="Z90">
        <v>3.6665619391449549</v>
      </c>
      <c r="AA90">
        <v>8056.1698926892941</v>
      </c>
      <c r="AB90">
        <v>3.5764284591938038</v>
      </c>
      <c r="AC90">
        <v>7858.1286105406252</v>
      </c>
      <c r="AD90">
        <v>2.8394056903001141</v>
      </c>
      <c r="AE90">
        <v>6238.7421827274102</v>
      </c>
      <c r="AF90">
        <v>2.4767621482443878</v>
      </c>
      <c r="AG90">
        <v>5441.9417921225686</v>
      </c>
      <c r="AH90">
        <v>2.0140674473434586</v>
      </c>
      <c r="AI90">
        <v>4425.3089953030467</v>
      </c>
      <c r="AJ90">
        <v>2.34143760768089</v>
      </c>
      <c r="AK90">
        <v>5144.6067115964515</v>
      </c>
      <c r="AL90">
        <v>0</v>
      </c>
      <c r="AM90">
        <v>0</v>
      </c>
      <c r="AN90">
        <v>5.3060691976478402</v>
      </c>
      <c r="AO90">
        <v>11658.495241071834</v>
      </c>
      <c r="AP90">
        <v>1.8358999423861526</v>
      </c>
      <c r="AQ90">
        <v>4033.8393534108541</v>
      </c>
      <c r="AR90">
        <v>2.6929225410871327</v>
      </c>
      <c r="AS90">
        <v>5916.889407276647</v>
      </c>
      <c r="AT90">
        <v>2.0009808636361335</v>
      </c>
      <c r="AU90">
        <v>4396.555153581312</v>
      </c>
      <c r="AV90">
        <v>3.1882488145635066</v>
      </c>
      <c r="AW90">
        <v>7005.2202953589358</v>
      </c>
      <c r="AX90">
        <v>3.1956482896190646</v>
      </c>
      <c r="AY90">
        <v>7021.4784219510084</v>
      </c>
      <c r="AZ90">
        <v>0</v>
      </c>
      <c r="BA90">
        <v>0</v>
      </c>
      <c r="BB90">
        <v>4.5436038790685913</v>
      </c>
      <c r="BC90">
        <v>9983.206443089508</v>
      </c>
      <c r="BD90">
        <v>2.4592168213312711</v>
      </c>
      <c r="BE90">
        <v>5403.3911998290687</v>
      </c>
      <c r="BF90">
        <v>1.8878148507826762</v>
      </c>
      <c r="BG90">
        <v>4147.9067901396957</v>
      </c>
      <c r="BH90">
        <v>2.6158304390953808</v>
      </c>
      <c r="BI90">
        <v>5747.5026407803707</v>
      </c>
      <c r="BJ90">
        <v>2.1254992097090049</v>
      </c>
      <c r="BK90">
        <v>4670.1468635726251</v>
      </c>
      <c r="BL90">
        <v>2.9296275676374774</v>
      </c>
      <c r="BM90">
        <v>6436.977691613065</v>
      </c>
      <c r="BN90">
        <v>2.8244614498248501</v>
      </c>
      <c r="BO90">
        <v>6205.9066975551605</v>
      </c>
      <c r="BP90">
        <v>3.1222788135818922</v>
      </c>
      <c r="BQ90">
        <v>6860.2710092021325</v>
      </c>
      <c r="BR90">
        <v>4.2331527493615546</v>
      </c>
      <c r="BS90">
        <v>9301.0832208972079</v>
      </c>
      <c r="BT90">
        <v>3.6183117973334626</v>
      </c>
      <c r="BU90">
        <v>7950.154681101083</v>
      </c>
      <c r="BV90">
        <v>3.2867773904611428</v>
      </c>
      <c r="BW90">
        <v>7221.707282321222</v>
      </c>
      <c r="BX90">
        <v>3.2877329045580268</v>
      </c>
      <c r="BY90">
        <v>7223.8067378948963</v>
      </c>
      <c r="BZ90">
        <v>2.6546498405888048</v>
      </c>
      <c r="CA90">
        <v>5832.7966297417215</v>
      </c>
      <c r="CB90">
        <v>3.2164222134934901</v>
      </c>
      <c r="CC90">
        <v>7067.1228874878962</v>
      </c>
      <c r="CD90">
        <v>2.7957867142936332</v>
      </c>
      <c r="CE90">
        <v>6142.9025686459709</v>
      </c>
      <c r="CF90">
        <v>3.3250451737912208</v>
      </c>
      <c r="CG90">
        <v>7305.7892558540698</v>
      </c>
      <c r="CH90">
        <v>2.9234075515703069</v>
      </c>
      <c r="CI90">
        <v>6423.3110723102773</v>
      </c>
      <c r="CJ90">
        <v>1.9924495498764447</v>
      </c>
      <c r="CK90">
        <v>4377.8101509885237</v>
      </c>
      <c r="CL90">
        <v>2.9555207405837685</v>
      </c>
      <c r="CM90">
        <v>6493.8701712106558</v>
      </c>
      <c r="CN90">
        <v>3.2356857222131423</v>
      </c>
      <c r="CO90">
        <v>7109.4486688467159</v>
      </c>
      <c r="CP90">
        <v>2.9257369599779324</v>
      </c>
      <c r="CQ90">
        <v>6428.4292484635125</v>
      </c>
      <c r="CR90">
        <v>2.4057656902685047</v>
      </c>
      <c r="CS90">
        <v>5285.9483746579581</v>
      </c>
      <c r="CT90">
        <v>2.7135043878130611</v>
      </c>
      <c r="CU90">
        <v>5962.1118409028577</v>
      </c>
    </row>
    <row r="91" spans="2:99" x14ac:dyDescent="0.2">
      <c r="C91" s="119" t="s">
        <v>257</v>
      </c>
      <c r="D91">
        <v>2.727630197353105</v>
      </c>
      <c r="E91">
        <v>6264.8210372806107</v>
      </c>
      <c r="F91">
        <v>1.558235923154901</v>
      </c>
      <c r="G91">
        <v>3578.9562683021763</v>
      </c>
      <c r="H91">
        <v>0</v>
      </c>
      <c r="I91">
        <v>0</v>
      </c>
      <c r="J91">
        <v>0</v>
      </c>
      <c r="K91">
        <v>0</v>
      </c>
      <c r="L91">
        <v>6.7996294162450086</v>
      </c>
      <c r="M91">
        <v>15617.388843231534</v>
      </c>
      <c r="N91">
        <v>2.34143760768089</v>
      </c>
      <c r="O91">
        <v>5377.8138973214673</v>
      </c>
      <c r="P91">
        <v>1.8367348218506303</v>
      </c>
      <c r="Q91">
        <v>4218.6125388265273</v>
      </c>
      <c r="R91">
        <v>2.4725925149981856</v>
      </c>
      <c r="S91">
        <v>5679.0504884478323</v>
      </c>
      <c r="T91">
        <v>3.0035172881573051</v>
      </c>
      <c r="U91">
        <v>6898.4785074396978</v>
      </c>
      <c r="V91">
        <v>2.6668271334355431</v>
      </c>
      <c r="W91">
        <v>6125.1685600747551</v>
      </c>
      <c r="X91">
        <v>2.1645122579043599</v>
      </c>
      <c r="Y91">
        <v>4971.4517539547332</v>
      </c>
      <c r="Z91">
        <v>3.1427673764099615</v>
      </c>
      <c r="AA91">
        <v>7218.3081101383987</v>
      </c>
      <c r="AB91">
        <v>3.1790475192833814</v>
      </c>
      <c r="AC91">
        <v>7301.6363422900695</v>
      </c>
      <c r="AD91">
        <v>2.5405208807948387</v>
      </c>
      <c r="AE91">
        <v>5835.068359009585</v>
      </c>
      <c r="AF91">
        <v>2.6831589939314204</v>
      </c>
      <c r="AG91">
        <v>6162.6795772616861</v>
      </c>
      <c r="AH91">
        <v>2.0140674473434586</v>
      </c>
      <c r="AI91">
        <v>4625.910113058455</v>
      </c>
      <c r="AJ91">
        <v>2.5542955720155169</v>
      </c>
      <c r="AK91">
        <v>5866.7060698052383</v>
      </c>
      <c r="AL91">
        <v>0</v>
      </c>
      <c r="AM91">
        <v>0</v>
      </c>
      <c r="AN91">
        <v>5.6598071441576954</v>
      </c>
      <c r="AO91">
        <v>12999.445048701393</v>
      </c>
      <c r="AP91">
        <v>1.8358999423861526</v>
      </c>
      <c r="AQ91">
        <v>4216.6949876725148</v>
      </c>
      <c r="AR91">
        <v>2.6929225410871327</v>
      </c>
      <c r="AS91">
        <v>6185.104492368926</v>
      </c>
      <c r="AT91">
        <v>2.1677292689391447</v>
      </c>
      <c r="AU91">
        <v>4978.8405848994271</v>
      </c>
      <c r="AV91">
        <v>3.5424986828483407</v>
      </c>
      <c r="AW91">
        <v>8136.4109747660677</v>
      </c>
      <c r="AX91">
        <v>2.8760834606571581</v>
      </c>
      <c r="AY91">
        <v>6605.7884924373602</v>
      </c>
      <c r="AZ91">
        <v>0</v>
      </c>
      <c r="BA91">
        <v>0</v>
      </c>
      <c r="BB91">
        <v>4.5436038790685913</v>
      </c>
      <c r="BC91">
        <v>10435.74938944474</v>
      </c>
      <c r="BD91">
        <v>2.2700462966134807</v>
      </c>
      <c r="BE91">
        <v>5213.8423340618419</v>
      </c>
      <c r="BF91">
        <v>2.2024506592464559</v>
      </c>
      <c r="BG91">
        <v>5058.5886741572594</v>
      </c>
      <c r="BH91">
        <v>2.6158304390953808</v>
      </c>
      <c r="BI91">
        <v>6008.0393525142699</v>
      </c>
      <c r="BJ91">
        <v>2.3026241438514217</v>
      </c>
      <c r="BK91">
        <v>5288.6671335979445</v>
      </c>
      <c r="BL91">
        <v>2.6041133934555356</v>
      </c>
      <c r="BM91">
        <v>5981.1276420886734</v>
      </c>
      <c r="BN91">
        <v>2.9813759748151196</v>
      </c>
      <c r="BO91">
        <v>6847.6243389553656</v>
      </c>
      <c r="BP91">
        <v>3.1222788135818922</v>
      </c>
      <c r="BQ91">
        <v>7171.2499790348893</v>
      </c>
      <c r="BR91">
        <v>4.4172028688990137</v>
      </c>
      <c r="BS91">
        <v>10145.431549287254</v>
      </c>
      <c r="BT91">
        <v>3.4609938931015729</v>
      </c>
      <c r="BU91">
        <v>7949.2107736756916</v>
      </c>
      <c r="BV91">
        <v>3.5998038086002992</v>
      </c>
      <c r="BW91">
        <v>8268.0293875931657</v>
      </c>
      <c r="BX91">
        <v>2.9888480950527514</v>
      </c>
      <c r="BY91">
        <v>6864.7863047171586</v>
      </c>
      <c r="BZ91">
        <v>2.7943682532513736</v>
      </c>
      <c r="CA91">
        <v>6418.1050040677537</v>
      </c>
      <c r="CB91">
        <v>2.8778514541783857</v>
      </c>
      <c r="CC91">
        <v>6609.8492199569155</v>
      </c>
      <c r="CD91">
        <v>2.640465230166209</v>
      </c>
      <c r="CE91">
        <v>6064.6205406457484</v>
      </c>
      <c r="CF91">
        <v>3.6417161427237179</v>
      </c>
      <c r="CG91">
        <v>8364.2936366078338</v>
      </c>
      <c r="CH91">
        <v>3.1183013883416608</v>
      </c>
      <c r="CI91">
        <v>7162.1146287431256</v>
      </c>
      <c r="CJ91">
        <v>2.1347673748676192</v>
      </c>
      <c r="CK91">
        <v>4903.1337065959469</v>
      </c>
      <c r="CL91">
        <v>2.9555207405837685</v>
      </c>
      <c r="CM91">
        <v>6788.2400369727984</v>
      </c>
      <c r="CN91">
        <v>3.5170496980577637</v>
      </c>
      <c r="CO91">
        <v>8077.9597464990711</v>
      </c>
      <c r="CP91">
        <v>3.0882779021989286</v>
      </c>
      <c r="CQ91">
        <v>7093.1566857704984</v>
      </c>
      <c r="CR91">
        <v>2.2554053346267229</v>
      </c>
      <c r="CS91">
        <v>5180.2149725706568</v>
      </c>
      <c r="CT91">
        <v>2.2850563265794195</v>
      </c>
      <c r="CU91">
        <v>5248.3173708876102</v>
      </c>
    </row>
    <row r="92" spans="2:99" x14ac:dyDescent="0.2">
      <c r="C92" s="119" t="s">
        <v>258</v>
      </c>
      <c r="D92">
        <v>2.954932713799197</v>
      </c>
      <c r="E92">
        <v>4198.3683997658991</v>
      </c>
      <c r="F92">
        <v>1.7140595154703908</v>
      </c>
      <c r="G92">
        <v>2435.3357595803313</v>
      </c>
      <c r="H92">
        <v>0</v>
      </c>
      <c r="I92">
        <v>0</v>
      </c>
      <c r="J92">
        <v>0</v>
      </c>
      <c r="K92">
        <v>0</v>
      </c>
      <c r="L92">
        <v>6.7996294162450086</v>
      </c>
      <c r="M92">
        <v>9660.9134746009076</v>
      </c>
      <c r="N92">
        <v>2.5542955720155169</v>
      </c>
      <c r="O92">
        <v>3629.1431487196464</v>
      </c>
      <c r="P92">
        <v>2.0037107147461417</v>
      </c>
      <c r="Q92">
        <v>2846.8721835113179</v>
      </c>
      <c r="R92">
        <v>2.627129547185572</v>
      </c>
      <c r="S92">
        <v>3732.6256606412608</v>
      </c>
      <c r="T92">
        <v>3.3789569491769682</v>
      </c>
      <c r="U92">
        <v>4800.8220333906365</v>
      </c>
      <c r="V92">
        <v>3.3686237474975278</v>
      </c>
      <c r="W92">
        <v>4786.1406204444875</v>
      </c>
      <c r="X92">
        <v>2.3612860995320291</v>
      </c>
      <c r="Y92">
        <v>3354.9152902151068</v>
      </c>
      <c r="Z92">
        <v>4.0157583143016176</v>
      </c>
      <c r="AA92">
        <v>5705.5894129597382</v>
      </c>
      <c r="AB92">
        <v>3.3777379892385921</v>
      </c>
      <c r="AC92">
        <v>4799.0901351101911</v>
      </c>
      <c r="AD92">
        <v>2.8394056903001141</v>
      </c>
      <c r="AE92">
        <v>4034.2276047784021</v>
      </c>
      <c r="AF92">
        <v>2.8895558396184526</v>
      </c>
      <c r="AG92">
        <v>4105.4809369298973</v>
      </c>
      <c r="AH92">
        <v>2.3239239777039908</v>
      </c>
      <c r="AI92">
        <v>3301.8311875218301</v>
      </c>
      <c r="AJ92">
        <v>2.7671535363501429</v>
      </c>
      <c r="AK92">
        <v>3931.571744446283</v>
      </c>
      <c r="AL92">
        <v>0</v>
      </c>
      <c r="AM92">
        <v>0</v>
      </c>
      <c r="AN92">
        <v>6.0135450906675523</v>
      </c>
      <c r="AO92">
        <v>8544.0448648204583</v>
      </c>
      <c r="AP92">
        <v>1.9888916042516653</v>
      </c>
      <c r="AQ92">
        <v>2825.8171913207661</v>
      </c>
      <c r="AR92">
        <v>2.9622147951958455</v>
      </c>
      <c r="AS92">
        <v>4208.7147810142569</v>
      </c>
      <c r="AT92">
        <v>2.5012260795451668</v>
      </c>
      <c r="AU92">
        <v>3553.7420138177731</v>
      </c>
      <c r="AV92">
        <v>3.5424986828483407</v>
      </c>
      <c r="AW92">
        <v>5033.1821285909227</v>
      </c>
      <c r="AX92">
        <v>3.0358658751381111</v>
      </c>
      <c r="AY92">
        <v>4313.3582353962283</v>
      </c>
      <c r="AZ92">
        <v>0</v>
      </c>
      <c r="BA92">
        <v>0</v>
      </c>
      <c r="BB92">
        <v>4.8275791215103778</v>
      </c>
      <c r="BC92">
        <v>6859.0244158419446</v>
      </c>
      <c r="BD92">
        <v>2.837557870766851</v>
      </c>
      <c r="BE92">
        <v>4031.6022227855419</v>
      </c>
      <c r="BF92">
        <v>2.2024506592464559</v>
      </c>
      <c r="BG92">
        <v>3129.2418966573646</v>
      </c>
      <c r="BH92">
        <v>3.1665315841680926</v>
      </c>
      <c r="BI92">
        <v>4499.0080747860256</v>
      </c>
      <c r="BJ92">
        <v>2.3026241438514217</v>
      </c>
      <c r="BK92">
        <v>3271.5683835840996</v>
      </c>
      <c r="BL92">
        <v>3.0923846547284484</v>
      </c>
      <c r="BM92">
        <v>4393.6601174381794</v>
      </c>
      <c r="BN92">
        <v>3.1382904998053891</v>
      </c>
      <c r="BO92">
        <v>4458.8831421234963</v>
      </c>
      <c r="BP92">
        <v>3.7467345762982704</v>
      </c>
      <c r="BQ92">
        <v>5323.3604860045825</v>
      </c>
      <c r="BR92">
        <v>4.2331527493615546</v>
      </c>
      <c r="BS92">
        <v>6014.4634262928967</v>
      </c>
      <c r="BT92">
        <v>3.6183117973334626</v>
      </c>
      <c r="BU92">
        <v>5140.8974016513839</v>
      </c>
      <c r="BV92">
        <v>3.5998038086002992</v>
      </c>
      <c r="BW92">
        <v>5114.6012512593052</v>
      </c>
      <c r="BX92">
        <v>3.7360601188159395</v>
      </c>
      <c r="BY92">
        <v>5308.1942168136866</v>
      </c>
      <c r="BZ92">
        <v>2.6546498405888048</v>
      </c>
      <c r="CA92">
        <v>3771.7264935085736</v>
      </c>
      <c r="CB92">
        <v>3.2164222134934901</v>
      </c>
      <c r="CC92">
        <v>4569.8926809315508</v>
      </c>
      <c r="CD92">
        <v>2.9511081984210574</v>
      </c>
      <c r="CE92">
        <v>4192.9345283166385</v>
      </c>
      <c r="CF92">
        <v>3.9583871116562155</v>
      </c>
      <c r="CG92">
        <v>5624.0764082411506</v>
      </c>
      <c r="CH92">
        <v>3.3131952251130143</v>
      </c>
      <c r="CI92">
        <v>4707.3877758405706</v>
      </c>
      <c r="CJ92">
        <v>2.4194030248499687</v>
      </c>
      <c r="CK92">
        <v>3437.4878177068354</v>
      </c>
      <c r="CL92">
        <v>3.477083224216198</v>
      </c>
      <c r="CM92">
        <v>4940.2398449663742</v>
      </c>
      <c r="CN92">
        <v>3.7984136739023846</v>
      </c>
      <c r="CO92">
        <v>5396.786147880508</v>
      </c>
      <c r="CP92">
        <v>3.2508188444199249</v>
      </c>
      <c r="CQ92">
        <v>4618.7634141518292</v>
      </c>
      <c r="CR92">
        <v>2.4057656902685047</v>
      </c>
      <c r="CS92">
        <v>3418.1118927334915</v>
      </c>
      <c r="CT92">
        <v>2.7135043878130611</v>
      </c>
      <c r="CU92">
        <v>3855.3470342047972</v>
      </c>
    </row>
    <row r="93" spans="2:99" x14ac:dyDescent="0.2">
      <c r="C93" s="119" t="s">
        <v>259</v>
      </c>
      <c r="D93">
        <v>2.954932713799197</v>
      </c>
      <c r="E93">
        <v>5237.3227419376963</v>
      </c>
      <c r="F93">
        <v>1.558235923154901</v>
      </c>
      <c r="G93">
        <v>2761.8173501997462</v>
      </c>
      <c r="H93">
        <v>0</v>
      </c>
      <c r="I93">
        <v>0</v>
      </c>
      <c r="J93">
        <v>0</v>
      </c>
      <c r="K93">
        <v>0</v>
      </c>
      <c r="L93">
        <v>6.7996294162450086</v>
      </c>
      <c r="M93">
        <v>12051.663177352651</v>
      </c>
      <c r="N93">
        <v>2.34143760768089</v>
      </c>
      <c r="O93">
        <v>4149.9640158536095</v>
      </c>
      <c r="P93">
        <v>1.6697589289551185</v>
      </c>
      <c r="Q93">
        <v>2959.4807256800518</v>
      </c>
      <c r="R93">
        <v>2.4725925149981856</v>
      </c>
      <c r="S93">
        <v>4382.4229735827839</v>
      </c>
      <c r="T93">
        <v>3.5666767796867993</v>
      </c>
      <c r="U93">
        <v>6321.5779243168827</v>
      </c>
      <c r="V93">
        <v>3.0879051018727339</v>
      </c>
      <c r="W93">
        <v>5473.0030025592332</v>
      </c>
      <c r="X93">
        <v>2.1645122579043599</v>
      </c>
      <c r="Y93">
        <v>3836.3815259096873</v>
      </c>
      <c r="Z93">
        <v>4.0157583143016176</v>
      </c>
      <c r="AA93">
        <v>7117.5300362681864</v>
      </c>
      <c r="AB93">
        <v>3.3777379892385921</v>
      </c>
      <c r="AC93">
        <v>5986.7028121264802</v>
      </c>
      <c r="AD93">
        <v>2.8394056903001141</v>
      </c>
      <c r="AE93">
        <v>5032.5626454879221</v>
      </c>
      <c r="AF93">
        <v>2.4767621482443878</v>
      </c>
      <c r="AG93">
        <v>4389.8132315483526</v>
      </c>
      <c r="AH93">
        <v>2.4788522428842565</v>
      </c>
      <c r="AI93">
        <v>4393.517715288056</v>
      </c>
      <c r="AJ93">
        <v>2.5542955720155169</v>
      </c>
      <c r="AK93">
        <v>4527.2334718403017</v>
      </c>
      <c r="AL93">
        <v>0</v>
      </c>
      <c r="AM93">
        <v>0</v>
      </c>
      <c r="AN93">
        <v>6.0135450906675523</v>
      </c>
      <c r="AO93">
        <v>10658.407318699168</v>
      </c>
      <c r="AP93">
        <v>1.9888916042516653</v>
      </c>
      <c r="AQ93">
        <v>3525.1114793756515</v>
      </c>
      <c r="AR93">
        <v>3.2315070493045592</v>
      </c>
      <c r="AS93">
        <v>5727.5230941874006</v>
      </c>
      <c r="AT93">
        <v>2.1677292689391447</v>
      </c>
      <c r="AU93">
        <v>3842.0833562677399</v>
      </c>
      <c r="AV93">
        <v>3.7196236169907579</v>
      </c>
      <c r="AW93">
        <v>6592.6608987544187</v>
      </c>
      <c r="AX93">
        <v>3.0358658751381111</v>
      </c>
      <c r="AY93">
        <v>5380.7686770947876</v>
      </c>
      <c r="AZ93">
        <v>0</v>
      </c>
      <c r="BA93">
        <v>0</v>
      </c>
      <c r="BB93">
        <v>4.8275791215103778</v>
      </c>
      <c r="BC93">
        <v>8556.4012349649929</v>
      </c>
      <c r="BD93">
        <v>2.2700462966134807</v>
      </c>
      <c r="BE93">
        <v>4023.4300561177329</v>
      </c>
      <c r="BF93">
        <v>2.2024506592464559</v>
      </c>
      <c r="BG93">
        <v>3903.6235484484182</v>
      </c>
      <c r="BH93">
        <v>2.8911810116317365</v>
      </c>
      <c r="BI93">
        <v>5124.3292250160894</v>
      </c>
      <c r="BJ93">
        <v>2.1254992097090049</v>
      </c>
      <c r="BK93">
        <v>3767.2347992882401</v>
      </c>
      <c r="BL93">
        <v>3.0923846547284484</v>
      </c>
      <c r="BM93">
        <v>5480.9425620407019</v>
      </c>
      <c r="BN93">
        <v>3.2952050247956586</v>
      </c>
      <c r="BO93">
        <v>5840.421385947825</v>
      </c>
      <c r="BP93">
        <v>3.9028485169773655</v>
      </c>
      <c r="BQ93">
        <v>6917.4087114906824</v>
      </c>
      <c r="BR93">
        <v>4.4172028688990137</v>
      </c>
      <c r="BS93">
        <v>7829.0503648366112</v>
      </c>
      <c r="BT93">
        <v>3.6183117973334626</v>
      </c>
      <c r="BU93">
        <v>6413.095829593829</v>
      </c>
      <c r="BV93">
        <v>3.2867773904611428</v>
      </c>
      <c r="BW93">
        <v>5825.4842468533288</v>
      </c>
      <c r="BX93">
        <v>3.5866177140633018</v>
      </c>
      <c r="BY93">
        <v>6356.9212364057958</v>
      </c>
      <c r="BZ93">
        <v>2.6546498405888048</v>
      </c>
      <c r="CA93">
        <v>4705.1013774595976</v>
      </c>
      <c r="CB93">
        <v>3.0471368338359377</v>
      </c>
      <c r="CC93">
        <v>5400.7453242908159</v>
      </c>
      <c r="CD93">
        <v>3.2617511666759058</v>
      </c>
      <c r="CE93">
        <v>5781.1277678163751</v>
      </c>
      <c r="CF93">
        <v>3.6417161427237179</v>
      </c>
      <c r="CG93">
        <v>6454.5776913635173</v>
      </c>
      <c r="CH93">
        <v>3.3131952251130143</v>
      </c>
      <c r="CI93">
        <v>5872.3072169903062</v>
      </c>
      <c r="CJ93">
        <v>2.1347673748676192</v>
      </c>
      <c r="CK93">
        <v>3783.6616952153681</v>
      </c>
      <c r="CL93">
        <v>3.1293749017945784</v>
      </c>
      <c r="CM93">
        <v>5546.5040759407102</v>
      </c>
      <c r="CN93">
        <v>3.0950037342908319</v>
      </c>
      <c r="CO93">
        <v>5485.5846186570698</v>
      </c>
      <c r="CP93">
        <v>3.5759007288619173</v>
      </c>
      <c r="CQ93">
        <v>6337.9264518348618</v>
      </c>
      <c r="CR93">
        <v>2.5561260459102861</v>
      </c>
      <c r="CS93">
        <v>4530.4778037713904</v>
      </c>
      <c r="CT93">
        <v>2.8563204082242746</v>
      </c>
      <c r="CU93">
        <v>5062.5422915367035</v>
      </c>
    </row>
    <row r="94" spans="2:99" x14ac:dyDescent="0.2">
      <c r="C94" s="119" t="s">
        <v>260</v>
      </c>
      <c r="D94">
        <v>2.273025164460921</v>
      </c>
      <c r="E94">
        <v>5444.3498739167972</v>
      </c>
      <c r="F94">
        <v>1.558235923154901</v>
      </c>
      <c r="G94">
        <v>3732.2866831406186</v>
      </c>
      <c r="H94">
        <v>0</v>
      </c>
      <c r="I94">
        <v>0</v>
      </c>
      <c r="J94">
        <v>0</v>
      </c>
      <c r="K94">
        <v>0</v>
      </c>
      <c r="L94">
        <v>6.2765809996107782</v>
      </c>
      <c r="M94">
        <v>15033.666810267734</v>
      </c>
      <c r="N94">
        <v>2.34143760768089</v>
      </c>
      <c r="O94">
        <v>5608.2113579172674</v>
      </c>
      <c r="P94">
        <v>1.6697589289551185</v>
      </c>
      <c r="Q94">
        <v>3999.4065866332994</v>
      </c>
      <c r="R94">
        <v>2.1635184506234122</v>
      </c>
      <c r="S94">
        <v>5182.0593929331962</v>
      </c>
      <c r="T94">
        <v>3.0035172881573051</v>
      </c>
      <c r="U94">
        <v>7194.0246085943763</v>
      </c>
      <c r="V94">
        <v>2.8071864562479401</v>
      </c>
      <c r="W94">
        <v>6723.7730000050651</v>
      </c>
      <c r="X94">
        <v>2.1645122579043599</v>
      </c>
      <c r="Y94">
        <v>5184.4397601325227</v>
      </c>
      <c r="Z94">
        <v>3.1427673764099615</v>
      </c>
      <c r="AA94">
        <v>7527.5564199771388</v>
      </c>
      <c r="AB94">
        <v>3.3777379892385921</v>
      </c>
      <c r="AC94">
        <v>8090.3580318242757</v>
      </c>
      <c r="AD94">
        <v>2.6899632855474764</v>
      </c>
      <c r="AE94">
        <v>6443.0000615433155</v>
      </c>
      <c r="AF94">
        <v>2.2703653025573556</v>
      </c>
      <c r="AG94">
        <v>5437.9789726853778</v>
      </c>
      <c r="AH94">
        <v>2.3239239777039908</v>
      </c>
      <c r="AI94">
        <v>5566.2627113965982</v>
      </c>
      <c r="AJ94">
        <v>2.5542955720155169</v>
      </c>
      <c r="AK94">
        <v>6118.0487540915656</v>
      </c>
      <c r="AL94">
        <v>0</v>
      </c>
      <c r="AM94">
        <v>0</v>
      </c>
      <c r="AN94">
        <v>5.3060691976478402</v>
      </c>
      <c r="AO94">
        <v>12709.096942206106</v>
      </c>
      <c r="AP94">
        <v>1.9888916042516653</v>
      </c>
      <c r="AQ94">
        <v>4763.793170503588</v>
      </c>
      <c r="AR94">
        <v>2.8275686681414891</v>
      </c>
      <c r="AS94">
        <v>6772.5924739324946</v>
      </c>
      <c r="AT94">
        <v>2.1677292689391447</v>
      </c>
      <c r="AU94">
        <v>5192.1451449630395</v>
      </c>
      <c r="AV94">
        <v>3.3653737487059239</v>
      </c>
      <c r="AW94">
        <v>8060.7432029004285</v>
      </c>
      <c r="AX94">
        <v>3.0358658751381111</v>
      </c>
      <c r="AY94">
        <v>7271.5059441308031</v>
      </c>
      <c r="AZ94">
        <v>0</v>
      </c>
      <c r="BA94">
        <v>0</v>
      </c>
      <c r="BB94">
        <v>4.5436038790685913</v>
      </c>
      <c r="BC94">
        <v>10882.840011145088</v>
      </c>
      <c r="BD94">
        <v>2.4592168213312711</v>
      </c>
      <c r="BE94">
        <v>5890.3161304526602</v>
      </c>
      <c r="BF94">
        <v>1.8878148507826762</v>
      </c>
      <c r="BG94">
        <v>4521.6941305946657</v>
      </c>
      <c r="BH94">
        <v>3.0288562978999143</v>
      </c>
      <c r="BI94">
        <v>7254.7166047298742</v>
      </c>
      <c r="BJ94">
        <v>2.3026241438514217</v>
      </c>
      <c r="BK94">
        <v>5515.2453493529247</v>
      </c>
      <c r="BL94">
        <v>2.9296275676374774</v>
      </c>
      <c r="BM94">
        <v>7017.0439500052853</v>
      </c>
      <c r="BN94">
        <v>2.9813759748151196</v>
      </c>
      <c r="BO94">
        <v>7140.9917348771742</v>
      </c>
      <c r="BP94">
        <v>3.2783927542609868</v>
      </c>
      <c r="BQ94">
        <v>7852.4063250059153</v>
      </c>
      <c r="BR94">
        <v>4.4172028688990137</v>
      </c>
      <c r="BS94">
        <v>10580.084311586917</v>
      </c>
      <c r="BT94">
        <v>3.6183117973334626</v>
      </c>
      <c r="BU94">
        <v>8666.5804169731091</v>
      </c>
      <c r="BV94">
        <v>3.1302641813915644</v>
      </c>
      <c r="BW94">
        <v>7497.6087672690746</v>
      </c>
      <c r="BX94">
        <v>2.9888480950527514</v>
      </c>
      <c r="BY94">
        <v>7158.8889572703492</v>
      </c>
      <c r="BZ94">
        <v>2.3752130152636677</v>
      </c>
      <c r="CA94">
        <v>5689.1102141595366</v>
      </c>
      <c r="CB94">
        <v>3.2164222134934901</v>
      </c>
      <c r="CC94">
        <v>7703.974485759607</v>
      </c>
      <c r="CD94">
        <v>2.640465230166209</v>
      </c>
      <c r="CE94">
        <v>6324.4423192941031</v>
      </c>
      <c r="CF94">
        <v>3.6417161427237179</v>
      </c>
      <c r="CG94">
        <v>8722.6385050518493</v>
      </c>
      <c r="CH94">
        <v>2.9234075515703069</v>
      </c>
      <c r="CI94">
        <v>7002.1457675211986</v>
      </c>
      <c r="CJ94">
        <v>1.85013172488527</v>
      </c>
      <c r="CK94">
        <v>4431.4355074451987</v>
      </c>
      <c r="CL94">
        <v>2.7816665793729585</v>
      </c>
      <c r="CM94">
        <v>6662.6477909141095</v>
      </c>
      <c r="CN94">
        <v>3.0950037342908319</v>
      </c>
      <c r="CO94">
        <v>7413.1529443733998</v>
      </c>
      <c r="CP94">
        <v>2.9257369599779324</v>
      </c>
      <c r="CQ94">
        <v>7007.7251665391432</v>
      </c>
      <c r="CR94">
        <v>2.4057656902685047</v>
      </c>
      <c r="CS94">
        <v>5762.2899813311224</v>
      </c>
      <c r="CT94">
        <v>2.2850563265794195</v>
      </c>
      <c r="CU94">
        <v>5473.1669134230251</v>
      </c>
    </row>
    <row r="95" spans="2:99" x14ac:dyDescent="0.2">
      <c r="B95" s="119" t="s">
        <v>132</v>
      </c>
      <c r="C95" s="119" t="s">
        <v>261</v>
      </c>
      <c r="D95">
        <v>2.727630197353105</v>
      </c>
      <c r="E95">
        <v>4726.4376059734604</v>
      </c>
      <c r="F95">
        <v>2.6490010693633317</v>
      </c>
      <c r="G95">
        <v>4590.1890529927814</v>
      </c>
      <c r="H95">
        <v>0</v>
      </c>
      <c r="I95">
        <v>0</v>
      </c>
      <c r="J95">
        <v>0</v>
      </c>
      <c r="K95">
        <v>0</v>
      </c>
      <c r="L95">
        <v>9.9379199160503973</v>
      </c>
      <c r="M95">
        <v>17220.427630532129</v>
      </c>
      <c r="N95">
        <v>2.7671535363501429</v>
      </c>
      <c r="O95">
        <v>4794.9236477875274</v>
      </c>
      <c r="P95">
        <v>2.0037107147461417</v>
      </c>
      <c r="Q95">
        <v>3472.0299265121143</v>
      </c>
      <c r="R95">
        <v>1.3908332896864792</v>
      </c>
      <c r="S95">
        <v>2410.0359243687312</v>
      </c>
      <c r="T95">
        <v>2.252637966117979</v>
      </c>
      <c r="U95">
        <v>3903.3710676892338</v>
      </c>
      <c r="V95">
        <v>1.6843118737487639</v>
      </c>
      <c r="W95">
        <v>2918.5756148318578</v>
      </c>
      <c r="X95">
        <v>3.5419291492980434</v>
      </c>
      <c r="Y95">
        <v>6137.4548299036496</v>
      </c>
      <c r="Z95">
        <v>2.9681691888316308</v>
      </c>
      <c r="AA95">
        <v>5143.2435704074496</v>
      </c>
      <c r="AB95">
        <v>2.384285639462536</v>
      </c>
      <c r="AC95">
        <v>4131.4901560606822</v>
      </c>
      <c r="AD95">
        <v>2.5405208807948387</v>
      </c>
      <c r="AE95">
        <v>4402.2145822412967</v>
      </c>
      <c r="AF95">
        <v>3.5087463766795497</v>
      </c>
      <c r="AG95">
        <v>6079.9557215103232</v>
      </c>
      <c r="AH95">
        <v>2.1689957125237247</v>
      </c>
      <c r="AI95">
        <v>3758.4357706611099</v>
      </c>
      <c r="AJ95">
        <v>2.128579643346264</v>
      </c>
      <c r="AK95">
        <v>3688.4028059904063</v>
      </c>
      <c r="AL95">
        <v>0</v>
      </c>
      <c r="AM95">
        <v>0</v>
      </c>
      <c r="AN95">
        <v>5.3060691976478402</v>
      </c>
      <c r="AO95">
        <v>9194.3567056841766</v>
      </c>
      <c r="AP95">
        <v>2.1418832661171781</v>
      </c>
      <c r="AQ95">
        <v>3711.4553235278458</v>
      </c>
      <c r="AR95">
        <v>1.8850457787609927</v>
      </c>
      <c r="AS95">
        <v>3266.4073254370478</v>
      </c>
      <c r="AT95">
        <v>1.8342324583331224</v>
      </c>
      <c r="AU95">
        <v>3178.3580037996344</v>
      </c>
      <c r="AV95">
        <v>2.3026241438514217</v>
      </c>
      <c r="AW95">
        <v>3989.9871164657434</v>
      </c>
      <c r="AX95">
        <v>2.8760834606571581</v>
      </c>
      <c r="AY95">
        <v>4983.6774206267237</v>
      </c>
      <c r="AZ95">
        <v>0</v>
      </c>
      <c r="BA95">
        <v>0</v>
      </c>
      <c r="BB95">
        <v>5.1115543639521652</v>
      </c>
      <c r="BC95">
        <v>8857.3014018563117</v>
      </c>
      <c r="BD95">
        <v>2.837557870766851</v>
      </c>
      <c r="BE95">
        <v>4916.9202784647996</v>
      </c>
      <c r="BF95">
        <v>2.3597685634783452</v>
      </c>
      <c r="BG95">
        <v>4089.0069667952766</v>
      </c>
      <c r="BH95">
        <v>2.0651292940226691</v>
      </c>
      <c r="BI95">
        <v>3578.4560406824808</v>
      </c>
      <c r="BJ95">
        <v>2.1254992097090049</v>
      </c>
      <c r="BK95">
        <v>3683.0650305837635</v>
      </c>
      <c r="BL95">
        <v>3.0923846547284484</v>
      </c>
      <c r="BM95">
        <v>5358.4841297134553</v>
      </c>
      <c r="BN95">
        <v>1.5691452499026945</v>
      </c>
      <c r="BO95">
        <v>2719.014889031389</v>
      </c>
      <c r="BP95">
        <v>2.1855951695073244</v>
      </c>
      <c r="BQ95">
        <v>3787.1993097222917</v>
      </c>
      <c r="BR95">
        <v>1.8405011953745889</v>
      </c>
      <c r="BS95">
        <v>3189.2204713450874</v>
      </c>
      <c r="BT95">
        <v>2.2024506592464559</v>
      </c>
      <c r="BU95">
        <v>3816.4065023422586</v>
      </c>
      <c r="BV95">
        <v>2.5042113451132519</v>
      </c>
      <c r="BW95">
        <v>4339.2974188122425</v>
      </c>
      <c r="BX95">
        <v>2.0921936665369261</v>
      </c>
      <c r="BY95">
        <v>3625.3531853751856</v>
      </c>
      <c r="BZ95">
        <v>1.9560577772759615</v>
      </c>
      <c r="CA95">
        <v>3389.456916463786</v>
      </c>
      <c r="CB95">
        <v>2.0314245558906254</v>
      </c>
      <c r="CC95">
        <v>3520.0524704472755</v>
      </c>
      <c r="CD95">
        <v>3.1064296825484816</v>
      </c>
      <c r="CE95">
        <v>5382.8213539200087</v>
      </c>
      <c r="CF95">
        <v>2.5333677514599779</v>
      </c>
      <c r="CG95">
        <v>4389.8196397298498</v>
      </c>
      <c r="CH95">
        <v>2.7285137147989529</v>
      </c>
      <c r="CI95">
        <v>4727.9685650036254</v>
      </c>
      <c r="CJ95">
        <v>1.85013172488527</v>
      </c>
      <c r="CK95">
        <v>3205.9082528811959</v>
      </c>
      <c r="CL95">
        <v>2.6078124181621485</v>
      </c>
      <c r="CM95">
        <v>4518.8173581913707</v>
      </c>
      <c r="CN95">
        <v>2.8136397584462109</v>
      </c>
      <c r="CO95">
        <v>4875.4749734355946</v>
      </c>
      <c r="CP95">
        <v>1.7879503644309587</v>
      </c>
      <c r="CQ95">
        <v>3098.1603914859652</v>
      </c>
      <c r="CR95">
        <v>2.7064864015520675</v>
      </c>
      <c r="CS95">
        <v>4689.7996366094221</v>
      </c>
      <c r="CT95">
        <v>1.9994242857569924</v>
      </c>
      <c r="CU95">
        <v>3464.6024023597165</v>
      </c>
    </row>
    <row r="96" spans="2:99" x14ac:dyDescent="0.2">
      <c r="C96" s="119" t="s">
        <v>262</v>
      </c>
      <c r="D96">
        <v>2.727630197353105</v>
      </c>
      <c r="E96">
        <v>2245.3851784610756</v>
      </c>
      <c r="F96">
        <v>2.6490010693633317</v>
      </c>
      <c r="G96">
        <v>2180.6576802998943</v>
      </c>
      <c r="H96">
        <v>0</v>
      </c>
      <c r="I96">
        <v>0</v>
      </c>
      <c r="J96">
        <v>0</v>
      </c>
      <c r="K96">
        <v>0</v>
      </c>
      <c r="L96">
        <v>9.4148714994161669</v>
      </c>
      <c r="M96">
        <v>7750.3222183193875</v>
      </c>
      <c r="N96">
        <v>2.5542955720155169</v>
      </c>
      <c r="O96">
        <v>2102.6961148831733</v>
      </c>
      <c r="P96">
        <v>2.0037107147461417</v>
      </c>
      <c r="Q96">
        <v>1649.4546603790236</v>
      </c>
      <c r="R96">
        <v>1.8544443862486391</v>
      </c>
      <c r="S96">
        <v>1526.5786187598796</v>
      </c>
      <c r="T96">
        <v>2.628077627137642</v>
      </c>
      <c r="U96">
        <v>2163.4335026597068</v>
      </c>
      <c r="V96">
        <v>1.8246711965611611</v>
      </c>
      <c r="W96">
        <v>1502.0693290091476</v>
      </c>
      <c r="X96">
        <v>3.3451553076703746</v>
      </c>
      <c r="Y96">
        <v>2753.731849274252</v>
      </c>
      <c r="Z96">
        <v>3.3173655639882931</v>
      </c>
      <c r="AA96">
        <v>2730.8553322751627</v>
      </c>
      <c r="AB96">
        <v>2.384285639462536</v>
      </c>
      <c r="AC96">
        <v>1962.7439384055594</v>
      </c>
      <c r="AD96">
        <v>2.9888480950527514</v>
      </c>
      <c r="AE96">
        <v>2460.4197518474248</v>
      </c>
      <c r="AF96">
        <v>3.5087463766795497</v>
      </c>
      <c r="AG96">
        <v>2888.4000172826049</v>
      </c>
      <c r="AH96">
        <v>2.1689957125237247</v>
      </c>
      <c r="AI96">
        <v>1785.5172705495299</v>
      </c>
      <c r="AJ96">
        <v>2.128579643346264</v>
      </c>
      <c r="AK96">
        <v>1752.2467624026444</v>
      </c>
      <c r="AL96">
        <v>0</v>
      </c>
      <c r="AM96">
        <v>0</v>
      </c>
      <c r="AN96">
        <v>4.9523312511379842</v>
      </c>
      <c r="AO96">
        <v>4076.7590859367883</v>
      </c>
      <c r="AP96">
        <v>2.1418832661171781</v>
      </c>
      <c r="AQ96">
        <v>1763.1983046676608</v>
      </c>
      <c r="AR96">
        <v>2.1543380328697057</v>
      </c>
      <c r="AS96">
        <v>1773.4510686583417</v>
      </c>
      <c r="AT96">
        <v>2.0009808636361335</v>
      </c>
      <c r="AU96">
        <v>1647.207446945265</v>
      </c>
      <c r="AV96">
        <v>2.3026241438514217</v>
      </c>
      <c r="AW96">
        <v>1895.5201952184902</v>
      </c>
      <c r="AX96">
        <v>2.7163010461762047</v>
      </c>
      <c r="AY96">
        <v>2236.0590212122515</v>
      </c>
      <c r="AZ96">
        <v>0</v>
      </c>
      <c r="BA96">
        <v>0</v>
      </c>
      <c r="BB96">
        <v>5.3955296063939517</v>
      </c>
      <c r="BC96">
        <v>4441.5999719835008</v>
      </c>
      <c r="BD96">
        <v>2.837557870766851</v>
      </c>
      <c r="BE96">
        <v>2335.8776392152713</v>
      </c>
      <c r="BF96">
        <v>2.6744043719421247</v>
      </c>
      <c r="BG96">
        <v>2201.5696789827566</v>
      </c>
      <c r="BH96">
        <v>2.0651292940226691</v>
      </c>
      <c r="BI96">
        <v>1700.014434839461</v>
      </c>
      <c r="BJ96">
        <v>1.9483742755665872</v>
      </c>
      <c r="BK96">
        <v>1603.9017036464145</v>
      </c>
      <c r="BL96">
        <v>3.0923846547284484</v>
      </c>
      <c r="BM96">
        <v>2545.6510477724587</v>
      </c>
      <c r="BN96">
        <v>1.5691452499026945</v>
      </c>
      <c r="BO96">
        <v>1291.7203697198981</v>
      </c>
      <c r="BP96">
        <v>2.1855951695073244</v>
      </c>
      <c r="BQ96">
        <v>1799.1819435384293</v>
      </c>
      <c r="BR96">
        <v>1.8405011953745889</v>
      </c>
      <c r="BS96">
        <v>1515.1005840323614</v>
      </c>
      <c r="BT96">
        <v>2.3597685634783452</v>
      </c>
      <c r="BU96">
        <v>1942.5614814553735</v>
      </c>
      <c r="BV96">
        <v>2.8172377632524084</v>
      </c>
      <c r="BW96">
        <v>2319.1501267093822</v>
      </c>
      <c r="BX96">
        <v>2.6899632855474764</v>
      </c>
      <c r="BY96">
        <v>2214.3777766626822</v>
      </c>
      <c r="BZ96">
        <v>1.9560577772759615</v>
      </c>
      <c r="CA96">
        <v>1610.2267622535715</v>
      </c>
      <c r="CB96">
        <v>2.5392806948632813</v>
      </c>
      <c r="CC96">
        <v>2090.3358680114529</v>
      </c>
      <c r="CD96">
        <v>3.41707265080333</v>
      </c>
      <c r="CE96">
        <v>2812.9342061413008</v>
      </c>
      <c r="CF96">
        <v>3.0083742048587236</v>
      </c>
      <c r="CG96">
        <v>2476.4936454397011</v>
      </c>
      <c r="CH96">
        <v>3.5080890618843683</v>
      </c>
      <c r="CI96">
        <v>2887.8589157432116</v>
      </c>
      <c r="CJ96">
        <v>2.1347673748676192</v>
      </c>
      <c r="CK96">
        <v>1757.3405029910241</v>
      </c>
      <c r="CL96">
        <v>2.6078124181621485</v>
      </c>
      <c r="CM96">
        <v>2146.7511826310806</v>
      </c>
      <c r="CN96">
        <v>3.2356857222131423</v>
      </c>
      <c r="CO96">
        <v>2663.6164865258584</v>
      </c>
      <c r="CP96">
        <v>1.7879503644309587</v>
      </c>
      <c r="CQ96">
        <v>1471.8407399995651</v>
      </c>
      <c r="CR96">
        <v>3.0072071128356308</v>
      </c>
      <c r="CS96">
        <v>2475.532895286291</v>
      </c>
      <c r="CT96">
        <v>2.142240306168206</v>
      </c>
      <c r="CU96">
        <v>1763.492220037667</v>
      </c>
    </row>
    <row r="97" spans="2:99" x14ac:dyDescent="0.2">
      <c r="C97" s="119" t="s">
        <v>263</v>
      </c>
      <c r="D97">
        <v>2.727630197353105</v>
      </c>
      <c r="E97">
        <v>4988.2901049193579</v>
      </c>
      <c r="F97">
        <v>2.6490010693633317</v>
      </c>
      <c r="G97">
        <v>4844.4931556516613</v>
      </c>
      <c r="H97">
        <v>0</v>
      </c>
      <c r="I97">
        <v>0</v>
      </c>
      <c r="J97">
        <v>0</v>
      </c>
      <c r="K97">
        <v>0</v>
      </c>
      <c r="L97">
        <v>8.8918230827819347</v>
      </c>
      <c r="M97">
        <v>16261.366053791602</v>
      </c>
      <c r="N97">
        <v>2.5542955720155169</v>
      </c>
      <c r="O97">
        <v>4671.2957421019773</v>
      </c>
      <c r="P97">
        <v>1.8367348218506303</v>
      </c>
      <c r="Q97">
        <v>3359.0206422004326</v>
      </c>
      <c r="R97">
        <v>1.6999073540612524</v>
      </c>
      <c r="S97">
        <v>3108.7905691072183</v>
      </c>
      <c r="T97">
        <v>1.8771983050983156</v>
      </c>
      <c r="U97">
        <v>3433.0202603637995</v>
      </c>
      <c r="V97">
        <v>1.543952550936367</v>
      </c>
      <c r="W97">
        <v>2823.5804251524278</v>
      </c>
      <c r="X97">
        <v>2.9516076244150362</v>
      </c>
      <c r="Y97">
        <v>5397.9000235302183</v>
      </c>
      <c r="Z97">
        <v>3.1427673764099615</v>
      </c>
      <c r="AA97">
        <v>5747.4929779785371</v>
      </c>
      <c r="AB97">
        <v>2.384285639462536</v>
      </c>
      <c r="AC97">
        <v>4360.3815774490859</v>
      </c>
      <c r="AD97">
        <v>2.391078476042201</v>
      </c>
      <c r="AE97">
        <v>4372.8043169859775</v>
      </c>
      <c r="AF97">
        <v>3.0959526853054853</v>
      </c>
      <c r="AG97">
        <v>5661.8782708866711</v>
      </c>
      <c r="AH97">
        <v>1.8591391821631924</v>
      </c>
      <c r="AI97">
        <v>3399.9937363400463</v>
      </c>
      <c r="AJ97">
        <v>2.128579643346264</v>
      </c>
      <c r="AK97">
        <v>3892.7464517516478</v>
      </c>
      <c r="AL97">
        <v>0</v>
      </c>
      <c r="AM97">
        <v>0</v>
      </c>
      <c r="AN97">
        <v>4.9523312511379842</v>
      </c>
      <c r="AO97">
        <v>9056.8233920811454</v>
      </c>
      <c r="AP97">
        <v>2.1418832661171781</v>
      </c>
      <c r="AQ97">
        <v>3917.0761170750952</v>
      </c>
      <c r="AR97">
        <v>1.7503996517066363</v>
      </c>
      <c r="AS97">
        <v>3201.1308830410962</v>
      </c>
      <c r="AT97">
        <v>1.6674840530301114</v>
      </c>
      <c r="AU97">
        <v>3049.4948361814677</v>
      </c>
      <c r="AV97">
        <v>2.3026241438514217</v>
      </c>
      <c r="AW97">
        <v>4211.0390342754799</v>
      </c>
      <c r="AX97">
        <v>2.5565186316952517</v>
      </c>
      <c r="AY97">
        <v>4675.3612736442765</v>
      </c>
      <c r="AZ97">
        <v>0</v>
      </c>
      <c r="BA97">
        <v>0</v>
      </c>
      <c r="BB97">
        <v>4.8275791215103778</v>
      </c>
      <c r="BC97">
        <v>8828.6766974181792</v>
      </c>
      <c r="BD97">
        <v>2.648387346049061</v>
      </c>
      <c r="BE97">
        <v>4843.3707784545222</v>
      </c>
      <c r="BF97">
        <v>2.6744043719421247</v>
      </c>
      <c r="BG97">
        <v>4890.9507154077573</v>
      </c>
      <c r="BH97">
        <v>1.789778721486313</v>
      </c>
      <c r="BI97">
        <v>3273.1473258541691</v>
      </c>
      <c r="BJ97">
        <v>1.7712493414241703</v>
      </c>
      <c r="BK97">
        <v>3239.2607955965227</v>
      </c>
      <c r="BL97">
        <v>2.766870480546507</v>
      </c>
      <c r="BM97">
        <v>5060.0527348234518</v>
      </c>
      <c r="BN97">
        <v>1.5691452499026945</v>
      </c>
      <c r="BO97">
        <v>2869.6528330220476</v>
      </c>
      <c r="BP97">
        <v>2.3417091101864194</v>
      </c>
      <c r="BQ97">
        <v>4282.5176207089235</v>
      </c>
      <c r="BR97">
        <v>1.8405011953745889</v>
      </c>
      <c r="BS97">
        <v>3365.9085861010481</v>
      </c>
      <c r="BT97">
        <v>2.2024506592464559</v>
      </c>
      <c r="BU97">
        <v>4027.8417656299184</v>
      </c>
      <c r="BV97">
        <v>2.5042113451132519</v>
      </c>
      <c r="BW97">
        <v>4579.7017079431153</v>
      </c>
      <c r="BX97">
        <v>2.391078476042201</v>
      </c>
      <c r="BY97">
        <v>4372.8043169859775</v>
      </c>
      <c r="BZ97">
        <v>1.9560577772759615</v>
      </c>
      <c r="CA97">
        <v>3577.2384630822785</v>
      </c>
      <c r="CB97">
        <v>2.2007099355481774</v>
      </c>
      <c r="CC97">
        <v>4024.6583301305068</v>
      </c>
      <c r="CD97">
        <v>2.7957867142936332</v>
      </c>
      <c r="CE97">
        <v>5112.9347431001961</v>
      </c>
      <c r="CF97">
        <v>2.6917032359262265</v>
      </c>
      <c r="CG97">
        <v>4922.5868778618833</v>
      </c>
      <c r="CH97">
        <v>2.9234075515703069</v>
      </c>
      <c r="CI97">
        <v>5346.3277303117775</v>
      </c>
      <c r="CJ97">
        <v>1.9924495498764447</v>
      </c>
      <c r="CK97">
        <v>3643.791736814042</v>
      </c>
      <c r="CL97">
        <v>2.9555207405837685</v>
      </c>
      <c r="CM97">
        <v>5405.0563303795952</v>
      </c>
      <c r="CN97">
        <v>2.8136397584462109</v>
      </c>
      <c r="CO97">
        <v>5145.5843902464303</v>
      </c>
      <c r="CP97">
        <v>1.6254094222099624</v>
      </c>
      <c r="CQ97">
        <v>2972.5487513375792</v>
      </c>
      <c r="CR97">
        <v>2.7064864015520675</v>
      </c>
      <c r="CS97">
        <v>4949.6223311584208</v>
      </c>
      <c r="CT97">
        <v>1.9994242857569924</v>
      </c>
      <c r="CU97">
        <v>3656.5471337923877</v>
      </c>
    </row>
    <row r="98" spans="2:99" x14ac:dyDescent="0.2">
      <c r="C98" s="119" t="s">
        <v>264</v>
      </c>
      <c r="D98">
        <v>2.500327680907013</v>
      </c>
      <c r="E98">
        <v>3159.4140575941015</v>
      </c>
      <c r="F98">
        <v>2.9606482539943118</v>
      </c>
      <c r="G98">
        <v>3741.075133747212</v>
      </c>
      <c r="H98">
        <v>0</v>
      </c>
      <c r="I98">
        <v>0</v>
      </c>
      <c r="J98">
        <v>0</v>
      </c>
      <c r="K98">
        <v>0</v>
      </c>
      <c r="L98">
        <v>9.4148714994161669</v>
      </c>
      <c r="M98">
        <v>11896.631626662267</v>
      </c>
      <c r="N98">
        <v>2.5542955720155169</v>
      </c>
      <c r="O98">
        <v>3227.6078847988069</v>
      </c>
      <c r="P98">
        <v>1.8367348218506303</v>
      </c>
      <c r="Q98">
        <v>2320.8981208904561</v>
      </c>
      <c r="R98">
        <v>1.6999073540612524</v>
      </c>
      <c r="S98">
        <v>2148.0029325917985</v>
      </c>
      <c r="T98">
        <v>2.44035779662781</v>
      </c>
      <c r="U98">
        <v>3083.6361118189006</v>
      </c>
      <c r="V98">
        <v>1.6843118737487639</v>
      </c>
      <c r="W98">
        <v>2128.296483668938</v>
      </c>
      <c r="X98">
        <v>3.3451553076703746</v>
      </c>
      <c r="Y98">
        <v>4226.9382467722853</v>
      </c>
      <c r="Z98">
        <v>3.3173655639882931</v>
      </c>
      <c r="AA98">
        <v>4191.8231266556068</v>
      </c>
      <c r="AB98">
        <v>2.5829761094177472</v>
      </c>
      <c r="AC98">
        <v>3263.848611860265</v>
      </c>
      <c r="AD98">
        <v>2.8394056903001141</v>
      </c>
      <c r="AE98">
        <v>3587.8730302632239</v>
      </c>
      <c r="AF98">
        <v>3.302349530992517</v>
      </c>
      <c r="AG98">
        <v>4172.8488673621441</v>
      </c>
      <c r="AH98">
        <v>1.8591391821631924</v>
      </c>
      <c r="AI98">
        <v>2349.2082705814096</v>
      </c>
      <c r="AJ98">
        <v>2.34143760768089</v>
      </c>
      <c r="AK98">
        <v>2958.6405610655725</v>
      </c>
      <c r="AL98">
        <v>0</v>
      </c>
      <c r="AM98">
        <v>0</v>
      </c>
      <c r="AN98">
        <v>5.6598071441576954</v>
      </c>
      <c r="AO98">
        <v>7151.7323073576636</v>
      </c>
      <c r="AP98">
        <v>2.1418832661171781</v>
      </c>
      <c r="AQ98">
        <v>2706.4836950656659</v>
      </c>
      <c r="AR98">
        <v>2.0196919058153493</v>
      </c>
      <c r="AS98">
        <v>2552.0826921882754</v>
      </c>
      <c r="AT98">
        <v>2.0009808636361335</v>
      </c>
      <c r="AU98">
        <v>2528.4394192906179</v>
      </c>
      <c r="AV98">
        <v>2.4797490779938385</v>
      </c>
      <c r="AW98">
        <v>3133.410934953014</v>
      </c>
      <c r="AX98">
        <v>3.0358658751381111</v>
      </c>
      <c r="AY98">
        <v>3836.1201198245171</v>
      </c>
      <c r="AZ98">
        <v>0</v>
      </c>
      <c r="BA98">
        <v>0</v>
      </c>
      <c r="BB98">
        <v>5.6795048488357391</v>
      </c>
      <c r="BC98">
        <v>7176.6223269888396</v>
      </c>
      <c r="BD98">
        <v>2.648387346049061</v>
      </c>
      <c r="BE98">
        <v>3346.5022504675931</v>
      </c>
      <c r="BF98">
        <v>2.5170864677102349</v>
      </c>
      <c r="BG98">
        <v>3180.5904605986525</v>
      </c>
      <c r="BH98">
        <v>1.789778721486313</v>
      </c>
      <c r="BI98">
        <v>2261.5643924701048</v>
      </c>
      <c r="BJ98">
        <v>2.1254992097090049</v>
      </c>
      <c r="BK98">
        <v>2685.7808013882982</v>
      </c>
      <c r="BL98">
        <v>3.4178988289103902</v>
      </c>
      <c r="BM98">
        <v>4318.8569602111684</v>
      </c>
      <c r="BN98">
        <v>1.726059774892964</v>
      </c>
      <c r="BO98">
        <v>2181.0491315547492</v>
      </c>
      <c r="BP98">
        <v>2.3417091101864194</v>
      </c>
      <c r="BQ98">
        <v>2958.9836316315591</v>
      </c>
      <c r="BR98">
        <v>1.8405011953745889</v>
      </c>
      <c r="BS98">
        <v>2325.6573104753302</v>
      </c>
      <c r="BT98">
        <v>2.3597685634783452</v>
      </c>
      <c r="BU98">
        <v>2981.8035568112368</v>
      </c>
      <c r="BV98">
        <v>2.8172377632524084</v>
      </c>
      <c r="BW98">
        <v>3559.861637645743</v>
      </c>
      <c r="BX98">
        <v>2.5405208807948387</v>
      </c>
      <c r="BY98">
        <v>3210.2021849723578</v>
      </c>
      <c r="BZ98">
        <v>1.6766209519508242</v>
      </c>
      <c r="CA98">
        <v>2118.5782348850612</v>
      </c>
      <c r="CB98">
        <v>2.0314245558906254</v>
      </c>
      <c r="CC98">
        <v>2566.9080688233939</v>
      </c>
      <c r="CD98">
        <v>3.2617511666759058</v>
      </c>
      <c r="CE98">
        <v>4121.5487742116738</v>
      </c>
      <c r="CF98">
        <v>3.0083742048587236</v>
      </c>
      <c r="CG98">
        <v>3801.3816452594829</v>
      </c>
      <c r="CH98">
        <v>2.7285137147989529</v>
      </c>
      <c r="CI98">
        <v>3447.7499300199565</v>
      </c>
      <c r="CJ98">
        <v>2.1347673748676192</v>
      </c>
      <c r="CK98">
        <v>2697.4920548827236</v>
      </c>
      <c r="CL98">
        <v>3.1293749017945784</v>
      </c>
      <c r="CM98">
        <v>3954.2781259076291</v>
      </c>
      <c r="CN98">
        <v>2.8136397584462109</v>
      </c>
      <c r="CO98">
        <v>3555.3151987726319</v>
      </c>
      <c r="CP98">
        <v>1.6254094222099624</v>
      </c>
      <c r="CQ98">
        <v>2053.8673459045085</v>
      </c>
      <c r="CR98">
        <v>2.856846757193849</v>
      </c>
      <c r="CS98">
        <v>3609.9115623901471</v>
      </c>
      <c r="CT98">
        <v>1.9994242857569924</v>
      </c>
      <c r="CU98">
        <v>2526.4725274825355</v>
      </c>
    </row>
    <row r="99" spans="2:99" x14ac:dyDescent="0.2">
      <c r="C99" s="119" t="s">
        <v>265</v>
      </c>
      <c r="D99">
        <v>2.0457226480148289</v>
      </c>
      <c r="E99">
        <v>11213.833267358084</v>
      </c>
      <c r="F99">
        <v>2.0257067001013711</v>
      </c>
      <c r="G99">
        <v>11104.113847275676</v>
      </c>
      <c r="H99">
        <v>0</v>
      </c>
      <c r="I99">
        <v>0</v>
      </c>
      <c r="J99">
        <v>0</v>
      </c>
      <c r="K99">
        <v>0</v>
      </c>
      <c r="L99">
        <v>7.8457262495134721</v>
      </c>
      <c r="M99">
        <v>43007.133009333047</v>
      </c>
      <c r="N99">
        <v>2.128579643346264</v>
      </c>
      <c r="O99">
        <v>11668.022172966879</v>
      </c>
      <c r="P99">
        <v>1.5027830360596066</v>
      </c>
      <c r="Q99">
        <v>8237.6554904643381</v>
      </c>
      <c r="R99">
        <v>1.0817592253117061</v>
      </c>
      <c r="S99">
        <v>5929.7713694686472</v>
      </c>
      <c r="T99">
        <v>1.6894784745884841</v>
      </c>
      <c r="U99">
        <v>9261.0452063042339</v>
      </c>
      <c r="V99">
        <v>1.1228745824991759</v>
      </c>
      <c r="W99">
        <v>6155.1493114274817</v>
      </c>
      <c r="X99">
        <v>2.5580599411596983</v>
      </c>
      <c r="Y99">
        <v>14022.261373461</v>
      </c>
      <c r="Z99">
        <v>2.0951782509399743</v>
      </c>
      <c r="AA99">
        <v>11484.929100352561</v>
      </c>
      <c r="AB99">
        <v>1.7882142295969019</v>
      </c>
      <c r="AC99">
        <v>9802.2751209583766</v>
      </c>
      <c r="AD99">
        <v>1.7933088570316509</v>
      </c>
      <c r="AE99">
        <v>9830.2018307046965</v>
      </c>
      <c r="AF99">
        <v>2.4767621482443878</v>
      </c>
      <c r="AG99">
        <v>13576.619391816435</v>
      </c>
      <c r="AH99">
        <v>1.3943543866223944</v>
      </c>
      <c r="AI99">
        <v>7643.2930057093163</v>
      </c>
      <c r="AJ99">
        <v>1.4900057503423847</v>
      </c>
      <c r="AK99">
        <v>8167.6155210768147</v>
      </c>
      <c r="AL99">
        <v>0</v>
      </c>
      <c r="AM99">
        <v>0</v>
      </c>
      <c r="AN99">
        <v>3.8911174116084157</v>
      </c>
      <c r="AO99">
        <v>21329.549203472689</v>
      </c>
      <c r="AP99">
        <v>1.3769249567896145</v>
      </c>
      <c r="AQ99">
        <v>7547.7518431379494</v>
      </c>
      <c r="AR99">
        <v>1.3464612705435663</v>
      </c>
      <c r="AS99">
        <v>7380.7621006116124</v>
      </c>
      <c r="AT99">
        <v>1.5007356477271003</v>
      </c>
      <c r="AU99">
        <v>8226.4325265808729</v>
      </c>
      <c r="AV99">
        <v>1.7712493414241703</v>
      </c>
      <c r="AW99">
        <v>9709.2803899507308</v>
      </c>
      <c r="AX99">
        <v>1.9173889737714387</v>
      </c>
      <c r="AY99">
        <v>10510.359398625516</v>
      </c>
      <c r="AZ99">
        <v>0</v>
      </c>
      <c r="BA99">
        <v>0</v>
      </c>
      <c r="BB99">
        <v>4.2596286366268039</v>
      </c>
      <c r="BC99">
        <v>23349.580334533486</v>
      </c>
      <c r="BD99">
        <v>2.0808757718956907</v>
      </c>
      <c r="BE99">
        <v>11406.528631223417</v>
      </c>
      <c r="BF99">
        <v>1.8878148507826762</v>
      </c>
      <c r="BG99">
        <v>10348.245886050317</v>
      </c>
      <c r="BH99">
        <v>1.5144281489499571</v>
      </c>
      <c r="BI99">
        <v>8301.4893412840847</v>
      </c>
      <c r="BJ99">
        <v>1.5941244072817533</v>
      </c>
      <c r="BK99">
        <v>8738.352350955658</v>
      </c>
      <c r="BL99">
        <v>2.1158421321826228</v>
      </c>
      <c r="BM99">
        <v>11598.200231772264</v>
      </c>
      <c r="BN99">
        <v>1.2553161999221556</v>
      </c>
      <c r="BO99">
        <v>6881.1412814932874</v>
      </c>
      <c r="BP99">
        <v>1.7172533474700407</v>
      </c>
      <c r="BQ99">
        <v>9413.2959494917741</v>
      </c>
      <c r="BR99">
        <v>1.2883508367622123</v>
      </c>
      <c r="BS99">
        <v>7062.2239467957424</v>
      </c>
      <c r="BT99">
        <v>1.5731790423188969</v>
      </c>
      <c r="BU99">
        <v>8623.538238375264</v>
      </c>
      <c r="BV99">
        <v>2.0346717179045171</v>
      </c>
      <c r="BW99">
        <v>11153.2564888654</v>
      </c>
      <c r="BX99">
        <v>1.6438664522790134</v>
      </c>
      <c r="BY99">
        <v>9011.018344812639</v>
      </c>
      <c r="BZ99">
        <v>1.3971841266256868</v>
      </c>
      <c r="CA99">
        <v>7658.8045085113645</v>
      </c>
      <c r="CB99">
        <v>1.692853796575521</v>
      </c>
      <c r="CC99">
        <v>9279.5473713083757</v>
      </c>
      <c r="CD99">
        <v>2.0191792936565132</v>
      </c>
      <c r="CE99">
        <v>11068.333216107541</v>
      </c>
      <c r="CF99">
        <v>1.9000258135949835</v>
      </c>
      <c r="CG99">
        <v>10415.18149980226</v>
      </c>
      <c r="CH99">
        <v>2.3387260412562454</v>
      </c>
      <c r="CI99">
        <v>12819.960667750234</v>
      </c>
      <c r="CJ99">
        <v>1.4231782499117462</v>
      </c>
      <c r="CK99">
        <v>7801.2938947162274</v>
      </c>
      <c r="CL99">
        <v>1.912395773318909</v>
      </c>
      <c r="CM99">
        <v>10482.98867102493</v>
      </c>
      <c r="CN99">
        <v>1.9695478309123475</v>
      </c>
      <c r="CO99">
        <v>10796.273389929123</v>
      </c>
      <c r="CP99">
        <v>1.3003275377679699</v>
      </c>
      <c r="CQ99">
        <v>7127.8754310289032</v>
      </c>
      <c r="CR99">
        <v>2.1050449789849415</v>
      </c>
      <c r="CS99">
        <v>11539.014556803853</v>
      </c>
      <c r="CT99">
        <v>1.4281602041121373</v>
      </c>
      <c r="CU99">
        <v>7828.6029748610908</v>
      </c>
    </row>
    <row r="100" spans="2:99" x14ac:dyDescent="0.2">
      <c r="C100" s="119" t="s">
        <v>266</v>
      </c>
      <c r="D100">
        <v>2.954932713799197</v>
      </c>
      <c r="E100">
        <v>4794.0828348678169</v>
      </c>
      <c r="F100">
        <v>2.4931774770478414</v>
      </c>
      <c r="G100">
        <v>4044.9311387624175</v>
      </c>
      <c r="H100">
        <v>0</v>
      </c>
      <c r="I100">
        <v>0</v>
      </c>
      <c r="J100">
        <v>0</v>
      </c>
      <c r="K100">
        <v>0</v>
      </c>
      <c r="L100">
        <v>9.9379199160503973</v>
      </c>
      <c r="M100">
        <v>16123.281271800162</v>
      </c>
      <c r="N100">
        <v>2.5542955720155169</v>
      </c>
      <c r="O100">
        <v>4144.0891360379746</v>
      </c>
      <c r="P100">
        <v>1.8367348218506303</v>
      </c>
      <c r="Q100">
        <v>2979.9185749704625</v>
      </c>
      <c r="R100">
        <v>1.6999073540612524</v>
      </c>
      <c r="S100">
        <v>2757.9296912289756</v>
      </c>
      <c r="T100">
        <v>2.252637966117979</v>
      </c>
      <c r="U100">
        <v>3654.6798362298086</v>
      </c>
      <c r="V100">
        <v>1.6843118737487639</v>
      </c>
      <c r="W100">
        <v>2732.6275839699942</v>
      </c>
      <c r="X100">
        <v>3.3451553076703746</v>
      </c>
      <c r="Y100">
        <v>5427.1799711644153</v>
      </c>
      <c r="Z100">
        <v>3.1427673764099615</v>
      </c>
      <c r="AA100">
        <v>5098.8257914875212</v>
      </c>
      <c r="AB100">
        <v>2.384285639462536</v>
      </c>
      <c r="AC100">
        <v>3868.265021464018</v>
      </c>
      <c r="AD100">
        <v>2.5405208807948387</v>
      </c>
      <c r="AE100">
        <v>4121.7410770015458</v>
      </c>
      <c r="AF100">
        <v>3.302349530992517</v>
      </c>
      <c r="AG100">
        <v>5357.7318790822592</v>
      </c>
      <c r="AH100">
        <v>2.1689957125237247</v>
      </c>
      <c r="AI100">
        <v>3518.9786439984905</v>
      </c>
      <c r="AJ100">
        <v>2.128579643346264</v>
      </c>
      <c r="AK100">
        <v>3453.4076133649783</v>
      </c>
      <c r="AL100">
        <v>0</v>
      </c>
      <c r="AM100">
        <v>0</v>
      </c>
      <c r="AN100">
        <v>4.9523312511379842</v>
      </c>
      <c r="AO100">
        <v>8034.6622218462653</v>
      </c>
      <c r="AP100">
        <v>1.9888916042516653</v>
      </c>
      <c r="AQ100">
        <v>3226.7777387379015</v>
      </c>
      <c r="AR100">
        <v>1.7503996517066363</v>
      </c>
      <c r="AS100">
        <v>2839.8483949288466</v>
      </c>
      <c r="AT100">
        <v>1.6674840530301114</v>
      </c>
      <c r="AU100">
        <v>2705.3261276360527</v>
      </c>
      <c r="AV100">
        <v>2.1254992097090049</v>
      </c>
      <c r="AW100">
        <v>3448.4099178318893</v>
      </c>
      <c r="AX100">
        <v>2.8760834606571581</v>
      </c>
      <c r="AY100">
        <v>4666.1578065701733</v>
      </c>
      <c r="AZ100">
        <v>0</v>
      </c>
      <c r="BA100">
        <v>0</v>
      </c>
      <c r="BB100">
        <v>5.6795048488357391</v>
      </c>
      <c r="BC100">
        <v>9214.4286667511024</v>
      </c>
      <c r="BD100">
        <v>2.648387346049061</v>
      </c>
      <c r="BE100">
        <v>4296.7436302299966</v>
      </c>
      <c r="BF100">
        <v>2.6744043719421247</v>
      </c>
      <c r="BG100">
        <v>4338.9536530389023</v>
      </c>
      <c r="BH100">
        <v>1.789778721486313</v>
      </c>
      <c r="BI100">
        <v>2903.7369977393942</v>
      </c>
      <c r="BJ100">
        <v>1.9483742755665872</v>
      </c>
      <c r="BK100">
        <v>3161.0424246792309</v>
      </c>
      <c r="BL100">
        <v>2.9296275676374774</v>
      </c>
      <c r="BM100">
        <v>4753.0277657350434</v>
      </c>
      <c r="BN100">
        <v>1.5691452499026945</v>
      </c>
      <c r="BO100">
        <v>2545.7812534421314</v>
      </c>
      <c r="BP100">
        <v>2.1855951695073244</v>
      </c>
      <c r="BQ100">
        <v>3545.9096030086826</v>
      </c>
      <c r="BR100">
        <v>1.8405011953745889</v>
      </c>
      <c r="BS100">
        <v>2986.0291393757329</v>
      </c>
      <c r="BT100">
        <v>2.2024506592464559</v>
      </c>
      <c r="BU100">
        <v>3573.2559495614496</v>
      </c>
      <c r="BV100">
        <v>2.8172377632524084</v>
      </c>
      <c r="BW100">
        <v>4570.6865471007068</v>
      </c>
      <c r="BX100">
        <v>2.5405208807948387</v>
      </c>
      <c r="BY100">
        <v>4121.7410770015458</v>
      </c>
      <c r="BZ100">
        <v>1.6766209519508242</v>
      </c>
      <c r="CA100">
        <v>2720.1498324450167</v>
      </c>
      <c r="CB100">
        <v>2.3699953152057298</v>
      </c>
      <c r="CC100">
        <v>3845.0803993897757</v>
      </c>
      <c r="CD100">
        <v>3.1064296825484816</v>
      </c>
      <c r="CE100">
        <v>5039.8715169666566</v>
      </c>
      <c r="CF100">
        <v>2.6917032359262265</v>
      </c>
      <c r="CG100">
        <v>4367.0193299667098</v>
      </c>
      <c r="CH100">
        <v>2.7285137147989529</v>
      </c>
      <c r="CI100">
        <v>4426.7406508898212</v>
      </c>
      <c r="CJ100">
        <v>1.85013172488527</v>
      </c>
      <c r="CK100">
        <v>3001.653710453862</v>
      </c>
      <c r="CL100">
        <v>2.6078124181621485</v>
      </c>
      <c r="CM100">
        <v>4230.9148672262691</v>
      </c>
      <c r="CN100">
        <v>2.9543217463685214</v>
      </c>
      <c r="CO100">
        <v>4793.0916013082888</v>
      </c>
      <c r="CP100">
        <v>1.7879503644309587</v>
      </c>
      <c r="CQ100">
        <v>2900.770671252787</v>
      </c>
      <c r="CR100">
        <v>2.7064864015520675</v>
      </c>
      <c r="CS100">
        <v>4391.003537878074</v>
      </c>
      <c r="CT100">
        <v>1.7137922449345648</v>
      </c>
      <c r="CU100">
        <v>2780.4565381818379</v>
      </c>
    </row>
    <row r="101" spans="2:99" x14ac:dyDescent="0.2">
      <c r="C101" s="119" t="s">
        <v>267</v>
      </c>
      <c r="D101">
        <v>2.727630197353105</v>
      </c>
      <c r="E101">
        <v>3246.970986929136</v>
      </c>
      <c r="F101">
        <v>2.9606482539943118</v>
      </c>
      <c r="G101">
        <v>3524.3556815548282</v>
      </c>
      <c r="H101">
        <v>0</v>
      </c>
      <c r="I101">
        <v>0</v>
      </c>
      <c r="J101">
        <v>0</v>
      </c>
      <c r="K101">
        <v>0</v>
      </c>
      <c r="L101">
        <v>9.4148714994161669</v>
      </c>
      <c r="M101">
        <v>11207.463032905003</v>
      </c>
      <c r="N101">
        <v>2.5542955720155169</v>
      </c>
      <c r="O101">
        <v>3040.6334489272708</v>
      </c>
      <c r="P101">
        <v>2.0037107147461417</v>
      </c>
      <c r="Q101">
        <v>2385.2172348338067</v>
      </c>
      <c r="R101">
        <v>1.6999073540612524</v>
      </c>
      <c r="S101">
        <v>2023.5697142745146</v>
      </c>
      <c r="T101">
        <v>2.252637966117979</v>
      </c>
      <c r="U101">
        <v>2681.5402348668417</v>
      </c>
      <c r="V101">
        <v>1.543952550936367</v>
      </c>
      <c r="W101">
        <v>1837.9211166346511</v>
      </c>
      <c r="X101">
        <v>3.3451553076703746</v>
      </c>
      <c r="Y101">
        <v>3982.0728782508136</v>
      </c>
      <c r="Z101">
        <v>3.1427673764099615</v>
      </c>
      <c r="AA101">
        <v>3741.1502848784176</v>
      </c>
      <c r="AB101">
        <v>2.7816665793729585</v>
      </c>
      <c r="AC101">
        <v>3311.2958960855694</v>
      </c>
      <c r="AD101">
        <v>2.8394056903001141</v>
      </c>
      <c r="AE101">
        <v>3380.0285337332557</v>
      </c>
      <c r="AF101">
        <v>3.7151432223665819</v>
      </c>
      <c r="AG101">
        <v>4422.5064919051783</v>
      </c>
      <c r="AH101">
        <v>1.8591391821631924</v>
      </c>
      <c r="AI101">
        <v>2213.1192824470641</v>
      </c>
      <c r="AJ101">
        <v>2.128579643346264</v>
      </c>
      <c r="AK101">
        <v>2533.8612074393923</v>
      </c>
      <c r="AL101">
        <v>0</v>
      </c>
      <c r="AM101">
        <v>0</v>
      </c>
      <c r="AN101">
        <v>5.3060691976478402</v>
      </c>
      <c r="AO101">
        <v>6316.3447728799883</v>
      </c>
      <c r="AP101">
        <v>2.1418832661171781</v>
      </c>
      <c r="AQ101">
        <v>2549.6978399858885</v>
      </c>
      <c r="AR101">
        <v>1.7503996517066363</v>
      </c>
      <c r="AS101">
        <v>2083.6757453915798</v>
      </c>
      <c r="AT101">
        <v>2.0009808636361335</v>
      </c>
      <c r="AU101">
        <v>2381.967620072453</v>
      </c>
      <c r="AV101">
        <v>2.3026241438514217</v>
      </c>
      <c r="AW101">
        <v>2741.0437808407319</v>
      </c>
      <c r="AX101">
        <v>2.5565186316952517</v>
      </c>
      <c r="AY101">
        <v>3043.2797791700273</v>
      </c>
      <c r="AZ101">
        <v>0</v>
      </c>
      <c r="BA101">
        <v>0</v>
      </c>
      <c r="BB101">
        <v>5.9634800912775257</v>
      </c>
      <c r="BC101">
        <v>7098.9267006567661</v>
      </c>
      <c r="BD101">
        <v>2.837557870766851</v>
      </c>
      <c r="BE101">
        <v>3377.8288893608592</v>
      </c>
      <c r="BF101">
        <v>2.3597685634783452</v>
      </c>
      <c r="BG101">
        <v>2809.0684979646217</v>
      </c>
      <c r="BH101">
        <v>2.0651292940226691</v>
      </c>
      <c r="BI101">
        <v>2458.329911604585</v>
      </c>
      <c r="BJ101">
        <v>2.1254992097090049</v>
      </c>
      <c r="BK101">
        <v>2530.194259237599</v>
      </c>
      <c r="BL101">
        <v>3.0923846547284484</v>
      </c>
      <c r="BM101">
        <v>3681.1746929887445</v>
      </c>
      <c r="BN101">
        <v>1.726059774892964</v>
      </c>
      <c r="BO101">
        <v>2054.701556032584</v>
      </c>
      <c r="BP101">
        <v>2.6539369915446085</v>
      </c>
      <c r="BQ101">
        <v>3159.2465947347014</v>
      </c>
      <c r="BR101">
        <v>1.8405011953745889</v>
      </c>
      <c r="BS101">
        <v>2190.9326229739104</v>
      </c>
      <c r="BT101">
        <v>2.0451327550145657</v>
      </c>
      <c r="BU101">
        <v>2434.5260315693386</v>
      </c>
      <c r="BV101">
        <v>2.6607245541828299</v>
      </c>
      <c r="BW101">
        <v>3167.3265092992406</v>
      </c>
      <c r="BX101">
        <v>2.5405208807948387</v>
      </c>
      <c r="BY101">
        <v>3024.2360564981755</v>
      </c>
      <c r="BZ101">
        <v>1.9560577772759615</v>
      </c>
      <c r="CA101">
        <v>2328.4911780693042</v>
      </c>
      <c r="CB101">
        <v>2.0314245558906254</v>
      </c>
      <c r="CC101">
        <v>2418.2077913322</v>
      </c>
      <c r="CD101">
        <v>2.9511081984210574</v>
      </c>
      <c r="CE101">
        <v>3512.9991994004263</v>
      </c>
      <c r="CF101">
        <v>3.0083742048587236</v>
      </c>
      <c r="CG101">
        <v>3581.1686534638243</v>
      </c>
      <c r="CH101">
        <v>3.1183013883416608</v>
      </c>
      <c r="CI101">
        <v>3712.0259726819127</v>
      </c>
      <c r="CJ101">
        <v>2.1347673748676192</v>
      </c>
      <c r="CK101">
        <v>2541.2270830424136</v>
      </c>
      <c r="CL101">
        <v>3.1293749017945784</v>
      </c>
      <c r="CM101">
        <v>3725.207883096266</v>
      </c>
      <c r="CN101">
        <v>2.6729577705239005</v>
      </c>
      <c r="CO101">
        <v>3181.8889300316509</v>
      </c>
      <c r="CP101">
        <v>1.9504913066519549</v>
      </c>
      <c r="CQ101">
        <v>2321.8648514384868</v>
      </c>
      <c r="CR101">
        <v>3.1575674684774122</v>
      </c>
      <c r="CS101">
        <v>3758.768314475511</v>
      </c>
      <c r="CT101">
        <v>1.9994242857569924</v>
      </c>
      <c r="CU101">
        <v>2380.1146697651234</v>
      </c>
    </row>
    <row r="102" spans="2:99" x14ac:dyDescent="0.2">
      <c r="C102" s="119" t="s">
        <v>268</v>
      </c>
      <c r="D102">
        <v>2.500327680907013</v>
      </c>
      <c r="E102">
        <v>4848.6354388148793</v>
      </c>
      <c r="F102">
        <v>2.4931774770478414</v>
      </c>
      <c r="G102">
        <v>4834.7697634911738</v>
      </c>
      <c r="H102">
        <v>0</v>
      </c>
      <c r="I102">
        <v>0</v>
      </c>
      <c r="J102">
        <v>0</v>
      </c>
      <c r="K102">
        <v>0</v>
      </c>
      <c r="L102">
        <v>8.3687746661477043</v>
      </c>
      <c r="M102">
        <v>16228.727832593626</v>
      </c>
      <c r="N102">
        <v>2.34143760768089</v>
      </c>
      <c r="O102">
        <v>4540.5158088147818</v>
      </c>
      <c r="P102">
        <v>1.8367348218506303</v>
      </c>
      <c r="Q102">
        <v>3561.7961665327421</v>
      </c>
      <c r="R102">
        <v>1.3908332896864792</v>
      </c>
      <c r="S102">
        <v>2697.1039153600204</v>
      </c>
      <c r="T102">
        <v>1.8771983050983156</v>
      </c>
      <c r="U102">
        <v>3640.2629532466535</v>
      </c>
      <c r="V102">
        <v>1.40359322812397</v>
      </c>
      <c r="W102">
        <v>2721.8479879780025</v>
      </c>
      <c r="X102">
        <v>3.5419291492980434</v>
      </c>
      <c r="Y102">
        <v>6868.5090063187654</v>
      </c>
      <c r="Z102">
        <v>3.1427673764099615</v>
      </c>
      <c r="AA102">
        <v>6094.4544963341968</v>
      </c>
      <c r="AB102">
        <v>2.1855951695073244</v>
      </c>
      <c r="AC102">
        <v>4238.3061527086029</v>
      </c>
      <c r="AD102">
        <v>2.391078476042201</v>
      </c>
      <c r="AE102">
        <v>4636.7793807410362</v>
      </c>
      <c r="AF102">
        <v>3.0959526853054853</v>
      </c>
      <c r="AG102">
        <v>6003.6714473443963</v>
      </c>
      <c r="AH102">
        <v>2.0140674473434586</v>
      </c>
      <c r="AI102">
        <v>3905.6795938884343</v>
      </c>
      <c r="AJ102">
        <v>2.34143760768089</v>
      </c>
      <c r="AK102">
        <v>4540.5158088147818</v>
      </c>
      <c r="AL102">
        <v>0</v>
      </c>
      <c r="AM102">
        <v>0</v>
      </c>
      <c r="AN102">
        <v>4.9523312511379842</v>
      </c>
      <c r="AO102">
        <v>9603.5607622067782</v>
      </c>
      <c r="AP102">
        <v>2.1418832661171781</v>
      </c>
      <c r="AQ102">
        <v>4153.5400296544312</v>
      </c>
      <c r="AR102">
        <v>1.7503996517066363</v>
      </c>
      <c r="AS102">
        <v>3394.3750045895085</v>
      </c>
      <c r="AT102">
        <v>1.6674840530301114</v>
      </c>
      <c r="AU102">
        <v>3233.5850756359919</v>
      </c>
      <c r="AV102">
        <v>2.4797490779938385</v>
      </c>
      <c r="AW102">
        <v>4808.7294120456509</v>
      </c>
      <c r="AX102">
        <v>2.8760834606571581</v>
      </c>
      <c r="AY102">
        <v>5577.3010469063602</v>
      </c>
      <c r="AZ102">
        <v>0</v>
      </c>
      <c r="BA102">
        <v>0</v>
      </c>
      <c r="BB102">
        <v>4.8275791215103778</v>
      </c>
      <c r="BC102">
        <v>9361.6414324329235</v>
      </c>
      <c r="BD102">
        <v>2.648387346049061</v>
      </c>
      <c r="BE102">
        <v>5135.7527414583383</v>
      </c>
      <c r="BF102">
        <v>2.5170864677102349</v>
      </c>
      <c r="BG102">
        <v>4881.1340781836871</v>
      </c>
      <c r="BH102">
        <v>1.652103435218135</v>
      </c>
      <c r="BI102">
        <v>3203.7589815750071</v>
      </c>
      <c r="BJ102">
        <v>1.9483742755665872</v>
      </c>
      <c r="BK102">
        <v>3778.2873951787255</v>
      </c>
      <c r="BL102">
        <v>3.0923846547284484</v>
      </c>
      <c r="BM102">
        <v>5996.7523224494062</v>
      </c>
      <c r="BN102">
        <v>1.4122307249124251</v>
      </c>
      <c r="BO102">
        <v>2738.5978217501743</v>
      </c>
      <c r="BP102">
        <v>2.0294812288282302</v>
      </c>
      <c r="BQ102">
        <v>3935.5699989437039</v>
      </c>
      <c r="BR102">
        <v>1.8405011953745889</v>
      </c>
      <c r="BS102">
        <v>3569.0999180704025</v>
      </c>
      <c r="BT102">
        <v>2.0451327550145657</v>
      </c>
      <c r="BU102">
        <v>3965.9214385242453</v>
      </c>
      <c r="BV102">
        <v>2.6607245541828299</v>
      </c>
      <c r="BW102">
        <v>5159.677055471343</v>
      </c>
      <c r="BX102">
        <v>2.391078476042201</v>
      </c>
      <c r="BY102">
        <v>4636.7793807410362</v>
      </c>
      <c r="BZ102">
        <v>1.816339364613393</v>
      </c>
      <c r="CA102">
        <v>3522.2452958582912</v>
      </c>
      <c r="CB102">
        <v>2.2007099355481774</v>
      </c>
      <c r="CC102">
        <v>4267.616707015025</v>
      </c>
      <c r="CD102">
        <v>2.9511081984210574</v>
      </c>
      <c r="CE102">
        <v>5722.7890183781137</v>
      </c>
      <c r="CF102">
        <v>2.3750322669937289</v>
      </c>
      <c r="CG102">
        <v>4605.6625721542387</v>
      </c>
      <c r="CH102">
        <v>2.5336198780275989</v>
      </c>
      <c r="CI102">
        <v>4913.1956674711191</v>
      </c>
      <c r="CJ102">
        <v>1.85013172488527</v>
      </c>
      <c r="CK102">
        <v>3587.7754408975152</v>
      </c>
      <c r="CL102">
        <v>2.9555207405837685</v>
      </c>
      <c r="CM102">
        <v>5731.3458201400435</v>
      </c>
      <c r="CN102">
        <v>2.6729577705239005</v>
      </c>
      <c r="CO102">
        <v>5183.3997085999472</v>
      </c>
      <c r="CP102">
        <v>1.7879503644309587</v>
      </c>
      <c r="CQ102">
        <v>3467.1933467045146</v>
      </c>
      <c r="CR102">
        <v>3.0072071128356308</v>
      </c>
      <c r="CS102">
        <v>5831.5760332108548</v>
      </c>
      <c r="CT102">
        <v>1.7137922449345648</v>
      </c>
      <c r="CU102">
        <v>3323.3859213771079</v>
      </c>
    </row>
    <row r="103" spans="2:99" x14ac:dyDescent="0.2">
      <c r="C103" s="119" t="s">
        <v>269</v>
      </c>
      <c r="D103">
        <v>2.727630197353105</v>
      </c>
      <c r="E103">
        <v>5531.6340402320966</v>
      </c>
      <c r="F103">
        <v>2.6490010693633317</v>
      </c>
      <c r="G103">
        <v>5372.1741686688365</v>
      </c>
      <c r="H103">
        <v>0</v>
      </c>
      <c r="I103">
        <v>0</v>
      </c>
      <c r="J103">
        <v>0</v>
      </c>
      <c r="K103">
        <v>0</v>
      </c>
      <c r="L103">
        <v>9.4148714994161669</v>
      </c>
      <c r="M103">
        <v>19093.359400815985</v>
      </c>
      <c r="N103">
        <v>2.5542955720155169</v>
      </c>
      <c r="O103">
        <v>5180.1114200474685</v>
      </c>
      <c r="P103">
        <v>2.0037107147461417</v>
      </c>
      <c r="Q103">
        <v>4063.5253295051753</v>
      </c>
      <c r="R103">
        <v>1.5453703218738659</v>
      </c>
      <c r="S103">
        <v>3134.0110127602002</v>
      </c>
      <c r="T103">
        <v>2.252637966117979</v>
      </c>
      <c r="U103">
        <v>4568.3497952872613</v>
      </c>
      <c r="V103">
        <v>1.543952550936367</v>
      </c>
      <c r="W103">
        <v>3131.1357732989522</v>
      </c>
      <c r="X103">
        <v>3.1483814660427054</v>
      </c>
      <c r="Y103">
        <v>6384.9176131346067</v>
      </c>
      <c r="Z103">
        <v>2.7935710012532993</v>
      </c>
      <c r="AA103">
        <v>5665.3619905416908</v>
      </c>
      <c r="AB103">
        <v>2.1855951695073244</v>
      </c>
      <c r="AC103">
        <v>4432.387003760854</v>
      </c>
      <c r="AD103">
        <v>2.2416360712895638</v>
      </c>
      <c r="AE103">
        <v>4546.0379525752351</v>
      </c>
      <c r="AF103">
        <v>3.302349530992517</v>
      </c>
      <c r="AG103">
        <v>6697.1648488528244</v>
      </c>
      <c r="AH103">
        <v>2.0140674473434586</v>
      </c>
      <c r="AI103">
        <v>4084.5287832125341</v>
      </c>
      <c r="AJ103">
        <v>2.128579643346264</v>
      </c>
      <c r="AK103">
        <v>4316.7595167062236</v>
      </c>
      <c r="AL103">
        <v>0</v>
      </c>
      <c r="AM103">
        <v>0</v>
      </c>
      <c r="AN103">
        <v>4.9523312511379842</v>
      </c>
      <c r="AO103">
        <v>10043.327777307832</v>
      </c>
      <c r="AP103">
        <v>1.8358999423861526</v>
      </c>
      <c r="AQ103">
        <v>3723.2050831591173</v>
      </c>
      <c r="AR103">
        <v>1.7503996517066363</v>
      </c>
      <c r="AS103">
        <v>3549.8104936610584</v>
      </c>
      <c r="AT103">
        <v>2.0009808636361335</v>
      </c>
      <c r="AU103">
        <v>4057.9891914540785</v>
      </c>
      <c r="AV103">
        <v>2.1254992097090049</v>
      </c>
      <c r="AW103">
        <v>4310.5123972898618</v>
      </c>
      <c r="AX103">
        <v>2.7163010461762047</v>
      </c>
      <c r="AY103">
        <v>5508.6585216453432</v>
      </c>
      <c r="AZ103">
        <v>0</v>
      </c>
      <c r="BA103">
        <v>0</v>
      </c>
      <c r="BB103">
        <v>5.1115543639521652</v>
      </c>
      <c r="BC103">
        <v>10366.23225009499</v>
      </c>
      <c r="BD103">
        <v>2.648387346049061</v>
      </c>
      <c r="BE103">
        <v>5370.929537787496</v>
      </c>
      <c r="BF103">
        <v>2.3597685634783452</v>
      </c>
      <c r="BG103">
        <v>4785.6106467340842</v>
      </c>
      <c r="BH103">
        <v>1.789778721486313</v>
      </c>
      <c r="BI103">
        <v>3629.6712471742426</v>
      </c>
      <c r="BJ103">
        <v>1.9483742755665872</v>
      </c>
      <c r="BK103">
        <v>3951.3030308490388</v>
      </c>
      <c r="BL103">
        <v>2.6041133934555356</v>
      </c>
      <c r="BM103">
        <v>5281.1419619278258</v>
      </c>
      <c r="BN103">
        <v>1.726059774892964</v>
      </c>
      <c r="BO103">
        <v>3500.4492234829308</v>
      </c>
      <c r="BP103">
        <v>2.3417091101864194</v>
      </c>
      <c r="BQ103">
        <v>4748.9860754580586</v>
      </c>
      <c r="BR103">
        <v>1.6564510758371302</v>
      </c>
      <c r="BS103">
        <v>3359.2827817977</v>
      </c>
      <c r="BT103">
        <v>2.2024506592464559</v>
      </c>
      <c r="BU103">
        <v>4466.5699369518125</v>
      </c>
      <c r="BV103">
        <v>2.5042113451132519</v>
      </c>
      <c r="BW103">
        <v>5078.5406078896749</v>
      </c>
      <c r="BX103">
        <v>2.5405208807948387</v>
      </c>
      <c r="BY103">
        <v>5152.176346251933</v>
      </c>
      <c r="BZ103">
        <v>1.5369025392882556</v>
      </c>
      <c r="CA103">
        <v>3116.8383496765823</v>
      </c>
      <c r="CB103">
        <v>2.2007099355481774</v>
      </c>
      <c r="CC103">
        <v>4463.0397492917036</v>
      </c>
      <c r="CD103">
        <v>2.9511081984210574</v>
      </c>
      <c r="CE103">
        <v>5984.8474263979042</v>
      </c>
      <c r="CF103">
        <v>2.6917032359262265</v>
      </c>
      <c r="CG103">
        <v>5458.7741624583878</v>
      </c>
      <c r="CH103">
        <v>2.5336198780275989</v>
      </c>
      <c r="CI103">
        <v>5138.1811126399707</v>
      </c>
      <c r="CJ103">
        <v>1.85013172488527</v>
      </c>
      <c r="CK103">
        <v>3752.0671380673275</v>
      </c>
      <c r="CL103">
        <v>2.6078124181621485</v>
      </c>
      <c r="CM103">
        <v>5288.6435840328368</v>
      </c>
      <c r="CN103">
        <v>2.6729577705239005</v>
      </c>
      <c r="CO103">
        <v>5420.75835862247</v>
      </c>
      <c r="CP103">
        <v>1.7879503644309587</v>
      </c>
      <c r="CQ103">
        <v>3625.9633390659842</v>
      </c>
      <c r="CR103">
        <v>2.856846757193849</v>
      </c>
      <c r="CS103">
        <v>5793.6852235891256</v>
      </c>
      <c r="CT103">
        <v>1.7137922449345648</v>
      </c>
      <c r="CU103">
        <v>3475.5706727272973</v>
      </c>
    </row>
    <row r="104" spans="2:99" x14ac:dyDescent="0.2">
      <c r="C104" s="119" t="s">
        <v>270</v>
      </c>
      <c r="D104">
        <v>2.500327680907013</v>
      </c>
      <c r="E104">
        <v>5181.6790859116936</v>
      </c>
      <c r="F104">
        <v>2.3373538847323512</v>
      </c>
      <c r="G104">
        <v>4843.9321907193244</v>
      </c>
      <c r="H104">
        <v>0</v>
      </c>
      <c r="I104">
        <v>0</v>
      </c>
      <c r="J104">
        <v>0</v>
      </c>
      <c r="K104">
        <v>0</v>
      </c>
      <c r="L104">
        <v>9.4148714994161669</v>
      </c>
      <c r="M104">
        <v>19511.379695390064</v>
      </c>
      <c r="N104">
        <v>2.34143760768089</v>
      </c>
      <c r="O104">
        <v>4852.3952981578768</v>
      </c>
      <c r="P104">
        <v>2.0037107147461417</v>
      </c>
      <c r="Q104">
        <v>4152.4900852399041</v>
      </c>
      <c r="R104">
        <v>1.6999073540612524</v>
      </c>
      <c r="S104">
        <v>3522.8880005565397</v>
      </c>
      <c r="T104">
        <v>2.064918135608147</v>
      </c>
      <c r="U104">
        <v>4279.3363442343243</v>
      </c>
      <c r="V104">
        <v>1.543952550936367</v>
      </c>
      <c r="W104">
        <v>3199.687266560527</v>
      </c>
      <c r="X104">
        <v>3.3451553076703746</v>
      </c>
      <c r="Y104">
        <v>6932.4998596160849</v>
      </c>
      <c r="Z104">
        <v>2.9681691888316308</v>
      </c>
      <c r="AA104">
        <v>6151.2338269346719</v>
      </c>
      <c r="AB104">
        <v>2.384285639462536</v>
      </c>
      <c r="AC104">
        <v>4941.1935592221598</v>
      </c>
      <c r="AD104">
        <v>2.2416360712895638</v>
      </c>
      <c r="AE104">
        <v>4645.5665941404923</v>
      </c>
      <c r="AF104">
        <v>3.302349530992517</v>
      </c>
      <c r="AG104">
        <v>6843.7891680288931</v>
      </c>
      <c r="AH104">
        <v>2.0140674473434586</v>
      </c>
      <c r="AI104">
        <v>4173.9533778745836</v>
      </c>
      <c r="AJ104">
        <v>2.128579643346264</v>
      </c>
      <c r="AK104">
        <v>4411.2684528707978</v>
      </c>
      <c r="AL104">
        <v>0</v>
      </c>
      <c r="AM104">
        <v>0</v>
      </c>
      <c r="AN104">
        <v>4.9523312511379842</v>
      </c>
      <c r="AO104">
        <v>10263.211284858358</v>
      </c>
      <c r="AP104">
        <v>1.8358999423861526</v>
      </c>
      <c r="AQ104">
        <v>3804.7190406010627</v>
      </c>
      <c r="AR104">
        <v>2.0196919058153493</v>
      </c>
      <c r="AS104">
        <v>4185.6095056117301</v>
      </c>
      <c r="AT104">
        <v>1.6674840530301114</v>
      </c>
      <c r="AU104">
        <v>3455.6939514996029</v>
      </c>
      <c r="AV104">
        <v>2.4797490779938385</v>
      </c>
      <c r="AW104">
        <v>5139.0319892344314</v>
      </c>
      <c r="AX104">
        <v>2.8760834606571581</v>
      </c>
      <c r="AY104">
        <v>5960.395363865895</v>
      </c>
      <c r="AZ104">
        <v>0</v>
      </c>
      <c r="BA104">
        <v>0</v>
      </c>
      <c r="BB104">
        <v>5.3955296063939517</v>
      </c>
      <c r="BC104">
        <v>11181.695556290826</v>
      </c>
      <c r="BD104">
        <v>2.4592168213312711</v>
      </c>
      <c r="BE104">
        <v>5096.4809405269261</v>
      </c>
      <c r="BF104">
        <v>2.5170864677102349</v>
      </c>
      <c r="BG104">
        <v>5216.4099956826913</v>
      </c>
      <c r="BH104">
        <v>1.789778721486313</v>
      </c>
      <c r="BI104">
        <v>3709.1374224082351</v>
      </c>
      <c r="BJ104">
        <v>2.1254992097090049</v>
      </c>
      <c r="BK104">
        <v>4404.8845622009421</v>
      </c>
      <c r="BL104">
        <v>2.766870480546507</v>
      </c>
      <c r="BM104">
        <v>5734.0623838845813</v>
      </c>
      <c r="BN104">
        <v>1.4122307249124251</v>
      </c>
      <c r="BO104">
        <v>2926.7069543085099</v>
      </c>
      <c r="BP104">
        <v>2.3417091101864194</v>
      </c>
      <c r="BQ104">
        <v>4852.9579599503359</v>
      </c>
      <c r="BR104">
        <v>1.6564510758371302</v>
      </c>
      <c r="BS104">
        <v>3432.829209564869</v>
      </c>
      <c r="BT104">
        <v>2.0451327550145657</v>
      </c>
      <c r="BU104">
        <v>4238.3331214921864</v>
      </c>
      <c r="BV104">
        <v>2.3476981360436735</v>
      </c>
      <c r="BW104">
        <v>4865.3696171369093</v>
      </c>
      <c r="BX104">
        <v>2.391078476042201</v>
      </c>
      <c r="BY104">
        <v>4955.2710337498575</v>
      </c>
      <c r="BZ104">
        <v>1.816339364613393</v>
      </c>
      <c r="CA104">
        <v>3764.1816992247959</v>
      </c>
      <c r="CB104">
        <v>2.0314245558906254</v>
      </c>
      <c r="CC104">
        <v>4209.924249627732</v>
      </c>
      <c r="CD104">
        <v>2.640465230166209</v>
      </c>
      <c r="CE104">
        <v>5472.1001429964517</v>
      </c>
      <c r="CF104">
        <v>2.6917032359262265</v>
      </c>
      <c r="CG104">
        <v>5578.2857861335124</v>
      </c>
      <c r="CH104">
        <v>2.9234075515703069</v>
      </c>
      <c r="CI104">
        <v>6058.4698098743038</v>
      </c>
      <c r="CJ104">
        <v>1.85013172488527</v>
      </c>
      <c r="CK104">
        <v>3834.2129866522337</v>
      </c>
      <c r="CL104">
        <v>2.4339582569513385</v>
      </c>
      <c r="CM104">
        <v>5044.1350917059544</v>
      </c>
      <c r="CN104">
        <v>2.8136397584462109</v>
      </c>
      <c r="CO104">
        <v>5830.9870354039276</v>
      </c>
      <c r="CP104">
        <v>1.7879503644309587</v>
      </c>
      <c r="CQ104">
        <v>3705.3483352467188</v>
      </c>
      <c r="CR104">
        <v>2.856846757193849</v>
      </c>
      <c r="CS104">
        <v>5920.5292196085329</v>
      </c>
      <c r="CT104">
        <v>1.9994242857569924</v>
      </c>
      <c r="CU104">
        <v>4143.6068898027916</v>
      </c>
    </row>
    <row r="105" spans="2:99" x14ac:dyDescent="0.2">
      <c r="C105" s="119" t="s">
        <v>271</v>
      </c>
      <c r="D105">
        <v>2.500327680907013</v>
      </c>
      <c r="E105">
        <v>4995.6547064522119</v>
      </c>
      <c r="F105">
        <v>2.6490010693633317</v>
      </c>
      <c r="G105">
        <v>5292.7041365879368</v>
      </c>
      <c r="H105">
        <v>0</v>
      </c>
      <c r="I105">
        <v>0</v>
      </c>
      <c r="J105">
        <v>0</v>
      </c>
      <c r="K105">
        <v>0</v>
      </c>
      <c r="L105">
        <v>9.4148714994161669</v>
      </c>
      <c r="M105">
        <v>18810.9132558335</v>
      </c>
      <c r="N105">
        <v>2.34143760768089</v>
      </c>
      <c r="O105">
        <v>4678.1923401464182</v>
      </c>
      <c r="P105">
        <v>2.0037107147461417</v>
      </c>
      <c r="Q105">
        <v>4003.4140080627913</v>
      </c>
      <c r="R105">
        <v>1.5453703218738659</v>
      </c>
      <c r="S105">
        <v>3087.6499031039839</v>
      </c>
      <c r="T105">
        <v>2.252637966117979</v>
      </c>
      <c r="U105">
        <v>4500.7706563037218</v>
      </c>
      <c r="V105">
        <v>1.6843118737487639</v>
      </c>
      <c r="W105">
        <v>3365.2551237500302</v>
      </c>
      <c r="X105">
        <v>2.9516076244150362</v>
      </c>
      <c r="Y105">
        <v>5897.3120335812428</v>
      </c>
      <c r="Z105">
        <v>2.9681691888316308</v>
      </c>
      <c r="AA105">
        <v>5930.4020392855982</v>
      </c>
      <c r="AB105">
        <v>2.1855951695073244</v>
      </c>
      <c r="AC105">
        <v>4366.8191486756341</v>
      </c>
      <c r="AD105">
        <v>2.5405208807948387</v>
      </c>
      <c r="AE105">
        <v>5075.9607198280873</v>
      </c>
      <c r="AF105">
        <v>3.5087463766795497</v>
      </c>
      <c r="AG105">
        <v>7010.47526060574</v>
      </c>
      <c r="AH105">
        <v>1.8591391821631924</v>
      </c>
      <c r="AI105">
        <v>3714.5600859620586</v>
      </c>
      <c r="AJ105">
        <v>2.128579643346264</v>
      </c>
      <c r="AK105">
        <v>4252.9021274058359</v>
      </c>
      <c r="AL105">
        <v>0</v>
      </c>
      <c r="AM105">
        <v>0</v>
      </c>
      <c r="AN105">
        <v>5.3060691976478402</v>
      </c>
      <c r="AO105">
        <v>10601.526256900384</v>
      </c>
      <c r="AP105">
        <v>1.9888916042516653</v>
      </c>
      <c r="AQ105">
        <v>3973.8054252948273</v>
      </c>
      <c r="AR105">
        <v>1.7503996517066363</v>
      </c>
      <c r="AS105">
        <v>3497.2985041098591</v>
      </c>
      <c r="AT105">
        <v>1.6674840530301114</v>
      </c>
      <c r="AU105">
        <v>3331.6331379541625</v>
      </c>
      <c r="AV105">
        <v>2.1254992097090049</v>
      </c>
      <c r="AW105">
        <v>4246.7474209985921</v>
      </c>
      <c r="AX105">
        <v>2.8760834606571581</v>
      </c>
      <c r="AY105">
        <v>5746.4147543930021</v>
      </c>
      <c r="AZ105">
        <v>0</v>
      </c>
      <c r="BA105">
        <v>0</v>
      </c>
      <c r="BB105">
        <v>5.1115543639521652</v>
      </c>
      <c r="BC105">
        <v>10212.885619176426</v>
      </c>
      <c r="BD105">
        <v>2.4592168213312711</v>
      </c>
      <c r="BE105">
        <v>4913.5152090198799</v>
      </c>
      <c r="BF105">
        <v>2.2024506592464559</v>
      </c>
      <c r="BG105">
        <v>4400.4964171744186</v>
      </c>
      <c r="BH105">
        <v>1.652103435218135</v>
      </c>
      <c r="BI105">
        <v>3300.9026635658338</v>
      </c>
      <c r="BJ105">
        <v>1.9483742755665872</v>
      </c>
      <c r="BK105">
        <v>3892.8518025820413</v>
      </c>
      <c r="BL105">
        <v>3.0923846547284484</v>
      </c>
      <c r="BM105">
        <v>6178.5845401474398</v>
      </c>
      <c r="BN105">
        <v>1.5691452499026945</v>
      </c>
      <c r="BO105">
        <v>3135.1522093055837</v>
      </c>
      <c r="BP105">
        <v>2.4978230508655135</v>
      </c>
      <c r="BQ105">
        <v>4990.6504556292957</v>
      </c>
      <c r="BR105">
        <v>1.8405011953745889</v>
      </c>
      <c r="BS105">
        <v>3677.3213883584285</v>
      </c>
      <c r="BT105">
        <v>2.0451327550145657</v>
      </c>
      <c r="BU105">
        <v>4086.1752445191023</v>
      </c>
      <c r="BV105">
        <v>2.5042113451132519</v>
      </c>
      <c r="BW105">
        <v>5003.4142675362773</v>
      </c>
      <c r="BX105">
        <v>2.5405208807948387</v>
      </c>
      <c r="BY105">
        <v>5075.9607198280873</v>
      </c>
      <c r="BZ105">
        <v>1.6766209519508242</v>
      </c>
      <c r="CA105">
        <v>3349.8886619977466</v>
      </c>
      <c r="CB105">
        <v>2.2007099355481774</v>
      </c>
      <c r="CC105">
        <v>4397.0184512252581</v>
      </c>
      <c r="CD105">
        <v>3.1064296825484816</v>
      </c>
      <c r="CE105">
        <v>6206.6465057318665</v>
      </c>
      <c r="CF105">
        <v>2.5333677514599779</v>
      </c>
      <c r="CG105">
        <v>5061.6687674170362</v>
      </c>
      <c r="CH105">
        <v>2.9234075515703069</v>
      </c>
      <c r="CI105">
        <v>5840.968288037473</v>
      </c>
      <c r="CJ105">
        <v>1.9924495498764447</v>
      </c>
      <c r="CK105">
        <v>3980.9142006531365</v>
      </c>
      <c r="CL105">
        <v>2.6078124181621485</v>
      </c>
      <c r="CM105">
        <v>5210.4092114879722</v>
      </c>
      <c r="CN105">
        <v>2.6729577705239005</v>
      </c>
      <c r="CO105">
        <v>5340.5696255067533</v>
      </c>
      <c r="CP105">
        <v>1.7879503644309587</v>
      </c>
      <c r="CQ105">
        <v>3572.3248281330552</v>
      </c>
      <c r="CR105">
        <v>2.7064864015520675</v>
      </c>
      <c r="CS105">
        <v>5407.5598303010311</v>
      </c>
      <c r="CT105">
        <v>1.8566082653457787</v>
      </c>
      <c r="CU105">
        <v>3709.503314160866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281.07041849745497</v>
      </c>
      <c r="E109">
        <f>SUM(L$6:L$19)+SUM(N$6:N$19)+SUM(P$6:P$19)+SUM(R$6:R$19)</f>
        <v>403.91574671686004</v>
      </c>
      <c r="F109">
        <f>SUM(T$6:T$19)+SUM(V$6:V$19)+SUM(X$6:X$19)+SUM(Z$6:Z$19)</f>
        <v>452.47851230422373</v>
      </c>
      <c r="G109">
        <f>SUM(AB$6:AB$19)+SUM(AD$6:AD$19)+SUM(AF$6:AF$19)+SUM(AH$6:AH$19)</f>
        <v>448.09213794303253</v>
      </c>
      <c r="H109">
        <f>SUM(AJ$6:AJ$19)+SUM(AL$6:AL$19)+SUM(AN$6:AN$19)+SUM(AP$6:AP$19)</f>
        <v>457.33269503726711</v>
      </c>
      <c r="I109">
        <f>SUM(AR$6:AR$19)+SUM(AT$6:AT$19)+SUM(AV$6:AV$19)+SUM(AX$6:AX$19)</f>
        <v>468.45894050165333</v>
      </c>
      <c r="J109">
        <f>SUM(AZ$6:AZ$19)+SUM(BB$6:BB$19)+SUM(BD$6:BD$19)+SUM(BF$6:BF$19)</f>
        <v>497.12928485114685</v>
      </c>
      <c r="K109">
        <f>SUM(BH$6:BH$19)+SUM(BJ$6:BJ$19)+SUM(BL$6:BL$19)+SUM(BN$6:BN$19)</f>
        <v>404.68763533704123</v>
      </c>
      <c r="L109">
        <f>SUM(BP$6:BP$19)+SUM(BR$6:BR$19)+SUM(BT$6:BT$19)+SUM(BV$6:BV$19)</f>
        <v>432.87886756682838</v>
      </c>
      <c r="M109">
        <f>SUM(BX$6:BX$19)+SUM(BZ$6:BZ$19)+SUM(CB$6:CB$19)+SUM(CD$6:CD$19)</f>
        <v>560.77943939660236</v>
      </c>
      <c r="N109">
        <f>SUM(CF$6:CF$19)+SUM(CH$6:CH$19)+SUM(CJ$6:CJ$19)+SUM(CL$6:CL$19)</f>
        <v>480.48925873546591</v>
      </c>
      <c r="O109">
        <f>SUM(CN$6:CN$19)+SUM(CP$6:CP$19)+SUM(CR$6:CR$19)+SUM(CT$6:CT$19)</f>
        <v>398.84386094289727</v>
      </c>
    </row>
    <row r="110" spans="2:99" x14ac:dyDescent="0.2">
      <c r="C110" s="119" t="s">
        <v>127</v>
      </c>
      <c r="D110">
        <f>SUM(D$20:D$36)+SUM(F$20:F$36)+SUM(H$20:H$36)+SUM(J$20:J$36)</f>
        <v>1304.2355436004852</v>
      </c>
      <c r="E110">
        <f>SUM(L$20:L$36)+SUM(N$20:N$36)+SUM(P$20:P$36)+SUM(R$20:R$36)</f>
        <v>1290.1175602339758</v>
      </c>
      <c r="F110">
        <f>SUM(T$20:T$36)+SUM(V$20:V$36)+SUM(X$20:X$36)+SUM(Z$20:Z$36)</f>
        <v>1203.0015083761482</v>
      </c>
      <c r="G110">
        <f>SUM(AB$20:AB$36)+SUM(AD$20:AD$36)+SUM(AF$20:AF$36)+SUM(AH$20:AH$36)</f>
        <v>1128.5941605044979</v>
      </c>
      <c r="H110">
        <f>SUM(AJ$20:AJ$36)+SUM(AL$20:AL$36)+SUM(AN$20:AN$36)+SUM(AP$20:AP$36)</f>
        <v>1244.8333012407852</v>
      </c>
      <c r="I110">
        <f>SUM(AR$20:AR$36)+SUM(AT$20:AT$36)+SUM(AV$20:AV$36)+SUM(AX$20:AX$36)</f>
        <v>1343.4090167578161</v>
      </c>
      <c r="J110">
        <f>SUM(AZ$20:AZ$36)+SUM(BB$20:BB$36)+SUM(BD$20:BD$36)+SUM(BF$20:BF$36)</f>
        <v>1047.7442800261263</v>
      </c>
      <c r="K110">
        <f>SUM(BH$20:BH$36)+SUM(BJ$20:BJ$36)+SUM(BL$20:BL$36)+SUM(BN$20:BN$36)</f>
        <v>995.19440422667685</v>
      </c>
      <c r="L110">
        <f>SUM(BP$20:BP$36)+SUM(BR$20:BR$36)+SUM(BT$20:BT$36)+SUM(BV$20:BV$36)</f>
        <v>932.3611232490473</v>
      </c>
      <c r="M110">
        <f>SUM(BX$20:BX$36)+SUM(BZ$20:BZ$36)+SUM(CB$20:CB$36)+SUM(CD$20:CD$36)</f>
        <v>1068.3058439518838</v>
      </c>
      <c r="N110">
        <f>SUM(CF$20:CF$36)+SUM(CH$20:CH$36)+SUM(CJ$20:CJ$36)+SUM(CL$20:CL$36)</f>
        <v>1120.1354760906638</v>
      </c>
      <c r="O110">
        <f>SUM(CN$20:CN$36)+SUM(CP$20:CP$36)+SUM(CR$20:CR$36)+SUM(CT$20:CT$36)</f>
        <v>1154.0683409247058</v>
      </c>
    </row>
    <row r="111" spans="2:99" x14ac:dyDescent="0.2">
      <c r="C111" s="119" t="s">
        <v>128</v>
      </c>
      <c r="D111">
        <f>SUM(D$37:D$48)+SUM(F$37:F$48)+SUM(H$37:H$48)+SUM(J$37:J$48)</f>
        <v>712.89699369810455</v>
      </c>
      <c r="E111">
        <f>SUM(L$37:L$48)+SUM(N$37:N$48)+SUM(P$37:P$48)+SUM(R$37:R$48)</f>
        <v>930.12169261597467</v>
      </c>
      <c r="F111">
        <f>SUM(T$37:T$48)+SUM(V$37:V$48)+SUM(X$37:X$48)+SUM(Z$37:Z$48)</f>
        <v>892.60718797143454</v>
      </c>
      <c r="G111">
        <f>SUM(AB$37:AB$48)+SUM(AD$37:AD$48)+SUM(AF$37:AF$48)+SUM(AH$37:AH$48)</f>
        <v>1080.9658671121806</v>
      </c>
      <c r="H111">
        <f>SUM(AJ$37:AJ$48)+SUM(AL$37:AL$48)+SUM(AN$37:AN$48)+SUM(AP$37:AP$48)</f>
        <v>1030.0739674939023</v>
      </c>
      <c r="I111">
        <f>SUM(AR$37:AR$48)+SUM(AT$37:AT$48)+SUM(AV$37:AV$48)+SUM(AX$37:AX$48)</f>
        <v>987.24021443157835</v>
      </c>
      <c r="J111">
        <f>SUM(AZ$37:AZ$48)+SUM(BB$37:BB$48)+SUM(BD$37:BD$48)+SUM(BF$37:BF$48)</f>
        <v>897.24966111717993</v>
      </c>
      <c r="K111">
        <f>SUM(BH$37:BH$48)+SUM(BJ$37:BJ$48)+SUM(BL$37:BL$48)+SUM(BN$37:BN$48)</f>
        <v>814.67848956699902</v>
      </c>
      <c r="L111">
        <f>SUM(BP$37:BP$48)+SUM(BR$37:BR$48)+SUM(BT$37:BT$48)+SUM(BV$37:BV$48)</f>
        <v>748.97012509014462</v>
      </c>
      <c r="M111">
        <f>SUM(BX$37:BX$48)+SUM(BZ$37:BZ$48)+SUM(CB$37:CB$48)+SUM(CD$37:CD$48)</f>
        <v>1137.1909635140421</v>
      </c>
      <c r="N111">
        <f>SUM(CF$37:CF$48)+SUM(CH$37:CH$48)+SUM(CJ$37:CJ$48)+SUM(CL$37:CL$48)</f>
        <v>823.44033455991917</v>
      </c>
      <c r="O111">
        <f>SUM(CN$37:CN$48)+SUM(CP$37:CP$48)+SUM(CR$37:CR$48)+SUM(CT$37:CT$48)</f>
        <v>751.536194432407</v>
      </c>
    </row>
    <row r="112" spans="2:99" x14ac:dyDescent="0.2">
      <c r="C112" s="119" t="s">
        <v>129</v>
      </c>
      <c r="D112">
        <f>SUM(D$49:D$70)+SUM(F$49:F$70)+SUM(H$49:H$70)+SUM(J$49:J$70)</f>
        <v>816.73773317163182</v>
      </c>
      <c r="E112">
        <f>SUM(L$49:L$70)+SUM(N$49:N$70)+SUM(P$49:P$70)+SUM(R$49:R$70)</f>
        <v>1326.1418380206312</v>
      </c>
      <c r="F112">
        <f>SUM(T$49:T$70)+SUM(V$49:V$70)+SUM(X$49:X$70)+SUM(Z$49:Z$70)</f>
        <v>1051.8988414034352</v>
      </c>
      <c r="G112">
        <f>SUM(AB$49:AB$70)+SUM(AD$49:AD$70)+SUM(AF$49:AF$70)+SUM(AH$49:AH$70)</f>
        <v>1130.1984334766503</v>
      </c>
      <c r="H112">
        <f>SUM(AJ$49:AJ$70)+SUM(AL$49:AL$70)+SUM(AN$49:AN$70)+SUM(AP$49:AP$70)</f>
        <v>962.10880832232704</v>
      </c>
      <c r="I112">
        <f>SUM(AR$49:AR$70)+SUM(AT$49:AT$70)+SUM(AV$49:AV$70)+SUM(AX$49:AX$70)</f>
        <v>1106.8317527997897</v>
      </c>
      <c r="J112">
        <f>SUM(AZ$49:AZ$70)+SUM(BB$49:BB$70)+SUM(BD$49:BD$70)+SUM(BF$49:BF$70)</f>
        <v>1066.6490045251817</v>
      </c>
      <c r="K112">
        <f>SUM(BH$49:BH$70)+SUM(BJ$49:BJ$70)+SUM(BL$49:BL$70)+SUM(BN$49:BN$70)</f>
        <v>985.04284339787046</v>
      </c>
      <c r="L112">
        <f>SUM(BP$49:BP$70)+SUM(BR$49:BR$70)+SUM(BT$49:BT$70)+SUM(BV$49:BV$70)</f>
        <v>1048.7723995411172</v>
      </c>
      <c r="M112">
        <f>SUM(BX$49:BX$70)+SUM(BZ$49:BZ$70)+SUM(CB$49:CB$70)+SUM(CD$49:CD$70)</f>
        <v>1025.3338223893247</v>
      </c>
      <c r="N112">
        <f>SUM(CF$49:CF$70)+SUM(CH$49:CH$70)+SUM(CJ$49:CJ$70)+SUM(CL$49:CL$70)</f>
        <v>940.86283080177077</v>
      </c>
      <c r="O112">
        <f>SUM(CN$49:CN$70)+SUM(CP$49:CP$70)+SUM(CR$49:CR$70)+SUM(CT$49:CT$70)</f>
        <v>754.67784769071886</v>
      </c>
    </row>
    <row r="113" spans="2:15" x14ac:dyDescent="0.2">
      <c r="C113" s="119" t="s">
        <v>130</v>
      </c>
      <c r="D113">
        <f>SUM(D$71:D$86)+SUM(F$71:F$86)+SUM(H$71:H$86)+SUM(J$71:J$86)</f>
        <v>177.73335189687532</v>
      </c>
      <c r="E113">
        <f>SUM(L$71:L$86)+SUM(N$71:N$86)+SUM(P$71:P$86)+SUM(R$71:R$86)</f>
        <v>408.88885033910134</v>
      </c>
      <c r="F113">
        <f>SUM(T$71:T$86)+SUM(V$71:V$86)+SUM(X$71:X$86)+SUM(Z$71:Z$86)</f>
        <v>256.1978806510246</v>
      </c>
      <c r="G113">
        <f>SUM(AB$71:AB$86)+SUM(AD$71:AD$86)+SUM(AF$71:AF$86)+SUM(AH$71:AH$86)</f>
        <v>258.36431642443648</v>
      </c>
      <c r="H113">
        <f>SUM(AJ$71:AJ$86)+SUM(AL$71:AL$86)+SUM(AN$71:AN$86)+SUM(AP$71:AP$86)</f>
        <v>282.92637677929861</v>
      </c>
      <c r="I113">
        <f>SUM(AR$71:AR$86)+SUM(AT$71:AT$86)+SUM(AV$71:AV$86)+SUM(AX$71:AX$86)</f>
        <v>273.30051966042709</v>
      </c>
      <c r="J113">
        <f>SUM(AZ$71:AZ$86)+SUM(BB$71:BB$86)+SUM(BD$71:BD$86)+SUM(BF$71:BF$86)</f>
        <v>275.19478138202209</v>
      </c>
      <c r="K113">
        <f>SUM(BH$71:BH$86)+SUM(BJ$71:BJ$86)+SUM(BL$71:BL$86)+SUM(BN$71:BN$86)</f>
        <v>280.15025223358157</v>
      </c>
      <c r="L113">
        <f>SUM(BP$71:BP$86)+SUM(BR$71:BR$86)+SUM(BT$71:BT$86)+SUM(BV$71:BV$86)</f>
        <v>243.85823497260884</v>
      </c>
      <c r="M113">
        <f>SUM(BX$71:BX$86)+SUM(BZ$71:BZ$86)+SUM(CB$71:CB$86)+SUM(CD$71:CD$86)</f>
        <v>266.04839558933583</v>
      </c>
      <c r="N113">
        <f>SUM(CF$71:CF$86)+SUM(CH$71:CH$86)+SUM(CJ$71:CJ$86)+SUM(CL$71:CL$86)</f>
        <v>251.91534366545957</v>
      </c>
      <c r="O113">
        <f>SUM(CN$71:CN$86)+SUM(CP$71:CP$86)+SUM(CR$71:CR$86)+SUM(CT$71:CT$86)</f>
        <v>272.48724509719182</v>
      </c>
    </row>
    <row r="114" spans="2:15" x14ac:dyDescent="0.2">
      <c r="C114" s="119" t="s">
        <v>131</v>
      </c>
      <c r="D114">
        <f>SUM(D$87:D$94)+SUM(F$87:F$94)+SUM(H$87:H$94)+SUM(J$87:J$94)</f>
        <v>34.371273632248936</v>
      </c>
      <c r="E114">
        <f>SUM(L$87:L$94)+SUM(N$87:N$94)+SUM(P$87:P$94)+SUM(R$87:R$94)</f>
        <v>104.49608841581107</v>
      </c>
      <c r="F114">
        <f>SUM(T$87:T$94)+SUM(V$87:V$94)+SUM(X$87:X$94)+SUM(Z$87:Z$94)</f>
        <v>95.540965694752188</v>
      </c>
      <c r="G114">
        <f>SUM(AB$87:AB$94)+SUM(AD$87:AD$94)+SUM(AF$87:AF$94)+SUM(AH$87:AH$94)</f>
        <v>87.903450896789266</v>
      </c>
      <c r="H114">
        <f>SUM(AJ$87:AJ$94)+SUM(AL$87:AL$94)+SUM(AN$87:AN$94)+SUM(AP$87:AP$94)</f>
        <v>80.727151969442957</v>
      </c>
      <c r="I114">
        <f>SUM(AR$87:AR$94)+SUM(AT$87:AT$94)+SUM(AV$87:AV$94)+SUM(AX$87:AX$94)</f>
        <v>92.75887484188209</v>
      </c>
      <c r="J114">
        <f>SUM(AZ$87:AZ$94)+SUM(BB$87:BB$94)+SUM(BD$87:BD$94)+SUM(BF$87:BF$94)</f>
        <v>73.899500627712271</v>
      </c>
      <c r="K114">
        <f>SUM(BH$87:BH$94)+SUM(BJ$87:BJ$94)+SUM(BL$87:BL$94)+SUM(BN$87:BN$94)</f>
        <v>88.432997839202201</v>
      </c>
      <c r="L114">
        <f>SUM(BP$87:BP$94)+SUM(BR$87:BR$94)+SUM(BT$87:BT$94)+SUM(BV$87:BV$94)</f>
        <v>118.02604224905807</v>
      </c>
      <c r="M114">
        <f>SUM(BX$87:BX$94)+SUM(BZ$87:BZ$94)+SUM(CB$87:CB$94)+SUM(CD$87:CD$94)</f>
        <v>95.403679175659292</v>
      </c>
      <c r="N114">
        <f>SUM(CF$87:CF$94)+SUM(CH$87:CH$94)+SUM(CJ$87:CJ$94)+SUM(CL$87:CL$94)</f>
        <v>96.347636249904753</v>
      </c>
      <c r="O114">
        <f>SUM(CN$87:CN$94)+SUM(CP$87:CP$94)+SUM(CR$87:CR$94)+SUM(CT$87:CT$94)</f>
        <v>92.389856231088871</v>
      </c>
    </row>
    <row r="115" spans="2:15" x14ac:dyDescent="0.2">
      <c r="C115" s="119" t="s">
        <v>132</v>
      </c>
      <c r="D115">
        <f>SUM(D$95:D$105)+SUM(F$95:F$105)+SUM(H$95:H$105)+SUM(J$95:J$105)</f>
        <v>57.155834465942291</v>
      </c>
      <c r="E115">
        <f>SUM(L$95:L$105)+SUM(N$95:N$105)+SUM(P$95:P$105)+SUM(R$95:R$105)</f>
        <v>166.89734647879936</v>
      </c>
      <c r="F115">
        <f>SUM(T$95:T$105)+SUM(V$95:V$105)+SUM(X$95:X$105)+SUM(Z$95:Z$105)</f>
        <v>109.52296412595847</v>
      </c>
      <c r="G115">
        <f>SUM(AB$95:AB$105)+SUM(AD$95:AD$105)+SUM(AF$95:AF$105)+SUM(AH$95:AH$105)</f>
        <v>110.47857928406229</v>
      </c>
      <c r="H115">
        <f>SUM(AJ$95:AJ$105)+SUM(AL$95:AL$105)+SUM(AN$95:AN$105)+SUM(AP$95:AP$105)</f>
        <v>100.26244541478013</v>
      </c>
      <c r="I115">
        <f>SUM(AR$95:AR$105)+SUM(AT$95:AT$105)+SUM(AV$95:AV$105)+SUM(AX$95:AX$105)</f>
        <v>94.280740917676738</v>
      </c>
      <c r="J115">
        <f>SUM(AZ$95:AZ$105)+SUM(BB$95:BB$105)+SUM(BD$95:BD$105)+SUM(BF$95:BF$105)</f>
        <v>112.86096244976629</v>
      </c>
      <c r="K115">
        <f>SUM(BH$95:BH$105)+SUM(BJ$95:BJ$105)+SUM(BL$95:BL$105)+SUM(BN$95:BN$105)</f>
        <v>90.738987855121323</v>
      </c>
      <c r="L115">
        <f>SUM(BP$95:BP$105)+SUM(BR$95:BR$105)+SUM(BT$95:BT$105)+SUM(BV$95:BV$105)</f>
        <v>95.602806578252981</v>
      </c>
      <c r="M115">
        <f>SUM(BX$95:BX$105)+SUM(BZ$95:BZ$105)+SUM(CB$95:CB$105)+SUM(CD$95:CD$105)</f>
        <v>101.56025906746521</v>
      </c>
      <c r="N115">
        <f>SUM(CF$95:CF$105)+SUM(CH$95:CH$105)+SUM(CJ$95:CJ$105)+SUM(CL$95:CL$105)</f>
        <v>110.74009469296651</v>
      </c>
      <c r="O115">
        <f>SUM(CN$95:CN$105)+SUM(CP$95:CP$105)+SUM(CR$95:CR$105)+SUM(CT$95:CT$105)</f>
        <v>100.36225514536923</v>
      </c>
    </row>
    <row r="116" spans="2:15" x14ac:dyDescent="0.2">
      <c r="C116" s="119" t="s">
        <v>278</v>
      </c>
      <c r="D116">
        <f t="shared" ref="D116:O116" si="0">SUM(D$109:D$115)</f>
        <v>3384.2011489627434</v>
      </c>
      <c r="E116">
        <f t="shared" si="0"/>
        <v>4630.5791228211538</v>
      </c>
      <c r="F116">
        <f t="shared" si="0"/>
        <v>4061.2478605269771</v>
      </c>
      <c r="G116">
        <f t="shared" si="0"/>
        <v>4244.5969456416487</v>
      </c>
      <c r="H116">
        <f t="shared" si="0"/>
        <v>4158.2647462578034</v>
      </c>
      <c r="I116">
        <f t="shared" si="0"/>
        <v>4366.2800599108232</v>
      </c>
      <c r="J116">
        <f t="shared" si="0"/>
        <v>3970.7274749791354</v>
      </c>
      <c r="K116">
        <f t="shared" si="0"/>
        <v>3658.9256104564924</v>
      </c>
      <c r="L116">
        <f t="shared" si="0"/>
        <v>3620.4695992470574</v>
      </c>
      <c r="M116">
        <f t="shared" si="0"/>
        <v>4254.6224030843132</v>
      </c>
      <c r="N116">
        <f t="shared" si="0"/>
        <v>3823.9309747961502</v>
      </c>
      <c r="O116">
        <f t="shared" si="0"/>
        <v>3524.365600464379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D109*pricing!D15*2000</f>
        <v>1630208.4272852386</v>
      </c>
      <c r="E120">
        <f>E109*pricing!E15*2000</f>
        <v>2454765.2218215242</v>
      </c>
      <c r="F120">
        <f>F109*pricing!F15*2000</f>
        <v>2749901.494691065</v>
      </c>
      <c r="G120">
        <f>G109*pricing!G15*2000</f>
        <v>2723243.6599340322</v>
      </c>
      <c r="H120">
        <f>H109*pricing!H15*2000</f>
        <v>2779402.3969220305</v>
      </c>
      <c r="I120">
        <f>I109*pricing!I15*2000</f>
        <v>2847021.252184364</v>
      </c>
      <c r="J120">
        <f>J109*pricing!J15*2000</f>
        <v>3021262.9468418364</v>
      </c>
      <c r="K120">
        <f>K109*pricing!K15*2000</f>
        <v>2459456.3123653871</v>
      </c>
      <c r="L120">
        <f>L109*pricing!L15*2000</f>
        <v>2630786.2419372732</v>
      </c>
      <c r="M120">
        <f>M109*pricing!M15*2000</f>
        <v>3408091.6035895911</v>
      </c>
      <c r="N120">
        <f>N109*pricing!N15*2000</f>
        <v>2920134.536446861</v>
      </c>
      <c r="O120">
        <f>O109*pricing!O15*2000</f>
        <v>2423941.2469996107</v>
      </c>
    </row>
    <row r="121" spans="2:15" x14ac:dyDescent="0.2">
      <c r="C121" s="119" t="s">
        <v>127</v>
      </c>
      <c r="D121">
        <f>D110*pricing!D16*2000</f>
        <v>6260330.6092823287</v>
      </c>
      <c r="E121">
        <f>E110*pricing!E16*2000</f>
        <v>7110766.4989726348</v>
      </c>
      <c r="F121">
        <f>F110*pricing!F16*2000</f>
        <v>6630607.2311915969</v>
      </c>
      <c r="G121">
        <f>G110*pricing!G16*2000</f>
        <v>6220494.7787828594</v>
      </c>
      <c r="H121">
        <f>H110*pricing!H16*2000</f>
        <v>6861172.3521251315</v>
      </c>
      <c r="I121">
        <f>I110*pricing!I16*2000</f>
        <v>7404494.0749793155</v>
      </c>
      <c r="J121">
        <f>J110*pricing!J16*2000</f>
        <v>5774872.8918539798</v>
      </c>
      <c r="K121">
        <f>K110*pricing!K16*2000</f>
        <v>5485232.7010080162</v>
      </c>
      <c r="L121">
        <f>L110*pricing!L16*2000</f>
        <v>5138913.2622467671</v>
      </c>
      <c r="M121">
        <f>M110*pricing!M16*2000</f>
        <v>5888202.4708291274</v>
      </c>
      <c r="N121">
        <f>N110*pricing!N16*2000</f>
        <v>6173872.8804309256</v>
      </c>
      <c r="O121">
        <f>O110*pricing!O16*2000</f>
        <v>6360901.3233522922</v>
      </c>
    </row>
    <row r="122" spans="2:15" x14ac:dyDescent="0.2">
      <c r="C122" s="119" t="s">
        <v>128</v>
      </c>
      <c r="D122">
        <f>D111*pricing!D17*2000</f>
        <v>2851587.9747924181</v>
      </c>
      <c r="E122">
        <f>E111*pricing!E17*2000</f>
        <v>4095338.8068266702</v>
      </c>
      <c r="F122">
        <f>F111*pricing!F17*2000</f>
        <v>3930161.9187814449</v>
      </c>
      <c r="G122">
        <f>G111*pricing!G17*2000</f>
        <v>4759507.8144976953</v>
      </c>
      <c r="H122">
        <f>H111*pricing!H17*2000</f>
        <v>4535430.0694945855</v>
      </c>
      <c r="I122">
        <f>I111*pricing!I17*2000</f>
        <v>4346832.4563534502</v>
      </c>
      <c r="J122">
        <f>J111*pricing!J17*2000</f>
        <v>3950602.7928996999</v>
      </c>
      <c r="K122">
        <f>K111*pricing!K17*2000</f>
        <v>3587040.7710060603</v>
      </c>
      <c r="L122">
        <f>L111*pricing!L17*2000</f>
        <v>3297725.9242376415</v>
      </c>
      <c r="M122">
        <f>M111*pricing!M17*2000</f>
        <v>5007067.6994461948</v>
      </c>
      <c r="N122">
        <f>N111*pricing!N17*2000</f>
        <v>3625619.2969169929</v>
      </c>
      <c r="O122">
        <f>O111*pricing!O17*2000</f>
        <v>3309024.3634008216</v>
      </c>
    </row>
    <row r="123" spans="2:15" x14ac:dyDescent="0.2">
      <c r="C123" s="119" t="s">
        <v>129</v>
      </c>
      <c r="D123">
        <f>D112*pricing!D18*2000</f>
        <v>3430298.4793208539</v>
      </c>
      <c r="E123">
        <f>E112*pricing!E18*2000</f>
        <v>6036827.7567020347</v>
      </c>
      <c r="F123">
        <f>F112*pricing!F18*2000</f>
        <v>4788426.0498899799</v>
      </c>
      <c r="G123">
        <f>G112*pricing!G18*2000</f>
        <v>5144859.379428504</v>
      </c>
      <c r="H123">
        <f>H112*pricing!H18*2000</f>
        <v>4379686.2390803965</v>
      </c>
      <c r="I123">
        <f>I112*pricing!I18*2000</f>
        <v>5038490.1944379993</v>
      </c>
      <c r="J123">
        <f>J112*pricing!J18*2000</f>
        <v>4855571.3518451219</v>
      </c>
      <c r="K123">
        <f>K112*pricing!K18*2000</f>
        <v>4484085.946221726</v>
      </c>
      <c r="L123">
        <f>L112*pricing!L18*2000</f>
        <v>4774193.9440374672</v>
      </c>
      <c r="M123">
        <f>M112*pricing!M18*2000</f>
        <v>4667497.4738177098</v>
      </c>
      <c r="N123">
        <f>N112*pricing!N18*2000</f>
        <v>4282970.8628384424</v>
      </c>
      <c r="O123">
        <f>O112*pricing!O18*2000</f>
        <v>3435424.5131934411</v>
      </c>
    </row>
    <row r="124" spans="2:15" x14ac:dyDescent="0.2">
      <c r="C124" s="119" t="s">
        <v>130</v>
      </c>
      <c r="D124">
        <f>D113*pricing!D19*2000</f>
        <v>734832.62473705725</v>
      </c>
      <c r="E124">
        <f>E113*pricing!E19*2000</f>
        <v>1690537.3353603084</v>
      </c>
      <c r="F124">
        <f>F113*pricing!F19*2000</f>
        <v>1059241.6059316639</v>
      </c>
      <c r="G124">
        <f>G113*pricing!G19*2000</f>
        <v>1068198.6624925742</v>
      </c>
      <c r="H124">
        <f>H113*pricing!H19*2000</f>
        <v>1169749.6830910365</v>
      </c>
      <c r="I124">
        <f>I113*pricing!I19*2000</f>
        <v>1129951.8973827674</v>
      </c>
      <c r="J124">
        <f>J113*pricing!J19*2000</f>
        <v>1137783.6593900817</v>
      </c>
      <c r="K124">
        <f>K113*pricing!K19*2000</f>
        <v>1158271.8886042153</v>
      </c>
      <c r="L124">
        <f>L113*pricing!L19*2000</f>
        <v>1008223.7517955602</v>
      </c>
      <c r="M124">
        <f>M113*pricing!M19*2000</f>
        <v>1099968.2319130988</v>
      </c>
      <c r="N124">
        <f>N113*pricing!N19*2000</f>
        <v>1041535.5993771809</v>
      </c>
      <c r="O124">
        <f>O113*pricing!O19*2000</f>
        <v>1126589.4407838462</v>
      </c>
    </row>
    <row r="125" spans="2:15" x14ac:dyDescent="0.2">
      <c r="C125" s="119" t="s">
        <v>131</v>
      </c>
      <c r="D125">
        <f>D114*pricing!D20*2000</f>
        <v>142047.72751512073</v>
      </c>
      <c r="E125">
        <f>E114*pricing!E20*2000</f>
        <v>431855.7424580917</v>
      </c>
      <c r="F125">
        <f>F114*pricing!F20*2000</f>
        <v>394846.49904873694</v>
      </c>
      <c r="G125">
        <f>G114*pricing!G20*2000</f>
        <v>363282.59389580606</v>
      </c>
      <c r="H125">
        <f>H114*pricing!H20*2000</f>
        <v>333624.77657121589</v>
      </c>
      <c r="I125">
        <f>I114*pricing!I20*2000</f>
        <v>383348.82550835307</v>
      </c>
      <c r="J125">
        <f>J114*pricing!J20*2000</f>
        <v>305407.83099814167</v>
      </c>
      <c r="K125">
        <f>K114*pricing!K20*2000</f>
        <v>365471.07665577455</v>
      </c>
      <c r="L125">
        <f>L114*pricing!L20*2000</f>
        <v>487771.59870363981</v>
      </c>
      <c r="M125">
        <f>M114*pricing!M20*2000</f>
        <v>394279.12880042259</v>
      </c>
      <c r="N125">
        <f>N114*pricing!N20*2000</f>
        <v>398180.26318092411</v>
      </c>
      <c r="O125">
        <f>O114*pricing!O20*2000</f>
        <v>381823.76549356262</v>
      </c>
    </row>
    <row r="126" spans="2:15" x14ac:dyDescent="0.2">
      <c r="C126" s="119" t="s">
        <v>132</v>
      </c>
      <c r="D126">
        <f>D115*pricing!D21*2000</f>
        <v>280703.04592367832</v>
      </c>
      <c r="E126">
        <f>E115*pricing!E21*2000</f>
        <v>819664.23814692697</v>
      </c>
      <c r="F126">
        <f>F115*pricing!F21*2000</f>
        <v>537887.86247299949</v>
      </c>
      <c r="G126">
        <f>G115*pricing!G21*2000</f>
        <v>542581.06812937779</v>
      </c>
      <c r="H126">
        <f>H115*pricing!H21*2000</f>
        <v>492407.71449948114</v>
      </c>
      <c r="I126">
        <f>I115*pricing!I21*2000</f>
        <v>463030.43940864486</v>
      </c>
      <c r="J126">
        <f>J115*pricing!J21*2000</f>
        <v>554281.39964267041</v>
      </c>
      <c r="K126">
        <f>K115*pricing!K21*2000</f>
        <v>445636.22441977565</v>
      </c>
      <c r="L126">
        <f>L115*pricing!L21*2000</f>
        <v>469523.35235974501</v>
      </c>
      <c r="M126">
        <f>M115*pricing!M21*2000</f>
        <v>498781.52128148358</v>
      </c>
      <c r="N126">
        <f>N115*pricing!N21*2000</f>
        <v>543865.41945625993</v>
      </c>
      <c r="O126">
        <f>O115*pricing!O21*2000</f>
        <v>492897.89884638059</v>
      </c>
    </row>
    <row r="127" spans="2:15" x14ac:dyDescent="0.2">
      <c r="C127" s="119" t="s">
        <v>278</v>
      </c>
      <c r="D127">
        <f t="shared" ref="D127:O127" si="1">SUM(D$120:D$126)</f>
        <v>15330008.888856696</v>
      </c>
      <c r="E127">
        <f t="shared" si="1"/>
        <v>22639755.60028819</v>
      </c>
      <c r="F127">
        <f t="shared" si="1"/>
        <v>20091072.662007488</v>
      </c>
      <c r="G127">
        <f t="shared" si="1"/>
        <v>20822167.957160849</v>
      </c>
      <c r="H127">
        <f t="shared" si="1"/>
        <v>20551473.231783874</v>
      </c>
      <c r="I127">
        <f t="shared" si="1"/>
        <v>21613169.140254892</v>
      </c>
      <c r="J127">
        <f t="shared" si="1"/>
        <v>19599782.873471528</v>
      </c>
      <c r="K127">
        <f t="shared" si="1"/>
        <v>17985194.920280956</v>
      </c>
      <c r="L127">
        <f t="shared" si="1"/>
        <v>17807138.075318098</v>
      </c>
      <c r="M127">
        <f t="shared" si="1"/>
        <v>20963888.129677627</v>
      </c>
      <c r="N127">
        <f t="shared" si="1"/>
        <v>18986178.858647585</v>
      </c>
      <c r="O127">
        <f t="shared" si="1"/>
        <v>17530602.552069955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141631.85859619291</v>
      </c>
      <c r="E131" s="124">
        <f>SUM(M$6:M$19)+SUM(O$6:O$19)+SUM(Q$6:Q$19)+SUM(S$6:S$19)</f>
        <v>203195.41873548453</v>
      </c>
      <c r="F131" s="124">
        <f>SUM(U$6:U$19)+SUM(W$6:W$19)+SUM(Y$6:Y$19)+SUM(AA$6:AA$19)</f>
        <v>228554.60362758109</v>
      </c>
      <c r="G131" s="124">
        <f>SUM(AC$6:AC$19)+SUM(AE$6:AE$19)+SUM(AG$6:AG$19)+SUM(AI$6:AI$19)</f>
        <v>225481.50623580182</v>
      </c>
      <c r="H131" s="124">
        <f>SUM(AK$6:AK$19)+SUM(AM$6:AM$19)+SUM(AO$6:AO$19)+SUM(AQ$6:AQ$19)</f>
        <v>231419.76560488687</v>
      </c>
      <c r="I131" s="124">
        <f>SUM(AS$6:AS$19)+SUM(AU$6:AU$19)+SUM(AW$6:AW$19)+SUM(AY$6:AY$19)</f>
        <v>237538.94705289049</v>
      </c>
      <c r="J131" s="124">
        <f>SUM(BA$6:BA$19)+SUM(BC$6:BC$19)+SUM(BE$6:BE$19)+SUM(BG$6:BG$19)</f>
        <v>251568.40677481936</v>
      </c>
      <c r="K131" s="124">
        <f>SUM(BI$6:BI$19)+SUM(BK$6:BK$19)+SUM(BM$6:BM$19)+SUM(BO$6:BO$19)</f>
        <v>204075.54734915483</v>
      </c>
      <c r="L131" s="124">
        <f>SUM(BQ$6:BQ$19)+SUM(BS$6:BS$19)+SUM(BU$6:BU$19)+SUM(BW$6:BW$19)</f>
        <v>218059.33000419856</v>
      </c>
      <c r="M131" s="124">
        <f>SUM(BY$6:BY$19)+SUM(CA$6:CA$19)+SUM(CC$6:CC$19)+SUM(CE$6:CE$19)</f>
        <v>281251.15427731717</v>
      </c>
      <c r="N131" s="124">
        <f>SUM(CG$6:CG$19)+SUM(CI$6:CI$19)+SUM(CK$6:CK$19)+SUM(CM$6:CM$19)</f>
        <v>241390.97249703144</v>
      </c>
      <c r="O131" s="124">
        <f>SUM(CO$6:CO$19)+SUM(CQ$6:CQ$19)+SUM(CS$6:CS$19)+SUM(CU$6:CU$19)</f>
        <v>203293.23484999157</v>
      </c>
    </row>
    <row r="132" spans="2:15" x14ac:dyDescent="0.2">
      <c r="C132" s="123" t="s">
        <v>127</v>
      </c>
      <c r="D132" s="124">
        <f>SUM(E$20:E$36)+SUM(G$20:G$36)+SUM(I$20:I$36)+SUM(K$20:K$36)</f>
        <v>556511.62668035459</v>
      </c>
      <c r="E132" s="124">
        <f>SUM(M$20:M$36)+SUM(O$20:O$36)+SUM(Q$20:Q$36)+SUM(S$20:S$36)</f>
        <v>554093.15234341903</v>
      </c>
      <c r="F132" s="124">
        <f>SUM(U$20:U$36)+SUM(W$20:W$36)+SUM(Y$20:Y$36)+SUM(AA$20:AA$36)</f>
        <v>517674.16697248415</v>
      </c>
      <c r="G132" s="124">
        <f>SUM(AC$20:AC$36)+SUM(AE$20:AE$36)+SUM(AG$20:AG$36)+SUM(AI$20:AI$36)</f>
        <v>483488.49889764993</v>
      </c>
      <c r="H132" s="124">
        <f>SUM(AK$20:AK$36)+SUM(AM$20:AM$36)+SUM(AO$20:AO$36)+SUM(AQ$20:AQ$36)</f>
        <v>532575.31028073316</v>
      </c>
      <c r="I132" s="124">
        <f>SUM(AS$20:AS$36)+SUM(AU$20:AU$36)+SUM(AW$20:AW$36)+SUM(AY$20:AY$36)</f>
        <v>571828.01272406033</v>
      </c>
      <c r="J132" s="124">
        <f>SUM(BA$20:BA$36)+SUM(BC$20:BC$36)+SUM(BE$20:BE$36)+SUM(BG$20:BG$36)</f>
        <v>449638.85144452268</v>
      </c>
      <c r="K132" s="124">
        <f>SUM(BI$20:BI$36)+SUM(BK$20:BK$36)+SUM(BM$20:BM$36)+SUM(BO$20:BO$36)</f>
        <v>424726.83570410538</v>
      </c>
      <c r="L132" s="124">
        <f>SUM(BQ$20:BQ$36)+SUM(BS$20:BS$36)+SUM(BU$20:BU$36)+SUM(BW$20:BW$36)</f>
        <v>395717.52833841479</v>
      </c>
      <c r="M132" s="124">
        <f>SUM(BY$20:BY$36)+SUM(CA$20:CA$36)+SUM(CC$20:CC$36)+SUM(CE$20:CE$36)</f>
        <v>454409.33678878838</v>
      </c>
      <c r="N132" s="124">
        <f>SUM(CG$20:CG$36)+SUM(CI$20:CI$36)+SUM(CK$20:CK$36)+SUM(CM$20:CM$36)</f>
        <v>478402.24150370411</v>
      </c>
      <c r="O132" s="124">
        <f>SUM(CO$20:CO$36)+SUM(CQ$20:CQ$36)+SUM(CS$20:CS$36)+SUM(CU$20:CU$36)</f>
        <v>493398.3728454602</v>
      </c>
    </row>
    <row r="133" spans="2:15" x14ac:dyDescent="0.2">
      <c r="C133" s="123" t="s">
        <v>128</v>
      </c>
      <c r="D133" s="124">
        <f>SUM(E$37:E$48)+SUM(G$37:G$48)+SUM(I$37:I$48)+SUM(K$37:K$48)</f>
        <v>748152.31242641481</v>
      </c>
      <c r="E133" s="124">
        <f>SUM(M$37:M$48)+SUM(O$37:O$48)+SUM(Q$37:Q$48)+SUM(S$37:S$48)</f>
        <v>973077.15006994084</v>
      </c>
      <c r="F133" s="124">
        <f>SUM(U$37:U$48)+SUM(W$37:W$48)+SUM(Y$37:Y$48)+SUM(AA$37:AA$48)</f>
        <v>936520.75682107511</v>
      </c>
      <c r="G133" s="124">
        <f>SUM(AC$37:AC$48)+SUM(AE$37:AE$48)+SUM(AG$37:AG$48)+SUM(AI$37:AI$48)</f>
        <v>1134034.0822248547</v>
      </c>
      <c r="H133" s="124">
        <f>SUM(AK$37:AK$48)+SUM(AM$37:AM$48)+SUM(AO$37:AO$48)+SUM(AQ$37:AQ$48)</f>
        <v>1084680.2874266126</v>
      </c>
      <c r="I133" s="124">
        <f>SUM(AS$37:AS$48)+SUM(AU$37:AU$48)+SUM(AW$37:AW$48)+SUM(AY$37:AY$48)</f>
        <v>1036969.6884803162</v>
      </c>
      <c r="J133" s="124">
        <f>SUM(BA$37:BA$48)+SUM(BC$37:BC$48)+SUM(BE$37:BE$48)+SUM(BG$37:BG$48)</f>
        <v>941946.15580400615</v>
      </c>
      <c r="K133" s="124">
        <f>SUM(BI$37:BI$48)+SUM(BK$37:BK$48)+SUM(BM$37:BM$48)+SUM(BO$37:BO$48)</f>
        <v>852958.77061809623</v>
      </c>
      <c r="L133" s="124">
        <f>SUM(BQ$37:BQ$48)+SUM(BS$37:BS$48)+SUM(BU$37:BU$48)+SUM(BW$37:BW$48)</f>
        <v>783894.52185427141</v>
      </c>
      <c r="M133" s="124">
        <f>SUM(BY$37:BY$48)+SUM(CA$37:CA$48)+SUM(CC$37:CC$48)+SUM(CE$37:CE$48)</f>
        <v>1194465.1472147133</v>
      </c>
      <c r="N133" s="124">
        <f>SUM(CG$37:CG$48)+SUM(CI$37:CI$48)+SUM(CK$37:CK$48)+SUM(CM$37:CM$48)</f>
        <v>862655.04036434204</v>
      </c>
      <c r="O133" s="124">
        <f>SUM(CO$37:CO$48)+SUM(CQ$37:CQ$48)+SUM(CS$37:CS$48)+SUM(CU$37:CU$48)</f>
        <v>790070.42481989495</v>
      </c>
    </row>
    <row r="134" spans="2:15" x14ac:dyDescent="0.2">
      <c r="C134" s="123" t="s">
        <v>129</v>
      </c>
      <c r="D134" s="124">
        <f>SUM(E$49:E$70)+SUM(G$49:G$70)+SUM(I$49:I$70)+SUM(K$49:K$70)</f>
        <v>657199.39245057188</v>
      </c>
      <c r="E134" s="124">
        <f>SUM(M$49:M$70)+SUM(O$49:O$70)+SUM(Q$49:Q$70)+SUM(S$49:S$70)</f>
        <v>1086443.6335248528</v>
      </c>
      <c r="F134" s="124">
        <f>SUM(U$49:U$70)+SUM(W$49:W$70)+SUM(Y$49:Y$70)+SUM(AA$49:AA$70)</f>
        <v>859104.13707231916</v>
      </c>
      <c r="G134" s="124">
        <f>SUM(AC$49:AC$70)+SUM(AE$49:AE$70)+SUM(AG$49:AG$70)+SUM(AI$49:AI$70)</f>
        <v>921574.80151268293</v>
      </c>
      <c r="H134" s="124">
        <f>SUM(AK$49:AK$70)+SUM(AM$49:AM$70)+SUM(AO$49:AO$70)+SUM(AQ$49:AQ$70)</f>
        <v>782243.43025277811</v>
      </c>
      <c r="I134" s="124">
        <f>SUM(AS$49:AS$70)+SUM(AU$49:AU$70)+SUM(AW$49:AW$70)+SUM(AY$49:AY$70)</f>
        <v>904548.13209123421</v>
      </c>
      <c r="J134" s="124">
        <f>SUM(BA$49:BA$70)+SUM(BC$49:BC$70)+SUM(BE$49:BE$70)+SUM(BG$49:BG$70)</f>
        <v>861213.22235936858</v>
      </c>
      <c r="K134" s="124">
        <f>SUM(BI$49:BI$70)+SUM(BK$49:BK$70)+SUM(BM$49:BM$70)+SUM(BO$49:BO$70)</f>
        <v>800991.61796528636</v>
      </c>
      <c r="L134" s="124">
        <f>SUM(BQ$49:BQ$70)+SUM(BS$49:BS$70)+SUM(BU$49:BU$70)+SUM(BW$49:BW$70)</f>
        <v>855360.39155330346</v>
      </c>
      <c r="M134" s="124">
        <f>SUM(BY$49:BY$70)+SUM(CA$49:CA$70)+SUM(CC$49:CC$70)+SUM(CE$49:CE$70)</f>
        <v>835106.94639567623</v>
      </c>
      <c r="N134" s="124">
        <f>SUM(CG$49:CG$70)+SUM(CI$49:CI$70)+SUM(CK$49:CK$70)+SUM(CM$49:CM$70)</f>
        <v>764236.15512803849</v>
      </c>
      <c r="O134" s="124">
        <f>SUM(CO$49:CO$70)+SUM(CQ$49:CQ$70)+SUM(CS$49:CS$70)+SUM(CU$49:CU$70)</f>
        <v>618047.31071959552</v>
      </c>
    </row>
    <row r="135" spans="2:15" x14ac:dyDescent="0.2">
      <c r="C135" s="123" t="s">
        <v>130</v>
      </c>
      <c r="D135" s="124">
        <f>SUM(E$71:E$86)+SUM(G$71:G$86)+SUM(I$71:I$86)+SUM(K$71:K$86)</f>
        <v>99408.468918321945</v>
      </c>
      <c r="E135" s="124">
        <f>SUM(M$71:M$86)+SUM(O$71:O$86)+SUM(Q$71:Q$86)+SUM(S$71:S$86)</f>
        <v>227816.82952858874</v>
      </c>
      <c r="F135" s="124">
        <f>SUM(U$71:U$86)+SUM(W$71:W$86)+SUM(Y$71:Y$86)+SUM(AA$71:AA$86)</f>
        <v>142450.17114072322</v>
      </c>
      <c r="G135" s="124">
        <f>SUM(AC$71:AC$86)+SUM(AE$71:AE$86)+SUM(AG$71:AG$86)+SUM(AI$71:AI$86)</f>
        <v>143938.18633235531</v>
      </c>
      <c r="H135" s="124">
        <f>SUM(AK$71:AK$86)+SUM(AM$71:AM$86)+SUM(AO$71:AO$86)+SUM(AQ$71:AQ$86)</f>
        <v>156748.40530477773</v>
      </c>
      <c r="I135" s="124">
        <f>SUM(AS$71:AS$86)+SUM(AU$71:AU$86)+SUM(AW$71:AW$86)+SUM(AY$71:AY$86)</f>
        <v>152007.1472472251</v>
      </c>
      <c r="J135" s="124">
        <f>SUM(BA$71:BA$86)+SUM(BC$71:BC$86)+SUM(BE$71:BE$86)+SUM(BG$71:BG$86)</f>
        <v>153207.76747317374</v>
      </c>
      <c r="K135" s="124">
        <f>SUM(BI$71:BI$86)+SUM(BK$71:BK$86)+SUM(BM$71:BM$86)+SUM(BO$71:BO$86)</f>
        <v>156520.42948897195</v>
      </c>
      <c r="L135" s="124">
        <f>SUM(BQ$71:BQ$86)+SUM(BS$71:BS$86)+SUM(BU$71:BU$86)+SUM(BW$71:BW$86)</f>
        <v>136117.08069680928</v>
      </c>
      <c r="M135" s="124">
        <f>SUM(BY$71:BY$86)+SUM(CA$71:CA$86)+SUM(CC$71:CC$86)+SUM(CE$71:CE$86)</f>
        <v>148256.03637468297</v>
      </c>
      <c r="N135" s="124">
        <f>SUM(CG$71:CG$86)+SUM(CI$71:CI$86)+SUM(CK$71:CK$86)+SUM(CM$71:CM$86)</f>
        <v>140290.85888517852</v>
      </c>
      <c r="O135" s="124">
        <f>SUM(CO$71:CO$86)+SUM(CQ$71:CQ$86)+SUM(CS$71:CS$86)+SUM(CU$71:CU$86)</f>
        <v>152152.11276512951</v>
      </c>
    </row>
    <row r="136" spans="2:15" x14ac:dyDescent="0.2">
      <c r="C136" s="123" t="s">
        <v>131</v>
      </c>
      <c r="D136" s="124">
        <f>SUM(E$87:E$94)+SUM(G$87:G$94)+SUM(I$87:I$94)+SUM(K$87:K$94)</f>
        <v>69574.893250428402</v>
      </c>
      <c r="E136" s="124">
        <f>SUM(M$87:M$94)+SUM(O$87:O$94)+SUM(Q$87:Q$94)+SUM(S$87:S$94)</f>
        <v>212311.38147290764</v>
      </c>
      <c r="F136" s="124">
        <f>SUM(U$87:U$94)+SUM(W$87:W$94)+SUM(Y$87:Y$94)+SUM(AA$87:AA$94)</f>
        <v>193225.94132779835</v>
      </c>
      <c r="G136" s="124">
        <f>SUM(AC$87:AC$94)+SUM(AE$87:AE$94)+SUM(AG$87:AG$94)+SUM(AI$87:AI$94)</f>
        <v>178419.86908216449</v>
      </c>
      <c r="H136" s="124">
        <f>SUM(AK$87:AK$94)+SUM(AM$87:AM$94)+SUM(AO$87:AO$94)+SUM(AQ$87:AQ$94)</f>
        <v>163725.96902822441</v>
      </c>
      <c r="I136" s="124">
        <f>SUM(AS$87:AS$94)+SUM(AU$87:AU$94)+SUM(AW$87:AW$94)+SUM(AY$87:AY$94)</f>
        <v>188756.46890797844</v>
      </c>
      <c r="J136" s="124">
        <f>SUM(BA$87:BA$94)+SUM(BC$87:BC$94)+SUM(BE$87:BE$94)+SUM(BG$87:BG$94)</f>
        <v>150115.4075058139</v>
      </c>
      <c r="K136" s="124">
        <f>SUM(BI$87:BI$94)+SUM(BK$87:BK$94)+SUM(BM$87:BM$94)+SUM(BO$87:BO$94)</f>
        <v>179618.35397072605</v>
      </c>
      <c r="L136" s="124">
        <f>SUM(BQ$87:BQ$94)+SUM(BS$87:BS$94)+SUM(BU$87:BU$94)+SUM(BW$87:BW$94)</f>
        <v>240070.31491592206</v>
      </c>
      <c r="M136" s="124">
        <f>SUM(BY$87:BY$94)+SUM(CA$87:CA$94)+SUM(CC$87:CC$94)+SUM(CE$87:CE$94)</f>
        <v>193480.17791329586</v>
      </c>
      <c r="N136" s="124">
        <f>SUM(CG$87:CG$94)+SUM(CI$87:CI$94)+SUM(CK$87:CK$94)+SUM(CM$87:CM$94)</f>
        <v>195502.73001575621</v>
      </c>
      <c r="O136" s="124">
        <f>SUM(CO$87:CO$94)+SUM(CQ$87:CQ$94)+SUM(CS$87:CS$94)+SUM(CU$87:CU$94)</f>
        <v>187565.74361538549</v>
      </c>
    </row>
    <row r="137" spans="2:15" x14ac:dyDescent="0.2">
      <c r="C137" s="123" t="s">
        <v>132</v>
      </c>
      <c r="D137" s="124">
        <f>SUM(E$95:E$105)+SUM(G$95:G$105)+SUM(I$95:I$105)+SUM(K$95:K$105)</f>
        <v>109305.41325726564</v>
      </c>
      <c r="E137" s="124">
        <f>SUM(M$95:M$105)+SUM(O$95:O$105)+SUM(Q$95:Q$105)+SUM(S$95:S$105)</f>
        <v>322543.2399338187</v>
      </c>
      <c r="F137" s="124">
        <f>SUM(U$95:U$105)+SUM(W$95:W$105)+SUM(Y$95:Y$105)+SUM(AA$95:AA$105)</f>
        <v>207696.14220742526</v>
      </c>
      <c r="G137" s="124">
        <f>SUM(AC$95:AC$105)+SUM(AE$95:AE$105)+SUM(AG$95:AG$105)+SUM(AI$95:AI$105)</f>
        <v>209000.94314261514</v>
      </c>
      <c r="H137" s="124">
        <f>SUM(AK$95:AK$105)+SUM(AM$95:AM$105)+SUM(AO$95:AO$105)+SUM(AQ$95:AQ$105)</f>
        <v>190717.93104032864</v>
      </c>
      <c r="I137" s="124">
        <f>SUM(AS$95:AS$105)+SUM(AU$95:AU$105)+SUM(AW$95:AW$105)+SUM(AY$95:AY$105)</f>
        <v>179898.07615086786</v>
      </c>
      <c r="J137" s="124">
        <f>SUM(BA$95:BA$105)+SUM(BC$95:BC$105)+SUM(BE$95:BE$105)+SUM(BG$95:BG$105)</f>
        <v>216272.07848100562</v>
      </c>
      <c r="K137" s="124">
        <f>SUM(BI$95:BI$105)+SUM(BK$95:BK$105)+SUM(BM$95:BM$105)+SUM(BO$95:BO$105)</f>
        <v>173339.08921066497</v>
      </c>
      <c r="L137" s="124">
        <f>SUM(BQ$95:BQ$105)+SUM(BS$95:BS$105)+SUM(BU$95:BU$105)+SUM(BW$95:BW$105)</f>
        <v>182101.32035335057</v>
      </c>
      <c r="M137" s="124">
        <f>SUM(BY$95:BY$105)+SUM(CA$95:CA$105)+SUM(CC$95:CC$105)+SUM(CE$95:CE$105)</f>
        <v>192076.2358853021</v>
      </c>
      <c r="N137" s="124">
        <f>SUM(CG$95:CG$105)+SUM(CI$95:CI$105)+SUM(CK$95:CK$105)+SUM(CM$95:CM$105)</f>
        <v>209519.71501798596</v>
      </c>
      <c r="O137" s="124">
        <f>SUM(CO$95:CO$105)+SUM(CQ$95:CQ$105)+SUM(CS$95:CS$105)+SUM(CU$95:CU$105)</f>
        <v>190524.07613584041</v>
      </c>
    </row>
    <row r="138" spans="2:15" x14ac:dyDescent="0.2">
      <c r="C138" s="123" t="s">
        <v>278</v>
      </c>
      <c r="D138">
        <f t="shared" ref="D138:O138" si="2">SUM(D$131:D$137)</f>
        <v>2381783.9655795502</v>
      </c>
      <c r="E138">
        <f t="shared" si="2"/>
        <v>3579480.805609012</v>
      </c>
      <c r="F138">
        <f t="shared" si="2"/>
        <v>3085225.9191694059</v>
      </c>
      <c r="G138">
        <f t="shared" si="2"/>
        <v>3295937.8874281244</v>
      </c>
      <c r="H138">
        <f t="shared" si="2"/>
        <v>3142111.0989383413</v>
      </c>
      <c r="I138">
        <f t="shared" si="2"/>
        <v>3271546.4726545727</v>
      </c>
      <c r="J138">
        <f t="shared" si="2"/>
        <v>3023961.88984271</v>
      </c>
      <c r="K138">
        <f t="shared" si="2"/>
        <v>2792230.6443070052</v>
      </c>
      <c r="L138">
        <f t="shared" si="2"/>
        <v>2811320.4877162701</v>
      </c>
      <c r="M138">
        <f t="shared" si="2"/>
        <v>3299045.034849776</v>
      </c>
      <c r="N138">
        <f t="shared" si="2"/>
        <v>2891997.7134120367</v>
      </c>
      <c r="O138">
        <f t="shared" si="2"/>
        <v>2635051.2757512978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1" t="s">
        <v>281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27.448923853998174</v>
      </c>
      <c r="E6">
        <v>15876.457557152544</v>
      </c>
      <c r="F6">
        <v>29</v>
      </c>
      <c r="G6">
        <v>16773.599999999999</v>
      </c>
      <c r="H6">
        <v>27.413729253979319</v>
      </c>
      <c r="I6">
        <v>15856.101000501638</v>
      </c>
      <c r="J6">
        <v>27</v>
      </c>
      <c r="K6">
        <v>15616.8</v>
      </c>
      <c r="L6">
        <v>18</v>
      </c>
      <c r="M6">
        <v>10411.199999999999</v>
      </c>
      <c r="N6">
        <v>28</v>
      </c>
      <c r="O6">
        <v>16195.199999999999</v>
      </c>
      <c r="P6">
        <v>23</v>
      </c>
      <c r="Q6">
        <v>13303.199999999999</v>
      </c>
      <c r="R6">
        <v>28</v>
      </c>
      <c r="S6">
        <v>16195.199999999999</v>
      </c>
      <c r="T6">
        <v>22</v>
      </c>
      <c r="U6">
        <v>12724.8</v>
      </c>
      <c r="V6">
        <v>28</v>
      </c>
      <c r="W6">
        <v>16195.199999999999</v>
      </c>
      <c r="X6">
        <v>20</v>
      </c>
      <c r="Y6">
        <v>11568</v>
      </c>
      <c r="Z6">
        <v>27</v>
      </c>
      <c r="AA6">
        <v>15616.8</v>
      </c>
      <c r="AB6">
        <v>24</v>
      </c>
      <c r="AC6">
        <v>13881.599999999999</v>
      </c>
      <c r="AD6">
        <v>26</v>
      </c>
      <c r="AE6">
        <v>15038.4</v>
      </c>
      <c r="AF6">
        <v>18</v>
      </c>
      <c r="AG6">
        <v>10411.199999999999</v>
      </c>
      <c r="AH6">
        <v>28</v>
      </c>
      <c r="AI6">
        <v>16195.199999999999</v>
      </c>
      <c r="AJ6">
        <v>29</v>
      </c>
      <c r="AK6">
        <v>16773.599999999999</v>
      </c>
      <c r="AL6">
        <v>28</v>
      </c>
      <c r="AM6">
        <v>16195.199999999999</v>
      </c>
      <c r="AN6">
        <v>28</v>
      </c>
      <c r="AO6">
        <v>16195.199999999999</v>
      </c>
      <c r="AP6">
        <v>35</v>
      </c>
      <c r="AQ6">
        <v>20244</v>
      </c>
      <c r="AR6">
        <v>36</v>
      </c>
      <c r="AS6">
        <v>20822.399999999998</v>
      </c>
      <c r="AT6">
        <v>19</v>
      </c>
      <c r="AU6">
        <v>10989.6</v>
      </c>
      <c r="AV6">
        <v>25</v>
      </c>
      <c r="AW6">
        <v>14460</v>
      </c>
      <c r="AX6">
        <v>28</v>
      </c>
      <c r="AY6">
        <v>16195.199999999999</v>
      </c>
      <c r="AZ6">
        <v>26</v>
      </c>
      <c r="BA6">
        <v>15038.4</v>
      </c>
      <c r="BB6">
        <v>17</v>
      </c>
      <c r="BC6">
        <v>9832.7999999999993</v>
      </c>
      <c r="BD6">
        <v>23</v>
      </c>
      <c r="BE6">
        <v>13303.199999999999</v>
      </c>
      <c r="BF6">
        <v>29</v>
      </c>
      <c r="BG6">
        <v>16773.599999999999</v>
      </c>
      <c r="BH6">
        <v>30</v>
      </c>
      <c r="BI6">
        <v>17352</v>
      </c>
      <c r="BJ6">
        <v>29</v>
      </c>
      <c r="BK6">
        <v>16773.599999999999</v>
      </c>
      <c r="BL6">
        <v>22</v>
      </c>
      <c r="BM6">
        <v>12724.8</v>
      </c>
      <c r="BN6">
        <v>32</v>
      </c>
      <c r="BO6">
        <v>18508.8</v>
      </c>
      <c r="BP6">
        <v>22</v>
      </c>
      <c r="BQ6">
        <v>12724.8</v>
      </c>
      <c r="BR6">
        <v>25</v>
      </c>
      <c r="BS6">
        <v>14460</v>
      </c>
      <c r="BT6">
        <v>36</v>
      </c>
      <c r="BU6">
        <v>20822.399999999998</v>
      </c>
      <c r="BV6">
        <v>26</v>
      </c>
      <c r="BW6">
        <v>15038.4</v>
      </c>
      <c r="BX6">
        <v>28</v>
      </c>
      <c r="BY6">
        <v>16195.199999999999</v>
      </c>
      <c r="BZ6">
        <v>34</v>
      </c>
      <c r="CA6">
        <v>19665.599999999999</v>
      </c>
      <c r="CB6">
        <v>27</v>
      </c>
      <c r="CC6">
        <v>15616.8</v>
      </c>
      <c r="CD6">
        <v>24</v>
      </c>
      <c r="CE6">
        <v>13881.599999999999</v>
      </c>
      <c r="CF6">
        <v>26</v>
      </c>
      <c r="CG6">
        <v>15038.4</v>
      </c>
      <c r="CH6">
        <v>28</v>
      </c>
      <c r="CI6">
        <v>16195.199999999999</v>
      </c>
      <c r="CJ6">
        <v>36</v>
      </c>
      <c r="CK6">
        <v>20822.399999999998</v>
      </c>
      <c r="CL6">
        <v>34</v>
      </c>
      <c r="CM6">
        <v>19665.599999999999</v>
      </c>
      <c r="CN6">
        <v>39</v>
      </c>
      <c r="CO6">
        <v>22557.599999999999</v>
      </c>
      <c r="CP6">
        <v>30</v>
      </c>
      <c r="CQ6">
        <v>17352</v>
      </c>
      <c r="CR6">
        <v>22</v>
      </c>
      <c r="CS6">
        <v>12724.8</v>
      </c>
      <c r="CT6">
        <v>32</v>
      </c>
      <c r="CU6">
        <v>18508.8</v>
      </c>
    </row>
    <row r="7" spans="1:99" x14ac:dyDescent="0.2">
      <c r="C7" s="119" t="s">
        <v>173</v>
      </c>
      <c r="D7">
        <v>24.448923853998174</v>
      </c>
      <c r="E7">
        <v>19275.531566492158</v>
      </c>
      <c r="F7">
        <v>32</v>
      </c>
      <c r="G7">
        <v>25228.799999999999</v>
      </c>
      <c r="H7">
        <v>28.459699171088133</v>
      </c>
      <c r="I7">
        <v>22437.626826485885</v>
      </c>
      <c r="J7">
        <v>28</v>
      </c>
      <c r="K7">
        <v>22075.200000000001</v>
      </c>
      <c r="L7">
        <v>16</v>
      </c>
      <c r="M7">
        <v>12614.4</v>
      </c>
      <c r="N7">
        <v>25</v>
      </c>
      <c r="O7">
        <v>19710</v>
      </c>
      <c r="P7">
        <v>20</v>
      </c>
      <c r="Q7">
        <v>15768</v>
      </c>
      <c r="R7">
        <v>25</v>
      </c>
      <c r="S7">
        <v>19710</v>
      </c>
      <c r="T7">
        <v>19</v>
      </c>
      <c r="U7">
        <v>14979.6</v>
      </c>
      <c r="V7">
        <v>27</v>
      </c>
      <c r="W7">
        <v>21286.799999999999</v>
      </c>
      <c r="X7">
        <v>18</v>
      </c>
      <c r="Y7">
        <v>14191.199999999999</v>
      </c>
      <c r="Z7">
        <v>26</v>
      </c>
      <c r="AA7">
        <v>20498.399999999998</v>
      </c>
      <c r="AB7">
        <v>24</v>
      </c>
      <c r="AC7">
        <v>18921.599999999999</v>
      </c>
      <c r="AD7">
        <v>26</v>
      </c>
      <c r="AE7">
        <v>20498.399999999998</v>
      </c>
      <c r="AF7">
        <v>18</v>
      </c>
      <c r="AG7">
        <v>14191.199999999999</v>
      </c>
      <c r="AH7">
        <v>27</v>
      </c>
      <c r="AI7">
        <v>21286.799999999999</v>
      </c>
      <c r="AJ7">
        <v>27</v>
      </c>
      <c r="AK7">
        <v>21286.799999999999</v>
      </c>
      <c r="AL7">
        <v>29</v>
      </c>
      <c r="AM7">
        <v>22863.599999999999</v>
      </c>
      <c r="AN7">
        <v>27</v>
      </c>
      <c r="AO7">
        <v>21286.799999999999</v>
      </c>
      <c r="AP7">
        <v>29</v>
      </c>
      <c r="AQ7">
        <v>22863.599999999999</v>
      </c>
      <c r="AR7">
        <v>36</v>
      </c>
      <c r="AS7">
        <v>28382.399999999998</v>
      </c>
      <c r="AT7">
        <v>17</v>
      </c>
      <c r="AU7">
        <v>13402.8</v>
      </c>
      <c r="AV7">
        <v>25</v>
      </c>
      <c r="AW7">
        <v>19710</v>
      </c>
      <c r="AX7">
        <v>25</v>
      </c>
      <c r="AY7">
        <v>19710</v>
      </c>
      <c r="AZ7">
        <v>27</v>
      </c>
      <c r="BA7">
        <v>21286.799999999999</v>
      </c>
      <c r="BB7">
        <v>18</v>
      </c>
      <c r="BC7">
        <v>14191.199999999999</v>
      </c>
      <c r="BD7">
        <v>25</v>
      </c>
      <c r="BE7">
        <v>19710</v>
      </c>
      <c r="BF7">
        <v>26</v>
      </c>
      <c r="BG7">
        <v>20498.399999999998</v>
      </c>
      <c r="BH7">
        <v>25</v>
      </c>
      <c r="BI7">
        <v>19710</v>
      </c>
      <c r="BJ7">
        <v>31</v>
      </c>
      <c r="BK7">
        <v>24440.399999999998</v>
      </c>
      <c r="BL7">
        <v>20</v>
      </c>
      <c r="BM7">
        <v>15768</v>
      </c>
      <c r="BN7">
        <v>36</v>
      </c>
      <c r="BO7">
        <v>28382.399999999998</v>
      </c>
      <c r="BP7">
        <v>24</v>
      </c>
      <c r="BQ7">
        <v>18921.599999999999</v>
      </c>
      <c r="BR7">
        <v>27</v>
      </c>
      <c r="BS7">
        <v>21286.799999999999</v>
      </c>
      <c r="BT7">
        <v>37</v>
      </c>
      <c r="BU7">
        <v>29170.799999999999</v>
      </c>
      <c r="BV7">
        <v>27</v>
      </c>
      <c r="BW7">
        <v>21286.799999999999</v>
      </c>
      <c r="BX7">
        <v>30</v>
      </c>
      <c r="BY7">
        <v>23652</v>
      </c>
      <c r="BZ7">
        <v>29</v>
      </c>
      <c r="CA7">
        <v>22863.599999999999</v>
      </c>
      <c r="CB7">
        <v>25</v>
      </c>
      <c r="CC7">
        <v>19710</v>
      </c>
      <c r="CD7">
        <v>23</v>
      </c>
      <c r="CE7">
        <v>18133.2</v>
      </c>
      <c r="CF7">
        <v>22</v>
      </c>
      <c r="CG7">
        <v>17344.8</v>
      </c>
      <c r="CH7">
        <v>26</v>
      </c>
      <c r="CI7">
        <v>20498.399999999998</v>
      </c>
      <c r="CJ7">
        <v>35</v>
      </c>
      <c r="CK7">
        <v>27594</v>
      </c>
      <c r="CL7">
        <v>37</v>
      </c>
      <c r="CM7">
        <v>29170.799999999999</v>
      </c>
      <c r="CN7">
        <v>35</v>
      </c>
      <c r="CO7">
        <v>27594</v>
      </c>
      <c r="CP7">
        <v>35</v>
      </c>
      <c r="CQ7">
        <v>27594</v>
      </c>
      <c r="CR7">
        <v>22</v>
      </c>
      <c r="CS7">
        <v>17344.8</v>
      </c>
      <c r="CT7">
        <v>26</v>
      </c>
      <c r="CU7">
        <v>20498.399999999998</v>
      </c>
    </row>
    <row r="8" spans="1:99" x14ac:dyDescent="0.2">
      <c r="C8" s="119" t="s">
        <v>174</v>
      </c>
      <c r="D8">
        <v>24.448923853998174</v>
      </c>
      <c r="E8">
        <v>7569.3868251978338</v>
      </c>
      <c r="F8">
        <v>32</v>
      </c>
      <c r="G8">
        <v>9907.1999999999989</v>
      </c>
      <c r="H8">
        <v>26.459699171088133</v>
      </c>
      <c r="I8">
        <v>8191.9228633688854</v>
      </c>
      <c r="J8">
        <v>28</v>
      </c>
      <c r="K8">
        <v>8668.7999999999993</v>
      </c>
      <c r="L8">
        <v>17</v>
      </c>
      <c r="M8">
        <v>5263.2</v>
      </c>
      <c r="N8">
        <v>28</v>
      </c>
      <c r="O8">
        <v>8668.7999999999993</v>
      </c>
      <c r="P8">
        <v>23</v>
      </c>
      <c r="Q8">
        <v>7120.7999999999993</v>
      </c>
      <c r="R8">
        <v>30</v>
      </c>
      <c r="S8">
        <v>9287.9999999999982</v>
      </c>
      <c r="T8">
        <v>20</v>
      </c>
      <c r="U8">
        <v>6191.9999999999991</v>
      </c>
      <c r="V8">
        <v>25</v>
      </c>
      <c r="W8">
        <v>7739.9999999999991</v>
      </c>
      <c r="X8">
        <v>20</v>
      </c>
      <c r="Y8">
        <v>6191.9999999999991</v>
      </c>
      <c r="Z8">
        <v>29</v>
      </c>
      <c r="AA8">
        <v>8978.4</v>
      </c>
      <c r="AB8">
        <v>25</v>
      </c>
      <c r="AC8">
        <v>7739.9999999999991</v>
      </c>
      <c r="AD8">
        <v>28</v>
      </c>
      <c r="AE8">
        <v>8668.7999999999993</v>
      </c>
      <c r="AF8">
        <v>18</v>
      </c>
      <c r="AG8">
        <v>5572.7999999999993</v>
      </c>
      <c r="AH8">
        <v>30</v>
      </c>
      <c r="AI8">
        <v>9287.9999999999982</v>
      </c>
      <c r="AJ8">
        <v>31</v>
      </c>
      <c r="AK8">
        <v>9597.5999999999985</v>
      </c>
      <c r="AL8">
        <v>32</v>
      </c>
      <c r="AM8">
        <v>9907.1999999999989</v>
      </c>
      <c r="AN8">
        <v>29</v>
      </c>
      <c r="AO8">
        <v>8978.4</v>
      </c>
      <c r="AP8">
        <v>33</v>
      </c>
      <c r="AQ8">
        <v>10216.799999999999</v>
      </c>
      <c r="AR8">
        <v>40</v>
      </c>
      <c r="AS8">
        <v>12383.999999999998</v>
      </c>
      <c r="AT8">
        <v>20</v>
      </c>
      <c r="AU8">
        <v>6191.9999999999991</v>
      </c>
      <c r="AV8">
        <v>29</v>
      </c>
      <c r="AW8">
        <v>8978.4</v>
      </c>
      <c r="AX8">
        <v>28</v>
      </c>
      <c r="AY8">
        <v>8668.7999999999993</v>
      </c>
      <c r="AZ8">
        <v>29</v>
      </c>
      <c r="BA8">
        <v>8978.4</v>
      </c>
      <c r="BB8">
        <v>21</v>
      </c>
      <c r="BC8">
        <v>6501.5999999999995</v>
      </c>
      <c r="BD8">
        <v>25</v>
      </c>
      <c r="BE8">
        <v>7739.9999999999991</v>
      </c>
      <c r="BF8">
        <v>29</v>
      </c>
      <c r="BG8">
        <v>8978.4</v>
      </c>
      <c r="BH8">
        <v>27</v>
      </c>
      <c r="BI8">
        <v>8359.1999999999989</v>
      </c>
      <c r="BJ8">
        <v>33</v>
      </c>
      <c r="BK8">
        <v>10216.799999999999</v>
      </c>
      <c r="BL8">
        <v>19</v>
      </c>
      <c r="BM8">
        <v>5882.4</v>
      </c>
      <c r="BN8">
        <v>40</v>
      </c>
      <c r="BO8">
        <v>12383.999999999998</v>
      </c>
      <c r="BP8">
        <v>23</v>
      </c>
      <c r="BQ8">
        <v>7120.7999999999993</v>
      </c>
      <c r="BR8">
        <v>24</v>
      </c>
      <c r="BS8">
        <v>7430.4</v>
      </c>
      <c r="BT8">
        <v>42</v>
      </c>
      <c r="BU8">
        <v>13003.199999999999</v>
      </c>
      <c r="BV8">
        <v>28</v>
      </c>
      <c r="BW8">
        <v>8668.7999999999993</v>
      </c>
      <c r="BX8">
        <v>28</v>
      </c>
      <c r="BY8">
        <v>8668.7999999999993</v>
      </c>
      <c r="BZ8">
        <v>30</v>
      </c>
      <c r="CA8">
        <v>9287.9999999999982</v>
      </c>
      <c r="CB8">
        <v>28</v>
      </c>
      <c r="CC8">
        <v>8668.7999999999993</v>
      </c>
      <c r="CD8">
        <v>22</v>
      </c>
      <c r="CE8">
        <v>6811.1999999999989</v>
      </c>
      <c r="CF8">
        <v>26</v>
      </c>
      <c r="CG8">
        <v>8049.5999999999995</v>
      </c>
      <c r="CH8">
        <v>27</v>
      </c>
      <c r="CI8">
        <v>8359.1999999999989</v>
      </c>
      <c r="CJ8">
        <v>44</v>
      </c>
      <c r="CK8">
        <v>13622.399999999998</v>
      </c>
      <c r="CL8">
        <v>39</v>
      </c>
      <c r="CM8">
        <v>12074.399999999998</v>
      </c>
      <c r="CN8">
        <v>37</v>
      </c>
      <c r="CO8">
        <v>11455.199999999999</v>
      </c>
      <c r="CP8">
        <v>35</v>
      </c>
      <c r="CQ8">
        <v>10835.999999999998</v>
      </c>
      <c r="CR8">
        <v>23</v>
      </c>
      <c r="CS8">
        <v>7120.7999999999993</v>
      </c>
      <c r="CT8">
        <v>33</v>
      </c>
      <c r="CU8">
        <v>10216.799999999999</v>
      </c>
    </row>
    <row r="9" spans="1:99" x14ac:dyDescent="0.2">
      <c r="C9" s="119" t="s">
        <v>175</v>
      </c>
      <c r="D9">
        <v>24.448923853998174</v>
      </c>
      <c r="E9">
        <v>17163.144545506719</v>
      </c>
      <c r="F9">
        <v>28</v>
      </c>
      <c r="G9">
        <v>19656</v>
      </c>
      <c r="H9">
        <v>25.459699171088133</v>
      </c>
      <c r="I9">
        <v>17872.708818103871</v>
      </c>
      <c r="J9">
        <v>26.441877377042527</v>
      </c>
      <c r="K9">
        <v>18562.197918683854</v>
      </c>
      <c r="L9">
        <v>16</v>
      </c>
      <c r="M9">
        <v>11232</v>
      </c>
      <c r="N9">
        <v>29</v>
      </c>
      <c r="O9">
        <v>20358</v>
      </c>
      <c r="P9">
        <v>23</v>
      </c>
      <c r="Q9">
        <v>16146</v>
      </c>
      <c r="R9">
        <v>29</v>
      </c>
      <c r="S9">
        <v>20358</v>
      </c>
      <c r="T9">
        <v>20</v>
      </c>
      <c r="U9">
        <v>14040</v>
      </c>
      <c r="V9">
        <v>24</v>
      </c>
      <c r="W9">
        <v>16848</v>
      </c>
      <c r="X9">
        <v>18</v>
      </c>
      <c r="Y9">
        <v>12636</v>
      </c>
      <c r="Z9">
        <v>28</v>
      </c>
      <c r="AA9">
        <v>19656</v>
      </c>
      <c r="AB9">
        <v>22</v>
      </c>
      <c r="AC9">
        <v>15444</v>
      </c>
      <c r="AD9">
        <v>28</v>
      </c>
      <c r="AE9">
        <v>19656</v>
      </c>
      <c r="AF9">
        <v>20</v>
      </c>
      <c r="AG9">
        <v>14040</v>
      </c>
      <c r="AH9">
        <v>32</v>
      </c>
      <c r="AI9">
        <v>22464</v>
      </c>
      <c r="AJ9">
        <v>30</v>
      </c>
      <c r="AK9">
        <v>21060</v>
      </c>
      <c r="AL9">
        <v>26</v>
      </c>
      <c r="AM9">
        <v>18252</v>
      </c>
      <c r="AN9">
        <v>30</v>
      </c>
      <c r="AO9">
        <v>21060</v>
      </c>
      <c r="AP9">
        <v>30</v>
      </c>
      <c r="AQ9">
        <v>21060</v>
      </c>
      <c r="AR9">
        <v>37</v>
      </c>
      <c r="AS9">
        <v>25974</v>
      </c>
      <c r="AT9">
        <v>19</v>
      </c>
      <c r="AU9">
        <v>13338</v>
      </c>
      <c r="AV9">
        <v>25</v>
      </c>
      <c r="AW9">
        <v>17550</v>
      </c>
      <c r="AX9">
        <v>27</v>
      </c>
      <c r="AY9">
        <v>18954</v>
      </c>
      <c r="AZ9">
        <v>26</v>
      </c>
      <c r="BA9">
        <v>18252</v>
      </c>
      <c r="BB9">
        <v>19</v>
      </c>
      <c r="BC9">
        <v>13338</v>
      </c>
      <c r="BD9">
        <v>25</v>
      </c>
      <c r="BE9">
        <v>17550</v>
      </c>
      <c r="BF9">
        <v>25</v>
      </c>
      <c r="BG9">
        <v>17550</v>
      </c>
      <c r="BH9">
        <v>29</v>
      </c>
      <c r="BI9">
        <v>20358</v>
      </c>
      <c r="BJ9">
        <v>34</v>
      </c>
      <c r="BK9">
        <v>23868</v>
      </c>
      <c r="BL9">
        <v>19</v>
      </c>
      <c r="BM9">
        <v>13338</v>
      </c>
      <c r="BN9">
        <v>35</v>
      </c>
      <c r="BO9">
        <v>24570</v>
      </c>
      <c r="BP9">
        <v>20</v>
      </c>
      <c r="BQ9">
        <v>14040</v>
      </c>
      <c r="BR9">
        <v>28</v>
      </c>
      <c r="BS9">
        <v>19656</v>
      </c>
      <c r="BT9">
        <v>36</v>
      </c>
      <c r="BU9">
        <v>25272</v>
      </c>
      <c r="BV9">
        <v>26</v>
      </c>
      <c r="BW9">
        <v>18252</v>
      </c>
      <c r="BX9">
        <v>26</v>
      </c>
      <c r="BY9">
        <v>18252</v>
      </c>
      <c r="BZ9">
        <v>30</v>
      </c>
      <c r="CA9">
        <v>21060</v>
      </c>
      <c r="CB9">
        <v>27</v>
      </c>
      <c r="CC9">
        <v>18954</v>
      </c>
      <c r="CD9">
        <v>22</v>
      </c>
      <c r="CE9">
        <v>15444</v>
      </c>
      <c r="CF9">
        <v>25</v>
      </c>
      <c r="CG9">
        <v>17550</v>
      </c>
      <c r="CH9">
        <v>26</v>
      </c>
      <c r="CI9">
        <v>18252</v>
      </c>
      <c r="CJ9">
        <v>41</v>
      </c>
      <c r="CK9">
        <v>28782</v>
      </c>
      <c r="CL9">
        <v>40</v>
      </c>
      <c r="CM9">
        <v>28080</v>
      </c>
      <c r="CN9">
        <v>35</v>
      </c>
      <c r="CO9">
        <v>24570</v>
      </c>
      <c r="CP9">
        <v>33</v>
      </c>
      <c r="CQ9">
        <v>23166</v>
      </c>
      <c r="CR9">
        <v>19</v>
      </c>
      <c r="CS9">
        <v>13338</v>
      </c>
      <c r="CT9">
        <v>28</v>
      </c>
      <c r="CU9">
        <v>19656</v>
      </c>
    </row>
    <row r="10" spans="1:99" x14ac:dyDescent="0.2">
      <c r="C10" s="119" t="s">
        <v>176</v>
      </c>
      <c r="D10">
        <v>23.448923853998174</v>
      </c>
      <c r="E10">
        <v>12774.973715658205</v>
      </c>
      <c r="F10">
        <v>32</v>
      </c>
      <c r="G10">
        <v>17433.599999999999</v>
      </c>
      <c r="H10">
        <v>26.505669088196946</v>
      </c>
      <c r="I10">
        <v>14440.288519249694</v>
      </c>
      <c r="J10">
        <v>26.441877377042527</v>
      </c>
      <c r="K10">
        <v>14405.534795012767</v>
      </c>
      <c r="L10">
        <v>16</v>
      </c>
      <c r="M10">
        <v>8716.7999999999993</v>
      </c>
      <c r="N10">
        <v>27</v>
      </c>
      <c r="O10">
        <v>14709.599999999999</v>
      </c>
      <c r="P10">
        <v>24</v>
      </c>
      <c r="Q10">
        <v>13075.199999999999</v>
      </c>
      <c r="R10">
        <v>30</v>
      </c>
      <c r="S10">
        <v>16343.999999999998</v>
      </c>
      <c r="T10">
        <v>21</v>
      </c>
      <c r="U10">
        <v>11440.8</v>
      </c>
      <c r="V10">
        <v>24</v>
      </c>
      <c r="W10">
        <v>13075.199999999999</v>
      </c>
      <c r="X10">
        <v>20</v>
      </c>
      <c r="Y10">
        <v>10896</v>
      </c>
      <c r="Z10">
        <v>31</v>
      </c>
      <c r="AA10">
        <v>16888.8</v>
      </c>
      <c r="AB10">
        <v>23</v>
      </c>
      <c r="AC10">
        <v>12530.4</v>
      </c>
      <c r="AD10">
        <v>29</v>
      </c>
      <c r="AE10">
        <v>15799.199999999999</v>
      </c>
      <c r="AF10">
        <v>18</v>
      </c>
      <c r="AG10">
        <v>9806.4</v>
      </c>
      <c r="AH10">
        <v>30</v>
      </c>
      <c r="AI10">
        <v>16343.999999999998</v>
      </c>
      <c r="AJ10">
        <v>30</v>
      </c>
      <c r="AK10">
        <v>16343.999999999998</v>
      </c>
      <c r="AL10">
        <v>26</v>
      </c>
      <c r="AM10">
        <v>14164.8</v>
      </c>
      <c r="AN10">
        <v>30</v>
      </c>
      <c r="AO10">
        <v>16343.999999999998</v>
      </c>
      <c r="AP10">
        <v>32</v>
      </c>
      <c r="AQ10">
        <v>17433.599999999999</v>
      </c>
      <c r="AR10">
        <v>35</v>
      </c>
      <c r="AS10">
        <v>19068</v>
      </c>
      <c r="AT10">
        <v>20</v>
      </c>
      <c r="AU10">
        <v>10896</v>
      </c>
      <c r="AV10">
        <v>28</v>
      </c>
      <c r="AW10">
        <v>15254.399999999998</v>
      </c>
      <c r="AX10">
        <v>29</v>
      </c>
      <c r="AY10">
        <v>15799.199999999999</v>
      </c>
      <c r="AZ10">
        <v>25</v>
      </c>
      <c r="BA10">
        <v>13619.999999999998</v>
      </c>
      <c r="BB10">
        <v>20</v>
      </c>
      <c r="BC10">
        <v>10896</v>
      </c>
      <c r="BD10">
        <v>26</v>
      </c>
      <c r="BE10">
        <v>14164.8</v>
      </c>
      <c r="BF10">
        <v>25</v>
      </c>
      <c r="BG10">
        <v>13619.999999999998</v>
      </c>
      <c r="BH10">
        <v>29</v>
      </c>
      <c r="BI10">
        <v>15799.199999999999</v>
      </c>
      <c r="BJ10">
        <v>35</v>
      </c>
      <c r="BK10">
        <v>19068</v>
      </c>
      <c r="BL10">
        <v>19</v>
      </c>
      <c r="BM10">
        <v>10351.199999999999</v>
      </c>
      <c r="BN10">
        <v>33</v>
      </c>
      <c r="BO10">
        <v>17978.399999999998</v>
      </c>
      <c r="BP10">
        <v>24</v>
      </c>
      <c r="BQ10">
        <v>13075.199999999999</v>
      </c>
      <c r="BR10">
        <v>24</v>
      </c>
      <c r="BS10">
        <v>13075.199999999999</v>
      </c>
      <c r="BT10">
        <v>37</v>
      </c>
      <c r="BU10">
        <v>20157.599999999999</v>
      </c>
      <c r="BV10">
        <v>30</v>
      </c>
      <c r="BW10">
        <v>16343.999999999998</v>
      </c>
      <c r="BX10">
        <v>31</v>
      </c>
      <c r="BY10">
        <v>16888.8</v>
      </c>
      <c r="BZ10">
        <v>32</v>
      </c>
      <c r="CA10">
        <v>17433.599999999999</v>
      </c>
      <c r="CB10">
        <v>28</v>
      </c>
      <c r="CC10">
        <v>15254.399999999998</v>
      </c>
      <c r="CD10">
        <v>22</v>
      </c>
      <c r="CE10">
        <v>11985.599999999999</v>
      </c>
      <c r="CF10">
        <v>25</v>
      </c>
      <c r="CG10">
        <v>13619.999999999998</v>
      </c>
      <c r="CH10">
        <v>25</v>
      </c>
      <c r="CI10">
        <v>13619.999999999998</v>
      </c>
      <c r="CJ10">
        <v>35</v>
      </c>
      <c r="CK10">
        <v>19068</v>
      </c>
      <c r="CL10">
        <v>35</v>
      </c>
      <c r="CM10">
        <v>19068</v>
      </c>
      <c r="CN10">
        <v>39</v>
      </c>
      <c r="CO10">
        <v>21247.199999999997</v>
      </c>
      <c r="CP10">
        <v>35</v>
      </c>
      <c r="CQ10">
        <v>19068</v>
      </c>
      <c r="CR10">
        <v>23</v>
      </c>
      <c r="CS10">
        <v>12530.4</v>
      </c>
      <c r="CT10">
        <v>31</v>
      </c>
      <c r="CU10">
        <v>16888.8</v>
      </c>
    </row>
    <row r="11" spans="1:99" x14ac:dyDescent="0.2">
      <c r="C11" s="119" t="s">
        <v>177</v>
      </c>
      <c r="D11">
        <v>24.399043425776153</v>
      </c>
      <c r="E11">
        <v>12999.810337253533</v>
      </c>
      <c r="F11">
        <v>30</v>
      </c>
      <c r="G11">
        <v>15983.999999999998</v>
      </c>
      <c r="H11">
        <v>25.459699171088133</v>
      </c>
      <c r="I11">
        <v>13564.927718355755</v>
      </c>
      <c r="J11">
        <v>26</v>
      </c>
      <c r="K11">
        <v>13852.8</v>
      </c>
      <c r="L11">
        <v>16</v>
      </c>
      <c r="M11">
        <v>8524.7999999999993</v>
      </c>
      <c r="N11">
        <v>30</v>
      </c>
      <c r="O11">
        <v>15983.999999999998</v>
      </c>
      <c r="P11">
        <v>21</v>
      </c>
      <c r="Q11">
        <v>11188.8</v>
      </c>
      <c r="R11">
        <v>26</v>
      </c>
      <c r="S11">
        <v>13852.8</v>
      </c>
      <c r="T11">
        <v>19</v>
      </c>
      <c r="U11">
        <v>10123.199999999999</v>
      </c>
      <c r="V11">
        <v>26</v>
      </c>
      <c r="W11">
        <v>13852.8</v>
      </c>
      <c r="X11">
        <v>18</v>
      </c>
      <c r="Y11">
        <v>9590.4</v>
      </c>
      <c r="Z11">
        <v>28</v>
      </c>
      <c r="AA11">
        <v>14918.399999999998</v>
      </c>
      <c r="AB11">
        <v>22</v>
      </c>
      <c r="AC11">
        <v>11721.599999999999</v>
      </c>
      <c r="AD11">
        <v>29</v>
      </c>
      <c r="AE11">
        <v>15451.199999999999</v>
      </c>
      <c r="AF11">
        <v>20</v>
      </c>
      <c r="AG11">
        <v>10656</v>
      </c>
      <c r="AH11">
        <v>33</v>
      </c>
      <c r="AI11">
        <v>17582.399999999998</v>
      </c>
      <c r="AJ11">
        <v>31</v>
      </c>
      <c r="AK11">
        <v>16516.8</v>
      </c>
      <c r="AL11">
        <v>27</v>
      </c>
      <c r="AM11">
        <v>14385.599999999999</v>
      </c>
      <c r="AN11">
        <v>28</v>
      </c>
      <c r="AO11">
        <v>14918.399999999998</v>
      </c>
      <c r="AP11">
        <v>30</v>
      </c>
      <c r="AQ11">
        <v>15983.999999999998</v>
      </c>
      <c r="AR11">
        <v>35</v>
      </c>
      <c r="AS11">
        <v>18648</v>
      </c>
      <c r="AT11">
        <v>21</v>
      </c>
      <c r="AU11">
        <v>11188.8</v>
      </c>
      <c r="AV11">
        <v>29</v>
      </c>
      <c r="AW11">
        <v>15451.199999999999</v>
      </c>
      <c r="AX11">
        <v>28</v>
      </c>
      <c r="AY11">
        <v>14918.399999999998</v>
      </c>
      <c r="AZ11">
        <v>26</v>
      </c>
      <c r="BA11">
        <v>13852.8</v>
      </c>
      <c r="BB11">
        <v>18</v>
      </c>
      <c r="BC11">
        <v>9590.4</v>
      </c>
      <c r="BD11">
        <v>26</v>
      </c>
      <c r="BE11">
        <v>13852.8</v>
      </c>
      <c r="BF11">
        <v>26</v>
      </c>
      <c r="BG11">
        <v>13852.8</v>
      </c>
      <c r="BH11">
        <v>30</v>
      </c>
      <c r="BI11">
        <v>15983.999999999998</v>
      </c>
      <c r="BJ11">
        <v>34</v>
      </c>
      <c r="BK11">
        <v>18115.199999999997</v>
      </c>
      <c r="BL11">
        <v>21</v>
      </c>
      <c r="BM11">
        <v>11188.8</v>
      </c>
      <c r="BN11">
        <v>39</v>
      </c>
      <c r="BO11">
        <v>20779.199999999997</v>
      </c>
      <c r="BP11">
        <v>21</v>
      </c>
      <c r="BQ11">
        <v>11188.8</v>
      </c>
      <c r="BR11">
        <v>23</v>
      </c>
      <c r="BS11">
        <v>12254.4</v>
      </c>
      <c r="BT11">
        <v>34</v>
      </c>
      <c r="BU11">
        <v>18115.199999999997</v>
      </c>
      <c r="BV11">
        <v>26</v>
      </c>
      <c r="BW11">
        <v>13852.8</v>
      </c>
      <c r="BX11">
        <v>31</v>
      </c>
      <c r="BY11">
        <v>16516.8</v>
      </c>
      <c r="BZ11">
        <v>33</v>
      </c>
      <c r="CA11">
        <v>17582.399999999998</v>
      </c>
      <c r="CB11">
        <v>27</v>
      </c>
      <c r="CC11">
        <v>14385.599999999999</v>
      </c>
      <c r="CD11">
        <v>25</v>
      </c>
      <c r="CE11">
        <v>13319.999999999998</v>
      </c>
      <c r="CF11">
        <v>25</v>
      </c>
      <c r="CG11">
        <v>13319.999999999998</v>
      </c>
      <c r="CH11">
        <v>30</v>
      </c>
      <c r="CI11">
        <v>15983.999999999998</v>
      </c>
      <c r="CJ11">
        <v>39</v>
      </c>
      <c r="CK11">
        <v>20779.199999999997</v>
      </c>
      <c r="CL11">
        <v>37</v>
      </c>
      <c r="CM11">
        <v>19713.599999999999</v>
      </c>
      <c r="CN11">
        <v>41</v>
      </c>
      <c r="CO11">
        <v>21844.799999999999</v>
      </c>
      <c r="CP11">
        <v>35</v>
      </c>
      <c r="CQ11">
        <v>18648</v>
      </c>
      <c r="CR11">
        <v>20</v>
      </c>
      <c r="CS11">
        <v>10656</v>
      </c>
      <c r="CT11">
        <v>31</v>
      </c>
      <c r="CU11">
        <v>16516.8</v>
      </c>
    </row>
    <row r="12" spans="1:99" x14ac:dyDescent="0.2">
      <c r="C12" s="119" t="s">
        <v>178</v>
      </c>
      <c r="D12">
        <v>24.448923853998174</v>
      </c>
      <c r="E12">
        <v>13759.854345030171</v>
      </c>
      <c r="F12">
        <v>30</v>
      </c>
      <c r="G12">
        <v>16884</v>
      </c>
      <c r="H12">
        <v>29.459699171088133</v>
      </c>
      <c r="I12">
        <v>16579.918693488398</v>
      </c>
      <c r="J12">
        <v>30</v>
      </c>
      <c r="K12">
        <v>16884</v>
      </c>
      <c r="L12">
        <v>18</v>
      </c>
      <c r="M12">
        <v>10130.4</v>
      </c>
      <c r="N12">
        <v>28</v>
      </c>
      <c r="O12">
        <v>15758.399999999998</v>
      </c>
      <c r="P12">
        <v>20</v>
      </c>
      <c r="Q12">
        <v>11256</v>
      </c>
      <c r="R12">
        <v>27</v>
      </c>
      <c r="S12">
        <v>15195.599999999999</v>
      </c>
      <c r="T12">
        <v>22</v>
      </c>
      <c r="U12">
        <v>12381.599999999999</v>
      </c>
      <c r="V12">
        <v>28</v>
      </c>
      <c r="W12">
        <v>15758.399999999998</v>
      </c>
      <c r="X12">
        <v>19</v>
      </c>
      <c r="Y12">
        <v>10693.199999999999</v>
      </c>
      <c r="Z12">
        <v>29</v>
      </c>
      <c r="AA12">
        <v>16321.199999999999</v>
      </c>
      <c r="AB12">
        <v>25</v>
      </c>
      <c r="AC12">
        <v>14069.999999999998</v>
      </c>
      <c r="AD12">
        <v>28</v>
      </c>
      <c r="AE12">
        <v>15758.399999999998</v>
      </c>
      <c r="AF12">
        <v>20</v>
      </c>
      <c r="AG12">
        <v>11256</v>
      </c>
      <c r="AH12">
        <v>32</v>
      </c>
      <c r="AI12">
        <v>18009.599999999999</v>
      </c>
      <c r="AJ12">
        <v>31</v>
      </c>
      <c r="AK12">
        <v>17446.8</v>
      </c>
      <c r="AL12">
        <v>30</v>
      </c>
      <c r="AM12">
        <v>16884</v>
      </c>
      <c r="AN12">
        <v>31</v>
      </c>
      <c r="AO12">
        <v>17446.8</v>
      </c>
      <c r="AP12">
        <v>32</v>
      </c>
      <c r="AQ12">
        <v>18009.599999999999</v>
      </c>
      <c r="AR12">
        <v>36</v>
      </c>
      <c r="AS12">
        <v>20260.8</v>
      </c>
      <c r="AT12">
        <v>20</v>
      </c>
      <c r="AU12">
        <v>11256</v>
      </c>
      <c r="AV12">
        <v>25</v>
      </c>
      <c r="AW12">
        <v>14069.999999999998</v>
      </c>
      <c r="AX12">
        <v>25</v>
      </c>
      <c r="AY12">
        <v>14069.999999999998</v>
      </c>
      <c r="AZ12">
        <v>25</v>
      </c>
      <c r="BA12">
        <v>14069.999999999998</v>
      </c>
      <c r="BB12">
        <v>18</v>
      </c>
      <c r="BC12">
        <v>10130.4</v>
      </c>
      <c r="BD12">
        <v>23</v>
      </c>
      <c r="BE12">
        <v>12944.4</v>
      </c>
      <c r="BF12">
        <v>29</v>
      </c>
      <c r="BG12">
        <v>16321.199999999999</v>
      </c>
      <c r="BH12">
        <v>27</v>
      </c>
      <c r="BI12">
        <v>15195.599999999999</v>
      </c>
      <c r="BJ12">
        <v>29</v>
      </c>
      <c r="BK12">
        <v>16321.199999999999</v>
      </c>
      <c r="BL12">
        <v>21</v>
      </c>
      <c r="BM12">
        <v>11818.8</v>
      </c>
      <c r="BN12">
        <v>33</v>
      </c>
      <c r="BO12">
        <v>18572.399999999998</v>
      </c>
      <c r="BP12">
        <v>21</v>
      </c>
      <c r="BQ12">
        <v>11818.8</v>
      </c>
      <c r="BR12">
        <v>24</v>
      </c>
      <c r="BS12">
        <v>13507.199999999999</v>
      </c>
      <c r="BT12">
        <v>39</v>
      </c>
      <c r="BU12">
        <v>21949.199999999997</v>
      </c>
      <c r="BV12">
        <v>30</v>
      </c>
      <c r="BW12">
        <v>16884</v>
      </c>
      <c r="BX12">
        <v>31</v>
      </c>
      <c r="BY12">
        <v>17446.8</v>
      </c>
      <c r="BZ12">
        <v>29</v>
      </c>
      <c r="CA12">
        <v>16321.199999999999</v>
      </c>
      <c r="CB12">
        <v>31</v>
      </c>
      <c r="CC12">
        <v>17446.8</v>
      </c>
      <c r="CD12">
        <v>23</v>
      </c>
      <c r="CE12">
        <v>12944.4</v>
      </c>
      <c r="CF12">
        <v>22</v>
      </c>
      <c r="CG12">
        <v>12381.599999999999</v>
      </c>
      <c r="CH12">
        <v>28</v>
      </c>
      <c r="CI12">
        <v>15758.399999999998</v>
      </c>
      <c r="CJ12">
        <v>41</v>
      </c>
      <c r="CK12">
        <v>23074.799999999999</v>
      </c>
      <c r="CL12">
        <v>35</v>
      </c>
      <c r="CM12">
        <v>19698</v>
      </c>
      <c r="CN12">
        <v>35</v>
      </c>
      <c r="CO12">
        <v>19698</v>
      </c>
      <c r="CP12">
        <v>31</v>
      </c>
      <c r="CQ12">
        <v>17446.8</v>
      </c>
      <c r="CR12">
        <v>20</v>
      </c>
      <c r="CS12">
        <v>11256</v>
      </c>
      <c r="CT12">
        <v>29</v>
      </c>
      <c r="CU12">
        <v>16321.199999999999</v>
      </c>
    </row>
    <row r="13" spans="1:99" x14ac:dyDescent="0.2">
      <c r="C13" s="119" t="s">
        <v>179</v>
      </c>
      <c r="D13">
        <v>26.498804282220192</v>
      </c>
      <c r="E13">
        <v>2257.6981248451602</v>
      </c>
      <c r="F13">
        <v>30</v>
      </c>
      <c r="G13">
        <v>2556</v>
      </c>
      <c r="H13">
        <v>26.505669088196946</v>
      </c>
      <c r="I13">
        <v>2258.2830063143797</v>
      </c>
      <c r="J13">
        <v>33.490974863380586</v>
      </c>
      <c r="K13">
        <v>2853.4310583600259</v>
      </c>
      <c r="L13">
        <v>19</v>
      </c>
      <c r="M13">
        <v>1618.8</v>
      </c>
      <c r="N13">
        <v>32</v>
      </c>
      <c r="O13">
        <v>2726.4</v>
      </c>
      <c r="P13">
        <v>25</v>
      </c>
      <c r="Q13">
        <v>2130</v>
      </c>
      <c r="R13">
        <v>32</v>
      </c>
      <c r="S13">
        <v>2726.4</v>
      </c>
      <c r="T13">
        <v>20</v>
      </c>
      <c r="U13">
        <v>1704</v>
      </c>
      <c r="V13">
        <v>26</v>
      </c>
      <c r="W13">
        <v>2215.2000000000003</v>
      </c>
      <c r="X13">
        <v>18</v>
      </c>
      <c r="Y13">
        <v>1533.6000000000001</v>
      </c>
      <c r="Z13">
        <v>34</v>
      </c>
      <c r="AA13">
        <v>2896.8</v>
      </c>
      <c r="AB13">
        <v>27</v>
      </c>
      <c r="AC13">
        <v>2300.4</v>
      </c>
      <c r="AD13">
        <v>28</v>
      </c>
      <c r="AE13">
        <v>2385.6</v>
      </c>
      <c r="AF13">
        <v>19</v>
      </c>
      <c r="AG13">
        <v>1618.8</v>
      </c>
      <c r="AH13">
        <v>30</v>
      </c>
      <c r="AI13">
        <v>2556</v>
      </c>
      <c r="AJ13">
        <v>31</v>
      </c>
      <c r="AK13">
        <v>2641.2000000000003</v>
      </c>
      <c r="AL13">
        <v>28</v>
      </c>
      <c r="AM13">
        <v>2385.6</v>
      </c>
      <c r="AN13">
        <v>29</v>
      </c>
      <c r="AO13">
        <v>2470.8000000000002</v>
      </c>
      <c r="AP13">
        <v>36</v>
      </c>
      <c r="AQ13">
        <v>3067.2000000000003</v>
      </c>
      <c r="AR13">
        <v>35</v>
      </c>
      <c r="AS13">
        <v>2982</v>
      </c>
      <c r="AT13">
        <v>21</v>
      </c>
      <c r="AU13">
        <v>1789.2</v>
      </c>
      <c r="AV13">
        <v>27</v>
      </c>
      <c r="AW13">
        <v>2300.4</v>
      </c>
      <c r="AX13">
        <v>27</v>
      </c>
      <c r="AY13">
        <v>2300.4</v>
      </c>
      <c r="AZ13">
        <v>29</v>
      </c>
      <c r="BA13">
        <v>2470.8000000000002</v>
      </c>
      <c r="BB13">
        <v>19</v>
      </c>
      <c r="BC13">
        <v>1618.8</v>
      </c>
      <c r="BD13">
        <v>25</v>
      </c>
      <c r="BE13">
        <v>2130</v>
      </c>
      <c r="BF13">
        <v>30</v>
      </c>
      <c r="BG13">
        <v>2556</v>
      </c>
      <c r="BH13">
        <v>28</v>
      </c>
      <c r="BI13">
        <v>2385.6</v>
      </c>
      <c r="BJ13">
        <v>32</v>
      </c>
      <c r="BK13">
        <v>2726.4</v>
      </c>
      <c r="BL13">
        <v>23</v>
      </c>
      <c r="BM13">
        <v>1959.6000000000001</v>
      </c>
      <c r="BN13">
        <v>39</v>
      </c>
      <c r="BO13">
        <v>3322.8</v>
      </c>
      <c r="BP13">
        <v>26</v>
      </c>
      <c r="BQ13">
        <v>2215.2000000000003</v>
      </c>
      <c r="BR13">
        <v>28</v>
      </c>
      <c r="BS13">
        <v>2385.6</v>
      </c>
      <c r="BT13">
        <v>40</v>
      </c>
      <c r="BU13">
        <v>3408</v>
      </c>
      <c r="BV13">
        <v>31</v>
      </c>
      <c r="BW13">
        <v>2641.2000000000003</v>
      </c>
      <c r="BX13">
        <v>31</v>
      </c>
      <c r="BY13">
        <v>2641.2000000000003</v>
      </c>
      <c r="BZ13">
        <v>32</v>
      </c>
      <c r="CA13">
        <v>2726.4</v>
      </c>
      <c r="CB13">
        <v>32</v>
      </c>
      <c r="CC13">
        <v>2726.4</v>
      </c>
      <c r="CD13">
        <v>25</v>
      </c>
      <c r="CE13">
        <v>2130</v>
      </c>
      <c r="CF13">
        <v>26</v>
      </c>
      <c r="CG13">
        <v>2215.2000000000003</v>
      </c>
      <c r="CH13">
        <v>28</v>
      </c>
      <c r="CI13">
        <v>2385.6</v>
      </c>
      <c r="CJ13">
        <v>44</v>
      </c>
      <c r="CK13">
        <v>3748.8</v>
      </c>
      <c r="CL13">
        <v>40</v>
      </c>
      <c r="CM13">
        <v>3408</v>
      </c>
      <c r="CN13">
        <v>44</v>
      </c>
      <c r="CO13">
        <v>3748.8</v>
      </c>
      <c r="CP13">
        <v>39</v>
      </c>
      <c r="CQ13">
        <v>3322.8</v>
      </c>
      <c r="CR13">
        <v>21</v>
      </c>
      <c r="CS13">
        <v>1789.2</v>
      </c>
      <c r="CT13">
        <v>30</v>
      </c>
      <c r="CU13">
        <v>2556</v>
      </c>
    </row>
    <row r="14" spans="1:99" x14ac:dyDescent="0.2">
      <c r="C14" s="119" t="s">
        <v>180</v>
      </c>
      <c r="D14">
        <v>27.448923853998174</v>
      </c>
      <c r="E14">
        <v>13406.054410292707</v>
      </c>
      <c r="F14">
        <v>30</v>
      </c>
      <c r="G14">
        <v>14652</v>
      </c>
      <c r="H14">
        <v>29.505669088196946</v>
      </c>
      <c r="I14">
        <v>14410.568782675387</v>
      </c>
      <c r="J14">
        <v>28</v>
      </c>
      <c r="K14">
        <v>13675.199999999999</v>
      </c>
      <c r="L14">
        <v>18</v>
      </c>
      <c r="M14">
        <v>8791.1999999999989</v>
      </c>
      <c r="N14">
        <v>30</v>
      </c>
      <c r="O14">
        <v>14652</v>
      </c>
      <c r="P14">
        <v>23</v>
      </c>
      <c r="Q14">
        <v>11233.199999999999</v>
      </c>
      <c r="R14">
        <v>31</v>
      </c>
      <c r="S14">
        <v>15140.4</v>
      </c>
      <c r="T14">
        <v>21</v>
      </c>
      <c r="U14">
        <v>10256.4</v>
      </c>
      <c r="V14">
        <v>27</v>
      </c>
      <c r="W14">
        <v>13186.8</v>
      </c>
      <c r="X14">
        <v>19</v>
      </c>
      <c r="Y14">
        <v>9279.6</v>
      </c>
      <c r="Z14">
        <v>29</v>
      </c>
      <c r="AA14">
        <v>14163.599999999999</v>
      </c>
      <c r="AB14">
        <v>22</v>
      </c>
      <c r="AC14">
        <v>10744.8</v>
      </c>
      <c r="AD14">
        <v>28</v>
      </c>
      <c r="AE14">
        <v>13675.199999999999</v>
      </c>
      <c r="AF14">
        <v>20</v>
      </c>
      <c r="AG14">
        <v>9768</v>
      </c>
      <c r="AH14">
        <v>29</v>
      </c>
      <c r="AI14">
        <v>14163.599999999999</v>
      </c>
      <c r="AJ14">
        <v>27</v>
      </c>
      <c r="AK14">
        <v>13186.8</v>
      </c>
      <c r="AL14">
        <v>27</v>
      </c>
      <c r="AM14">
        <v>13186.8</v>
      </c>
      <c r="AN14">
        <v>29</v>
      </c>
      <c r="AO14">
        <v>14163.599999999999</v>
      </c>
      <c r="AP14">
        <v>32</v>
      </c>
      <c r="AQ14">
        <v>15628.8</v>
      </c>
      <c r="AR14">
        <v>34</v>
      </c>
      <c r="AS14">
        <v>16605.599999999999</v>
      </c>
      <c r="AT14">
        <v>17</v>
      </c>
      <c r="AU14">
        <v>8302.7999999999993</v>
      </c>
      <c r="AV14">
        <v>29</v>
      </c>
      <c r="AW14">
        <v>14163.599999999999</v>
      </c>
      <c r="AX14">
        <v>28</v>
      </c>
      <c r="AY14">
        <v>13675.199999999999</v>
      </c>
      <c r="AZ14">
        <v>28</v>
      </c>
      <c r="BA14">
        <v>13675.199999999999</v>
      </c>
      <c r="BB14">
        <v>18</v>
      </c>
      <c r="BC14">
        <v>8791.1999999999989</v>
      </c>
      <c r="BD14">
        <v>24</v>
      </c>
      <c r="BE14">
        <v>11721.599999999999</v>
      </c>
      <c r="BF14">
        <v>29</v>
      </c>
      <c r="BG14">
        <v>14163.599999999999</v>
      </c>
      <c r="BH14">
        <v>26</v>
      </c>
      <c r="BI14">
        <v>12698.4</v>
      </c>
      <c r="BJ14">
        <v>35</v>
      </c>
      <c r="BK14">
        <v>17094</v>
      </c>
      <c r="BL14">
        <v>22</v>
      </c>
      <c r="BM14">
        <v>10744.8</v>
      </c>
      <c r="BN14">
        <v>37</v>
      </c>
      <c r="BO14">
        <v>18070.8</v>
      </c>
      <c r="BP14">
        <v>23</v>
      </c>
      <c r="BQ14">
        <v>11233.199999999999</v>
      </c>
      <c r="BR14">
        <v>23</v>
      </c>
      <c r="BS14">
        <v>11233.199999999999</v>
      </c>
      <c r="BT14">
        <v>35</v>
      </c>
      <c r="BU14">
        <v>17094</v>
      </c>
      <c r="BV14">
        <v>28</v>
      </c>
      <c r="BW14">
        <v>13675.199999999999</v>
      </c>
      <c r="BX14">
        <v>31</v>
      </c>
      <c r="BY14">
        <v>15140.4</v>
      </c>
      <c r="BZ14">
        <v>33</v>
      </c>
      <c r="CA14">
        <v>16117.199999999999</v>
      </c>
      <c r="CB14">
        <v>27</v>
      </c>
      <c r="CC14">
        <v>13186.8</v>
      </c>
      <c r="CD14">
        <v>24</v>
      </c>
      <c r="CE14">
        <v>11721.599999999999</v>
      </c>
      <c r="CF14">
        <v>26</v>
      </c>
      <c r="CG14">
        <v>12698.4</v>
      </c>
      <c r="CH14">
        <v>29</v>
      </c>
      <c r="CI14">
        <v>14163.599999999999</v>
      </c>
      <c r="CJ14">
        <v>39</v>
      </c>
      <c r="CK14">
        <v>19047.599999999999</v>
      </c>
      <c r="CL14">
        <v>40</v>
      </c>
      <c r="CM14">
        <v>19536</v>
      </c>
      <c r="CN14">
        <v>36</v>
      </c>
      <c r="CO14">
        <v>17582.399999999998</v>
      </c>
      <c r="CP14">
        <v>33</v>
      </c>
      <c r="CQ14">
        <v>16117.199999999999</v>
      </c>
      <c r="CR14">
        <v>20</v>
      </c>
      <c r="CS14">
        <v>9768</v>
      </c>
      <c r="CT14">
        <v>26</v>
      </c>
      <c r="CU14">
        <v>12698.4</v>
      </c>
    </row>
    <row r="15" spans="1:99" x14ac:dyDescent="0.2">
      <c r="C15" s="119" t="s">
        <v>181</v>
      </c>
      <c r="D15">
        <v>27.399043425776153</v>
      </c>
      <c r="E15">
        <v>20910.949942552357</v>
      </c>
      <c r="F15">
        <v>31</v>
      </c>
      <c r="G15">
        <v>23659.199999999997</v>
      </c>
      <c r="H15">
        <v>24.505669088196946</v>
      </c>
      <c r="I15">
        <v>18702.726648111908</v>
      </c>
      <c r="J15">
        <v>28</v>
      </c>
      <c r="K15">
        <v>21369.599999999999</v>
      </c>
      <c r="L15">
        <v>16</v>
      </c>
      <c r="M15">
        <v>12211.199999999999</v>
      </c>
      <c r="N15">
        <v>25</v>
      </c>
      <c r="O15">
        <v>19080</v>
      </c>
      <c r="P15">
        <v>21</v>
      </c>
      <c r="Q15">
        <v>16027.199999999999</v>
      </c>
      <c r="R15">
        <v>28</v>
      </c>
      <c r="S15">
        <v>21369.599999999999</v>
      </c>
      <c r="T15">
        <v>21</v>
      </c>
      <c r="U15">
        <v>16027.199999999999</v>
      </c>
      <c r="V15">
        <v>27</v>
      </c>
      <c r="W15">
        <v>20606.399999999998</v>
      </c>
      <c r="X15">
        <v>19</v>
      </c>
      <c r="Y15">
        <v>14500.8</v>
      </c>
      <c r="Z15">
        <v>30</v>
      </c>
      <c r="AA15">
        <v>22895.999999999996</v>
      </c>
      <c r="AB15">
        <v>23</v>
      </c>
      <c r="AC15">
        <v>17553.599999999999</v>
      </c>
      <c r="AD15">
        <v>28</v>
      </c>
      <c r="AE15">
        <v>21369.599999999999</v>
      </c>
      <c r="AF15">
        <v>17</v>
      </c>
      <c r="AG15">
        <v>12974.4</v>
      </c>
      <c r="AH15">
        <v>28</v>
      </c>
      <c r="AI15">
        <v>21369.599999999999</v>
      </c>
      <c r="AJ15">
        <v>29</v>
      </c>
      <c r="AK15">
        <v>22132.799999999999</v>
      </c>
      <c r="AL15">
        <v>29</v>
      </c>
      <c r="AM15">
        <v>22132.799999999999</v>
      </c>
      <c r="AN15">
        <v>28</v>
      </c>
      <c r="AO15">
        <v>21369.599999999999</v>
      </c>
      <c r="AP15">
        <v>31</v>
      </c>
      <c r="AQ15">
        <v>23659.199999999997</v>
      </c>
      <c r="AR15">
        <v>38</v>
      </c>
      <c r="AS15">
        <v>29001.599999999999</v>
      </c>
      <c r="AT15">
        <v>18</v>
      </c>
      <c r="AU15">
        <v>13737.599999999999</v>
      </c>
      <c r="AV15">
        <v>29</v>
      </c>
      <c r="AW15">
        <v>22132.799999999999</v>
      </c>
      <c r="AX15">
        <v>29</v>
      </c>
      <c r="AY15">
        <v>22132.799999999999</v>
      </c>
      <c r="AZ15">
        <v>27</v>
      </c>
      <c r="BA15">
        <v>20606.399999999998</v>
      </c>
      <c r="BB15">
        <v>20</v>
      </c>
      <c r="BC15">
        <v>15263.999999999998</v>
      </c>
      <c r="BD15">
        <v>23</v>
      </c>
      <c r="BE15">
        <v>17553.599999999999</v>
      </c>
      <c r="BF15">
        <v>26</v>
      </c>
      <c r="BG15">
        <v>19843.199999999997</v>
      </c>
      <c r="BH15">
        <v>30</v>
      </c>
      <c r="BI15">
        <v>22895.999999999996</v>
      </c>
      <c r="BJ15">
        <v>33</v>
      </c>
      <c r="BK15">
        <v>25185.599999999999</v>
      </c>
      <c r="BL15">
        <v>22</v>
      </c>
      <c r="BM15">
        <v>16790.399999999998</v>
      </c>
      <c r="BN15">
        <v>32</v>
      </c>
      <c r="BO15">
        <v>24422.399999999998</v>
      </c>
      <c r="BP15">
        <v>23</v>
      </c>
      <c r="BQ15">
        <v>17553.599999999999</v>
      </c>
      <c r="BR15">
        <v>23</v>
      </c>
      <c r="BS15">
        <v>17553.599999999999</v>
      </c>
      <c r="BT15">
        <v>35</v>
      </c>
      <c r="BU15">
        <v>26711.999999999996</v>
      </c>
      <c r="BV15">
        <v>27</v>
      </c>
      <c r="BW15">
        <v>20606.399999999998</v>
      </c>
      <c r="BX15">
        <v>29</v>
      </c>
      <c r="BY15">
        <v>22132.799999999999</v>
      </c>
      <c r="BZ15">
        <v>29</v>
      </c>
      <c r="CA15">
        <v>22132.799999999999</v>
      </c>
      <c r="CB15">
        <v>28</v>
      </c>
      <c r="CC15">
        <v>21369.599999999999</v>
      </c>
      <c r="CD15">
        <v>24</v>
      </c>
      <c r="CE15">
        <v>18316.8</v>
      </c>
      <c r="CF15">
        <v>24</v>
      </c>
      <c r="CG15">
        <v>18316.8</v>
      </c>
      <c r="CH15">
        <v>24</v>
      </c>
      <c r="CI15">
        <v>18316.8</v>
      </c>
      <c r="CJ15">
        <v>36</v>
      </c>
      <c r="CK15">
        <v>27475.199999999997</v>
      </c>
      <c r="CL15">
        <v>34</v>
      </c>
      <c r="CM15">
        <v>25948.799999999999</v>
      </c>
      <c r="CN15">
        <v>38</v>
      </c>
      <c r="CO15">
        <v>29001.599999999999</v>
      </c>
      <c r="CP15">
        <v>33</v>
      </c>
      <c r="CQ15">
        <v>25185.599999999999</v>
      </c>
      <c r="CR15">
        <v>22</v>
      </c>
      <c r="CS15">
        <v>16790.399999999998</v>
      </c>
      <c r="CT15">
        <v>27</v>
      </c>
      <c r="CU15">
        <v>20606.399999999998</v>
      </c>
    </row>
    <row r="16" spans="1:99" x14ac:dyDescent="0.2">
      <c r="C16" s="119" t="s">
        <v>182</v>
      </c>
      <c r="D16">
        <v>29.399043425776153</v>
      </c>
      <c r="E16">
        <v>10019.193999504514</v>
      </c>
      <c r="F16">
        <v>32</v>
      </c>
      <c r="G16">
        <v>10905.6</v>
      </c>
      <c r="H16">
        <v>27.459699171088133</v>
      </c>
      <c r="I16">
        <v>9358.2654775068368</v>
      </c>
      <c r="J16">
        <v>28.441877377042527</v>
      </c>
      <c r="K16">
        <v>9692.9918100960931</v>
      </c>
      <c r="L16">
        <v>17</v>
      </c>
      <c r="M16">
        <v>5793.6</v>
      </c>
      <c r="N16">
        <v>29</v>
      </c>
      <c r="O16">
        <v>9883.2000000000007</v>
      </c>
      <c r="P16">
        <v>23</v>
      </c>
      <c r="Q16">
        <v>7838.4000000000005</v>
      </c>
      <c r="R16">
        <v>32</v>
      </c>
      <c r="S16">
        <v>10905.6</v>
      </c>
      <c r="T16">
        <v>21</v>
      </c>
      <c r="U16">
        <v>7156.8</v>
      </c>
      <c r="V16">
        <v>25</v>
      </c>
      <c r="W16">
        <v>8520</v>
      </c>
      <c r="X16">
        <v>20</v>
      </c>
      <c r="Y16">
        <v>6816</v>
      </c>
      <c r="Z16">
        <v>32</v>
      </c>
      <c r="AA16">
        <v>10905.6</v>
      </c>
      <c r="AB16">
        <v>26</v>
      </c>
      <c r="AC16">
        <v>8860.8000000000011</v>
      </c>
      <c r="AD16">
        <v>28</v>
      </c>
      <c r="AE16">
        <v>9542.4</v>
      </c>
      <c r="AF16">
        <v>18</v>
      </c>
      <c r="AG16">
        <v>6134.4000000000005</v>
      </c>
      <c r="AH16">
        <v>34</v>
      </c>
      <c r="AI16">
        <v>11587.2</v>
      </c>
      <c r="AJ16">
        <v>27</v>
      </c>
      <c r="AK16">
        <v>9201.6</v>
      </c>
      <c r="AL16">
        <v>32</v>
      </c>
      <c r="AM16">
        <v>10905.6</v>
      </c>
      <c r="AN16">
        <v>30</v>
      </c>
      <c r="AO16">
        <v>10224</v>
      </c>
      <c r="AP16">
        <v>37</v>
      </c>
      <c r="AQ16">
        <v>12609.6</v>
      </c>
      <c r="AR16">
        <v>40</v>
      </c>
      <c r="AS16">
        <v>13632</v>
      </c>
      <c r="AT16">
        <v>19</v>
      </c>
      <c r="AU16">
        <v>6475.2</v>
      </c>
      <c r="AV16">
        <v>29</v>
      </c>
      <c r="AW16">
        <v>9883.2000000000007</v>
      </c>
      <c r="AX16">
        <v>28</v>
      </c>
      <c r="AY16">
        <v>9542.4</v>
      </c>
      <c r="AZ16">
        <v>24</v>
      </c>
      <c r="BA16">
        <v>8179.2000000000007</v>
      </c>
      <c r="BB16">
        <v>19</v>
      </c>
      <c r="BC16">
        <v>6475.2</v>
      </c>
      <c r="BD16">
        <v>27</v>
      </c>
      <c r="BE16">
        <v>9201.6</v>
      </c>
      <c r="BF16">
        <v>30</v>
      </c>
      <c r="BG16">
        <v>10224</v>
      </c>
      <c r="BH16">
        <v>26</v>
      </c>
      <c r="BI16">
        <v>8860.8000000000011</v>
      </c>
      <c r="BJ16">
        <v>35</v>
      </c>
      <c r="BK16">
        <v>11928</v>
      </c>
      <c r="BL16">
        <v>20</v>
      </c>
      <c r="BM16">
        <v>6816</v>
      </c>
      <c r="BN16">
        <v>37</v>
      </c>
      <c r="BO16">
        <v>12609.6</v>
      </c>
      <c r="BP16">
        <v>24</v>
      </c>
      <c r="BQ16">
        <v>8179.2000000000007</v>
      </c>
      <c r="BR16">
        <v>28</v>
      </c>
      <c r="BS16">
        <v>9542.4</v>
      </c>
      <c r="BT16">
        <v>35</v>
      </c>
      <c r="BU16">
        <v>11928</v>
      </c>
      <c r="BV16">
        <v>28</v>
      </c>
      <c r="BW16">
        <v>9542.4</v>
      </c>
      <c r="BX16">
        <v>32</v>
      </c>
      <c r="BY16">
        <v>10905.6</v>
      </c>
      <c r="BZ16">
        <v>29</v>
      </c>
      <c r="CA16">
        <v>9883.2000000000007</v>
      </c>
      <c r="CB16">
        <v>29</v>
      </c>
      <c r="CC16">
        <v>9883.2000000000007</v>
      </c>
      <c r="CD16">
        <v>25</v>
      </c>
      <c r="CE16">
        <v>8520</v>
      </c>
      <c r="CF16">
        <v>26</v>
      </c>
      <c r="CG16">
        <v>8860.8000000000011</v>
      </c>
      <c r="CH16">
        <v>26</v>
      </c>
      <c r="CI16">
        <v>8860.8000000000011</v>
      </c>
      <c r="CJ16">
        <v>42</v>
      </c>
      <c r="CK16">
        <v>14313.6</v>
      </c>
      <c r="CL16">
        <v>41</v>
      </c>
      <c r="CM16">
        <v>13972.800000000001</v>
      </c>
      <c r="CN16">
        <v>42</v>
      </c>
      <c r="CO16">
        <v>14313.6</v>
      </c>
      <c r="CP16">
        <v>38</v>
      </c>
      <c r="CQ16">
        <v>12950.4</v>
      </c>
      <c r="CR16">
        <v>22</v>
      </c>
      <c r="CS16">
        <v>7497.6</v>
      </c>
      <c r="CT16">
        <v>27</v>
      </c>
      <c r="CU16">
        <v>9201.6</v>
      </c>
    </row>
    <row r="17" spans="2:99" x14ac:dyDescent="0.2">
      <c r="C17" s="119" t="s">
        <v>183</v>
      </c>
      <c r="D17">
        <v>28.448923853998174</v>
      </c>
      <c r="E17">
        <v>12016.825435928828</v>
      </c>
      <c r="F17">
        <v>29</v>
      </c>
      <c r="G17">
        <v>12249.599999999999</v>
      </c>
      <c r="H17">
        <v>25.413729253979319</v>
      </c>
      <c r="I17">
        <v>10734.759236880864</v>
      </c>
      <c r="J17">
        <v>31.441877377042527</v>
      </c>
      <c r="K17">
        <v>13281.049004062763</v>
      </c>
      <c r="L17">
        <v>16</v>
      </c>
      <c r="M17">
        <v>6758.4</v>
      </c>
      <c r="N17">
        <v>31</v>
      </c>
      <c r="O17">
        <v>13094.4</v>
      </c>
      <c r="P17">
        <v>22</v>
      </c>
      <c r="Q17">
        <v>9292.7999999999993</v>
      </c>
      <c r="R17">
        <v>29</v>
      </c>
      <c r="S17">
        <v>12249.599999999999</v>
      </c>
      <c r="T17">
        <v>19</v>
      </c>
      <c r="U17">
        <v>8025.5999999999995</v>
      </c>
      <c r="V17">
        <v>29</v>
      </c>
      <c r="W17">
        <v>12249.599999999999</v>
      </c>
      <c r="X17">
        <v>17</v>
      </c>
      <c r="Y17">
        <v>7180.7999999999993</v>
      </c>
      <c r="Z17">
        <v>31</v>
      </c>
      <c r="AA17">
        <v>13094.4</v>
      </c>
      <c r="AB17">
        <v>22</v>
      </c>
      <c r="AC17">
        <v>9292.7999999999993</v>
      </c>
      <c r="AD17">
        <v>27</v>
      </c>
      <c r="AE17">
        <v>11404.8</v>
      </c>
      <c r="AF17">
        <v>18</v>
      </c>
      <c r="AG17">
        <v>7603.2</v>
      </c>
      <c r="AH17">
        <v>29</v>
      </c>
      <c r="AI17">
        <v>12249.599999999999</v>
      </c>
      <c r="AJ17">
        <v>28</v>
      </c>
      <c r="AK17">
        <v>11827.199999999999</v>
      </c>
      <c r="AL17">
        <v>27</v>
      </c>
      <c r="AM17">
        <v>11404.8</v>
      </c>
      <c r="AN17">
        <v>29</v>
      </c>
      <c r="AO17">
        <v>12249.599999999999</v>
      </c>
      <c r="AP17">
        <v>32</v>
      </c>
      <c r="AQ17">
        <v>13516.8</v>
      </c>
      <c r="AR17">
        <v>39</v>
      </c>
      <c r="AS17">
        <v>16473.599999999999</v>
      </c>
      <c r="AT17">
        <v>19</v>
      </c>
      <c r="AU17">
        <v>8025.5999999999995</v>
      </c>
      <c r="AV17">
        <v>29</v>
      </c>
      <c r="AW17">
        <v>12249.599999999999</v>
      </c>
      <c r="AX17">
        <v>26</v>
      </c>
      <c r="AY17">
        <v>10982.4</v>
      </c>
      <c r="AZ17">
        <v>28</v>
      </c>
      <c r="BA17">
        <v>11827.199999999999</v>
      </c>
      <c r="BB17">
        <v>20</v>
      </c>
      <c r="BC17">
        <v>8448</v>
      </c>
      <c r="BD17">
        <v>25</v>
      </c>
      <c r="BE17">
        <v>10560</v>
      </c>
      <c r="BF17">
        <v>26</v>
      </c>
      <c r="BG17">
        <v>10982.4</v>
      </c>
      <c r="BH17">
        <v>30</v>
      </c>
      <c r="BI17">
        <v>12672</v>
      </c>
      <c r="BJ17">
        <v>30</v>
      </c>
      <c r="BK17">
        <v>12672</v>
      </c>
      <c r="BL17">
        <v>21</v>
      </c>
      <c r="BM17">
        <v>8870.4</v>
      </c>
      <c r="BN17">
        <v>38</v>
      </c>
      <c r="BO17">
        <v>16051.199999999999</v>
      </c>
      <c r="BP17">
        <v>23</v>
      </c>
      <c r="BQ17">
        <v>9715.1999999999989</v>
      </c>
      <c r="BR17">
        <v>24</v>
      </c>
      <c r="BS17">
        <v>10137.599999999999</v>
      </c>
      <c r="BT17">
        <v>41</v>
      </c>
      <c r="BU17">
        <v>17318.399999999998</v>
      </c>
      <c r="BV17">
        <v>29</v>
      </c>
      <c r="BW17">
        <v>12249.599999999999</v>
      </c>
      <c r="BX17">
        <v>31</v>
      </c>
      <c r="BY17">
        <v>13094.4</v>
      </c>
      <c r="BZ17">
        <v>30</v>
      </c>
      <c r="CA17">
        <v>12672</v>
      </c>
      <c r="CB17">
        <v>29</v>
      </c>
      <c r="CC17">
        <v>12249.599999999999</v>
      </c>
      <c r="CD17">
        <v>22</v>
      </c>
      <c r="CE17">
        <v>9292.7999999999993</v>
      </c>
      <c r="CF17">
        <v>24</v>
      </c>
      <c r="CG17">
        <v>10137.599999999999</v>
      </c>
      <c r="CH17">
        <v>28</v>
      </c>
      <c r="CI17">
        <v>11827.199999999999</v>
      </c>
      <c r="CJ17">
        <v>36</v>
      </c>
      <c r="CK17">
        <v>15206.4</v>
      </c>
      <c r="CL17">
        <v>35</v>
      </c>
      <c r="CM17">
        <v>14784</v>
      </c>
      <c r="CN17">
        <v>38</v>
      </c>
      <c r="CO17">
        <v>16051.199999999999</v>
      </c>
      <c r="CP17">
        <v>31</v>
      </c>
      <c r="CQ17">
        <v>13094.4</v>
      </c>
      <c r="CR17">
        <v>22</v>
      </c>
      <c r="CS17">
        <v>9292.7999999999993</v>
      </c>
      <c r="CT17">
        <v>28</v>
      </c>
      <c r="CU17">
        <v>11827.199999999999</v>
      </c>
    </row>
    <row r="18" spans="2:99" x14ac:dyDescent="0.2">
      <c r="C18" s="119" t="s">
        <v>184</v>
      </c>
      <c r="D18">
        <v>27.399043425776153</v>
      </c>
      <c r="E18">
        <v>17886.095548346671</v>
      </c>
      <c r="F18">
        <v>32</v>
      </c>
      <c r="G18">
        <v>20889.599999999999</v>
      </c>
      <c r="H18">
        <v>27.459699171088133</v>
      </c>
      <c r="I18">
        <v>17925.691618886332</v>
      </c>
      <c r="J18">
        <v>29</v>
      </c>
      <c r="K18">
        <v>18931.199999999997</v>
      </c>
      <c r="L18">
        <v>18</v>
      </c>
      <c r="M18">
        <v>11750.4</v>
      </c>
      <c r="N18">
        <v>27</v>
      </c>
      <c r="O18">
        <v>17625.599999999999</v>
      </c>
      <c r="P18">
        <v>20</v>
      </c>
      <c r="Q18">
        <v>13056</v>
      </c>
      <c r="R18">
        <v>31</v>
      </c>
      <c r="S18">
        <v>20236.8</v>
      </c>
      <c r="T18">
        <v>22</v>
      </c>
      <c r="U18">
        <v>14361.599999999999</v>
      </c>
      <c r="V18">
        <v>26</v>
      </c>
      <c r="W18">
        <v>16972.8</v>
      </c>
      <c r="X18">
        <v>17</v>
      </c>
      <c r="Y18">
        <v>11097.599999999999</v>
      </c>
      <c r="Z18">
        <v>29</v>
      </c>
      <c r="AA18">
        <v>18931.199999999997</v>
      </c>
      <c r="AB18">
        <v>24</v>
      </c>
      <c r="AC18">
        <v>15667.199999999999</v>
      </c>
      <c r="AD18">
        <v>26</v>
      </c>
      <c r="AE18">
        <v>16972.8</v>
      </c>
      <c r="AF18">
        <v>17</v>
      </c>
      <c r="AG18">
        <v>11097.599999999999</v>
      </c>
      <c r="AH18">
        <v>33</v>
      </c>
      <c r="AI18">
        <v>21542.399999999998</v>
      </c>
      <c r="AJ18">
        <v>29</v>
      </c>
      <c r="AK18">
        <v>18931.199999999997</v>
      </c>
      <c r="AL18">
        <v>31</v>
      </c>
      <c r="AM18">
        <v>20236.8</v>
      </c>
      <c r="AN18">
        <v>27</v>
      </c>
      <c r="AO18">
        <v>17625.599999999999</v>
      </c>
      <c r="AP18">
        <v>33</v>
      </c>
      <c r="AQ18">
        <v>21542.399999999998</v>
      </c>
      <c r="AR18">
        <v>33</v>
      </c>
      <c r="AS18">
        <v>21542.399999999998</v>
      </c>
      <c r="AT18">
        <v>18</v>
      </c>
      <c r="AU18">
        <v>11750.4</v>
      </c>
      <c r="AV18">
        <v>29</v>
      </c>
      <c r="AW18">
        <v>18931.199999999997</v>
      </c>
      <c r="AX18">
        <v>25</v>
      </c>
      <c r="AY18">
        <v>16319.999999999998</v>
      </c>
      <c r="AZ18">
        <v>26</v>
      </c>
      <c r="BA18">
        <v>16972.8</v>
      </c>
      <c r="BB18">
        <v>20</v>
      </c>
      <c r="BC18">
        <v>13056</v>
      </c>
      <c r="BD18">
        <v>27</v>
      </c>
      <c r="BE18">
        <v>17625.599999999999</v>
      </c>
      <c r="BF18">
        <v>25</v>
      </c>
      <c r="BG18">
        <v>16319.999999999998</v>
      </c>
      <c r="BH18">
        <v>26</v>
      </c>
      <c r="BI18">
        <v>16972.8</v>
      </c>
      <c r="BJ18">
        <v>29</v>
      </c>
      <c r="BK18">
        <v>18931.199999999997</v>
      </c>
      <c r="BL18">
        <v>20</v>
      </c>
      <c r="BM18">
        <v>13056</v>
      </c>
      <c r="BN18">
        <v>38</v>
      </c>
      <c r="BO18">
        <v>24806.399999999998</v>
      </c>
      <c r="BP18">
        <v>24</v>
      </c>
      <c r="BQ18">
        <v>15667.199999999999</v>
      </c>
      <c r="BR18">
        <v>26</v>
      </c>
      <c r="BS18">
        <v>16972.8</v>
      </c>
      <c r="BT18">
        <v>36</v>
      </c>
      <c r="BU18">
        <v>23500.799999999999</v>
      </c>
      <c r="BV18">
        <v>27</v>
      </c>
      <c r="BW18">
        <v>17625.599999999999</v>
      </c>
      <c r="BX18">
        <v>31</v>
      </c>
      <c r="BY18">
        <v>20236.8</v>
      </c>
      <c r="BZ18">
        <v>33</v>
      </c>
      <c r="CA18">
        <v>21542.399999999998</v>
      </c>
      <c r="CB18">
        <v>28</v>
      </c>
      <c r="CC18">
        <v>18278.399999999998</v>
      </c>
      <c r="CD18">
        <v>22</v>
      </c>
      <c r="CE18">
        <v>14361.599999999999</v>
      </c>
      <c r="CF18">
        <v>26</v>
      </c>
      <c r="CG18">
        <v>16972.8</v>
      </c>
      <c r="CH18">
        <v>25</v>
      </c>
      <c r="CI18">
        <v>16319.999999999998</v>
      </c>
      <c r="CJ18">
        <v>39</v>
      </c>
      <c r="CK18">
        <v>25459.199999999997</v>
      </c>
      <c r="CL18">
        <v>35</v>
      </c>
      <c r="CM18">
        <v>22848</v>
      </c>
      <c r="CN18">
        <v>35</v>
      </c>
      <c r="CO18">
        <v>22848</v>
      </c>
      <c r="CP18">
        <v>34</v>
      </c>
      <c r="CQ18">
        <v>22195.199999999997</v>
      </c>
      <c r="CR18">
        <v>23</v>
      </c>
      <c r="CS18">
        <v>15014.4</v>
      </c>
      <c r="CT18">
        <v>30</v>
      </c>
      <c r="CU18">
        <v>19584</v>
      </c>
    </row>
    <row r="19" spans="2:99" x14ac:dyDescent="0.2">
      <c r="C19" s="119" t="s">
        <v>185</v>
      </c>
      <c r="D19">
        <v>25.399043425776153</v>
      </c>
      <c r="E19">
        <v>8381.6843305061302</v>
      </c>
      <c r="F19">
        <v>34</v>
      </c>
      <c r="G19">
        <v>11220</v>
      </c>
      <c r="H19">
        <v>29.413729253979319</v>
      </c>
      <c r="I19">
        <v>9706.5306538131754</v>
      </c>
      <c r="J19">
        <v>30</v>
      </c>
      <c r="K19">
        <v>9900</v>
      </c>
      <c r="L19">
        <v>18</v>
      </c>
      <c r="M19">
        <v>5940</v>
      </c>
      <c r="N19">
        <v>30</v>
      </c>
      <c r="O19">
        <v>9900</v>
      </c>
      <c r="P19">
        <v>21</v>
      </c>
      <c r="Q19">
        <v>6930</v>
      </c>
      <c r="R19">
        <v>27</v>
      </c>
      <c r="S19">
        <v>8910</v>
      </c>
      <c r="T19">
        <v>23</v>
      </c>
      <c r="U19">
        <v>7590</v>
      </c>
      <c r="V19">
        <v>29</v>
      </c>
      <c r="W19">
        <v>9570</v>
      </c>
      <c r="X19">
        <v>17</v>
      </c>
      <c r="Y19">
        <v>5610</v>
      </c>
      <c r="Z19">
        <v>31</v>
      </c>
      <c r="AA19">
        <v>10230</v>
      </c>
      <c r="AB19">
        <v>23</v>
      </c>
      <c r="AC19">
        <v>7590</v>
      </c>
      <c r="AD19">
        <v>30</v>
      </c>
      <c r="AE19">
        <v>9900</v>
      </c>
      <c r="AF19">
        <v>18</v>
      </c>
      <c r="AG19">
        <v>5940</v>
      </c>
      <c r="AH19">
        <v>32</v>
      </c>
      <c r="AI19">
        <v>10560</v>
      </c>
      <c r="AJ19">
        <v>32</v>
      </c>
      <c r="AK19">
        <v>10560</v>
      </c>
      <c r="AL19">
        <v>28</v>
      </c>
      <c r="AM19">
        <v>9240</v>
      </c>
      <c r="AN19">
        <v>27</v>
      </c>
      <c r="AO19">
        <v>8910</v>
      </c>
      <c r="AP19">
        <v>31</v>
      </c>
      <c r="AQ19">
        <v>10230</v>
      </c>
      <c r="AR19">
        <v>39</v>
      </c>
      <c r="AS19">
        <v>12870</v>
      </c>
      <c r="AT19">
        <v>21</v>
      </c>
      <c r="AU19">
        <v>6930</v>
      </c>
      <c r="AV19">
        <v>28</v>
      </c>
      <c r="AW19">
        <v>9240</v>
      </c>
      <c r="AX19">
        <v>26</v>
      </c>
      <c r="AY19">
        <v>8580</v>
      </c>
      <c r="AZ19">
        <v>28</v>
      </c>
      <c r="BA19">
        <v>9240</v>
      </c>
      <c r="BB19">
        <v>17</v>
      </c>
      <c r="BC19">
        <v>5610</v>
      </c>
      <c r="BD19">
        <v>27</v>
      </c>
      <c r="BE19">
        <v>8910</v>
      </c>
      <c r="BF19">
        <v>28</v>
      </c>
      <c r="BG19">
        <v>9240</v>
      </c>
      <c r="BH19">
        <v>31</v>
      </c>
      <c r="BI19">
        <v>10230</v>
      </c>
      <c r="BJ19">
        <v>30</v>
      </c>
      <c r="BK19">
        <v>9900</v>
      </c>
      <c r="BL19">
        <v>20</v>
      </c>
      <c r="BM19">
        <v>6600</v>
      </c>
      <c r="BN19">
        <v>34</v>
      </c>
      <c r="BO19">
        <v>11220</v>
      </c>
      <c r="BP19">
        <v>24</v>
      </c>
      <c r="BQ19">
        <v>7920</v>
      </c>
      <c r="BR19">
        <v>24</v>
      </c>
      <c r="BS19">
        <v>7920</v>
      </c>
      <c r="BT19">
        <v>36</v>
      </c>
      <c r="BU19">
        <v>11880</v>
      </c>
      <c r="BV19">
        <v>27</v>
      </c>
      <c r="BW19">
        <v>8910</v>
      </c>
      <c r="BX19">
        <v>30</v>
      </c>
      <c r="BY19">
        <v>9900</v>
      </c>
      <c r="BZ19">
        <v>32</v>
      </c>
      <c r="CA19">
        <v>10560</v>
      </c>
      <c r="CB19">
        <v>31</v>
      </c>
      <c r="CC19">
        <v>10230</v>
      </c>
      <c r="CD19">
        <v>24</v>
      </c>
      <c r="CE19">
        <v>7920</v>
      </c>
      <c r="CF19">
        <v>26</v>
      </c>
      <c r="CG19">
        <v>8580</v>
      </c>
      <c r="CH19">
        <v>27</v>
      </c>
      <c r="CI19">
        <v>8910</v>
      </c>
      <c r="CJ19">
        <v>41</v>
      </c>
      <c r="CK19">
        <v>13530</v>
      </c>
      <c r="CL19">
        <v>36</v>
      </c>
      <c r="CM19">
        <v>11880</v>
      </c>
      <c r="CN19">
        <v>37</v>
      </c>
      <c r="CO19">
        <v>12210</v>
      </c>
      <c r="CP19">
        <v>36</v>
      </c>
      <c r="CQ19">
        <v>11880</v>
      </c>
      <c r="CR19">
        <v>21</v>
      </c>
      <c r="CS19">
        <v>6930</v>
      </c>
      <c r="CT19">
        <v>33</v>
      </c>
      <c r="CU19">
        <v>10890</v>
      </c>
    </row>
    <row r="20" spans="2:99" x14ac:dyDescent="0.2">
      <c r="B20" s="119" t="s">
        <v>127</v>
      </c>
      <c r="C20" s="119" t="s">
        <v>186</v>
      </c>
      <c r="D20">
        <v>54</v>
      </c>
      <c r="E20">
        <v>15487.2</v>
      </c>
      <c r="F20">
        <v>35</v>
      </c>
      <c r="G20">
        <v>10038</v>
      </c>
      <c r="H20">
        <v>41.149247927720332</v>
      </c>
      <c r="I20">
        <v>11801.604305670191</v>
      </c>
      <c r="J20">
        <v>48</v>
      </c>
      <c r="K20">
        <v>13766.400000000001</v>
      </c>
      <c r="L20">
        <v>28</v>
      </c>
      <c r="M20">
        <v>8030.4000000000005</v>
      </c>
      <c r="N20">
        <v>53</v>
      </c>
      <c r="O20">
        <v>15200.400000000001</v>
      </c>
      <c r="P20">
        <v>41</v>
      </c>
      <c r="Q20">
        <v>11758.800000000001</v>
      </c>
      <c r="R20">
        <v>34</v>
      </c>
      <c r="S20">
        <v>9751.2000000000007</v>
      </c>
      <c r="T20">
        <v>55</v>
      </c>
      <c r="U20">
        <v>15774</v>
      </c>
      <c r="V20">
        <v>44</v>
      </c>
      <c r="W20">
        <v>12619.2</v>
      </c>
      <c r="X20">
        <v>37</v>
      </c>
      <c r="Y20">
        <v>10611.6</v>
      </c>
      <c r="Z20">
        <v>47</v>
      </c>
      <c r="AA20">
        <v>13479.6</v>
      </c>
      <c r="AB20">
        <v>58</v>
      </c>
      <c r="AC20">
        <v>16634.400000000001</v>
      </c>
      <c r="AD20">
        <v>33</v>
      </c>
      <c r="AE20">
        <v>9464.4</v>
      </c>
      <c r="AF20">
        <v>30</v>
      </c>
      <c r="AG20">
        <v>8604</v>
      </c>
      <c r="AH20">
        <v>30</v>
      </c>
      <c r="AI20">
        <v>8604</v>
      </c>
      <c r="AJ20">
        <v>42</v>
      </c>
      <c r="AK20">
        <v>12045.6</v>
      </c>
      <c r="AL20">
        <v>40</v>
      </c>
      <c r="AM20">
        <v>11472</v>
      </c>
      <c r="AN20">
        <v>31</v>
      </c>
      <c r="AO20">
        <v>8890.8000000000011</v>
      </c>
      <c r="AP20">
        <v>36</v>
      </c>
      <c r="AQ20">
        <v>10324.800000000001</v>
      </c>
      <c r="AR20">
        <v>44</v>
      </c>
      <c r="AS20">
        <v>12619.2</v>
      </c>
      <c r="AT20">
        <v>44</v>
      </c>
      <c r="AU20">
        <v>12619.2</v>
      </c>
      <c r="AV20">
        <v>30</v>
      </c>
      <c r="AW20">
        <v>8604</v>
      </c>
      <c r="AX20">
        <v>38</v>
      </c>
      <c r="AY20">
        <v>10898.4</v>
      </c>
      <c r="AZ20">
        <v>32</v>
      </c>
      <c r="BA20">
        <v>9177.6</v>
      </c>
      <c r="BB20">
        <v>46</v>
      </c>
      <c r="BC20">
        <v>13192.800000000001</v>
      </c>
      <c r="BD20">
        <v>62</v>
      </c>
      <c r="BE20">
        <v>17781.600000000002</v>
      </c>
      <c r="BF20">
        <v>46</v>
      </c>
      <c r="BG20">
        <v>13192.800000000001</v>
      </c>
      <c r="BH20">
        <v>30</v>
      </c>
      <c r="BI20">
        <v>8604</v>
      </c>
      <c r="BJ20">
        <v>53</v>
      </c>
      <c r="BK20">
        <v>15200.400000000001</v>
      </c>
      <c r="BL20">
        <v>58</v>
      </c>
      <c r="BM20">
        <v>16634.400000000001</v>
      </c>
      <c r="BN20">
        <v>31</v>
      </c>
      <c r="BO20">
        <v>8890.8000000000011</v>
      </c>
      <c r="BP20">
        <v>57</v>
      </c>
      <c r="BQ20">
        <v>16347.6</v>
      </c>
      <c r="BR20">
        <v>37</v>
      </c>
      <c r="BS20">
        <v>10611.6</v>
      </c>
      <c r="BT20">
        <v>50</v>
      </c>
      <c r="BU20">
        <v>14340</v>
      </c>
      <c r="BV20">
        <v>46</v>
      </c>
      <c r="BW20">
        <v>13192.800000000001</v>
      </c>
      <c r="BX20">
        <v>31</v>
      </c>
      <c r="BY20">
        <v>8890.8000000000011</v>
      </c>
      <c r="BZ20">
        <v>45</v>
      </c>
      <c r="CA20">
        <v>12906</v>
      </c>
      <c r="CB20">
        <v>40</v>
      </c>
      <c r="CC20">
        <v>11472</v>
      </c>
      <c r="CD20">
        <v>57</v>
      </c>
      <c r="CE20">
        <v>16347.6</v>
      </c>
      <c r="CF20">
        <v>45</v>
      </c>
      <c r="CG20">
        <v>12906</v>
      </c>
      <c r="CH20">
        <v>39</v>
      </c>
      <c r="CI20">
        <v>11185.2</v>
      </c>
      <c r="CJ20">
        <v>30</v>
      </c>
      <c r="CK20">
        <v>8604</v>
      </c>
      <c r="CL20">
        <v>31</v>
      </c>
      <c r="CM20">
        <v>8890.8000000000011</v>
      </c>
      <c r="CN20">
        <v>49</v>
      </c>
      <c r="CO20">
        <v>14053.2</v>
      </c>
      <c r="CP20">
        <v>43</v>
      </c>
      <c r="CQ20">
        <v>12332.4</v>
      </c>
      <c r="CR20">
        <v>32</v>
      </c>
      <c r="CS20">
        <v>9177.6</v>
      </c>
      <c r="CT20">
        <v>35</v>
      </c>
      <c r="CU20">
        <v>10038</v>
      </c>
    </row>
    <row r="21" spans="2:99" x14ac:dyDescent="0.2">
      <c r="C21" s="119" t="s">
        <v>187</v>
      </c>
      <c r="D21">
        <v>53</v>
      </c>
      <c r="E21">
        <v>3307.2</v>
      </c>
      <c r="F21">
        <v>36</v>
      </c>
      <c r="G21">
        <v>2246.4</v>
      </c>
      <c r="H21">
        <v>50.195217844829145</v>
      </c>
      <c r="I21">
        <v>3132.1815935173386</v>
      </c>
      <c r="J21">
        <v>53.522022076479814</v>
      </c>
      <c r="K21">
        <v>3339.7741775723402</v>
      </c>
      <c r="L21">
        <v>29</v>
      </c>
      <c r="M21">
        <v>1809.6</v>
      </c>
      <c r="N21">
        <v>55</v>
      </c>
      <c r="O21">
        <v>3432</v>
      </c>
      <c r="P21">
        <v>47</v>
      </c>
      <c r="Q21">
        <v>2932.7999999999997</v>
      </c>
      <c r="R21">
        <v>31</v>
      </c>
      <c r="S21">
        <v>1934.3999999999999</v>
      </c>
      <c r="T21">
        <v>50</v>
      </c>
      <c r="U21">
        <v>3120</v>
      </c>
      <c r="V21">
        <v>41</v>
      </c>
      <c r="W21">
        <v>2558.4</v>
      </c>
      <c r="X21">
        <v>43</v>
      </c>
      <c r="Y21">
        <v>2683.2</v>
      </c>
      <c r="Z21">
        <v>45</v>
      </c>
      <c r="AA21">
        <v>2808</v>
      </c>
      <c r="AB21">
        <v>54</v>
      </c>
      <c r="AC21">
        <v>3369.6</v>
      </c>
      <c r="AD21">
        <v>34</v>
      </c>
      <c r="AE21">
        <v>2121.6</v>
      </c>
      <c r="AF21">
        <v>35</v>
      </c>
      <c r="AG21">
        <v>2184</v>
      </c>
      <c r="AH21">
        <v>32</v>
      </c>
      <c r="AI21">
        <v>1996.8</v>
      </c>
      <c r="AJ21">
        <v>45</v>
      </c>
      <c r="AK21">
        <v>2808</v>
      </c>
      <c r="AL21">
        <v>41</v>
      </c>
      <c r="AM21">
        <v>2558.4</v>
      </c>
      <c r="AN21">
        <v>32</v>
      </c>
      <c r="AO21">
        <v>1996.8</v>
      </c>
      <c r="AP21">
        <v>42</v>
      </c>
      <c r="AQ21">
        <v>2620.7999999999997</v>
      </c>
      <c r="AR21">
        <v>43</v>
      </c>
      <c r="AS21">
        <v>2683.2</v>
      </c>
      <c r="AT21">
        <v>44</v>
      </c>
      <c r="AU21">
        <v>2745.6</v>
      </c>
      <c r="AV21">
        <v>31</v>
      </c>
      <c r="AW21">
        <v>1934.3999999999999</v>
      </c>
      <c r="AX21">
        <v>38</v>
      </c>
      <c r="AY21">
        <v>2371.1999999999998</v>
      </c>
      <c r="AZ21">
        <v>33</v>
      </c>
      <c r="BA21">
        <v>2059.1999999999998</v>
      </c>
      <c r="BB21">
        <v>44</v>
      </c>
      <c r="BC21">
        <v>2745.6</v>
      </c>
      <c r="BD21">
        <v>64</v>
      </c>
      <c r="BE21">
        <v>3993.6</v>
      </c>
      <c r="BF21">
        <v>53</v>
      </c>
      <c r="BG21">
        <v>3307.2</v>
      </c>
      <c r="BH21">
        <v>33</v>
      </c>
      <c r="BI21">
        <v>2059.1999999999998</v>
      </c>
      <c r="BJ21">
        <v>58</v>
      </c>
      <c r="BK21">
        <v>3619.2</v>
      </c>
      <c r="BL21">
        <v>66</v>
      </c>
      <c r="BM21">
        <v>4118.3999999999996</v>
      </c>
      <c r="BN21">
        <v>38</v>
      </c>
      <c r="BO21">
        <v>2371.1999999999998</v>
      </c>
      <c r="BP21">
        <v>63</v>
      </c>
      <c r="BQ21">
        <v>3931.2</v>
      </c>
      <c r="BR21">
        <v>35</v>
      </c>
      <c r="BS21">
        <v>2184</v>
      </c>
      <c r="BT21">
        <v>53</v>
      </c>
      <c r="BU21">
        <v>3307.2</v>
      </c>
      <c r="BV21">
        <v>42</v>
      </c>
      <c r="BW21">
        <v>2620.7999999999997</v>
      </c>
      <c r="BX21">
        <v>31</v>
      </c>
      <c r="BY21">
        <v>1934.3999999999999</v>
      </c>
      <c r="BZ21">
        <v>53</v>
      </c>
      <c r="CA21">
        <v>3307.2</v>
      </c>
      <c r="CB21">
        <v>35</v>
      </c>
      <c r="CC21">
        <v>2184</v>
      </c>
      <c r="CD21">
        <v>63</v>
      </c>
      <c r="CE21">
        <v>3931.2</v>
      </c>
      <c r="CF21">
        <v>48</v>
      </c>
      <c r="CG21">
        <v>2995.2</v>
      </c>
      <c r="CH21">
        <v>41</v>
      </c>
      <c r="CI21">
        <v>2558.4</v>
      </c>
      <c r="CJ21">
        <v>30</v>
      </c>
      <c r="CK21">
        <v>1872</v>
      </c>
      <c r="CL21">
        <v>32</v>
      </c>
      <c r="CM21">
        <v>1996.8</v>
      </c>
      <c r="CN21">
        <v>53</v>
      </c>
      <c r="CO21">
        <v>3307.2</v>
      </c>
      <c r="CP21">
        <v>42</v>
      </c>
      <c r="CQ21">
        <v>2620.7999999999997</v>
      </c>
      <c r="CR21">
        <v>37</v>
      </c>
      <c r="CS21">
        <v>2308.7999999999997</v>
      </c>
      <c r="CT21">
        <v>38</v>
      </c>
      <c r="CU21">
        <v>2371.1999999999998</v>
      </c>
    </row>
    <row r="22" spans="2:99" x14ac:dyDescent="0.2">
      <c r="C22" s="119" t="s">
        <v>188</v>
      </c>
      <c r="D22">
        <v>53</v>
      </c>
      <c r="E22">
        <v>9921.5999999999985</v>
      </c>
      <c r="F22">
        <v>35</v>
      </c>
      <c r="G22">
        <v>6552</v>
      </c>
      <c r="H22">
        <v>44.149247927720332</v>
      </c>
      <c r="I22">
        <v>8264.7392120692457</v>
      </c>
      <c r="J22">
        <v>48.571119562817877</v>
      </c>
      <c r="K22">
        <v>9092.5135821595068</v>
      </c>
      <c r="L22">
        <v>27</v>
      </c>
      <c r="M22">
        <v>5054.3999999999996</v>
      </c>
      <c r="N22">
        <v>48</v>
      </c>
      <c r="O22">
        <v>8985.5999999999985</v>
      </c>
      <c r="P22">
        <v>43</v>
      </c>
      <c r="Q22">
        <v>8049.5999999999995</v>
      </c>
      <c r="R22">
        <v>35</v>
      </c>
      <c r="S22">
        <v>6552</v>
      </c>
      <c r="T22">
        <v>48</v>
      </c>
      <c r="U22">
        <v>8985.5999999999985</v>
      </c>
      <c r="V22">
        <v>45</v>
      </c>
      <c r="W22">
        <v>8424</v>
      </c>
      <c r="X22">
        <v>42</v>
      </c>
      <c r="Y22">
        <v>7862.4</v>
      </c>
      <c r="Z22">
        <v>43</v>
      </c>
      <c r="AA22">
        <v>8049.5999999999995</v>
      </c>
      <c r="AB22">
        <v>55</v>
      </c>
      <c r="AC22">
        <v>10296</v>
      </c>
      <c r="AD22">
        <v>35</v>
      </c>
      <c r="AE22">
        <v>6552</v>
      </c>
      <c r="AF22">
        <v>32</v>
      </c>
      <c r="AG22">
        <v>5990.4</v>
      </c>
      <c r="AH22">
        <v>36</v>
      </c>
      <c r="AI22">
        <v>6739.2</v>
      </c>
      <c r="AJ22">
        <v>45</v>
      </c>
      <c r="AK22">
        <v>8424</v>
      </c>
      <c r="AL22">
        <v>41</v>
      </c>
      <c r="AM22">
        <v>7675.2</v>
      </c>
      <c r="AN22">
        <v>35</v>
      </c>
      <c r="AO22">
        <v>6552</v>
      </c>
      <c r="AP22">
        <v>42</v>
      </c>
      <c r="AQ22">
        <v>7862.4</v>
      </c>
      <c r="AR22">
        <v>42</v>
      </c>
      <c r="AS22">
        <v>7862.4</v>
      </c>
      <c r="AT22">
        <v>46</v>
      </c>
      <c r="AU22">
        <v>8611.1999999999989</v>
      </c>
      <c r="AV22">
        <v>31</v>
      </c>
      <c r="AW22">
        <v>5803.2</v>
      </c>
      <c r="AX22">
        <v>39</v>
      </c>
      <c r="AY22">
        <v>7300.7999999999993</v>
      </c>
      <c r="AZ22">
        <v>36</v>
      </c>
      <c r="BA22">
        <v>6739.2</v>
      </c>
      <c r="BB22">
        <v>46</v>
      </c>
      <c r="BC22">
        <v>8611.1999999999989</v>
      </c>
      <c r="BD22">
        <v>57</v>
      </c>
      <c r="BE22">
        <v>10670.4</v>
      </c>
      <c r="BF22">
        <v>54</v>
      </c>
      <c r="BG22">
        <v>10108.799999999999</v>
      </c>
      <c r="BH22">
        <v>34</v>
      </c>
      <c r="BI22">
        <v>6364.7999999999993</v>
      </c>
      <c r="BJ22">
        <v>58</v>
      </c>
      <c r="BK22">
        <v>10857.599999999999</v>
      </c>
      <c r="BL22">
        <v>63</v>
      </c>
      <c r="BM22">
        <v>11793.599999999999</v>
      </c>
      <c r="BN22">
        <v>36</v>
      </c>
      <c r="BO22">
        <v>6739.2</v>
      </c>
      <c r="BP22">
        <v>59</v>
      </c>
      <c r="BQ22">
        <v>11044.8</v>
      </c>
      <c r="BR22">
        <v>35</v>
      </c>
      <c r="BS22">
        <v>6552</v>
      </c>
      <c r="BT22">
        <v>43</v>
      </c>
      <c r="BU22">
        <v>8049.5999999999995</v>
      </c>
      <c r="BV22">
        <v>42</v>
      </c>
      <c r="BW22">
        <v>7862.4</v>
      </c>
      <c r="BX22">
        <v>35</v>
      </c>
      <c r="BY22">
        <v>6552</v>
      </c>
      <c r="BZ22">
        <v>45</v>
      </c>
      <c r="CA22">
        <v>8424</v>
      </c>
      <c r="CB22">
        <v>39</v>
      </c>
      <c r="CC22">
        <v>7300.7999999999993</v>
      </c>
      <c r="CD22">
        <v>53</v>
      </c>
      <c r="CE22">
        <v>9921.5999999999985</v>
      </c>
      <c r="CF22">
        <v>47</v>
      </c>
      <c r="CG22">
        <v>8798.4</v>
      </c>
      <c r="CH22">
        <v>40</v>
      </c>
      <c r="CI22">
        <v>7488</v>
      </c>
      <c r="CJ22">
        <v>33</v>
      </c>
      <c r="CK22">
        <v>6177.5999999999995</v>
      </c>
      <c r="CL22">
        <v>36</v>
      </c>
      <c r="CM22">
        <v>6739.2</v>
      </c>
      <c r="CN22">
        <v>46</v>
      </c>
      <c r="CO22">
        <v>8611.1999999999989</v>
      </c>
      <c r="CP22">
        <v>39</v>
      </c>
      <c r="CQ22">
        <v>7300.7999999999993</v>
      </c>
      <c r="CR22">
        <v>33</v>
      </c>
      <c r="CS22">
        <v>6177.5999999999995</v>
      </c>
      <c r="CT22">
        <v>36</v>
      </c>
      <c r="CU22">
        <v>6739.2</v>
      </c>
    </row>
    <row r="23" spans="2:99" x14ac:dyDescent="0.2">
      <c r="C23" s="119" t="s">
        <v>189</v>
      </c>
      <c r="D23">
        <v>49</v>
      </c>
      <c r="E23">
        <v>14406</v>
      </c>
      <c r="F23">
        <v>33</v>
      </c>
      <c r="G23">
        <v>9702</v>
      </c>
      <c r="H23">
        <v>41.241187761937958</v>
      </c>
      <c r="I23">
        <v>12124.90920200976</v>
      </c>
      <c r="J23">
        <v>45.472924590141758</v>
      </c>
      <c r="K23">
        <v>13369.039829501677</v>
      </c>
      <c r="L23">
        <v>27</v>
      </c>
      <c r="M23">
        <v>7938</v>
      </c>
      <c r="N23">
        <v>44</v>
      </c>
      <c r="O23">
        <v>12936</v>
      </c>
      <c r="P23">
        <v>44</v>
      </c>
      <c r="Q23">
        <v>12936</v>
      </c>
      <c r="R23">
        <v>36</v>
      </c>
      <c r="S23">
        <v>10584</v>
      </c>
      <c r="T23">
        <v>50</v>
      </c>
      <c r="U23">
        <v>14700</v>
      </c>
      <c r="V23">
        <v>40</v>
      </c>
      <c r="W23">
        <v>11760</v>
      </c>
      <c r="X23">
        <v>35</v>
      </c>
      <c r="Y23">
        <v>10290</v>
      </c>
      <c r="Z23">
        <v>48</v>
      </c>
      <c r="AA23">
        <v>14112</v>
      </c>
      <c r="AB23">
        <v>52</v>
      </c>
      <c r="AC23">
        <v>15288</v>
      </c>
      <c r="AD23">
        <v>33</v>
      </c>
      <c r="AE23">
        <v>9702</v>
      </c>
      <c r="AF23">
        <v>31</v>
      </c>
      <c r="AG23">
        <v>9114</v>
      </c>
      <c r="AH23">
        <v>33</v>
      </c>
      <c r="AI23">
        <v>9702</v>
      </c>
      <c r="AJ23">
        <v>38</v>
      </c>
      <c r="AK23">
        <v>11172</v>
      </c>
      <c r="AL23">
        <v>41</v>
      </c>
      <c r="AM23">
        <v>12054</v>
      </c>
      <c r="AN23">
        <v>36</v>
      </c>
      <c r="AO23">
        <v>10584</v>
      </c>
      <c r="AP23">
        <v>38</v>
      </c>
      <c r="AQ23">
        <v>11172</v>
      </c>
      <c r="AR23">
        <v>44</v>
      </c>
      <c r="AS23">
        <v>12936</v>
      </c>
      <c r="AT23">
        <v>49</v>
      </c>
      <c r="AU23">
        <v>14406</v>
      </c>
      <c r="AV23">
        <v>32</v>
      </c>
      <c r="AW23">
        <v>9408</v>
      </c>
      <c r="AX23">
        <v>38</v>
      </c>
      <c r="AY23">
        <v>11172</v>
      </c>
      <c r="AZ23">
        <v>30</v>
      </c>
      <c r="BA23">
        <v>8820</v>
      </c>
      <c r="BB23">
        <v>40</v>
      </c>
      <c r="BC23">
        <v>11760</v>
      </c>
      <c r="BD23">
        <v>64</v>
      </c>
      <c r="BE23">
        <v>18816</v>
      </c>
      <c r="BF23">
        <v>50</v>
      </c>
      <c r="BG23">
        <v>14700</v>
      </c>
      <c r="BH23">
        <v>31</v>
      </c>
      <c r="BI23">
        <v>9114</v>
      </c>
      <c r="BJ23">
        <v>54</v>
      </c>
      <c r="BK23">
        <v>15876</v>
      </c>
      <c r="BL23">
        <v>62</v>
      </c>
      <c r="BM23">
        <v>18228</v>
      </c>
      <c r="BN23">
        <v>33</v>
      </c>
      <c r="BO23">
        <v>9702</v>
      </c>
      <c r="BP23">
        <v>53</v>
      </c>
      <c r="BQ23">
        <v>15582</v>
      </c>
      <c r="BR23">
        <v>35</v>
      </c>
      <c r="BS23">
        <v>10290</v>
      </c>
      <c r="BT23">
        <v>47</v>
      </c>
      <c r="BU23">
        <v>13818</v>
      </c>
      <c r="BV23">
        <v>45</v>
      </c>
      <c r="BW23">
        <v>13230</v>
      </c>
      <c r="BX23">
        <v>33</v>
      </c>
      <c r="BY23">
        <v>9702</v>
      </c>
      <c r="BZ23">
        <v>47</v>
      </c>
      <c r="CA23">
        <v>13818</v>
      </c>
      <c r="CB23">
        <v>37</v>
      </c>
      <c r="CC23">
        <v>10878</v>
      </c>
      <c r="CD23">
        <v>56</v>
      </c>
      <c r="CE23">
        <v>16464</v>
      </c>
      <c r="CF23">
        <v>42</v>
      </c>
      <c r="CG23">
        <v>12348</v>
      </c>
      <c r="CH23">
        <v>44</v>
      </c>
      <c r="CI23">
        <v>12936</v>
      </c>
      <c r="CJ23">
        <v>31</v>
      </c>
      <c r="CK23">
        <v>9114</v>
      </c>
      <c r="CL23">
        <v>37</v>
      </c>
      <c r="CM23">
        <v>10878</v>
      </c>
      <c r="CN23">
        <v>46</v>
      </c>
      <c r="CO23">
        <v>13524</v>
      </c>
      <c r="CP23">
        <v>44</v>
      </c>
      <c r="CQ23">
        <v>12936</v>
      </c>
      <c r="CR23">
        <v>34</v>
      </c>
      <c r="CS23">
        <v>9996</v>
      </c>
      <c r="CT23">
        <v>35</v>
      </c>
      <c r="CU23">
        <v>10290</v>
      </c>
    </row>
    <row r="24" spans="2:99" x14ac:dyDescent="0.2">
      <c r="C24" s="119" t="s">
        <v>190</v>
      </c>
      <c r="D24">
        <v>45</v>
      </c>
      <c r="E24">
        <v>16524</v>
      </c>
      <c r="F24">
        <v>35</v>
      </c>
      <c r="G24">
        <v>12852</v>
      </c>
      <c r="H24">
        <v>42.057308093502705</v>
      </c>
      <c r="I24">
        <v>15443.443531934192</v>
      </c>
      <c r="J24">
        <v>47.423827103803703</v>
      </c>
      <c r="K24">
        <v>17414.029312516719</v>
      </c>
      <c r="L24">
        <v>30</v>
      </c>
      <c r="M24">
        <v>11016</v>
      </c>
      <c r="N24">
        <v>52</v>
      </c>
      <c r="O24">
        <v>19094.399999999998</v>
      </c>
      <c r="P24">
        <v>45</v>
      </c>
      <c r="Q24">
        <v>16524</v>
      </c>
      <c r="R24">
        <v>32</v>
      </c>
      <c r="S24">
        <v>11750.4</v>
      </c>
      <c r="T24">
        <v>51</v>
      </c>
      <c r="U24">
        <v>18727.2</v>
      </c>
      <c r="V24">
        <v>37</v>
      </c>
      <c r="W24">
        <v>13586.4</v>
      </c>
      <c r="X24">
        <v>40</v>
      </c>
      <c r="Y24">
        <v>14688</v>
      </c>
      <c r="Z24">
        <v>43</v>
      </c>
      <c r="AA24">
        <v>15789.6</v>
      </c>
      <c r="AB24">
        <v>48</v>
      </c>
      <c r="AC24">
        <v>17625.599999999999</v>
      </c>
      <c r="AD24">
        <v>32</v>
      </c>
      <c r="AE24">
        <v>11750.4</v>
      </c>
      <c r="AF24">
        <v>32</v>
      </c>
      <c r="AG24">
        <v>11750.4</v>
      </c>
      <c r="AH24">
        <v>32</v>
      </c>
      <c r="AI24">
        <v>11750.4</v>
      </c>
      <c r="AJ24">
        <v>39</v>
      </c>
      <c r="AK24">
        <v>14320.8</v>
      </c>
      <c r="AL24">
        <v>34</v>
      </c>
      <c r="AM24">
        <v>12484.8</v>
      </c>
      <c r="AN24">
        <v>36</v>
      </c>
      <c r="AO24">
        <v>13219.199999999999</v>
      </c>
      <c r="AP24">
        <v>37</v>
      </c>
      <c r="AQ24">
        <v>13586.4</v>
      </c>
      <c r="AR24">
        <v>42</v>
      </c>
      <c r="AS24">
        <v>15422.4</v>
      </c>
      <c r="AT24">
        <v>46</v>
      </c>
      <c r="AU24">
        <v>16891.2</v>
      </c>
      <c r="AV24">
        <v>33</v>
      </c>
      <c r="AW24">
        <v>12117.6</v>
      </c>
      <c r="AX24">
        <v>39</v>
      </c>
      <c r="AY24">
        <v>14320.8</v>
      </c>
      <c r="AZ24">
        <v>32</v>
      </c>
      <c r="BA24">
        <v>11750.4</v>
      </c>
      <c r="BB24">
        <v>41</v>
      </c>
      <c r="BC24">
        <v>15055.199999999999</v>
      </c>
      <c r="BD24">
        <v>64</v>
      </c>
      <c r="BE24">
        <v>23500.799999999999</v>
      </c>
      <c r="BF24">
        <v>50</v>
      </c>
      <c r="BG24">
        <v>18360</v>
      </c>
      <c r="BH24">
        <v>31</v>
      </c>
      <c r="BI24">
        <v>11383.199999999999</v>
      </c>
      <c r="BJ24">
        <v>48</v>
      </c>
      <c r="BK24">
        <v>17625.599999999999</v>
      </c>
      <c r="BL24">
        <v>61</v>
      </c>
      <c r="BM24">
        <v>22399.200000000001</v>
      </c>
      <c r="BN24">
        <v>36</v>
      </c>
      <c r="BO24">
        <v>13219.199999999999</v>
      </c>
      <c r="BP24">
        <v>58</v>
      </c>
      <c r="BQ24">
        <v>21297.599999999999</v>
      </c>
      <c r="BR24">
        <v>39</v>
      </c>
      <c r="BS24">
        <v>14320.8</v>
      </c>
      <c r="BT24">
        <v>43</v>
      </c>
      <c r="BU24">
        <v>15789.6</v>
      </c>
      <c r="BV24">
        <v>41</v>
      </c>
      <c r="BW24">
        <v>15055.199999999999</v>
      </c>
      <c r="BX24">
        <v>36</v>
      </c>
      <c r="BY24">
        <v>13219.199999999999</v>
      </c>
      <c r="BZ24">
        <v>45</v>
      </c>
      <c r="CA24">
        <v>16524</v>
      </c>
      <c r="CB24">
        <v>41</v>
      </c>
      <c r="CC24">
        <v>15055.199999999999</v>
      </c>
      <c r="CD24">
        <v>54</v>
      </c>
      <c r="CE24">
        <v>19828.8</v>
      </c>
      <c r="CF24">
        <v>39</v>
      </c>
      <c r="CG24">
        <v>14320.8</v>
      </c>
      <c r="CH24">
        <v>40</v>
      </c>
      <c r="CI24">
        <v>14688</v>
      </c>
      <c r="CJ24">
        <v>30</v>
      </c>
      <c r="CK24">
        <v>11016</v>
      </c>
      <c r="CL24">
        <v>36</v>
      </c>
      <c r="CM24">
        <v>13219.199999999999</v>
      </c>
      <c r="CN24">
        <v>52</v>
      </c>
      <c r="CO24">
        <v>19094.399999999998</v>
      </c>
      <c r="CP24">
        <v>40</v>
      </c>
      <c r="CQ24">
        <v>14688</v>
      </c>
      <c r="CR24">
        <v>37</v>
      </c>
      <c r="CS24">
        <v>13586.4</v>
      </c>
      <c r="CT24">
        <v>31</v>
      </c>
      <c r="CU24">
        <v>11383.199999999999</v>
      </c>
    </row>
    <row r="25" spans="2:99" x14ac:dyDescent="0.2">
      <c r="C25" s="119" t="s">
        <v>191</v>
      </c>
      <c r="D25">
        <v>52</v>
      </c>
      <c r="E25">
        <v>27580.799999999999</v>
      </c>
      <c r="F25">
        <v>35</v>
      </c>
      <c r="G25">
        <v>18564</v>
      </c>
      <c r="H25">
        <v>47.011338176393892</v>
      </c>
      <c r="I25">
        <v>24934.813768759319</v>
      </c>
      <c r="J25">
        <v>49.423827103803703</v>
      </c>
      <c r="K25">
        <v>26214.397895857484</v>
      </c>
      <c r="L25">
        <v>26</v>
      </c>
      <c r="M25">
        <v>13790.4</v>
      </c>
      <c r="N25">
        <v>43</v>
      </c>
      <c r="O25">
        <v>22807.200000000001</v>
      </c>
      <c r="P25">
        <v>47</v>
      </c>
      <c r="Q25">
        <v>24928.799999999999</v>
      </c>
      <c r="R25">
        <v>30</v>
      </c>
      <c r="S25">
        <v>15912</v>
      </c>
      <c r="T25">
        <v>47</v>
      </c>
      <c r="U25">
        <v>24928.799999999999</v>
      </c>
      <c r="V25">
        <v>40</v>
      </c>
      <c r="W25">
        <v>21216</v>
      </c>
      <c r="X25">
        <v>36</v>
      </c>
      <c r="Y25">
        <v>19094.399999999998</v>
      </c>
      <c r="Z25">
        <v>46</v>
      </c>
      <c r="AA25">
        <v>24398.399999999998</v>
      </c>
      <c r="AB25">
        <v>50</v>
      </c>
      <c r="AC25">
        <v>26520</v>
      </c>
      <c r="AD25">
        <v>30</v>
      </c>
      <c r="AE25">
        <v>15912</v>
      </c>
      <c r="AF25">
        <v>31</v>
      </c>
      <c r="AG25">
        <v>16442.399999999998</v>
      </c>
      <c r="AH25">
        <v>30</v>
      </c>
      <c r="AI25">
        <v>15912</v>
      </c>
      <c r="AJ25">
        <v>42</v>
      </c>
      <c r="AK25">
        <v>22276.799999999999</v>
      </c>
      <c r="AL25">
        <v>34</v>
      </c>
      <c r="AM25">
        <v>18033.599999999999</v>
      </c>
      <c r="AN25">
        <v>33</v>
      </c>
      <c r="AO25">
        <v>17503.2</v>
      </c>
      <c r="AP25">
        <v>40</v>
      </c>
      <c r="AQ25">
        <v>21216</v>
      </c>
      <c r="AR25">
        <v>44</v>
      </c>
      <c r="AS25">
        <v>23337.599999999999</v>
      </c>
      <c r="AT25">
        <v>42</v>
      </c>
      <c r="AU25">
        <v>22276.799999999999</v>
      </c>
      <c r="AV25">
        <v>31</v>
      </c>
      <c r="AW25">
        <v>16442.399999999998</v>
      </c>
      <c r="AX25">
        <v>37</v>
      </c>
      <c r="AY25">
        <v>19624.8</v>
      </c>
      <c r="AZ25">
        <v>30</v>
      </c>
      <c r="BA25">
        <v>15912</v>
      </c>
      <c r="BB25">
        <v>45</v>
      </c>
      <c r="BC25">
        <v>23868</v>
      </c>
      <c r="BD25">
        <v>62</v>
      </c>
      <c r="BE25">
        <v>32884.799999999996</v>
      </c>
      <c r="BF25">
        <v>49</v>
      </c>
      <c r="BG25">
        <v>25989.599999999999</v>
      </c>
      <c r="BH25">
        <v>33</v>
      </c>
      <c r="BI25">
        <v>17503.2</v>
      </c>
      <c r="BJ25">
        <v>46</v>
      </c>
      <c r="BK25">
        <v>24398.399999999998</v>
      </c>
      <c r="BL25">
        <v>53</v>
      </c>
      <c r="BM25">
        <v>28111.199999999997</v>
      </c>
      <c r="BN25">
        <v>35</v>
      </c>
      <c r="BO25">
        <v>18564</v>
      </c>
      <c r="BP25">
        <v>50</v>
      </c>
      <c r="BQ25">
        <v>26520</v>
      </c>
      <c r="BR25">
        <v>34</v>
      </c>
      <c r="BS25">
        <v>18033.599999999999</v>
      </c>
      <c r="BT25">
        <v>50</v>
      </c>
      <c r="BU25">
        <v>26520</v>
      </c>
      <c r="BV25">
        <v>44</v>
      </c>
      <c r="BW25">
        <v>23337.599999999999</v>
      </c>
      <c r="BX25">
        <v>29</v>
      </c>
      <c r="BY25">
        <v>15381.599999999999</v>
      </c>
      <c r="BZ25">
        <v>46</v>
      </c>
      <c r="CA25">
        <v>24398.399999999998</v>
      </c>
      <c r="CB25">
        <v>35</v>
      </c>
      <c r="CC25">
        <v>18564</v>
      </c>
      <c r="CD25">
        <v>59</v>
      </c>
      <c r="CE25">
        <v>31293.599999999999</v>
      </c>
      <c r="CF25">
        <v>38</v>
      </c>
      <c r="CG25">
        <v>20155.2</v>
      </c>
      <c r="CH25">
        <v>36</v>
      </c>
      <c r="CI25">
        <v>19094.399999999998</v>
      </c>
      <c r="CJ25">
        <v>28</v>
      </c>
      <c r="CK25">
        <v>14851.199999999999</v>
      </c>
      <c r="CL25">
        <v>35</v>
      </c>
      <c r="CM25">
        <v>18564</v>
      </c>
      <c r="CN25">
        <v>49</v>
      </c>
      <c r="CO25">
        <v>25989.599999999999</v>
      </c>
      <c r="CP25">
        <v>42</v>
      </c>
      <c r="CQ25">
        <v>22276.799999999999</v>
      </c>
      <c r="CR25">
        <v>36</v>
      </c>
      <c r="CS25">
        <v>19094.399999999998</v>
      </c>
      <c r="CT25">
        <v>36</v>
      </c>
      <c r="CU25">
        <v>19094.399999999998</v>
      </c>
    </row>
    <row r="26" spans="2:99" x14ac:dyDescent="0.2">
      <c r="C26" s="119" t="s">
        <v>192</v>
      </c>
      <c r="D26">
        <v>51</v>
      </c>
      <c r="E26">
        <v>24786</v>
      </c>
      <c r="F26">
        <v>34</v>
      </c>
      <c r="G26">
        <v>16524</v>
      </c>
      <c r="H26">
        <v>43.057308093502705</v>
      </c>
      <c r="I26">
        <v>20925.851733442316</v>
      </c>
      <c r="J26">
        <v>45</v>
      </c>
      <c r="K26">
        <v>21870</v>
      </c>
      <c r="L26">
        <v>27</v>
      </c>
      <c r="M26">
        <v>13122</v>
      </c>
      <c r="N26">
        <v>48</v>
      </c>
      <c r="O26">
        <v>23328</v>
      </c>
      <c r="P26">
        <v>47</v>
      </c>
      <c r="Q26">
        <v>22842</v>
      </c>
      <c r="R26">
        <v>35</v>
      </c>
      <c r="S26">
        <v>17010</v>
      </c>
      <c r="T26">
        <v>45</v>
      </c>
      <c r="U26">
        <v>21870</v>
      </c>
      <c r="V26">
        <v>36</v>
      </c>
      <c r="W26">
        <v>17496</v>
      </c>
      <c r="X26">
        <v>41</v>
      </c>
      <c r="Y26">
        <v>19926</v>
      </c>
      <c r="Z26">
        <v>43</v>
      </c>
      <c r="AA26">
        <v>20898</v>
      </c>
      <c r="AB26">
        <v>52</v>
      </c>
      <c r="AC26">
        <v>25272</v>
      </c>
      <c r="AD26">
        <v>34</v>
      </c>
      <c r="AE26">
        <v>16524</v>
      </c>
      <c r="AF26">
        <v>30</v>
      </c>
      <c r="AG26">
        <v>14580</v>
      </c>
      <c r="AH26">
        <v>30</v>
      </c>
      <c r="AI26">
        <v>14580</v>
      </c>
      <c r="AJ26">
        <v>38</v>
      </c>
      <c r="AK26">
        <v>18468</v>
      </c>
      <c r="AL26">
        <v>38</v>
      </c>
      <c r="AM26">
        <v>18468</v>
      </c>
      <c r="AN26">
        <v>31</v>
      </c>
      <c r="AO26">
        <v>15066</v>
      </c>
      <c r="AP26">
        <v>36</v>
      </c>
      <c r="AQ26">
        <v>17496</v>
      </c>
      <c r="AR26">
        <v>46</v>
      </c>
      <c r="AS26">
        <v>22356</v>
      </c>
      <c r="AT26">
        <v>47</v>
      </c>
      <c r="AU26">
        <v>22842</v>
      </c>
      <c r="AV26">
        <v>31</v>
      </c>
      <c r="AW26">
        <v>15066</v>
      </c>
      <c r="AX26">
        <v>37</v>
      </c>
      <c r="AY26">
        <v>17982</v>
      </c>
      <c r="AZ26">
        <v>34</v>
      </c>
      <c r="BA26">
        <v>16524</v>
      </c>
      <c r="BB26">
        <v>41</v>
      </c>
      <c r="BC26">
        <v>19926</v>
      </c>
      <c r="BD26">
        <v>59</v>
      </c>
      <c r="BE26">
        <v>28674</v>
      </c>
      <c r="BF26">
        <v>53</v>
      </c>
      <c r="BG26">
        <v>25758</v>
      </c>
      <c r="BH26">
        <v>31</v>
      </c>
      <c r="BI26">
        <v>15066</v>
      </c>
      <c r="BJ26">
        <v>49</v>
      </c>
      <c r="BK26">
        <v>23814</v>
      </c>
      <c r="BL26">
        <v>52</v>
      </c>
      <c r="BM26">
        <v>25272</v>
      </c>
      <c r="BN26">
        <v>34</v>
      </c>
      <c r="BO26">
        <v>16524</v>
      </c>
      <c r="BP26">
        <v>55</v>
      </c>
      <c r="BQ26">
        <v>26730</v>
      </c>
      <c r="BR26">
        <v>36</v>
      </c>
      <c r="BS26">
        <v>17496</v>
      </c>
      <c r="BT26">
        <v>48</v>
      </c>
      <c r="BU26">
        <v>23328</v>
      </c>
      <c r="BV26">
        <v>38</v>
      </c>
      <c r="BW26">
        <v>18468</v>
      </c>
      <c r="BX26">
        <v>31</v>
      </c>
      <c r="BY26">
        <v>15066</v>
      </c>
      <c r="BZ26">
        <v>48</v>
      </c>
      <c r="CA26">
        <v>23328</v>
      </c>
      <c r="CB26">
        <v>34</v>
      </c>
      <c r="CC26">
        <v>16524</v>
      </c>
      <c r="CD26">
        <v>58</v>
      </c>
      <c r="CE26">
        <v>28188</v>
      </c>
      <c r="CF26">
        <v>45</v>
      </c>
      <c r="CG26">
        <v>21870</v>
      </c>
      <c r="CH26">
        <v>38</v>
      </c>
      <c r="CI26">
        <v>18468</v>
      </c>
      <c r="CJ26">
        <v>28</v>
      </c>
      <c r="CK26">
        <v>13608</v>
      </c>
      <c r="CL26">
        <v>36</v>
      </c>
      <c r="CM26">
        <v>17496</v>
      </c>
      <c r="CN26">
        <v>46</v>
      </c>
      <c r="CO26">
        <v>22356</v>
      </c>
      <c r="CP26">
        <v>41</v>
      </c>
      <c r="CQ26">
        <v>19926</v>
      </c>
      <c r="CR26">
        <v>33</v>
      </c>
      <c r="CS26">
        <v>16038</v>
      </c>
      <c r="CT26">
        <v>36</v>
      </c>
      <c r="CU26">
        <v>17496</v>
      </c>
    </row>
    <row r="27" spans="2:99" x14ac:dyDescent="0.2">
      <c r="C27" s="119" t="s">
        <v>193</v>
      </c>
      <c r="D27">
        <v>50</v>
      </c>
      <c r="E27">
        <v>21360</v>
      </c>
      <c r="F27">
        <v>33</v>
      </c>
      <c r="G27">
        <v>14097.6</v>
      </c>
      <c r="H27">
        <v>43.057308093502705</v>
      </c>
      <c r="I27">
        <v>18394.082017544355</v>
      </c>
      <c r="J27">
        <v>49</v>
      </c>
      <c r="K27">
        <v>20932.8</v>
      </c>
      <c r="L27">
        <v>28</v>
      </c>
      <c r="M27">
        <v>11961.6</v>
      </c>
      <c r="N27">
        <v>49</v>
      </c>
      <c r="O27">
        <v>20932.8</v>
      </c>
      <c r="P27">
        <v>41</v>
      </c>
      <c r="Q27">
        <v>17515.2</v>
      </c>
      <c r="R27">
        <v>31</v>
      </c>
      <c r="S27">
        <v>13243.199999999999</v>
      </c>
      <c r="T27">
        <v>46</v>
      </c>
      <c r="U27">
        <v>19651.2</v>
      </c>
      <c r="V27">
        <v>39</v>
      </c>
      <c r="W27">
        <v>16660.8</v>
      </c>
      <c r="X27">
        <v>38</v>
      </c>
      <c r="Y27">
        <v>16233.6</v>
      </c>
      <c r="Z27">
        <v>42</v>
      </c>
      <c r="AA27">
        <v>17942.399999999998</v>
      </c>
      <c r="AB27">
        <v>50</v>
      </c>
      <c r="AC27">
        <v>21360</v>
      </c>
      <c r="AD27">
        <v>29</v>
      </c>
      <c r="AE27">
        <v>12388.8</v>
      </c>
      <c r="AF27">
        <v>33</v>
      </c>
      <c r="AG27">
        <v>14097.6</v>
      </c>
      <c r="AH27">
        <v>32</v>
      </c>
      <c r="AI27">
        <v>13670.4</v>
      </c>
      <c r="AJ27">
        <v>39</v>
      </c>
      <c r="AK27">
        <v>16660.8</v>
      </c>
      <c r="AL27">
        <v>39</v>
      </c>
      <c r="AM27">
        <v>16660.8</v>
      </c>
      <c r="AN27">
        <v>32</v>
      </c>
      <c r="AO27">
        <v>13670.4</v>
      </c>
      <c r="AP27">
        <v>41</v>
      </c>
      <c r="AQ27">
        <v>17515.2</v>
      </c>
      <c r="AR27">
        <v>43</v>
      </c>
      <c r="AS27">
        <v>18369.599999999999</v>
      </c>
      <c r="AT27">
        <v>49</v>
      </c>
      <c r="AU27">
        <v>20932.8</v>
      </c>
      <c r="AV27">
        <v>28</v>
      </c>
      <c r="AW27">
        <v>11961.6</v>
      </c>
      <c r="AX27">
        <v>36</v>
      </c>
      <c r="AY27">
        <v>15379.199999999999</v>
      </c>
      <c r="AZ27">
        <v>30</v>
      </c>
      <c r="BA27">
        <v>12816</v>
      </c>
      <c r="BB27">
        <v>43</v>
      </c>
      <c r="BC27">
        <v>18369.599999999999</v>
      </c>
      <c r="BD27">
        <v>61</v>
      </c>
      <c r="BE27">
        <v>26059.200000000001</v>
      </c>
      <c r="BF27">
        <v>44</v>
      </c>
      <c r="BG27">
        <v>18796.8</v>
      </c>
      <c r="BH27">
        <v>32</v>
      </c>
      <c r="BI27">
        <v>13670.4</v>
      </c>
      <c r="BJ27">
        <v>51</v>
      </c>
      <c r="BK27">
        <v>21787.200000000001</v>
      </c>
      <c r="BL27">
        <v>61</v>
      </c>
      <c r="BM27">
        <v>26059.200000000001</v>
      </c>
      <c r="BN27">
        <v>35</v>
      </c>
      <c r="BO27">
        <v>14952</v>
      </c>
      <c r="BP27">
        <v>61</v>
      </c>
      <c r="BQ27">
        <v>26059.200000000001</v>
      </c>
      <c r="BR27">
        <v>33</v>
      </c>
      <c r="BS27">
        <v>14097.6</v>
      </c>
      <c r="BT27">
        <v>43</v>
      </c>
      <c r="BU27">
        <v>18369.599999999999</v>
      </c>
      <c r="BV27">
        <v>42</v>
      </c>
      <c r="BW27">
        <v>17942.399999999998</v>
      </c>
      <c r="BX27">
        <v>36</v>
      </c>
      <c r="BY27">
        <v>15379.199999999999</v>
      </c>
      <c r="BZ27">
        <v>50</v>
      </c>
      <c r="CA27">
        <v>21360</v>
      </c>
      <c r="CB27">
        <v>41</v>
      </c>
      <c r="CC27">
        <v>17515.2</v>
      </c>
      <c r="CD27">
        <v>59</v>
      </c>
      <c r="CE27">
        <v>25204.799999999999</v>
      </c>
      <c r="CF27">
        <v>44</v>
      </c>
      <c r="CG27">
        <v>18796.8</v>
      </c>
      <c r="CH27">
        <v>38</v>
      </c>
      <c r="CI27">
        <v>16233.6</v>
      </c>
      <c r="CJ27">
        <v>30</v>
      </c>
      <c r="CK27">
        <v>12816</v>
      </c>
      <c r="CL27">
        <v>34</v>
      </c>
      <c r="CM27">
        <v>14524.8</v>
      </c>
      <c r="CN27">
        <v>49</v>
      </c>
      <c r="CO27">
        <v>20932.8</v>
      </c>
      <c r="CP27">
        <v>41</v>
      </c>
      <c r="CQ27">
        <v>17515.2</v>
      </c>
      <c r="CR27">
        <v>35</v>
      </c>
      <c r="CS27">
        <v>14952</v>
      </c>
      <c r="CT27">
        <v>34</v>
      </c>
      <c r="CU27">
        <v>14524.8</v>
      </c>
    </row>
    <row r="28" spans="2:99" x14ac:dyDescent="0.2">
      <c r="C28" s="119" t="s">
        <v>194</v>
      </c>
      <c r="D28">
        <v>52</v>
      </c>
      <c r="E28">
        <v>38376</v>
      </c>
      <c r="F28">
        <v>32</v>
      </c>
      <c r="G28">
        <v>23616</v>
      </c>
      <c r="H28">
        <v>45.149247927720332</v>
      </c>
      <c r="I28">
        <v>33320.144970657602</v>
      </c>
      <c r="J28">
        <v>45</v>
      </c>
      <c r="K28">
        <v>33210</v>
      </c>
      <c r="L28">
        <v>29</v>
      </c>
      <c r="M28">
        <v>21402</v>
      </c>
      <c r="N28">
        <v>43</v>
      </c>
      <c r="O28">
        <v>31734</v>
      </c>
      <c r="P28">
        <v>44</v>
      </c>
      <c r="Q28">
        <v>32472</v>
      </c>
      <c r="R28">
        <v>32</v>
      </c>
      <c r="S28">
        <v>23616</v>
      </c>
      <c r="T28">
        <v>47</v>
      </c>
      <c r="U28">
        <v>34686</v>
      </c>
      <c r="V28">
        <v>38</v>
      </c>
      <c r="W28">
        <v>28044</v>
      </c>
      <c r="X28">
        <v>34</v>
      </c>
      <c r="Y28">
        <v>25092</v>
      </c>
      <c r="Z28">
        <v>43</v>
      </c>
      <c r="AA28">
        <v>31734</v>
      </c>
      <c r="AB28">
        <v>46</v>
      </c>
      <c r="AC28">
        <v>33948</v>
      </c>
      <c r="AD28">
        <v>33</v>
      </c>
      <c r="AE28">
        <v>24354</v>
      </c>
      <c r="AF28">
        <v>27</v>
      </c>
      <c r="AG28">
        <v>19926</v>
      </c>
      <c r="AH28">
        <v>29</v>
      </c>
      <c r="AI28">
        <v>21402</v>
      </c>
      <c r="AJ28">
        <v>38</v>
      </c>
      <c r="AK28">
        <v>28044</v>
      </c>
      <c r="AL28">
        <v>36</v>
      </c>
      <c r="AM28">
        <v>26568</v>
      </c>
      <c r="AN28">
        <v>32</v>
      </c>
      <c r="AO28">
        <v>23616</v>
      </c>
      <c r="AP28">
        <v>35</v>
      </c>
      <c r="AQ28">
        <v>25830</v>
      </c>
      <c r="AR28">
        <v>43</v>
      </c>
      <c r="AS28">
        <v>31734</v>
      </c>
      <c r="AT28">
        <v>44</v>
      </c>
      <c r="AU28">
        <v>32472</v>
      </c>
      <c r="AV28">
        <v>27</v>
      </c>
      <c r="AW28">
        <v>19926</v>
      </c>
      <c r="AX28">
        <v>35</v>
      </c>
      <c r="AY28">
        <v>25830</v>
      </c>
      <c r="AZ28">
        <v>28</v>
      </c>
      <c r="BA28">
        <v>20664</v>
      </c>
      <c r="BB28">
        <v>36</v>
      </c>
      <c r="BC28">
        <v>26568</v>
      </c>
      <c r="BD28">
        <v>57</v>
      </c>
      <c r="BE28">
        <v>42066</v>
      </c>
      <c r="BF28">
        <v>44</v>
      </c>
      <c r="BG28">
        <v>32472</v>
      </c>
      <c r="BH28">
        <v>28</v>
      </c>
      <c r="BI28">
        <v>20664</v>
      </c>
      <c r="BJ28">
        <v>49</v>
      </c>
      <c r="BK28">
        <v>36162</v>
      </c>
      <c r="BL28">
        <v>54</v>
      </c>
      <c r="BM28">
        <v>39852</v>
      </c>
      <c r="BN28">
        <v>33</v>
      </c>
      <c r="BO28">
        <v>24354</v>
      </c>
      <c r="BP28">
        <v>50</v>
      </c>
      <c r="BQ28">
        <v>36900</v>
      </c>
      <c r="BR28">
        <v>34</v>
      </c>
      <c r="BS28">
        <v>25092</v>
      </c>
      <c r="BT28">
        <v>43</v>
      </c>
      <c r="BU28">
        <v>31734</v>
      </c>
      <c r="BV28">
        <v>39</v>
      </c>
      <c r="BW28">
        <v>28782</v>
      </c>
      <c r="BX28">
        <v>33</v>
      </c>
      <c r="BY28">
        <v>24354</v>
      </c>
      <c r="BZ28">
        <v>48</v>
      </c>
      <c r="CA28">
        <v>35424</v>
      </c>
      <c r="CB28">
        <v>37</v>
      </c>
      <c r="CC28">
        <v>27306</v>
      </c>
      <c r="CD28">
        <v>56</v>
      </c>
      <c r="CE28">
        <v>41328</v>
      </c>
      <c r="CF28">
        <v>39</v>
      </c>
      <c r="CG28">
        <v>28782</v>
      </c>
      <c r="CH28">
        <v>40</v>
      </c>
      <c r="CI28">
        <v>29520</v>
      </c>
      <c r="CJ28">
        <v>30</v>
      </c>
      <c r="CK28">
        <v>22140</v>
      </c>
      <c r="CL28">
        <v>33</v>
      </c>
      <c r="CM28">
        <v>24354</v>
      </c>
      <c r="CN28">
        <v>45</v>
      </c>
      <c r="CO28">
        <v>33210</v>
      </c>
      <c r="CP28">
        <v>42</v>
      </c>
      <c r="CQ28">
        <v>30996</v>
      </c>
      <c r="CR28">
        <v>31</v>
      </c>
      <c r="CS28">
        <v>22878</v>
      </c>
      <c r="CT28">
        <v>35</v>
      </c>
      <c r="CU28">
        <v>25830</v>
      </c>
    </row>
    <row r="29" spans="2:99" x14ac:dyDescent="0.2">
      <c r="C29" s="119" t="s">
        <v>195</v>
      </c>
      <c r="D29">
        <v>45</v>
      </c>
      <c r="E29">
        <v>15227.999999999998</v>
      </c>
      <c r="F29">
        <v>35</v>
      </c>
      <c r="G29">
        <v>11844</v>
      </c>
      <c r="H29">
        <v>46.057308093502705</v>
      </c>
      <c r="I29">
        <v>15585.793058841315</v>
      </c>
      <c r="J29">
        <v>44.472924590141758</v>
      </c>
      <c r="K29">
        <v>15049.63768130397</v>
      </c>
      <c r="L29">
        <v>30</v>
      </c>
      <c r="M29">
        <v>10152</v>
      </c>
      <c r="N29">
        <v>46</v>
      </c>
      <c r="O29">
        <v>15566.4</v>
      </c>
      <c r="P29">
        <v>43</v>
      </c>
      <c r="Q29">
        <v>14551.199999999999</v>
      </c>
      <c r="R29">
        <v>32</v>
      </c>
      <c r="S29">
        <v>10828.8</v>
      </c>
      <c r="T29">
        <v>49</v>
      </c>
      <c r="U29">
        <v>16581.599999999999</v>
      </c>
      <c r="V29">
        <v>39</v>
      </c>
      <c r="W29">
        <v>13197.599999999999</v>
      </c>
      <c r="X29">
        <v>39</v>
      </c>
      <c r="Y29">
        <v>13197.599999999999</v>
      </c>
      <c r="Z29">
        <v>45</v>
      </c>
      <c r="AA29">
        <v>15227.999999999998</v>
      </c>
      <c r="AB29">
        <v>50</v>
      </c>
      <c r="AC29">
        <v>16920</v>
      </c>
      <c r="AD29">
        <v>32</v>
      </c>
      <c r="AE29">
        <v>10828.8</v>
      </c>
      <c r="AF29">
        <v>32</v>
      </c>
      <c r="AG29">
        <v>10828.8</v>
      </c>
      <c r="AH29">
        <v>34</v>
      </c>
      <c r="AI29">
        <v>11505.599999999999</v>
      </c>
      <c r="AJ29">
        <v>43</v>
      </c>
      <c r="AK29">
        <v>14551.199999999999</v>
      </c>
      <c r="AL29">
        <v>37</v>
      </c>
      <c r="AM29">
        <v>12520.8</v>
      </c>
      <c r="AN29">
        <v>34</v>
      </c>
      <c r="AO29">
        <v>11505.599999999999</v>
      </c>
      <c r="AP29">
        <v>43</v>
      </c>
      <c r="AQ29">
        <v>14551.199999999999</v>
      </c>
      <c r="AR29">
        <v>46</v>
      </c>
      <c r="AS29">
        <v>15566.4</v>
      </c>
      <c r="AT29">
        <v>50</v>
      </c>
      <c r="AU29">
        <v>16920</v>
      </c>
      <c r="AV29">
        <v>29</v>
      </c>
      <c r="AW29">
        <v>9813.5999999999985</v>
      </c>
      <c r="AX29">
        <v>41</v>
      </c>
      <c r="AY29">
        <v>13874.4</v>
      </c>
      <c r="AZ29">
        <v>34</v>
      </c>
      <c r="BA29">
        <v>11505.599999999999</v>
      </c>
      <c r="BB29">
        <v>45</v>
      </c>
      <c r="BC29">
        <v>15227.999999999998</v>
      </c>
      <c r="BD29">
        <v>57</v>
      </c>
      <c r="BE29">
        <v>19288.8</v>
      </c>
      <c r="BF29">
        <v>50</v>
      </c>
      <c r="BG29">
        <v>16920</v>
      </c>
      <c r="BH29">
        <v>33</v>
      </c>
      <c r="BI29">
        <v>11167.199999999999</v>
      </c>
      <c r="BJ29">
        <v>55</v>
      </c>
      <c r="BK29">
        <v>18612</v>
      </c>
      <c r="BL29">
        <v>54</v>
      </c>
      <c r="BM29">
        <v>18273.599999999999</v>
      </c>
      <c r="BN29">
        <v>32</v>
      </c>
      <c r="BO29">
        <v>10828.8</v>
      </c>
      <c r="BP29">
        <v>51</v>
      </c>
      <c r="BQ29">
        <v>17258.399999999998</v>
      </c>
      <c r="BR29">
        <v>37</v>
      </c>
      <c r="BS29">
        <v>12520.8</v>
      </c>
      <c r="BT29">
        <v>48</v>
      </c>
      <c r="BU29">
        <v>16243.199999999999</v>
      </c>
      <c r="BV29">
        <v>47</v>
      </c>
      <c r="BW29">
        <v>15904.8</v>
      </c>
      <c r="BX29">
        <v>34</v>
      </c>
      <c r="BY29">
        <v>11505.599999999999</v>
      </c>
      <c r="BZ29">
        <v>45</v>
      </c>
      <c r="CA29">
        <v>15227.999999999998</v>
      </c>
      <c r="CB29">
        <v>35</v>
      </c>
      <c r="CC29">
        <v>11844</v>
      </c>
      <c r="CD29">
        <v>56</v>
      </c>
      <c r="CE29">
        <v>18950.399999999998</v>
      </c>
      <c r="CF29">
        <v>41</v>
      </c>
      <c r="CG29">
        <v>13874.4</v>
      </c>
      <c r="CH29">
        <v>43</v>
      </c>
      <c r="CI29">
        <v>14551.199999999999</v>
      </c>
      <c r="CJ29">
        <v>33</v>
      </c>
      <c r="CK29">
        <v>11167.199999999999</v>
      </c>
      <c r="CL29">
        <v>32</v>
      </c>
      <c r="CM29">
        <v>10828.8</v>
      </c>
      <c r="CN29">
        <v>45</v>
      </c>
      <c r="CO29">
        <v>15227.999999999998</v>
      </c>
      <c r="CP29">
        <v>38</v>
      </c>
      <c r="CQ29">
        <v>12859.199999999999</v>
      </c>
      <c r="CR29">
        <v>36</v>
      </c>
      <c r="CS29">
        <v>12182.4</v>
      </c>
      <c r="CT29">
        <v>38</v>
      </c>
      <c r="CU29">
        <v>12859.199999999999</v>
      </c>
    </row>
    <row r="30" spans="2:99" x14ac:dyDescent="0.2">
      <c r="C30" s="119" t="s">
        <v>196</v>
      </c>
      <c r="D30">
        <v>51</v>
      </c>
      <c r="E30">
        <v>7099.2</v>
      </c>
      <c r="F30">
        <v>37</v>
      </c>
      <c r="G30">
        <v>5150.3999999999996</v>
      </c>
      <c r="H30">
        <v>50.241187761937958</v>
      </c>
      <c r="I30">
        <v>6993.5733364617636</v>
      </c>
      <c r="J30">
        <v>51</v>
      </c>
      <c r="K30">
        <v>7099.2</v>
      </c>
      <c r="L30">
        <v>27</v>
      </c>
      <c r="M30">
        <v>3758.3999999999996</v>
      </c>
      <c r="N30">
        <v>51</v>
      </c>
      <c r="O30">
        <v>7099.2</v>
      </c>
      <c r="P30">
        <v>42</v>
      </c>
      <c r="Q30">
        <v>5846.4</v>
      </c>
      <c r="R30">
        <v>34</v>
      </c>
      <c r="S30">
        <v>4732.7999999999993</v>
      </c>
      <c r="T30">
        <v>53</v>
      </c>
      <c r="U30">
        <v>7377.5999999999995</v>
      </c>
      <c r="V30">
        <v>44</v>
      </c>
      <c r="W30">
        <v>6124.7999999999993</v>
      </c>
      <c r="X30">
        <v>41</v>
      </c>
      <c r="Y30">
        <v>5707.2</v>
      </c>
      <c r="Z30">
        <v>45</v>
      </c>
      <c r="AA30">
        <v>6263.9999999999991</v>
      </c>
      <c r="AB30">
        <v>52</v>
      </c>
      <c r="AC30">
        <v>7238.4</v>
      </c>
      <c r="AD30">
        <v>34</v>
      </c>
      <c r="AE30">
        <v>4732.7999999999993</v>
      </c>
      <c r="AF30">
        <v>33</v>
      </c>
      <c r="AG30">
        <v>4593.5999999999995</v>
      </c>
      <c r="AH30">
        <v>31</v>
      </c>
      <c r="AI30">
        <v>4315.2</v>
      </c>
      <c r="AJ30">
        <v>42</v>
      </c>
      <c r="AK30">
        <v>5846.4</v>
      </c>
      <c r="AL30">
        <v>38</v>
      </c>
      <c r="AM30">
        <v>5289.5999999999995</v>
      </c>
      <c r="AN30">
        <v>37</v>
      </c>
      <c r="AO30">
        <v>5150.3999999999996</v>
      </c>
      <c r="AP30">
        <v>41</v>
      </c>
      <c r="AQ30">
        <v>5707.2</v>
      </c>
      <c r="AR30">
        <v>47</v>
      </c>
      <c r="AS30">
        <v>6542.4</v>
      </c>
      <c r="AT30">
        <v>44</v>
      </c>
      <c r="AU30">
        <v>6124.7999999999993</v>
      </c>
      <c r="AV30">
        <v>30</v>
      </c>
      <c r="AW30">
        <v>4176</v>
      </c>
      <c r="AX30">
        <v>39</v>
      </c>
      <c r="AY30">
        <v>5428.7999999999993</v>
      </c>
      <c r="AZ30">
        <v>34</v>
      </c>
      <c r="BA30">
        <v>4732.7999999999993</v>
      </c>
      <c r="BB30">
        <v>40</v>
      </c>
      <c r="BC30">
        <v>5568</v>
      </c>
      <c r="BD30">
        <v>54</v>
      </c>
      <c r="BE30">
        <v>7516.7999999999993</v>
      </c>
      <c r="BF30">
        <v>51</v>
      </c>
      <c r="BG30">
        <v>7099.2</v>
      </c>
      <c r="BH30">
        <v>31</v>
      </c>
      <c r="BI30">
        <v>4315.2</v>
      </c>
      <c r="BJ30">
        <v>58</v>
      </c>
      <c r="BK30">
        <v>8073.5999999999995</v>
      </c>
      <c r="BL30">
        <v>56</v>
      </c>
      <c r="BM30">
        <v>7795.1999999999989</v>
      </c>
      <c r="BN30">
        <v>34</v>
      </c>
      <c r="BO30">
        <v>4732.7999999999993</v>
      </c>
      <c r="BP30">
        <v>53</v>
      </c>
      <c r="BQ30">
        <v>7377.5999999999995</v>
      </c>
      <c r="BR30">
        <v>38</v>
      </c>
      <c r="BS30">
        <v>5289.5999999999995</v>
      </c>
      <c r="BT30">
        <v>52</v>
      </c>
      <c r="BU30">
        <v>7238.4</v>
      </c>
      <c r="BV30">
        <v>44</v>
      </c>
      <c r="BW30">
        <v>6124.7999999999993</v>
      </c>
      <c r="BX30">
        <v>37</v>
      </c>
      <c r="BY30">
        <v>5150.3999999999996</v>
      </c>
      <c r="BZ30">
        <v>50</v>
      </c>
      <c r="CA30">
        <v>6959.9999999999991</v>
      </c>
      <c r="CB30">
        <v>41</v>
      </c>
      <c r="CC30">
        <v>5707.2</v>
      </c>
      <c r="CD30">
        <v>53</v>
      </c>
      <c r="CE30">
        <v>7377.5999999999995</v>
      </c>
      <c r="CF30">
        <v>40</v>
      </c>
      <c r="CG30">
        <v>5568</v>
      </c>
      <c r="CH30">
        <v>40</v>
      </c>
      <c r="CI30">
        <v>5568</v>
      </c>
      <c r="CJ30">
        <v>35</v>
      </c>
      <c r="CK30">
        <v>4872</v>
      </c>
      <c r="CL30">
        <v>32</v>
      </c>
      <c r="CM30">
        <v>4454.3999999999996</v>
      </c>
      <c r="CN30">
        <v>55</v>
      </c>
      <c r="CO30">
        <v>7655.9999999999991</v>
      </c>
      <c r="CP30">
        <v>40</v>
      </c>
      <c r="CQ30">
        <v>5568</v>
      </c>
      <c r="CR30">
        <v>39</v>
      </c>
      <c r="CS30">
        <v>5428.7999999999993</v>
      </c>
      <c r="CT30">
        <v>38</v>
      </c>
      <c r="CU30">
        <v>5289.5999999999995</v>
      </c>
    </row>
    <row r="31" spans="2:99" x14ac:dyDescent="0.2">
      <c r="C31" s="119" t="s">
        <v>197</v>
      </c>
      <c r="D31">
        <v>51</v>
      </c>
      <c r="E31">
        <v>17380.8</v>
      </c>
      <c r="F31">
        <v>35</v>
      </c>
      <c r="G31">
        <v>11928</v>
      </c>
      <c r="H31">
        <v>46.149247927720332</v>
      </c>
      <c r="I31">
        <v>15727.66369376709</v>
      </c>
      <c r="J31">
        <v>44.325632131127584</v>
      </c>
      <c r="K31">
        <v>15106.175430288282</v>
      </c>
      <c r="L31">
        <v>25</v>
      </c>
      <c r="M31">
        <v>8520</v>
      </c>
      <c r="N31">
        <v>49</v>
      </c>
      <c r="O31">
        <v>16699.2</v>
      </c>
      <c r="P31">
        <v>47</v>
      </c>
      <c r="Q31">
        <v>16017.6</v>
      </c>
      <c r="R31">
        <v>31</v>
      </c>
      <c r="S31">
        <v>10564.800000000001</v>
      </c>
      <c r="T31">
        <v>48</v>
      </c>
      <c r="U31">
        <v>16358.400000000001</v>
      </c>
      <c r="V31">
        <v>43</v>
      </c>
      <c r="W31">
        <v>14654.4</v>
      </c>
      <c r="X31">
        <v>40</v>
      </c>
      <c r="Y31">
        <v>13632</v>
      </c>
      <c r="Z31">
        <v>47</v>
      </c>
      <c r="AA31">
        <v>16017.6</v>
      </c>
      <c r="AB31">
        <v>50</v>
      </c>
      <c r="AC31">
        <v>17040</v>
      </c>
      <c r="AD31">
        <v>32</v>
      </c>
      <c r="AE31">
        <v>10905.6</v>
      </c>
      <c r="AF31">
        <v>33</v>
      </c>
      <c r="AG31">
        <v>11246.4</v>
      </c>
      <c r="AH31">
        <v>31</v>
      </c>
      <c r="AI31">
        <v>10564.800000000001</v>
      </c>
      <c r="AJ31">
        <v>40</v>
      </c>
      <c r="AK31">
        <v>13632</v>
      </c>
      <c r="AL31">
        <v>41</v>
      </c>
      <c r="AM31">
        <v>13972.800000000001</v>
      </c>
      <c r="AN31">
        <v>37</v>
      </c>
      <c r="AO31">
        <v>12609.6</v>
      </c>
      <c r="AP31">
        <v>42</v>
      </c>
      <c r="AQ31">
        <v>14313.6</v>
      </c>
      <c r="AR31">
        <v>46</v>
      </c>
      <c r="AS31">
        <v>15676.800000000001</v>
      </c>
      <c r="AT31">
        <v>44</v>
      </c>
      <c r="AU31">
        <v>14995.2</v>
      </c>
      <c r="AV31">
        <v>31</v>
      </c>
      <c r="AW31">
        <v>10564.800000000001</v>
      </c>
      <c r="AX31">
        <v>40</v>
      </c>
      <c r="AY31">
        <v>13632</v>
      </c>
      <c r="AZ31">
        <v>34</v>
      </c>
      <c r="BA31">
        <v>11587.2</v>
      </c>
      <c r="BB31">
        <v>41</v>
      </c>
      <c r="BC31">
        <v>13972.800000000001</v>
      </c>
      <c r="BD31">
        <v>60</v>
      </c>
      <c r="BE31">
        <v>20448</v>
      </c>
      <c r="BF31">
        <v>46</v>
      </c>
      <c r="BG31">
        <v>15676.800000000001</v>
      </c>
      <c r="BH31">
        <v>33</v>
      </c>
      <c r="BI31">
        <v>11246.4</v>
      </c>
      <c r="BJ31">
        <v>54</v>
      </c>
      <c r="BK31">
        <v>18403.2</v>
      </c>
      <c r="BL31">
        <v>61</v>
      </c>
      <c r="BM31">
        <v>20788.8</v>
      </c>
      <c r="BN31">
        <v>32</v>
      </c>
      <c r="BO31">
        <v>10905.6</v>
      </c>
      <c r="BP31">
        <v>57</v>
      </c>
      <c r="BQ31">
        <v>19425.600000000002</v>
      </c>
      <c r="BR31">
        <v>39</v>
      </c>
      <c r="BS31">
        <v>13291.2</v>
      </c>
      <c r="BT31">
        <v>51</v>
      </c>
      <c r="BU31">
        <v>17380.8</v>
      </c>
      <c r="BV31">
        <v>45</v>
      </c>
      <c r="BW31">
        <v>15336</v>
      </c>
      <c r="BX31">
        <v>33</v>
      </c>
      <c r="BY31">
        <v>11246.4</v>
      </c>
      <c r="BZ31">
        <v>47</v>
      </c>
      <c r="CA31">
        <v>16017.6</v>
      </c>
      <c r="CB31">
        <v>37</v>
      </c>
      <c r="CC31">
        <v>12609.6</v>
      </c>
      <c r="CD31">
        <v>58</v>
      </c>
      <c r="CE31">
        <v>19766.400000000001</v>
      </c>
      <c r="CF31">
        <v>41</v>
      </c>
      <c r="CG31">
        <v>13972.800000000001</v>
      </c>
      <c r="CH31">
        <v>43</v>
      </c>
      <c r="CI31">
        <v>14654.4</v>
      </c>
      <c r="CJ31">
        <v>33</v>
      </c>
      <c r="CK31">
        <v>11246.4</v>
      </c>
      <c r="CL31">
        <v>35</v>
      </c>
      <c r="CM31">
        <v>11928</v>
      </c>
      <c r="CN31">
        <v>51</v>
      </c>
      <c r="CO31">
        <v>17380.8</v>
      </c>
      <c r="CP31">
        <v>44</v>
      </c>
      <c r="CQ31">
        <v>14995.2</v>
      </c>
      <c r="CR31">
        <v>36</v>
      </c>
      <c r="CS31">
        <v>12268.800000000001</v>
      </c>
      <c r="CT31">
        <v>34</v>
      </c>
      <c r="CU31">
        <v>11587.2</v>
      </c>
    </row>
    <row r="32" spans="2:99" x14ac:dyDescent="0.2">
      <c r="C32" s="119" t="s">
        <v>198</v>
      </c>
      <c r="D32">
        <v>44</v>
      </c>
      <c r="E32">
        <v>36960</v>
      </c>
      <c r="F32">
        <v>29</v>
      </c>
      <c r="G32">
        <v>24360</v>
      </c>
      <c r="H32">
        <v>45.057308093502705</v>
      </c>
      <c r="I32">
        <v>37848.13879854227</v>
      </c>
      <c r="J32">
        <v>49.571119562817877</v>
      </c>
      <c r="K32">
        <v>41639.740432767016</v>
      </c>
      <c r="L32">
        <v>25</v>
      </c>
      <c r="M32">
        <v>21000</v>
      </c>
      <c r="N32">
        <v>47</v>
      </c>
      <c r="O32">
        <v>39480</v>
      </c>
      <c r="P32">
        <v>46</v>
      </c>
      <c r="Q32">
        <v>38640</v>
      </c>
      <c r="R32">
        <v>34</v>
      </c>
      <c r="S32">
        <v>28560</v>
      </c>
      <c r="T32">
        <v>46</v>
      </c>
      <c r="U32">
        <v>38640</v>
      </c>
      <c r="V32">
        <v>37</v>
      </c>
      <c r="W32">
        <v>31080</v>
      </c>
      <c r="X32">
        <v>38</v>
      </c>
      <c r="Y32">
        <v>31920</v>
      </c>
      <c r="Z32">
        <v>45</v>
      </c>
      <c r="AA32">
        <v>37800</v>
      </c>
      <c r="AB32">
        <v>51</v>
      </c>
      <c r="AC32">
        <v>42840</v>
      </c>
      <c r="AD32">
        <v>29</v>
      </c>
      <c r="AE32">
        <v>24360</v>
      </c>
      <c r="AF32">
        <v>30</v>
      </c>
      <c r="AG32">
        <v>25200</v>
      </c>
      <c r="AH32">
        <v>28</v>
      </c>
      <c r="AI32">
        <v>23520</v>
      </c>
      <c r="AJ32">
        <v>41</v>
      </c>
      <c r="AK32">
        <v>34440</v>
      </c>
      <c r="AL32">
        <v>34</v>
      </c>
      <c r="AM32">
        <v>28560</v>
      </c>
      <c r="AN32">
        <v>29</v>
      </c>
      <c r="AO32">
        <v>24360</v>
      </c>
      <c r="AP32">
        <v>35</v>
      </c>
      <c r="AQ32">
        <v>29400</v>
      </c>
      <c r="AR32">
        <v>43</v>
      </c>
      <c r="AS32">
        <v>36120</v>
      </c>
      <c r="AT32">
        <v>41</v>
      </c>
      <c r="AU32">
        <v>34440</v>
      </c>
      <c r="AV32">
        <v>26</v>
      </c>
      <c r="AW32">
        <v>21840</v>
      </c>
      <c r="AX32">
        <v>33</v>
      </c>
      <c r="AY32">
        <v>27720</v>
      </c>
      <c r="AZ32">
        <v>30</v>
      </c>
      <c r="BA32">
        <v>25200</v>
      </c>
      <c r="BB32">
        <v>38</v>
      </c>
      <c r="BC32">
        <v>31920</v>
      </c>
      <c r="BD32">
        <v>55</v>
      </c>
      <c r="BE32">
        <v>46200</v>
      </c>
      <c r="BF32">
        <v>46</v>
      </c>
      <c r="BG32">
        <v>38640</v>
      </c>
      <c r="BH32">
        <v>27</v>
      </c>
      <c r="BI32">
        <v>22680</v>
      </c>
      <c r="BJ32">
        <v>45</v>
      </c>
      <c r="BK32">
        <v>37800</v>
      </c>
      <c r="BL32">
        <v>59</v>
      </c>
      <c r="BM32">
        <v>49560</v>
      </c>
      <c r="BN32">
        <v>31</v>
      </c>
      <c r="BO32">
        <v>26040</v>
      </c>
      <c r="BP32">
        <v>56</v>
      </c>
      <c r="BQ32">
        <v>47040</v>
      </c>
      <c r="BR32">
        <v>35</v>
      </c>
      <c r="BS32">
        <v>29400</v>
      </c>
      <c r="BT32">
        <v>47</v>
      </c>
      <c r="BU32">
        <v>39480</v>
      </c>
      <c r="BV32">
        <v>36</v>
      </c>
      <c r="BW32">
        <v>30240</v>
      </c>
      <c r="BX32">
        <v>34</v>
      </c>
      <c r="BY32">
        <v>28560</v>
      </c>
      <c r="BZ32">
        <v>50</v>
      </c>
      <c r="CA32">
        <v>42000</v>
      </c>
      <c r="CB32">
        <v>34</v>
      </c>
      <c r="CC32">
        <v>28560</v>
      </c>
      <c r="CD32">
        <v>55</v>
      </c>
      <c r="CE32">
        <v>46200</v>
      </c>
      <c r="CF32">
        <v>37</v>
      </c>
      <c r="CG32">
        <v>31080</v>
      </c>
      <c r="CH32">
        <v>34</v>
      </c>
      <c r="CI32">
        <v>28560</v>
      </c>
      <c r="CJ32">
        <v>30</v>
      </c>
      <c r="CK32">
        <v>25200</v>
      </c>
      <c r="CL32">
        <v>31</v>
      </c>
      <c r="CM32">
        <v>26040</v>
      </c>
      <c r="CN32">
        <v>49</v>
      </c>
      <c r="CO32">
        <v>41160</v>
      </c>
      <c r="CP32">
        <v>35</v>
      </c>
      <c r="CQ32">
        <v>29400</v>
      </c>
      <c r="CR32">
        <v>35</v>
      </c>
      <c r="CS32">
        <v>29400</v>
      </c>
      <c r="CT32">
        <v>33</v>
      </c>
      <c r="CU32">
        <v>27720</v>
      </c>
    </row>
    <row r="33" spans="2:99" x14ac:dyDescent="0.2">
      <c r="C33" s="119" t="s">
        <v>199</v>
      </c>
      <c r="D33">
        <v>45</v>
      </c>
      <c r="E33">
        <v>21330</v>
      </c>
      <c r="F33">
        <v>36</v>
      </c>
      <c r="G33">
        <v>17064</v>
      </c>
      <c r="H33">
        <v>47.195217844829145</v>
      </c>
      <c r="I33">
        <v>22370.533258449013</v>
      </c>
      <c r="J33">
        <v>48.571119562817877</v>
      </c>
      <c r="K33">
        <v>23022.710672775673</v>
      </c>
      <c r="L33">
        <v>29</v>
      </c>
      <c r="M33">
        <v>13746</v>
      </c>
      <c r="N33">
        <v>51</v>
      </c>
      <c r="O33">
        <v>24174</v>
      </c>
      <c r="P33">
        <v>42</v>
      </c>
      <c r="Q33">
        <v>19908</v>
      </c>
      <c r="R33">
        <v>31</v>
      </c>
      <c r="S33">
        <v>14694</v>
      </c>
      <c r="T33">
        <v>50</v>
      </c>
      <c r="U33">
        <v>23700</v>
      </c>
      <c r="V33">
        <v>42</v>
      </c>
      <c r="W33">
        <v>19908</v>
      </c>
      <c r="X33">
        <v>35</v>
      </c>
      <c r="Y33">
        <v>16590</v>
      </c>
      <c r="Z33">
        <v>48</v>
      </c>
      <c r="AA33">
        <v>22752</v>
      </c>
      <c r="AB33">
        <v>51</v>
      </c>
      <c r="AC33">
        <v>24174</v>
      </c>
      <c r="AD33">
        <v>34</v>
      </c>
      <c r="AE33">
        <v>16116</v>
      </c>
      <c r="AF33">
        <v>32</v>
      </c>
      <c r="AG33">
        <v>15168</v>
      </c>
      <c r="AH33">
        <v>34</v>
      </c>
      <c r="AI33">
        <v>16116</v>
      </c>
      <c r="AJ33">
        <v>39</v>
      </c>
      <c r="AK33">
        <v>18486</v>
      </c>
      <c r="AL33">
        <v>37</v>
      </c>
      <c r="AM33">
        <v>17538</v>
      </c>
      <c r="AN33">
        <v>34</v>
      </c>
      <c r="AO33">
        <v>16116</v>
      </c>
      <c r="AP33">
        <v>37</v>
      </c>
      <c r="AQ33">
        <v>17538</v>
      </c>
      <c r="AR33">
        <v>48</v>
      </c>
      <c r="AS33">
        <v>22752</v>
      </c>
      <c r="AT33">
        <v>45</v>
      </c>
      <c r="AU33">
        <v>21330</v>
      </c>
      <c r="AV33">
        <v>32</v>
      </c>
      <c r="AW33">
        <v>15168</v>
      </c>
      <c r="AX33">
        <v>37</v>
      </c>
      <c r="AY33">
        <v>17538</v>
      </c>
      <c r="AZ33">
        <v>33</v>
      </c>
      <c r="BA33">
        <v>15642</v>
      </c>
      <c r="BB33">
        <v>38</v>
      </c>
      <c r="BC33">
        <v>18012</v>
      </c>
      <c r="BD33">
        <v>60</v>
      </c>
      <c r="BE33">
        <v>28440</v>
      </c>
      <c r="BF33">
        <v>51</v>
      </c>
      <c r="BG33">
        <v>24174</v>
      </c>
      <c r="BH33">
        <v>31</v>
      </c>
      <c r="BI33">
        <v>14694</v>
      </c>
      <c r="BJ33">
        <v>50</v>
      </c>
      <c r="BK33">
        <v>23700</v>
      </c>
      <c r="BL33">
        <v>59</v>
      </c>
      <c r="BM33">
        <v>27966</v>
      </c>
      <c r="BN33">
        <v>31</v>
      </c>
      <c r="BO33">
        <v>14694</v>
      </c>
      <c r="BP33">
        <v>61</v>
      </c>
      <c r="BQ33">
        <v>28914</v>
      </c>
      <c r="BR33">
        <v>36</v>
      </c>
      <c r="BS33">
        <v>17064</v>
      </c>
      <c r="BT33">
        <v>49</v>
      </c>
      <c r="BU33">
        <v>23226</v>
      </c>
      <c r="BV33">
        <v>39</v>
      </c>
      <c r="BW33">
        <v>18486</v>
      </c>
      <c r="BX33">
        <v>34</v>
      </c>
      <c r="BY33">
        <v>16116</v>
      </c>
      <c r="BZ33">
        <v>51</v>
      </c>
      <c r="CA33">
        <v>24174</v>
      </c>
      <c r="CB33">
        <v>38</v>
      </c>
      <c r="CC33">
        <v>18012</v>
      </c>
      <c r="CD33">
        <v>56</v>
      </c>
      <c r="CE33">
        <v>26544</v>
      </c>
      <c r="CF33">
        <v>40</v>
      </c>
      <c r="CG33">
        <v>18960</v>
      </c>
      <c r="CH33">
        <v>42</v>
      </c>
      <c r="CI33">
        <v>19908</v>
      </c>
      <c r="CJ33">
        <v>28</v>
      </c>
      <c r="CK33">
        <v>13272</v>
      </c>
      <c r="CL33">
        <v>37</v>
      </c>
      <c r="CM33">
        <v>17538</v>
      </c>
      <c r="CN33">
        <v>46</v>
      </c>
      <c r="CO33">
        <v>21804</v>
      </c>
      <c r="CP33">
        <v>38</v>
      </c>
      <c r="CQ33">
        <v>18012</v>
      </c>
      <c r="CR33">
        <v>35</v>
      </c>
      <c r="CS33">
        <v>16590</v>
      </c>
      <c r="CT33">
        <v>37</v>
      </c>
      <c r="CU33">
        <v>17538</v>
      </c>
    </row>
    <row r="34" spans="2:99" x14ac:dyDescent="0.2">
      <c r="C34" s="119" t="s">
        <v>200</v>
      </c>
      <c r="D34">
        <v>48</v>
      </c>
      <c r="E34">
        <v>26323.199999999997</v>
      </c>
      <c r="F34">
        <v>31</v>
      </c>
      <c r="G34">
        <v>17000.399999999998</v>
      </c>
      <c r="H34">
        <v>43.011338176393892</v>
      </c>
      <c r="I34">
        <v>23587.417855934411</v>
      </c>
      <c r="J34">
        <v>49</v>
      </c>
      <c r="K34">
        <v>26871.599999999999</v>
      </c>
      <c r="L34">
        <v>27</v>
      </c>
      <c r="M34">
        <v>14806.8</v>
      </c>
      <c r="N34">
        <v>43</v>
      </c>
      <c r="O34">
        <v>23581.200000000001</v>
      </c>
      <c r="P34">
        <v>43</v>
      </c>
      <c r="Q34">
        <v>23581.200000000001</v>
      </c>
      <c r="R34">
        <v>34</v>
      </c>
      <c r="S34">
        <v>18645.599999999999</v>
      </c>
      <c r="T34">
        <v>53</v>
      </c>
      <c r="U34">
        <v>29065.199999999997</v>
      </c>
      <c r="V34">
        <v>40</v>
      </c>
      <c r="W34">
        <v>21936</v>
      </c>
      <c r="X34">
        <v>39</v>
      </c>
      <c r="Y34">
        <v>21387.599999999999</v>
      </c>
      <c r="Z34">
        <v>49</v>
      </c>
      <c r="AA34">
        <v>26871.599999999999</v>
      </c>
      <c r="AB34">
        <v>53</v>
      </c>
      <c r="AC34">
        <v>29065.199999999997</v>
      </c>
      <c r="AD34">
        <v>33</v>
      </c>
      <c r="AE34">
        <v>18097.2</v>
      </c>
      <c r="AF34">
        <v>28</v>
      </c>
      <c r="AG34">
        <v>15355.199999999999</v>
      </c>
      <c r="AH34">
        <v>28</v>
      </c>
      <c r="AI34">
        <v>15355.199999999999</v>
      </c>
      <c r="AJ34">
        <v>41</v>
      </c>
      <c r="AK34">
        <v>22484.399999999998</v>
      </c>
      <c r="AL34">
        <v>40</v>
      </c>
      <c r="AM34">
        <v>21936</v>
      </c>
      <c r="AN34">
        <v>30</v>
      </c>
      <c r="AO34">
        <v>16452</v>
      </c>
      <c r="AP34">
        <v>37</v>
      </c>
      <c r="AQ34">
        <v>20290.8</v>
      </c>
      <c r="AR34">
        <v>40</v>
      </c>
      <c r="AS34">
        <v>21936</v>
      </c>
      <c r="AT34">
        <v>50</v>
      </c>
      <c r="AU34">
        <v>27420</v>
      </c>
      <c r="AV34">
        <v>26</v>
      </c>
      <c r="AW34">
        <v>14258.4</v>
      </c>
      <c r="AX34">
        <v>36</v>
      </c>
      <c r="AY34">
        <v>19742.399999999998</v>
      </c>
      <c r="AZ34">
        <v>30</v>
      </c>
      <c r="BA34">
        <v>16452</v>
      </c>
      <c r="BB34">
        <v>39</v>
      </c>
      <c r="BC34">
        <v>21387.599999999999</v>
      </c>
      <c r="BD34">
        <v>56</v>
      </c>
      <c r="BE34">
        <v>30710.399999999998</v>
      </c>
      <c r="BF34">
        <v>51</v>
      </c>
      <c r="BG34">
        <v>27968.399999999998</v>
      </c>
      <c r="BH34">
        <v>30</v>
      </c>
      <c r="BI34">
        <v>16452</v>
      </c>
      <c r="BJ34">
        <v>55</v>
      </c>
      <c r="BK34">
        <v>30162</v>
      </c>
      <c r="BL34">
        <v>56</v>
      </c>
      <c r="BM34">
        <v>30710.399999999998</v>
      </c>
      <c r="BN34">
        <v>35</v>
      </c>
      <c r="BO34">
        <v>19194</v>
      </c>
      <c r="BP34">
        <v>51</v>
      </c>
      <c r="BQ34">
        <v>27968.399999999998</v>
      </c>
      <c r="BR34">
        <v>36</v>
      </c>
      <c r="BS34">
        <v>19742.399999999998</v>
      </c>
      <c r="BT34">
        <v>46</v>
      </c>
      <c r="BU34">
        <v>25226.399999999998</v>
      </c>
      <c r="BV34">
        <v>39</v>
      </c>
      <c r="BW34">
        <v>21387.599999999999</v>
      </c>
      <c r="BX34">
        <v>30</v>
      </c>
      <c r="BY34">
        <v>16452</v>
      </c>
      <c r="BZ34">
        <v>43</v>
      </c>
      <c r="CA34">
        <v>23581.200000000001</v>
      </c>
      <c r="CB34">
        <v>34</v>
      </c>
      <c r="CC34">
        <v>18645.599999999999</v>
      </c>
      <c r="CD34">
        <v>52</v>
      </c>
      <c r="CE34">
        <v>28516.799999999999</v>
      </c>
      <c r="CF34">
        <v>43</v>
      </c>
      <c r="CG34">
        <v>23581.200000000001</v>
      </c>
      <c r="CH34">
        <v>37</v>
      </c>
      <c r="CI34">
        <v>20290.8</v>
      </c>
      <c r="CJ34">
        <v>31</v>
      </c>
      <c r="CK34">
        <v>17000.399999999998</v>
      </c>
      <c r="CL34">
        <v>33</v>
      </c>
      <c r="CM34">
        <v>18097.2</v>
      </c>
      <c r="CN34">
        <v>48</v>
      </c>
      <c r="CO34">
        <v>26323.199999999997</v>
      </c>
      <c r="CP34">
        <v>38</v>
      </c>
      <c r="CQ34">
        <v>20839.2</v>
      </c>
      <c r="CR34">
        <v>31</v>
      </c>
      <c r="CS34">
        <v>17000.399999999998</v>
      </c>
      <c r="CT34">
        <v>34</v>
      </c>
      <c r="CU34">
        <v>18645.599999999999</v>
      </c>
    </row>
    <row r="35" spans="2:99" x14ac:dyDescent="0.2">
      <c r="C35" s="119" t="s">
        <v>201</v>
      </c>
      <c r="D35">
        <v>51</v>
      </c>
      <c r="E35">
        <v>25642.799999999996</v>
      </c>
      <c r="F35">
        <v>32</v>
      </c>
      <c r="G35">
        <v>16089.599999999997</v>
      </c>
      <c r="H35">
        <v>46.149247927720332</v>
      </c>
      <c r="I35">
        <v>23203.841858057778</v>
      </c>
      <c r="J35">
        <v>44.37472961746564</v>
      </c>
      <c r="K35">
        <v>22311.61405166172</v>
      </c>
      <c r="L35">
        <v>25</v>
      </c>
      <c r="M35">
        <v>12569.999999999998</v>
      </c>
      <c r="N35">
        <v>47</v>
      </c>
      <c r="O35">
        <v>23631.599999999995</v>
      </c>
      <c r="P35">
        <v>42</v>
      </c>
      <c r="Q35">
        <v>21117.599999999995</v>
      </c>
      <c r="R35">
        <v>32</v>
      </c>
      <c r="S35">
        <v>16089.599999999997</v>
      </c>
      <c r="T35">
        <v>46</v>
      </c>
      <c r="U35">
        <v>23128.799999999996</v>
      </c>
      <c r="V35">
        <v>43</v>
      </c>
      <c r="W35">
        <v>21620.399999999994</v>
      </c>
      <c r="X35">
        <v>34</v>
      </c>
      <c r="Y35">
        <v>17095.199999999997</v>
      </c>
      <c r="Z35">
        <v>41</v>
      </c>
      <c r="AA35">
        <v>20614.799999999996</v>
      </c>
      <c r="AB35">
        <v>47</v>
      </c>
      <c r="AC35">
        <v>23631.599999999995</v>
      </c>
      <c r="AD35">
        <v>34</v>
      </c>
      <c r="AE35">
        <v>17095.199999999997</v>
      </c>
      <c r="AF35">
        <v>34</v>
      </c>
      <c r="AG35">
        <v>17095.199999999997</v>
      </c>
      <c r="AH35">
        <v>30</v>
      </c>
      <c r="AI35">
        <v>15083.999999999996</v>
      </c>
      <c r="AJ35">
        <v>39</v>
      </c>
      <c r="AK35">
        <v>19609.199999999997</v>
      </c>
      <c r="AL35">
        <v>35</v>
      </c>
      <c r="AM35">
        <v>17597.999999999996</v>
      </c>
      <c r="AN35">
        <v>32</v>
      </c>
      <c r="AO35">
        <v>16089.599999999997</v>
      </c>
      <c r="AP35">
        <v>40</v>
      </c>
      <c r="AQ35">
        <v>20111.999999999996</v>
      </c>
      <c r="AR35">
        <v>46</v>
      </c>
      <c r="AS35">
        <v>23128.799999999996</v>
      </c>
      <c r="AT35">
        <v>43</v>
      </c>
      <c r="AU35">
        <v>21620.399999999994</v>
      </c>
      <c r="AV35">
        <v>28</v>
      </c>
      <c r="AW35">
        <v>14078.399999999998</v>
      </c>
      <c r="AX35">
        <v>38</v>
      </c>
      <c r="AY35">
        <v>19106.399999999998</v>
      </c>
      <c r="AZ35">
        <v>30</v>
      </c>
      <c r="BA35">
        <v>15083.999999999996</v>
      </c>
      <c r="BB35">
        <v>38</v>
      </c>
      <c r="BC35">
        <v>19106.399999999998</v>
      </c>
      <c r="BD35">
        <v>59</v>
      </c>
      <c r="BE35">
        <v>29665.199999999993</v>
      </c>
      <c r="BF35">
        <v>44</v>
      </c>
      <c r="BG35">
        <v>22123.199999999997</v>
      </c>
      <c r="BH35">
        <v>31</v>
      </c>
      <c r="BI35">
        <v>15586.799999999997</v>
      </c>
      <c r="BJ35">
        <v>55</v>
      </c>
      <c r="BK35">
        <v>27653.999999999993</v>
      </c>
      <c r="BL35">
        <v>63</v>
      </c>
      <c r="BM35">
        <v>31676.399999999994</v>
      </c>
      <c r="BN35">
        <v>31</v>
      </c>
      <c r="BO35">
        <v>15586.799999999997</v>
      </c>
      <c r="BP35">
        <v>54</v>
      </c>
      <c r="BQ35">
        <v>27151.199999999993</v>
      </c>
      <c r="BR35">
        <v>32</v>
      </c>
      <c r="BS35">
        <v>16089.599999999997</v>
      </c>
      <c r="BT35">
        <v>46</v>
      </c>
      <c r="BU35">
        <v>23128.799999999996</v>
      </c>
      <c r="BV35">
        <v>43</v>
      </c>
      <c r="BW35">
        <v>21620.399999999994</v>
      </c>
      <c r="BX35">
        <v>31</v>
      </c>
      <c r="BY35">
        <v>15586.799999999997</v>
      </c>
      <c r="BZ35">
        <v>49</v>
      </c>
      <c r="CA35">
        <v>24637.199999999993</v>
      </c>
      <c r="CB35">
        <v>35</v>
      </c>
      <c r="CC35">
        <v>17597.999999999996</v>
      </c>
      <c r="CD35">
        <v>56</v>
      </c>
      <c r="CE35">
        <v>28156.799999999996</v>
      </c>
      <c r="CF35">
        <v>45</v>
      </c>
      <c r="CG35">
        <v>22625.999999999996</v>
      </c>
      <c r="CH35">
        <v>40</v>
      </c>
      <c r="CI35">
        <v>20111.999999999996</v>
      </c>
      <c r="CJ35">
        <v>28</v>
      </c>
      <c r="CK35">
        <v>14078.399999999998</v>
      </c>
      <c r="CL35">
        <v>31</v>
      </c>
      <c r="CM35">
        <v>15586.799999999997</v>
      </c>
      <c r="CN35">
        <v>45</v>
      </c>
      <c r="CO35">
        <v>22625.999999999996</v>
      </c>
      <c r="CP35">
        <v>36</v>
      </c>
      <c r="CQ35">
        <v>18100.799999999996</v>
      </c>
      <c r="CR35">
        <v>33</v>
      </c>
      <c r="CS35">
        <v>16592.399999999998</v>
      </c>
      <c r="CT35">
        <v>37</v>
      </c>
      <c r="CU35">
        <v>18603.599999999995</v>
      </c>
    </row>
    <row r="36" spans="2:99" x14ac:dyDescent="0.2">
      <c r="C36" s="119" t="s">
        <v>202</v>
      </c>
      <c r="D36">
        <v>43</v>
      </c>
      <c r="E36">
        <v>32714.399999999998</v>
      </c>
      <c r="F36">
        <v>32</v>
      </c>
      <c r="G36">
        <v>24345.599999999999</v>
      </c>
      <c r="H36">
        <v>40.149247927720332</v>
      </c>
      <c r="I36">
        <v>30545.547823409626</v>
      </c>
      <c r="J36">
        <v>43.37472961746564</v>
      </c>
      <c r="K36">
        <v>32999.494292967858</v>
      </c>
      <c r="L36">
        <v>27</v>
      </c>
      <c r="M36">
        <v>20541.599999999999</v>
      </c>
      <c r="N36">
        <v>44</v>
      </c>
      <c r="O36">
        <v>33475.199999999997</v>
      </c>
      <c r="P36">
        <v>42</v>
      </c>
      <c r="Q36">
        <v>31953.599999999999</v>
      </c>
      <c r="R36">
        <v>31</v>
      </c>
      <c r="S36">
        <v>23584.799999999999</v>
      </c>
      <c r="T36">
        <v>44</v>
      </c>
      <c r="U36">
        <v>33475.199999999997</v>
      </c>
      <c r="V36">
        <v>38</v>
      </c>
      <c r="W36">
        <v>28910.399999999998</v>
      </c>
      <c r="X36">
        <v>36</v>
      </c>
      <c r="Y36">
        <v>27388.799999999999</v>
      </c>
      <c r="Z36">
        <v>44</v>
      </c>
      <c r="AA36">
        <v>33475.199999999997</v>
      </c>
      <c r="AB36">
        <v>52</v>
      </c>
      <c r="AC36">
        <v>39561.599999999999</v>
      </c>
      <c r="AD36">
        <v>31</v>
      </c>
      <c r="AE36">
        <v>23584.799999999999</v>
      </c>
      <c r="AF36">
        <v>31</v>
      </c>
      <c r="AG36">
        <v>23584.799999999999</v>
      </c>
      <c r="AH36">
        <v>29</v>
      </c>
      <c r="AI36">
        <v>22063.199999999997</v>
      </c>
      <c r="AJ36">
        <v>41</v>
      </c>
      <c r="AK36">
        <v>31192.799999999999</v>
      </c>
      <c r="AL36">
        <v>35</v>
      </c>
      <c r="AM36">
        <v>26628</v>
      </c>
      <c r="AN36">
        <v>30</v>
      </c>
      <c r="AO36">
        <v>22824</v>
      </c>
      <c r="AP36">
        <v>36</v>
      </c>
      <c r="AQ36">
        <v>27388.799999999999</v>
      </c>
      <c r="AR36">
        <v>43</v>
      </c>
      <c r="AS36">
        <v>32714.399999999998</v>
      </c>
      <c r="AT36">
        <v>44</v>
      </c>
      <c r="AU36">
        <v>33475.199999999997</v>
      </c>
      <c r="AV36">
        <v>26</v>
      </c>
      <c r="AW36">
        <v>19780.8</v>
      </c>
      <c r="AX36">
        <v>40</v>
      </c>
      <c r="AY36">
        <v>30432</v>
      </c>
      <c r="AZ36">
        <v>31</v>
      </c>
      <c r="BA36">
        <v>23584.799999999999</v>
      </c>
      <c r="BB36">
        <v>43</v>
      </c>
      <c r="BC36">
        <v>32714.399999999998</v>
      </c>
      <c r="BD36">
        <v>52</v>
      </c>
      <c r="BE36">
        <v>39561.599999999999</v>
      </c>
      <c r="BF36">
        <v>49</v>
      </c>
      <c r="BG36">
        <v>37279.199999999997</v>
      </c>
      <c r="BH36">
        <v>30</v>
      </c>
      <c r="BI36">
        <v>22824</v>
      </c>
      <c r="BJ36">
        <v>45</v>
      </c>
      <c r="BK36">
        <v>34236</v>
      </c>
      <c r="BL36">
        <v>53</v>
      </c>
      <c r="BM36">
        <v>40322.399999999994</v>
      </c>
      <c r="BN36">
        <v>31</v>
      </c>
      <c r="BO36">
        <v>23584.799999999999</v>
      </c>
      <c r="BP36">
        <v>58</v>
      </c>
      <c r="BQ36">
        <v>44126.399999999994</v>
      </c>
      <c r="BR36">
        <v>37</v>
      </c>
      <c r="BS36">
        <v>28149.599999999999</v>
      </c>
      <c r="BT36">
        <v>46</v>
      </c>
      <c r="BU36">
        <v>34996.799999999996</v>
      </c>
      <c r="BV36">
        <v>44</v>
      </c>
      <c r="BW36">
        <v>33475.199999999997</v>
      </c>
      <c r="BX36">
        <v>34</v>
      </c>
      <c r="BY36">
        <v>25867.199999999997</v>
      </c>
      <c r="BZ36">
        <v>42</v>
      </c>
      <c r="CA36">
        <v>31953.599999999999</v>
      </c>
      <c r="CB36">
        <v>39</v>
      </c>
      <c r="CC36">
        <v>29671.199999999997</v>
      </c>
      <c r="CD36">
        <v>52</v>
      </c>
      <c r="CE36">
        <v>39561.599999999999</v>
      </c>
      <c r="CF36">
        <v>38</v>
      </c>
      <c r="CG36">
        <v>28910.399999999998</v>
      </c>
      <c r="CH36">
        <v>38</v>
      </c>
      <c r="CI36">
        <v>28910.399999999998</v>
      </c>
      <c r="CJ36">
        <v>27</v>
      </c>
      <c r="CK36">
        <v>20541.599999999999</v>
      </c>
      <c r="CL36">
        <v>32</v>
      </c>
      <c r="CM36">
        <v>24345.599999999999</v>
      </c>
      <c r="CN36">
        <v>42</v>
      </c>
      <c r="CO36">
        <v>31953.599999999999</v>
      </c>
      <c r="CP36">
        <v>39</v>
      </c>
      <c r="CQ36">
        <v>29671.199999999997</v>
      </c>
      <c r="CR36">
        <v>30</v>
      </c>
      <c r="CS36">
        <v>22824</v>
      </c>
      <c r="CT36">
        <v>32</v>
      </c>
      <c r="CU36">
        <v>24345.599999999999</v>
      </c>
    </row>
    <row r="37" spans="2:99" x14ac:dyDescent="0.2">
      <c r="B37" s="119" t="s">
        <v>128</v>
      </c>
      <c r="C37" s="119" t="s">
        <v>203</v>
      </c>
      <c r="D37">
        <v>18.39665199021654</v>
      </c>
      <c r="E37">
        <v>15828.479372382311</v>
      </c>
      <c r="F37">
        <v>27</v>
      </c>
      <c r="G37">
        <v>23230.799999999999</v>
      </c>
      <c r="H37">
        <v>21.287157679046771</v>
      </c>
      <c r="I37">
        <v>18315.47046705184</v>
      </c>
      <c r="J37">
        <v>14.080144699437289</v>
      </c>
      <c r="K37">
        <v>12114.556499395843</v>
      </c>
      <c r="L37">
        <v>18</v>
      </c>
      <c r="M37">
        <v>15487.199999999999</v>
      </c>
      <c r="N37">
        <v>18</v>
      </c>
      <c r="O37">
        <v>15487.199999999999</v>
      </c>
      <c r="P37">
        <v>22</v>
      </c>
      <c r="Q37">
        <v>18928.8</v>
      </c>
      <c r="R37">
        <v>24</v>
      </c>
      <c r="S37">
        <v>20649.599999999999</v>
      </c>
      <c r="T37">
        <v>19</v>
      </c>
      <c r="U37">
        <v>16347.6</v>
      </c>
      <c r="V37">
        <v>13</v>
      </c>
      <c r="W37">
        <v>11185.199999999999</v>
      </c>
      <c r="X37">
        <v>23</v>
      </c>
      <c r="Y37">
        <v>19789.2</v>
      </c>
      <c r="Z37">
        <v>15</v>
      </c>
      <c r="AA37">
        <v>12906</v>
      </c>
      <c r="AB37">
        <v>24</v>
      </c>
      <c r="AC37">
        <v>20649.599999999999</v>
      </c>
      <c r="AD37">
        <v>21</v>
      </c>
      <c r="AE37">
        <v>18068.399999999998</v>
      </c>
      <c r="AF37">
        <v>19</v>
      </c>
      <c r="AG37">
        <v>16347.6</v>
      </c>
      <c r="AH37">
        <v>13</v>
      </c>
      <c r="AI37">
        <v>11185.199999999999</v>
      </c>
      <c r="AJ37">
        <v>26</v>
      </c>
      <c r="AK37">
        <v>22370.399999999998</v>
      </c>
      <c r="AL37">
        <v>16</v>
      </c>
      <c r="AM37">
        <v>13766.4</v>
      </c>
      <c r="AN37">
        <v>17</v>
      </c>
      <c r="AO37">
        <v>14626.8</v>
      </c>
      <c r="AP37">
        <v>24</v>
      </c>
      <c r="AQ37">
        <v>20649.599999999999</v>
      </c>
      <c r="AR37">
        <v>22</v>
      </c>
      <c r="AS37">
        <v>18928.8</v>
      </c>
      <c r="AT37">
        <v>14</v>
      </c>
      <c r="AU37">
        <v>12045.6</v>
      </c>
      <c r="AV37">
        <v>19</v>
      </c>
      <c r="AW37">
        <v>16347.6</v>
      </c>
      <c r="AX37">
        <v>26</v>
      </c>
      <c r="AY37">
        <v>22370.399999999998</v>
      </c>
      <c r="AZ37">
        <v>20</v>
      </c>
      <c r="BA37">
        <v>17208</v>
      </c>
      <c r="BB37">
        <v>15</v>
      </c>
      <c r="BC37">
        <v>12906</v>
      </c>
      <c r="BD37">
        <v>12</v>
      </c>
      <c r="BE37">
        <v>10324.799999999999</v>
      </c>
      <c r="BF37">
        <v>16</v>
      </c>
      <c r="BG37">
        <v>13766.4</v>
      </c>
      <c r="BH37">
        <v>17</v>
      </c>
      <c r="BI37">
        <v>14626.8</v>
      </c>
      <c r="BJ37">
        <v>22</v>
      </c>
      <c r="BK37">
        <v>18928.8</v>
      </c>
      <c r="BL37">
        <v>24</v>
      </c>
      <c r="BM37">
        <v>20649.599999999999</v>
      </c>
      <c r="BN37">
        <v>19</v>
      </c>
      <c r="BO37">
        <v>16347.6</v>
      </c>
      <c r="BP37">
        <v>23</v>
      </c>
      <c r="BQ37">
        <v>19789.2</v>
      </c>
      <c r="BR37">
        <v>16</v>
      </c>
      <c r="BS37">
        <v>13766.4</v>
      </c>
      <c r="BT37">
        <v>14</v>
      </c>
      <c r="BU37">
        <v>12045.6</v>
      </c>
      <c r="BV37">
        <v>15</v>
      </c>
      <c r="BW37">
        <v>12906</v>
      </c>
      <c r="BX37">
        <v>22</v>
      </c>
      <c r="BY37">
        <v>18928.8</v>
      </c>
      <c r="BZ37">
        <v>15</v>
      </c>
      <c r="CA37">
        <v>12906</v>
      </c>
      <c r="CB37">
        <v>18</v>
      </c>
      <c r="CC37">
        <v>15487.199999999999</v>
      </c>
      <c r="CD37">
        <v>21</v>
      </c>
      <c r="CE37">
        <v>18068.399999999998</v>
      </c>
      <c r="CF37">
        <v>18</v>
      </c>
      <c r="CG37">
        <v>15487.199999999999</v>
      </c>
      <c r="CH37">
        <v>26</v>
      </c>
      <c r="CI37">
        <v>22370.399999999998</v>
      </c>
      <c r="CJ37">
        <v>20</v>
      </c>
      <c r="CK37">
        <v>17208</v>
      </c>
      <c r="CL37">
        <v>17</v>
      </c>
      <c r="CM37">
        <v>14626.8</v>
      </c>
      <c r="CN37">
        <v>16</v>
      </c>
      <c r="CO37">
        <v>13766.4</v>
      </c>
      <c r="CP37">
        <v>13</v>
      </c>
      <c r="CQ37">
        <v>11185.199999999999</v>
      </c>
      <c r="CR37">
        <v>21</v>
      </c>
      <c r="CS37">
        <v>18068.399999999998</v>
      </c>
      <c r="CT37">
        <v>23</v>
      </c>
      <c r="CU37">
        <v>19789.2</v>
      </c>
    </row>
    <row r="38" spans="2:99" x14ac:dyDescent="0.2">
      <c r="C38" s="119" t="s">
        <v>204</v>
      </c>
      <c r="D38">
        <v>16.296891133772501</v>
      </c>
      <c r="E38">
        <v>20240.738788145445</v>
      </c>
      <c r="F38">
        <v>24</v>
      </c>
      <c r="G38">
        <v>29808</v>
      </c>
      <c r="H38">
        <v>23.379097513264398</v>
      </c>
      <c r="I38">
        <v>29036.839111474383</v>
      </c>
      <c r="J38">
        <v>13</v>
      </c>
      <c r="K38">
        <v>16146</v>
      </c>
      <c r="L38">
        <v>17</v>
      </c>
      <c r="M38">
        <v>21114</v>
      </c>
      <c r="N38">
        <v>15</v>
      </c>
      <c r="O38">
        <v>18630</v>
      </c>
      <c r="P38">
        <v>23</v>
      </c>
      <c r="Q38">
        <v>28566</v>
      </c>
      <c r="R38">
        <v>22</v>
      </c>
      <c r="S38">
        <v>27324</v>
      </c>
      <c r="T38">
        <v>17</v>
      </c>
      <c r="U38">
        <v>21114</v>
      </c>
      <c r="V38">
        <v>12</v>
      </c>
      <c r="W38">
        <v>14904</v>
      </c>
      <c r="X38">
        <v>21</v>
      </c>
      <c r="Y38">
        <v>26082</v>
      </c>
      <c r="Z38">
        <v>15</v>
      </c>
      <c r="AA38">
        <v>18630</v>
      </c>
      <c r="AB38">
        <v>24</v>
      </c>
      <c r="AC38">
        <v>29808</v>
      </c>
      <c r="AD38">
        <v>23</v>
      </c>
      <c r="AE38">
        <v>28566</v>
      </c>
      <c r="AF38">
        <v>19</v>
      </c>
      <c r="AG38">
        <v>23598</v>
      </c>
      <c r="AH38">
        <v>13</v>
      </c>
      <c r="AI38">
        <v>16146</v>
      </c>
      <c r="AJ38">
        <v>25</v>
      </c>
      <c r="AK38">
        <v>31050</v>
      </c>
      <c r="AL38">
        <v>16</v>
      </c>
      <c r="AM38">
        <v>19872</v>
      </c>
      <c r="AN38">
        <v>16</v>
      </c>
      <c r="AO38">
        <v>19872</v>
      </c>
      <c r="AP38">
        <v>25</v>
      </c>
      <c r="AQ38">
        <v>31050</v>
      </c>
      <c r="AR38">
        <v>20</v>
      </c>
      <c r="AS38">
        <v>24840</v>
      </c>
      <c r="AT38">
        <v>13</v>
      </c>
      <c r="AU38">
        <v>16146</v>
      </c>
      <c r="AV38">
        <v>20</v>
      </c>
      <c r="AW38">
        <v>24840</v>
      </c>
      <c r="AX38">
        <v>23</v>
      </c>
      <c r="AY38">
        <v>28566</v>
      </c>
      <c r="AZ38">
        <v>19</v>
      </c>
      <c r="BA38">
        <v>23598</v>
      </c>
      <c r="BB38">
        <v>16</v>
      </c>
      <c r="BC38">
        <v>19872</v>
      </c>
      <c r="BD38">
        <v>12</v>
      </c>
      <c r="BE38">
        <v>14904</v>
      </c>
      <c r="BF38">
        <v>16</v>
      </c>
      <c r="BG38">
        <v>19872</v>
      </c>
      <c r="BH38">
        <v>16</v>
      </c>
      <c r="BI38">
        <v>19872</v>
      </c>
      <c r="BJ38">
        <v>22</v>
      </c>
      <c r="BK38">
        <v>27324</v>
      </c>
      <c r="BL38">
        <v>25</v>
      </c>
      <c r="BM38">
        <v>31050</v>
      </c>
      <c r="BN38">
        <v>17</v>
      </c>
      <c r="BO38">
        <v>21114</v>
      </c>
      <c r="BP38">
        <v>24</v>
      </c>
      <c r="BQ38">
        <v>29808</v>
      </c>
      <c r="BR38">
        <v>14</v>
      </c>
      <c r="BS38">
        <v>17388</v>
      </c>
      <c r="BT38">
        <v>14</v>
      </c>
      <c r="BU38">
        <v>17388</v>
      </c>
      <c r="BV38">
        <v>14</v>
      </c>
      <c r="BW38">
        <v>17388</v>
      </c>
      <c r="BX38">
        <v>20</v>
      </c>
      <c r="BY38">
        <v>24840</v>
      </c>
      <c r="BZ38">
        <v>13</v>
      </c>
      <c r="CA38">
        <v>16146</v>
      </c>
      <c r="CB38">
        <v>17</v>
      </c>
      <c r="CC38">
        <v>21114</v>
      </c>
      <c r="CD38">
        <v>20</v>
      </c>
      <c r="CE38">
        <v>24840</v>
      </c>
      <c r="CF38">
        <v>19</v>
      </c>
      <c r="CG38">
        <v>23598</v>
      </c>
      <c r="CH38">
        <v>27</v>
      </c>
      <c r="CI38">
        <v>33534</v>
      </c>
      <c r="CJ38">
        <v>20</v>
      </c>
      <c r="CK38">
        <v>24840</v>
      </c>
      <c r="CL38">
        <v>16</v>
      </c>
      <c r="CM38">
        <v>19872</v>
      </c>
      <c r="CN38">
        <v>16</v>
      </c>
      <c r="CO38">
        <v>19872</v>
      </c>
      <c r="CP38">
        <v>12</v>
      </c>
      <c r="CQ38">
        <v>14904</v>
      </c>
      <c r="CR38">
        <v>18</v>
      </c>
      <c r="CS38">
        <v>22356</v>
      </c>
      <c r="CT38">
        <v>23</v>
      </c>
      <c r="CU38">
        <v>28566</v>
      </c>
    </row>
    <row r="39" spans="2:99" x14ac:dyDescent="0.2">
      <c r="C39" s="119" t="s">
        <v>205</v>
      </c>
      <c r="D39">
        <v>16.147249849106444</v>
      </c>
      <c r="E39">
        <v>22980.765985248294</v>
      </c>
      <c r="F39">
        <v>21</v>
      </c>
      <c r="G39">
        <v>29887.200000000001</v>
      </c>
      <c r="H39">
        <v>20.195217844829145</v>
      </c>
      <c r="I39">
        <v>28741.83403676084</v>
      </c>
      <c r="J39">
        <v>13</v>
      </c>
      <c r="K39">
        <v>18501.600000000002</v>
      </c>
      <c r="L39">
        <v>19</v>
      </c>
      <c r="M39">
        <v>27040.799999999999</v>
      </c>
      <c r="N39">
        <v>15</v>
      </c>
      <c r="O39">
        <v>21348</v>
      </c>
      <c r="P39">
        <v>23</v>
      </c>
      <c r="Q39">
        <v>32733.600000000002</v>
      </c>
      <c r="R39">
        <v>20</v>
      </c>
      <c r="S39">
        <v>28464</v>
      </c>
      <c r="T39">
        <v>19</v>
      </c>
      <c r="U39">
        <v>27040.799999999999</v>
      </c>
      <c r="V39">
        <v>11</v>
      </c>
      <c r="W39">
        <v>15655.2</v>
      </c>
      <c r="X39">
        <v>19</v>
      </c>
      <c r="Y39">
        <v>27040.799999999999</v>
      </c>
      <c r="Z39">
        <v>15</v>
      </c>
      <c r="AA39">
        <v>21348</v>
      </c>
      <c r="AB39">
        <v>20</v>
      </c>
      <c r="AC39">
        <v>28464</v>
      </c>
      <c r="AD39">
        <v>22</v>
      </c>
      <c r="AE39">
        <v>31310.400000000001</v>
      </c>
      <c r="AF39">
        <v>18</v>
      </c>
      <c r="AG39">
        <v>25617.600000000002</v>
      </c>
      <c r="AH39">
        <v>12</v>
      </c>
      <c r="AI39">
        <v>17078.400000000001</v>
      </c>
      <c r="AJ39">
        <v>26</v>
      </c>
      <c r="AK39">
        <v>37003.200000000004</v>
      </c>
      <c r="AL39">
        <v>16</v>
      </c>
      <c r="AM39">
        <v>22771.200000000001</v>
      </c>
      <c r="AN39">
        <v>16</v>
      </c>
      <c r="AO39">
        <v>22771.200000000001</v>
      </c>
      <c r="AP39">
        <v>24</v>
      </c>
      <c r="AQ39">
        <v>34156.800000000003</v>
      </c>
      <c r="AR39">
        <v>20</v>
      </c>
      <c r="AS39">
        <v>28464</v>
      </c>
      <c r="AT39">
        <v>14</v>
      </c>
      <c r="AU39">
        <v>19924.8</v>
      </c>
      <c r="AV39">
        <v>18</v>
      </c>
      <c r="AW39">
        <v>25617.600000000002</v>
      </c>
      <c r="AX39">
        <v>22</v>
      </c>
      <c r="AY39">
        <v>31310.400000000001</v>
      </c>
      <c r="AZ39">
        <v>20</v>
      </c>
      <c r="BA39">
        <v>28464</v>
      </c>
      <c r="BB39">
        <v>16</v>
      </c>
      <c r="BC39">
        <v>22771.200000000001</v>
      </c>
      <c r="BD39">
        <v>13</v>
      </c>
      <c r="BE39">
        <v>18501.600000000002</v>
      </c>
      <c r="BF39">
        <v>16</v>
      </c>
      <c r="BG39">
        <v>22771.200000000001</v>
      </c>
      <c r="BH39">
        <v>14</v>
      </c>
      <c r="BI39">
        <v>19924.8</v>
      </c>
      <c r="BJ39">
        <v>21</v>
      </c>
      <c r="BK39">
        <v>29887.200000000001</v>
      </c>
      <c r="BL39">
        <v>25</v>
      </c>
      <c r="BM39">
        <v>35580</v>
      </c>
      <c r="BN39">
        <v>18</v>
      </c>
      <c r="BO39">
        <v>25617.600000000002</v>
      </c>
      <c r="BP39">
        <v>22</v>
      </c>
      <c r="BQ39">
        <v>31310.400000000001</v>
      </c>
      <c r="BR39">
        <v>14</v>
      </c>
      <c r="BS39">
        <v>19924.8</v>
      </c>
      <c r="BT39">
        <v>15</v>
      </c>
      <c r="BU39">
        <v>21348</v>
      </c>
      <c r="BV39">
        <v>14</v>
      </c>
      <c r="BW39">
        <v>19924.8</v>
      </c>
      <c r="BX39">
        <v>17</v>
      </c>
      <c r="BY39">
        <v>24194.400000000001</v>
      </c>
      <c r="BZ39">
        <v>12</v>
      </c>
      <c r="CA39">
        <v>17078.400000000001</v>
      </c>
      <c r="CB39">
        <v>16</v>
      </c>
      <c r="CC39">
        <v>22771.200000000001</v>
      </c>
      <c r="CD39">
        <v>20</v>
      </c>
      <c r="CE39">
        <v>28464</v>
      </c>
      <c r="CF39">
        <v>16</v>
      </c>
      <c r="CG39">
        <v>22771.200000000001</v>
      </c>
      <c r="CH39">
        <v>24</v>
      </c>
      <c r="CI39">
        <v>34156.800000000003</v>
      </c>
      <c r="CJ39">
        <v>20</v>
      </c>
      <c r="CK39">
        <v>28464</v>
      </c>
      <c r="CL39">
        <v>16</v>
      </c>
      <c r="CM39">
        <v>22771.200000000001</v>
      </c>
      <c r="CN39">
        <v>15</v>
      </c>
      <c r="CO39">
        <v>21348</v>
      </c>
      <c r="CP39">
        <v>14</v>
      </c>
      <c r="CQ39">
        <v>19924.8</v>
      </c>
      <c r="CR39">
        <v>17</v>
      </c>
      <c r="CS39">
        <v>24194.400000000001</v>
      </c>
      <c r="CT39">
        <v>21</v>
      </c>
      <c r="CU39">
        <v>29887.200000000001</v>
      </c>
    </row>
    <row r="40" spans="2:99" x14ac:dyDescent="0.2">
      <c r="C40" s="119" t="s">
        <v>206</v>
      </c>
      <c r="D40">
        <v>18.346771561994519</v>
      </c>
      <c r="E40">
        <v>13297.740028133627</v>
      </c>
      <c r="F40">
        <v>23</v>
      </c>
      <c r="G40">
        <v>16670.399999999998</v>
      </c>
      <c r="H40">
        <v>22.333127596155585</v>
      </c>
      <c r="I40">
        <v>16187.050881693567</v>
      </c>
      <c r="J40">
        <v>13</v>
      </c>
      <c r="K40">
        <v>9422.4</v>
      </c>
      <c r="L40">
        <v>19</v>
      </c>
      <c r="M40">
        <v>13771.199999999999</v>
      </c>
      <c r="N40">
        <v>18</v>
      </c>
      <c r="O40">
        <v>13046.4</v>
      </c>
      <c r="P40">
        <v>27</v>
      </c>
      <c r="Q40">
        <v>19569.599999999999</v>
      </c>
      <c r="R40">
        <v>23</v>
      </c>
      <c r="S40">
        <v>16670.399999999998</v>
      </c>
      <c r="T40">
        <v>18</v>
      </c>
      <c r="U40">
        <v>13046.4</v>
      </c>
      <c r="V40">
        <v>14</v>
      </c>
      <c r="W40">
        <v>10147.199999999999</v>
      </c>
      <c r="X40">
        <v>20</v>
      </c>
      <c r="Y40">
        <v>14496</v>
      </c>
      <c r="Z40">
        <v>14</v>
      </c>
      <c r="AA40">
        <v>10147.199999999999</v>
      </c>
      <c r="AB40">
        <v>23</v>
      </c>
      <c r="AC40">
        <v>16670.399999999998</v>
      </c>
      <c r="AD40">
        <v>23</v>
      </c>
      <c r="AE40">
        <v>16670.399999999998</v>
      </c>
      <c r="AF40">
        <v>21</v>
      </c>
      <c r="AG40">
        <v>15220.8</v>
      </c>
      <c r="AH40">
        <v>13</v>
      </c>
      <c r="AI40">
        <v>9422.4</v>
      </c>
      <c r="AJ40">
        <v>26</v>
      </c>
      <c r="AK40">
        <v>18844.8</v>
      </c>
      <c r="AL40">
        <v>17</v>
      </c>
      <c r="AM40">
        <v>12321.599999999999</v>
      </c>
      <c r="AN40">
        <v>17</v>
      </c>
      <c r="AO40">
        <v>12321.599999999999</v>
      </c>
      <c r="AP40">
        <v>28</v>
      </c>
      <c r="AQ40">
        <v>20294.399999999998</v>
      </c>
      <c r="AR40">
        <v>22</v>
      </c>
      <c r="AS40">
        <v>15945.599999999999</v>
      </c>
      <c r="AT40">
        <v>14</v>
      </c>
      <c r="AU40">
        <v>10147.199999999999</v>
      </c>
      <c r="AV40">
        <v>20</v>
      </c>
      <c r="AW40">
        <v>14496</v>
      </c>
      <c r="AX40">
        <v>24</v>
      </c>
      <c r="AY40">
        <v>17395.199999999997</v>
      </c>
      <c r="AZ40">
        <v>20</v>
      </c>
      <c r="BA40">
        <v>14496</v>
      </c>
      <c r="BB40">
        <v>17</v>
      </c>
      <c r="BC40">
        <v>12321.599999999999</v>
      </c>
      <c r="BD40">
        <v>13</v>
      </c>
      <c r="BE40">
        <v>9422.4</v>
      </c>
      <c r="BF40">
        <v>19</v>
      </c>
      <c r="BG40">
        <v>13771.199999999999</v>
      </c>
      <c r="BH40">
        <v>15</v>
      </c>
      <c r="BI40">
        <v>10872</v>
      </c>
      <c r="BJ40">
        <v>25</v>
      </c>
      <c r="BK40">
        <v>18120</v>
      </c>
      <c r="BL40">
        <v>24</v>
      </c>
      <c r="BM40">
        <v>17395.199999999997</v>
      </c>
      <c r="BN40">
        <v>18</v>
      </c>
      <c r="BO40">
        <v>13046.4</v>
      </c>
      <c r="BP40">
        <v>28</v>
      </c>
      <c r="BQ40">
        <v>20294.399999999998</v>
      </c>
      <c r="BR40">
        <v>16</v>
      </c>
      <c r="BS40">
        <v>11596.8</v>
      </c>
      <c r="BT40">
        <v>15</v>
      </c>
      <c r="BU40">
        <v>10872</v>
      </c>
      <c r="BV40">
        <v>15</v>
      </c>
      <c r="BW40">
        <v>10872</v>
      </c>
      <c r="BX40">
        <v>22</v>
      </c>
      <c r="BY40">
        <v>15945.599999999999</v>
      </c>
      <c r="BZ40">
        <v>12</v>
      </c>
      <c r="CA40">
        <v>8697.5999999999985</v>
      </c>
      <c r="CB40">
        <v>16</v>
      </c>
      <c r="CC40">
        <v>11596.8</v>
      </c>
      <c r="CD40">
        <v>19</v>
      </c>
      <c r="CE40">
        <v>13771.199999999999</v>
      </c>
      <c r="CF40">
        <v>19</v>
      </c>
      <c r="CG40">
        <v>13771.199999999999</v>
      </c>
      <c r="CH40">
        <v>28</v>
      </c>
      <c r="CI40">
        <v>20294.399999999998</v>
      </c>
      <c r="CJ40">
        <v>18</v>
      </c>
      <c r="CK40">
        <v>13046.4</v>
      </c>
      <c r="CL40">
        <v>18</v>
      </c>
      <c r="CM40">
        <v>13046.4</v>
      </c>
      <c r="CN40">
        <v>17</v>
      </c>
      <c r="CO40">
        <v>12321.599999999999</v>
      </c>
      <c r="CP40">
        <v>13</v>
      </c>
      <c r="CQ40">
        <v>9422.4</v>
      </c>
      <c r="CR40">
        <v>22</v>
      </c>
      <c r="CS40">
        <v>15945.599999999999</v>
      </c>
      <c r="CT40">
        <v>21</v>
      </c>
      <c r="CU40">
        <v>15220.8</v>
      </c>
    </row>
    <row r="41" spans="2:99" x14ac:dyDescent="0.2">
      <c r="C41" s="119" t="s">
        <v>207</v>
      </c>
      <c r="D41">
        <v>19.24701070555048</v>
      </c>
      <c r="E41">
        <v>12703.027065663317</v>
      </c>
      <c r="F41">
        <v>24</v>
      </c>
      <c r="G41">
        <v>15840</v>
      </c>
      <c r="H41">
        <v>24.333127596155585</v>
      </c>
      <c r="I41">
        <v>16059.864213462686</v>
      </c>
      <c r="J41">
        <v>13</v>
      </c>
      <c r="K41">
        <v>8580</v>
      </c>
      <c r="L41">
        <v>20</v>
      </c>
      <c r="M41">
        <v>13200</v>
      </c>
      <c r="N41">
        <v>18</v>
      </c>
      <c r="O41">
        <v>11880</v>
      </c>
      <c r="P41">
        <v>26</v>
      </c>
      <c r="Q41">
        <v>17160</v>
      </c>
      <c r="R41">
        <v>23</v>
      </c>
      <c r="S41">
        <v>15180</v>
      </c>
      <c r="T41">
        <v>21</v>
      </c>
      <c r="U41">
        <v>13860</v>
      </c>
      <c r="V41">
        <v>14</v>
      </c>
      <c r="W41">
        <v>9240</v>
      </c>
      <c r="X41">
        <v>21</v>
      </c>
      <c r="Y41">
        <v>13860</v>
      </c>
      <c r="Z41">
        <v>14</v>
      </c>
      <c r="AA41">
        <v>9240</v>
      </c>
      <c r="AB41">
        <v>24</v>
      </c>
      <c r="AC41">
        <v>15840</v>
      </c>
      <c r="AD41">
        <v>23</v>
      </c>
      <c r="AE41">
        <v>15180</v>
      </c>
      <c r="AF41">
        <v>20</v>
      </c>
      <c r="AG41">
        <v>13200</v>
      </c>
      <c r="AH41">
        <v>12</v>
      </c>
      <c r="AI41">
        <v>7920</v>
      </c>
      <c r="AJ41">
        <v>24</v>
      </c>
      <c r="AK41">
        <v>15840</v>
      </c>
      <c r="AL41">
        <v>16</v>
      </c>
      <c r="AM41">
        <v>10560</v>
      </c>
      <c r="AN41">
        <v>17</v>
      </c>
      <c r="AO41">
        <v>11220</v>
      </c>
      <c r="AP41">
        <v>28</v>
      </c>
      <c r="AQ41">
        <v>18480</v>
      </c>
      <c r="AR41">
        <v>20</v>
      </c>
      <c r="AS41">
        <v>13200</v>
      </c>
      <c r="AT41">
        <v>14</v>
      </c>
      <c r="AU41">
        <v>9240</v>
      </c>
      <c r="AV41">
        <v>23</v>
      </c>
      <c r="AW41">
        <v>15180</v>
      </c>
      <c r="AX41">
        <v>27</v>
      </c>
      <c r="AY41">
        <v>17820</v>
      </c>
      <c r="AZ41">
        <v>20</v>
      </c>
      <c r="BA41">
        <v>13200</v>
      </c>
      <c r="BB41">
        <v>15</v>
      </c>
      <c r="BC41">
        <v>9900</v>
      </c>
      <c r="BD41">
        <v>14</v>
      </c>
      <c r="BE41">
        <v>9240</v>
      </c>
      <c r="BF41">
        <v>17</v>
      </c>
      <c r="BG41">
        <v>11220</v>
      </c>
      <c r="BH41">
        <v>16</v>
      </c>
      <c r="BI41">
        <v>10560</v>
      </c>
      <c r="BJ41">
        <v>22</v>
      </c>
      <c r="BK41">
        <v>14520</v>
      </c>
      <c r="BL41">
        <v>26</v>
      </c>
      <c r="BM41">
        <v>17160</v>
      </c>
      <c r="BN41">
        <v>19</v>
      </c>
      <c r="BO41">
        <v>12540</v>
      </c>
      <c r="BP41">
        <v>28</v>
      </c>
      <c r="BQ41">
        <v>18480</v>
      </c>
      <c r="BR41">
        <v>18</v>
      </c>
      <c r="BS41">
        <v>11880</v>
      </c>
      <c r="BT41">
        <v>14</v>
      </c>
      <c r="BU41">
        <v>9240</v>
      </c>
      <c r="BV41">
        <v>15</v>
      </c>
      <c r="BW41">
        <v>9900</v>
      </c>
      <c r="BX41">
        <v>20</v>
      </c>
      <c r="BY41">
        <v>13200</v>
      </c>
      <c r="BZ41">
        <v>14</v>
      </c>
      <c r="CA41">
        <v>9240</v>
      </c>
      <c r="CB41">
        <v>17</v>
      </c>
      <c r="CC41">
        <v>11220</v>
      </c>
      <c r="CD41">
        <v>22</v>
      </c>
      <c r="CE41">
        <v>14520</v>
      </c>
      <c r="CF41">
        <v>20</v>
      </c>
      <c r="CG41">
        <v>13200</v>
      </c>
      <c r="CH41">
        <v>28</v>
      </c>
      <c r="CI41">
        <v>18480</v>
      </c>
      <c r="CJ41">
        <v>21</v>
      </c>
      <c r="CK41">
        <v>13860</v>
      </c>
      <c r="CL41">
        <v>17</v>
      </c>
      <c r="CM41">
        <v>11220</v>
      </c>
      <c r="CN41">
        <v>16</v>
      </c>
      <c r="CO41">
        <v>10560</v>
      </c>
      <c r="CP41">
        <v>15</v>
      </c>
      <c r="CQ41">
        <v>9900</v>
      </c>
      <c r="CR41">
        <v>18</v>
      </c>
      <c r="CS41">
        <v>11880</v>
      </c>
      <c r="CT41">
        <v>21</v>
      </c>
      <c r="CU41">
        <v>13860</v>
      </c>
    </row>
    <row r="42" spans="2:99" x14ac:dyDescent="0.2">
      <c r="C42" s="119" t="s">
        <v>208</v>
      </c>
      <c r="D42">
        <v>18.147249849106444</v>
      </c>
      <c r="E42">
        <v>15352.573372344052</v>
      </c>
      <c r="F42">
        <v>23</v>
      </c>
      <c r="G42">
        <v>19458</v>
      </c>
      <c r="H42">
        <v>23.287157679046771</v>
      </c>
      <c r="I42">
        <v>19700.935396473567</v>
      </c>
      <c r="J42">
        <v>13</v>
      </c>
      <c r="K42">
        <v>10998</v>
      </c>
      <c r="L42">
        <v>19</v>
      </c>
      <c r="M42">
        <v>16074</v>
      </c>
      <c r="N42">
        <v>17</v>
      </c>
      <c r="O42">
        <v>14382</v>
      </c>
      <c r="P42">
        <v>22</v>
      </c>
      <c r="Q42">
        <v>18612</v>
      </c>
      <c r="R42">
        <v>21</v>
      </c>
      <c r="S42">
        <v>17766</v>
      </c>
      <c r="T42">
        <v>17</v>
      </c>
      <c r="U42">
        <v>14382</v>
      </c>
      <c r="V42">
        <v>12</v>
      </c>
      <c r="W42">
        <v>10152</v>
      </c>
      <c r="X42">
        <v>19</v>
      </c>
      <c r="Y42">
        <v>16074</v>
      </c>
      <c r="Z42">
        <v>16</v>
      </c>
      <c r="AA42">
        <v>13536</v>
      </c>
      <c r="AB42">
        <v>23</v>
      </c>
      <c r="AC42">
        <v>19458</v>
      </c>
      <c r="AD42">
        <v>23</v>
      </c>
      <c r="AE42">
        <v>19458</v>
      </c>
      <c r="AF42">
        <v>20</v>
      </c>
      <c r="AG42">
        <v>16920</v>
      </c>
      <c r="AH42">
        <v>12</v>
      </c>
      <c r="AI42">
        <v>10152</v>
      </c>
      <c r="AJ42">
        <v>25</v>
      </c>
      <c r="AK42">
        <v>21150</v>
      </c>
      <c r="AL42">
        <v>18</v>
      </c>
      <c r="AM42">
        <v>15228</v>
      </c>
      <c r="AN42">
        <v>15</v>
      </c>
      <c r="AO42">
        <v>12690</v>
      </c>
      <c r="AP42">
        <v>26</v>
      </c>
      <c r="AQ42">
        <v>21996</v>
      </c>
      <c r="AR42">
        <v>20</v>
      </c>
      <c r="AS42">
        <v>16920</v>
      </c>
      <c r="AT42">
        <v>15</v>
      </c>
      <c r="AU42">
        <v>12690</v>
      </c>
      <c r="AV42">
        <v>21</v>
      </c>
      <c r="AW42">
        <v>17766</v>
      </c>
      <c r="AX42">
        <v>24</v>
      </c>
      <c r="AY42">
        <v>20304</v>
      </c>
      <c r="AZ42">
        <v>21</v>
      </c>
      <c r="BA42">
        <v>17766</v>
      </c>
      <c r="BB42">
        <v>17</v>
      </c>
      <c r="BC42">
        <v>14382</v>
      </c>
      <c r="BD42">
        <v>14</v>
      </c>
      <c r="BE42">
        <v>11844</v>
      </c>
      <c r="BF42">
        <v>17</v>
      </c>
      <c r="BG42">
        <v>14382</v>
      </c>
      <c r="BH42">
        <v>16</v>
      </c>
      <c r="BI42">
        <v>13536</v>
      </c>
      <c r="BJ42">
        <v>24</v>
      </c>
      <c r="BK42">
        <v>20304</v>
      </c>
      <c r="BL42">
        <v>25</v>
      </c>
      <c r="BM42">
        <v>21150</v>
      </c>
      <c r="BN42">
        <v>19</v>
      </c>
      <c r="BO42">
        <v>16074</v>
      </c>
      <c r="BP42">
        <v>24</v>
      </c>
      <c r="BQ42">
        <v>20304</v>
      </c>
      <c r="BR42">
        <v>16</v>
      </c>
      <c r="BS42">
        <v>13536</v>
      </c>
      <c r="BT42">
        <v>13</v>
      </c>
      <c r="BU42">
        <v>10998</v>
      </c>
      <c r="BV42">
        <v>14</v>
      </c>
      <c r="BW42">
        <v>11844</v>
      </c>
      <c r="BX42">
        <v>20</v>
      </c>
      <c r="BY42">
        <v>16920</v>
      </c>
      <c r="BZ42">
        <v>15</v>
      </c>
      <c r="CA42">
        <v>12690</v>
      </c>
      <c r="CB42">
        <v>18</v>
      </c>
      <c r="CC42">
        <v>15228</v>
      </c>
      <c r="CD42">
        <v>22</v>
      </c>
      <c r="CE42">
        <v>18612</v>
      </c>
      <c r="CF42">
        <v>21</v>
      </c>
      <c r="CG42">
        <v>17766</v>
      </c>
      <c r="CH42">
        <v>24</v>
      </c>
      <c r="CI42">
        <v>20304</v>
      </c>
      <c r="CJ42">
        <v>22</v>
      </c>
      <c r="CK42">
        <v>18612</v>
      </c>
      <c r="CL42">
        <v>16</v>
      </c>
      <c r="CM42">
        <v>13536</v>
      </c>
      <c r="CN42">
        <v>15</v>
      </c>
      <c r="CO42">
        <v>12690</v>
      </c>
      <c r="CP42">
        <v>14</v>
      </c>
      <c r="CQ42">
        <v>11844</v>
      </c>
      <c r="CR42">
        <v>21</v>
      </c>
      <c r="CS42">
        <v>17766</v>
      </c>
      <c r="CT42">
        <v>23</v>
      </c>
      <c r="CU42">
        <v>19458</v>
      </c>
    </row>
    <row r="43" spans="2:99" x14ac:dyDescent="0.2">
      <c r="C43" s="119" t="s">
        <v>209</v>
      </c>
      <c r="D43">
        <v>18.39665199021654</v>
      </c>
      <c r="E43">
        <v>18808.736994797389</v>
      </c>
      <c r="F43">
        <v>23</v>
      </c>
      <c r="G43">
        <v>23515.200000000001</v>
      </c>
      <c r="H43">
        <v>22.241187761937958</v>
      </c>
      <c r="I43">
        <v>22739.390367805368</v>
      </c>
      <c r="J43">
        <v>14</v>
      </c>
      <c r="K43">
        <v>14313.6</v>
      </c>
      <c r="L43">
        <v>18</v>
      </c>
      <c r="M43">
        <v>18403.2</v>
      </c>
      <c r="N43">
        <v>17</v>
      </c>
      <c r="O43">
        <v>17380.8</v>
      </c>
      <c r="P43">
        <v>26</v>
      </c>
      <c r="Q43">
        <v>26582.399999999998</v>
      </c>
      <c r="R43">
        <v>20</v>
      </c>
      <c r="S43">
        <v>20448</v>
      </c>
      <c r="T43">
        <v>21</v>
      </c>
      <c r="U43">
        <v>21470.399999999998</v>
      </c>
      <c r="V43">
        <v>12</v>
      </c>
      <c r="W43">
        <v>12268.8</v>
      </c>
      <c r="X43">
        <v>19</v>
      </c>
      <c r="Y43">
        <v>19425.599999999999</v>
      </c>
      <c r="Z43">
        <v>16</v>
      </c>
      <c r="AA43">
        <v>16358.4</v>
      </c>
      <c r="AB43">
        <v>22</v>
      </c>
      <c r="AC43">
        <v>22492.799999999999</v>
      </c>
      <c r="AD43">
        <v>21</v>
      </c>
      <c r="AE43">
        <v>21470.399999999998</v>
      </c>
      <c r="AF43">
        <v>19</v>
      </c>
      <c r="AG43">
        <v>19425.599999999999</v>
      </c>
      <c r="AH43">
        <v>12</v>
      </c>
      <c r="AI43">
        <v>12268.8</v>
      </c>
      <c r="AJ43">
        <v>23</v>
      </c>
      <c r="AK43">
        <v>23515.200000000001</v>
      </c>
      <c r="AL43">
        <v>17</v>
      </c>
      <c r="AM43">
        <v>17380.8</v>
      </c>
      <c r="AN43">
        <v>15</v>
      </c>
      <c r="AO43">
        <v>15336</v>
      </c>
      <c r="AP43">
        <v>23</v>
      </c>
      <c r="AQ43">
        <v>23515.200000000001</v>
      </c>
      <c r="AR43">
        <v>22</v>
      </c>
      <c r="AS43">
        <v>22492.799999999999</v>
      </c>
      <c r="AT43">
        <v>13</v>
      </c>
      <c r="AU43">
        <v>13291.199999999999</v>
      </c>
      <c r="AV43">
        <v>19</v>
      </c>
      <c r="AW43">
        <v>19425.599999999999</v>
      </c>
      <c r="AX43">
        <v>24</v>
      </c>
      <c r="AY43">
        <v>24537.599999999999</v>
      </c>
      <c r="AZ43">
        <v>21</v>
      </c>
      <c r="BA43">
        <v>21470.399999999998</v>
      </c>
      <c r="BB43">
        <v>14</v>
      </c>
      <c r="BC43">
        <v>14313.6</v>
      </c>
      <c r="BD43">
        <v>12</v>
      </c>
      <c r="BE43">
        <v>12268.8</v>
      </c>
      <c r="BF43">
        <v>17</v>
      </c>
      <c r="BG43">
        <v>17380.8</v>
      </c>
      <c r="BH43">
        <v>16</v>
      </c>
      <c r="BI43">
        <v>16358.4</v>
      </c>
      <c r="BJ43">
        <v>22</v>
      </c>
      <c r="BK43">
        <v>22492.799999999999</v>
      </c>
      <c r="BL43">
        <v>23</v>
      </c>
      <c r="BM43">
        <v>23515.200000000001</v>
      </c>
      <c r="BN43">
        <v>18</v>
      </c>
      <c r="BO43">
        <v>18403.2</v>
      </c>
      <c r="BP43">
        <v>25</v>
      </c>
      <c r="BQ43">
        <v>25560</v>
      </c>
      <c r="BR43">
        <v>15</v>
      </c>
      <c r="BS43">
        <v>15336</v>
      </c>
      <c r="BT43">
        <v>15</v>
      </c>
      <c r="BU43">
        <v>15336</v>
      </c>
      <c r="BV43">
        <v>16</v>
      </c>
      <c r="BW43">
        <v>16358.4</v>
      </c>
      <c r="BX43">
        <v>20</v>
      </c>
      <c r="BY43">
        <v>20448</v>
      </c>
      <c r="BZ43">
        <v>13</v>
      </c>
      <c r="CA43">
        <v>13291.199999999999</v>
      </c>
      <c r="CB43">
        <v>19</v>
      </c>
      <c r="CC43">
        <v>19425.599999999999</v>
      </c>
      <c r="CD43">
        <v>21</v>
      </c>
      <c r="CE43">
        <v>21470.399999999998</v>
      </c>
      <c r="CF43">
        <v>19</v>
      </c>
      <c r="CG43">
        <v>19425.599999999999</v>
      </c>
      <c r="CH43">
        <v>25</v>
      </c>
      <c r="CI43">
        <v>25560</v>
      </c>
      <c r="CJ43">
        <v>19</v>
      </c>
      <c r="CK43">
        <v>19425.599999999999</v>
      </c>
      <c r="CL43">
        <v>16</v>
      </c>
      <c r="CM43">
        <v>16358.4</v>
      </c>
      <c r="CN43">
        <v>15</v>
      </c>
      <c r="CO43">
        <v>15336</v>
      </c>
      <c r="CP43">
        <v>13</v>
      </c>
      <c r="CQ43">
        <v>13291.199999999999</v>
      </c>
      <c r="CR43">
        <v>19</v>
      </c>
      <c r="CS43">
        <v>19425.599999999999</v>
      </c>
      <c r="CT43">
        <v>22</v>
      </c>
      <c r="CU43">
        <v>22492.799999999999</v>
      </c>
    </row>
    <row r="44" spans="2:99" x14ac:dyDescent="0.2">
      <c r="C44" s="119" t="s">
        <v>210</v>
      </c>
      <c r="D44">
        <v>17.24701070555048</v>
      </c>
      <c r="E44">
        <v>17633.34374535481</v>
      </c>
      <c r="F44">
        <v>27</v>
      </c>
      <c r="G44">
        <v>27604.799999999999</v>
      </c>
      <c r="H44">
        <v>20.379097513264398</v>
      </c>
      <c r="I44">
        <v>20835.589297561521</v>
      </c>
      <c r="J44">
        <v>14</v>
      </c>
      <c r="K44">
        <v>14313.6</v>
      </c>
      <c r="L44">
        <v>18</v>
      </c>
      <c r="M44">
        <v>18403.2</v>
      </c>
      <c r="N44">
        <v>18</v>
      </c>
      <c r="O44">
        <v>18403.2</v>
      </c>
      <c r="P44">
        <v>23</v>
      </c>
      <c r="Q44">
        <v>23515.200000000001</v>
      </c>
      <c r="R44">
        <v>22</v>
      </c>
      <c r="S44">
        <v>22492.799999999999</v>
      </c>
      <c r="T44">
        <v>19</v>
      </c>
      <c r="U44">
        <v>19425.599999999999</v>
      </c>
      <c r="V44">
        <v>13</v>
      </c>
      <c r="W44">
        <v>13291.199999999999</v>
      </c>
      <c r="X44">
        <v>22</v>
      </c>
      <c r="Y44">
        <v>22492.799999999999</v>
      </c>
      <c r="Z44">
        <v>13</v>
      </c>
      <c r="AA44">
        <v>13291.199999999999</v>
      </c>
      <c r="AB44">
        <v>23</v>
      </c>
      <c r="AC44">
        <v>23515.200000000001</v>
      </c>
      <c r="AD44">
        <v>22</v>
      </c>
      <c r="AE44">
        <v>22492.799999999999</v>
      </c>
      <c r="AF44">
        <v>18</v>
      </c>
      <c r="AG44">
        <v>18403.2</v>
      </c>
      <c r="AH44">
        <v>14</v>
      </c>
      <c r="AI44">
        <v>14313.6</v>
      </c>
      <c r="AJ44">
        <v>24</v>
      </c>
      <c r="AK44">
        <v>24537.599999999999</v>
      </c>
      <c r="AL44">
        <v>16</v>
      </c>
      <c r="AM44">
        <v>16358.4</v>
      </c>
      <c r="AN44">
        <v>15</v>
      </c>
      <c r="AO44">
        <v>15336</v>
      </c>
      <c r="AP44">
        <v>26</v>
      </c>
      <c r="AQ44">
        <v>26582.399999999998</v>
      </c>
      <c r="AR44">
        <v>22</v>
      </c>
      <c r="AS44">
        <v>22492.799999999999</v>
      </c>
      <c r="AT44">
        <v>14</v>
      </c>
      <c r="AU44">
        <v>14313.6</v>
      </c>
      <c r="AV44">
        <v>19</v>
      </c>
      <c r="AW44">
        <v>19425.599999999999</v>
      </c>
      <c r="AX44">
        <v>26</v>
      </c>
      <c r="AY44">
        <v>26582.399999999998</v>
      </c>
      <c r="AZ44">
        <v>22</v>
      </c>
      <c r="BA44">
        <v>22492.799999999999</v>
      </c>
      <c r="BB44">
        <v>15</v>
      </c>
      <c r="BC44">
        <v>15336</v>
      </c>
      <c r="BD44">
        <v>12</v>
      </c>
      <c r="BE44">
        <v>12268.8</v>
      </c>
      <c r="BF44">
        <v>17</v>
      </c>
      <c r="BG44">
        <v>17380.8</v>
      </c>
      <c r="BH44">
        <v>16</v>
      </c>
      <c r="BI44">
        <v>16358.4</v>
      </c>
      <c r="BJ44">
        <v>22</v>
      </c>
      <c r="BK44">
        <v>22492.799999999999</v>
      </c>
      <c r="BL44">
        <v>26</v>
      </c>
      <c r="BM44">
        <v>26582.399999999998</v>
      </c>
      <c r="BN44">
        <v>19</v>
      </c>
      <c r="BO44">
        <v>19425.599999999999</v>
      </c>
      <c r="BP44">
        <v>27</v>
      </c>
      <c r="BQ44">
        <v>27604.799999999999</v>
      </c>
      <c r="BR44">
        <v>15</v>
      </c>
      <c r="BS44">
        <v>15336</v>
      </c>
      <c r="BT44">
        <v>13</v>
      </c>
      <c r="BU44">
        <v>13291.199999999999</v>
      </c>
      <c r="BV44">
        <v>15</v>
      </c>
      <c r="BW44">
        <v>15336</v>
      </c>
      <c r="BX44">
        <v>18</v>
      </c>
      <c r="BY44">
        <v>18403.2</v>
      </c>
      <c r="BZ44">
        <v>14</v>
      </c>
      <c r="CA44">
        <v>14313.6</v>
      </c>
      <c r="CB44">
        <v>17</v>
      </c>
      <c r="CC44">
        <v>17380.8</v>
      </c>
      <c r="CD44">
        <v>21</v>
      </c>
      <c r="CE44">
        <v>21470.399999999998</v>
      </c>
      <c r="CF44">
        <v>20</v>
      </c>
      <c r="CG44">
        <v>20448</v>
      </c>
      <c r="CH44">
        <v>27</v>
      </c>
      <c r="CI44">
        <v>27604.799999999999</v>
      </c>
      <c r="CJ44">
        <v>21</v>
      </c>
      <c r="CK44">
        <v>21470.399999999998</v>
      </c>
      <c r="CL44">
        <v>17</v>
      </c>
      <c r="CM44">
        <v>17380.8</v>
      </c>
      <c r="CN44">
        <v>16</v>
      </c>
      <c r="CO44">
        <v>16358.4</v>
      </c>
      <c r="CP44">
        <v>13</v>
      </c>
      <c r="CQ44">
        <v>13291.199999999999</v>
      </c>
      <c r="CR44">
        <v>20</v>
      </c>
      <c r="CS44">
        <v>20448</v>
      </c>
      <c r="CT44">
        <v>23</v>
      </c>
      <c r="CU44">
        <v>23515.200000000001</v>
      </c>
    </row>
    <row r="45" spans="2:99" x14ac:dyDescent="0.2">
      <c r="C45" s="119" t="s">
        <v>211</v>
      </c>
      <c r="D45">
        <v>16.346771561994519</v>
      </c>
      <c r="E45">
        <v>20420.387035243555</v>
      </c>
      <c r="F45">
        <v>23</v>
      </c>
      <c r="G45">
        <v>28731.600000000002</v>
      </c>
      <c r="H45">
        <v>23.195217844829145</v>
      </c>
      <c r="I45">
        <v>28975.466131760568</v>
      </c>
      <c r="J45">
        <v>13</v>
      </c>
      <c r="K45">
        <v>16239.6</v>
      </c>
      <c r="L45">
        <v>18</v>
      </c>
      <c r="M45">
        <v>22485.600000000002</v>
      </c>
      <c r="N45">
        <v>16</v>
      </c>
      <c r="O45">
        <v>19987.2</v>
      </c>
      <c r="P45">
        <v>23</v>
      </c>
      <c r="Q45">
        <v>28731.600000000002</v>
      </c>
      <c r="R45">
        <v>23</v>
      </c>
      <c r="S45">
        <v>28731.600000000002</v>
      </c>
      <c r="T45">
        <v>18</v>
      </c>
      <c r="U45">
        <v>22485.600000000002</v>
      </c>
      <c r="V45">
        <v>12</v>
      </c>
      <c r="W45">
        <v>14990.400000000001</v>
      </c>
      <c r="X45">
        <v>21</v>
      </c>
      <c r="Y45">
        <v>26233.200000000001</v>
      </c>
      <c r="Z45">
        <v>13</v>
      </c>
      <c r="AA45">
        <v>16239.6</v>
      </c>
      <c r="AB45">
        <v>23</v>
      </c>
      <c r="AC45">
        <v>28731.600000000002</v>
      </c>
      <c r="AD45">
        <v>19</v>
      </c>
      <c r="AE45">
        <v>23734.799999999999</v>
      </c>
      <c r="AF45">
        <v>17</v>
      </c>
      <c r="AG45">
        <v>21236.400000000001</v>
      </c>
      <c r="AH45">
        <v>12</v>
      </c>
      <c r="AI45">
        <v>14990.400000000001</v>
      </c>
      <c r="AJ45">
        <v>25</v>
      </c>
      <c r="AK45">
        <v>31230</v>
      </c>
      <c r="AL45">
        <v>14</v>
      </c>
      <c r="AM45">
        <v>17488.8</v>
      </c>
      <c r="AN45">
        <v>15</v>
      </c>
      <c r="AO45">
        <v>18738</v>
      </c>
      <c r="AP45">
        <v>26</v>
      </c>
      <c r="AQ45">
        <v>32479.200000000001</v>
      </c>
      <c r="AR45">
        <v>21</v>
      </c>
      <c r="AS45">
        <v>26233.200000000001</v>
      </c>
      <c r="AT45">
        <v>14</v>
      </c>
      <c r="AU45">
        <v>17488.8</v>
      </c>
      <c r="AV45">
        <v>18</v>
      </c>
      <c r="AW45">
        <v>22485.600000000002</v>
      </c>
      <c r="AX45">
        <v>21</v>
      </c>
      <c r="AY45">
        <v>26233.200000000001</v>
      </c>
      <c r="AZ45">
        <v>20</v>
      </c>
      <c r="BA45">
        <v>24984</v>
      </c>
      <c r="BB45">
        <v>17</v>
      </c>
      <c r="BC45">
        <v>21236.400000000001</v>
      </c>
      <c r="BD45">
        <v>14</v>
      </c>
      <c r="BE45">
        <v>17488.8</v>
      </c>
      <c r="BF45">
        <v>17</v>
      </c>
      <c r="BG45">
        <v>21236.400000000001</v>
      </c>
      <c r="BH45">
        <v>16</v>
      </c>
      <c r="BI45">
        <v>19987.2</v>
      </c>
      <c r="BJ45">
        <v>21</v>
      </c>
      <c r="BK45">
        <v>26233.200000000001</v>
      </c>
      <c r="BL45">
        <v>23</v>
      </c>
      <c r="BM45">
        <v>28731.600000000002</v>
      </c>
      <c r="BN45">
        <v>18</v>
      </c>
      <c r="BO45">
        <v>22485.600000000002</v>
      </c>
      <c r="BP45">
        <v>25</v>
      </c>
      <c r="BQ45">
        <v>31230</v>
      </c>
      <c r="BR45">
        <v>15</v>
      </c>
      <c r="BS45">
        <v>18738</v>
      </c>
      <c r="BT45">
        <v>14</v>
      </c>
      <c r="BU45">
        <v>17488.8</v>
      </c>
      <c r="BV45">
        <v>15</v>
      </c>
      <c r="BW45">
        <v>18738</v>
      </c>
      <c r="BX45">
        <v>20</v>
      </c>
      <c r="BY45">
        <v>24984</v>
      </c>
      <c r="BZ45">
        <v>13</v>
      </c>
      <c r="CA45">
        <v>16239.6</v>
      </c>
      <c r="CB45">
        <v>19</v>
      </c>
      <c r="CC45">
        <v>23734.799999999999</v>
      </c>
      <c r="CD45">
        <v>18</v>
      </c>
      <c r="CE45">
        <v>22485.600000000002</v>
      </c>
      <c r="CF45">
        <v>17</v>
      </c>
      <c r="CG45">
        <v>21236.400000000001</v>
      </c>
      <c r="CH45">
        <v>25</v>
      </c>
      <c r="CI45">
        <v>31230</v>
      </c>
      <c r="CJ45">
        <v>18</v>
      </c>
      <c r="CK45">
        <v>22485.600000000002</v>
      </c>
      <c r="CL45">
        <v>16</v>
      </c>
      <c r="CM45">
        <v>19987.2</v>
      </c>
      <c r="CN45">
        <v>14</v>
      </c>
      <c r="CO45">
        <v>17488.8</v>
      </c>
      <c r="CP45">
        <v>14</v>
      </c>
      <c r="CQ45">
        <v>17488.8</v>
      </c>
      <c r="CR45">
        <v>18</v>
      </c>
      <c r="CS45">
        <v>22485.600000000002</v>
      </c>
      <c r="CT45">
        <v>22</v>
      </c>
      <c r="CU45">
        <v>27482.400000000001</v>
      </c>
    </row>
    <row r="46" spans="2:99" x14ac:dyDescent="0.2">
      <c r="C46" s="119" t="s">
        <v>212</v>
      </c>
      <c r="D46">
        <v>18.197130277328462</v>
      </c>
      <c r="E46">
        <v>22054.921896122098</v>
      </c>
      <c r="F46">
        <v>24</v>
      </c>
      <c r="G46">
        <v>29088</v>
      </c>
      <c r="H46">
        <v>20.425067430373211</v>
      </c>
      <c r="I46">
        <v>24755.181725612332</v>
      </c>
      <c r="J46">
        <v>14</v>
      </c>
      <c r="K46">
        <v>16968</v>
      </c>
      <c r="L46">
        <v>18</v>
      </c>
      <c r="M46">
        <v>21816</v>
      </c>
      <c r="N46">
        <v>15</v>
      </c>
      <c r="O46">
        <v>18180</v>
      </c>
      <c r="P46">
        <v>24</v>
      </c>
      <c r="Q46">
        <v>29088</v>
      </c>
      <c r="R46">
        <v>24</v>
      </c>
      <c r="S46">
        <v>29088</v>
      </c>
      <c r="T46">
        <v>17</v>
      </c>
      <c r="U46">
        <v>20604</v>
      </c>
      <c r="V46">
        <v>11</v>
      </c>
      <c r="W46">
        <v>13332</v>
      </c>
      <c r="X46">
        <v>19</v>
      </c>
      <c r="Y46">
        <v>23028</v>
      </c>
      <c r="Z46">
        <v>14</v>
      </c>
      <c r="AA46">
        <v>16968</v>
      </c>
      <c r="AB46">
        <v>24</v>
      </c>
      <c r="AC46">
        <v>29088</v>
      </c>
      <c r="AD46">
        <v>20</v>
      </c>
      <c r="AE46">
        <v>24240</v>
      </c>
      <c r="AF46">
        <v>18</v>
      </c>
      <c r="AG46">
        <v>21816</v>
      </c>
      <c r="AH46">
        <v>13</v>
      </c>
      <c r="AI46">
        <v>15756</v>
      </c>
      <c r="AJ46">
        <v>24</v>
      </c>
      <c r="AK46">
        <v>29088</v>
      </c>
      <c r="AL46">
        <v>15</v>
      </c>
      <c r="AM46">
        <v>18180</v>
      </c>
      <c r="AN46">
        <v>15</v>
      </c>
      <c r="AO46">
        <v>18180</v>
      </c>
      <c r="AP46">
        <v>22</v>
      </c>
      <c r="AQ46">
        <v>26664</v>
      </c>
      <c r="AR46">
        <v>19</v>
      </c>
      <c r="AS46">
        <v>23028</v>
      </c>
      <c r="AT46">
        <v>14</v>
      </c>
      <c r="AU46">
        <v>16968</v>
      </c>
      <c r="AV46">
        <v>20</v>
      </c>
      <c r="AW46">
        <v>24240</v>
      </c>
      <c r="AX46">
        <v>23</v>
      </c>
      <c r="AY46">
        <v>27876</v>
      </c>
      <c r="AZ46">
        <v>21</v>
      </c>
      <c r="BA46">
        <v>25452</v>
      </c>
      <c r="BB46">
        <v>16</v>
      </c>
      <c r="BC46">
        <v>19392</v>
      </c>
      <c r="BD46">
        <v>12</v>
      </c>
      <c r="BE46">
        <v>14544</v>
      </c>
      <c r="BF46">
        <v>15</v>
      </c>
      <c r="BG46">
        <v>18180</v>
      </c>
      <c r="BH46">
        <v>16</v>
      </c>
      <c r="BI46">
        <v>19392</v>
      </c>
      <c r="BJ46">
        <v>21</v>
      </c>
      <c r="BK46">
        <v>25452</v>
      </c>
      <c r="BL46">
        <v>22</v>
      </c>
      <c r="BM46">
        <v>26664</v>
      </c>
      <c r="BN46">
        <v>18</v>
      </c>
      <c r="BO46">
        <v>21816</v>
      </c>
      <c r="BP46">
        <v>24</v>
      </c>
      <c r="BQ46">
        <v>29088</v>
      </c>
      <c r="BR46">
        <v>16</v>
      </c>
      <c r="BS46">
        <v>19392</v>
      </c>
      <c r="BT46">
        <v>15</v>
      </c>
      <c r="BU46">
        <v>18180</v>
      </c>
      <c r="BV46">
        <v>15</v>
      </c>
      <c r="BW46">
        <v>18180</v>
      </c>
      <c r="BX46">
        <v>18</v>
      </c>
      <c r="BY46">
        <v>21816</v>
      </c>
      <c r="BZ46">
        <v>12</v>
      </c>
      <c r="CA46">
        <v>14544</v>
      </c>
      <c r="CB46">
        <v>17</v>
      </c>
      <c r="CC46">
        <v>20604</v>
      </c>
      <c r="CD46">
        <v>19</v>
      </c>
      <c r="CE46">
        <v>23028</v>
      </c>
      <c r="CF46">
        <v>19</v>
      </c>
      <c r="CG46">
        <v>23028</v>
      </c>
      <c r="CH46">
        <v>25</v>
      </c>
      <c r="CI46">
        <v>30300</v>
      </c>
      <c r="CJ46">
        <v>18</v>
      </c>
      <c r="CK46">
        <v>21816</v>
      </c>
      <c r="CL46">
        <v>15</v>
      </c>
      <c r="CM46">
        <v>18180</v>
      </c>
      <c r="CN46">
        <v>15</v>
      </c>
      <c r="CO46">
        <v>18180</v>
      </c>
      <c r="CP46">
        <v>12</v>
      </c>
      <c r="CQ46">
        <v>14544</v>
      </c>
      <c r="CR46">
        <v>20</v>
      </c>
      <c r="CS46">
        <v>24240</v>
      </c>
      <c r="CT46">
        <v>23</v>
      </c>
      <c r="CU46">
        <v>27876</v>
      </c>
    </row>
    <row r="47" spans="2:99" x14ac:dyDescent="0.2">
      <c r="C47" s="119" t="s">
        <v>213</v>
      </c>
      <c r="D47">
        <v>17.197130277328462</v>
      </c>
      <c r="E47">
        <v>26270.336211646958</v>
      </c>
      <c r="F47">
        <v>24</v>
      </c>
      <c r="G47">
        <v>36662.399999999994</v>
      </c>
      <c r="H47">
        <v>22.333127596155585</v>
      </c>
      <c r="I47">
        <v>34116.085715887268</v>
      </c>
      <c r="J47">
        <v>12</v>
      </c>
      <c r="K47">
        <v>18331.199999999997</v>
      </c>
      <c r="L47">
        <v>17</v>
      </c>
      <c r="M47">
        <v>25969.199999999997</v>
      </c>
      <c r="N47">
        <v>17</v>
      </c>
      <c r="O47">
        <v>25969.199999999997</v>
      </c>
      <c r="P47">
        <v>21</v>
      </c>
      <c r="Q47">
        <v>32079.599999999999</v>
      </c>
      <c r="R47">
        <v>20</v>
      </c>
      <c r="S47">
        <v>30552</v>
      </c>
      <c r="T47">
        <v>18</v>
      </c>
      <c r="U47">
        <v>27496.799999999999</v>
      </c>
      <c r="V47">
        <v>13</v>
      </c>
      <c r="W47">
        <v>19858.8</v>
      </c>
      <c r="X47">
        <v>21</v>
      </c>
      <c r="Y47">
        <v>32079.599999999999</v>
      </c>
      <c r="Z47">
        <v>15</v>
      </c>
      <c r="AA47">
        <v>22914</v>
      </c>
      <c r="AB47">
        <v>22</v>
      </c>
      <c r="AC47">
        <v>33607.199999999997</v>
      </c>
      <c r="AD47">
        <v>23</v>
      </c>
      <c r="AE47">
        <v>35134.799999999996</v>
      </c>
      <c r="AF47">
        <v>17</v>
      </c>
      <c r="AG47">
        <v>25969.199999999997</v>
      </c>
      <c r="AH47">
        <v>12</v>
      </c>
      <c r="AI47">
        <v>18331.199999999997</v>
      </c>
      <c r="AJ47">
        <v>25</v>
      </c>
      <c r="AK47">
        <v>38190</v>
      </c>
      <c r="AL47">
        <v>17</v>
      </c>
      <c r="AM47">
        <v>25969.199999999997</v>
      </c>
      <c r="AN47">
        <v>14</v>
      </c>
      <c r="AO47">
        <v>21386.399999999998</v>
      </c>
      <c r="AP47">
        <v>22</v>
      </c>
      <c r="AQ47">
        <v>33607.199999999997</v>
      </c>
      <c r="AR47">
        <v>19</v>
      </c>
      <c r="AS47">
        <v>29024.399999999998</v>
      </c>
      <c r="AT47">
        <v>13</v>
      </c>
      <c r="AU47">
        <v>19858.8</v>
      </c>
      <c r="AV47">
        <v>20</v>
      </c>
      <c r="AW47">
        <v>30552</v>
      </c>
      <c r="AX47">
        <v>21</v>
      </c>
      <c r="AY47">
        <v>32079.599999999999</v>
      </c>
      <c r="AZ47">
        <v>19</v>
      </c>
      <c r="BA47">
        <v>29024.399999999998</v>
      </c>
      <c r="BB47">
        <v>16</v>
      </c>
      <c r="BC47">
        <v>24441.599999999999</v>
      </c>
      <c r="BD47">
        <v>12</v>
      </c>
      <c r="BE47">
        <v>18331.199999999997</v>
      </c>
      <c r="BF47">
        <v>16</v>
      </c>
      <c r="BG47">
        <v>24441.599999999999</v>
      </c>
      <c r="BH47">
        <v>16</v>
      </c>
      <c r="BI47">
        <v>24441.599999999999</v>
      </c>
      <c r="BJ47">
        <v>24</v>
      </c>
      <c r="BK47">
        <v>36662.399999999994</v>
      </c>
      <c r="BL47">
        <v>24</v>
      </c>
      <c r="BM47">
        <v>36662.399999999994</v>
      </c>
      <c r="BN47">
        <v>16</v>
      </c>
      <c r="BO47">
        <v>24441.599999999999</v>
      </c>
      <c r="BP47">
        <v>24</v>
      </c>
      <c r="BQ47">
        <v>36662.399999999994</v>
      </c>
      <c r="BR47">
        <v>15</v>
      </c>
      <c r="BS47">
        <v>22914</v>
      </c>
      <c r="BT47">
        <v>12</v>
      </c>
      <c r="BU47">
        <v>18331.199999999997</v>
      </c>
      <c r="BV47">
        <v>13</v>
      </c>
      <c r="BW47">
        <v>19858.8</v>
      </c>
      <c r="BX47">
        <v>19</v>
      </c>
      <c r="BY47">
        <v>29024.399999999998</v>
      </c>
      <c r="BZ47">
        <v>14</v>
      </c>
      <c r="CA47">
        <v>21386.399999999998</v>
      </c>
      <c r="CB47">
        <v>16</v>
      </c>
      <c r="CC47">
        <v>24441.599999999999</v>
      </c>
      <c r="CD47">
        <v>17</v>
      </c>
      <c r="CE47">
        <v>25969.199999999997</v>
      </c>
      <c r="CF47">
        <v>17</v>
      </c>
      <c r="CG47">
        <v>25969.199999999997</v>
      </c>
      <c r="CH47">
        <v>23</v>
      </c>
      <c r="CI47">
        <v>35134.799999999996</v>
      </c>
      <c r="CJ47">
        <v>17</v>
      </c>
      <c r="CK47">
        <v>25969.199999999997</v>
      </c>
      <c r="CL47">
        <v>16</v>
      </c>
      <c r="CM47">
        <v>24441.599999999999</v>
      </c>
      <c r="CN47">
        <v>13</v>
      </c>
      <c r="CO47">
        <v>19858.8</v>
      </c>
      <c r="CP47">
        <v>12</v>
      </c>
      <c r="CQ47">
        <v>18331.199999999997</v>
      </c>
      <c r="CR47">
        <v>19</v>
      </c>
      <c r="CS47">
        <v>29024.399999999998</v>
      </c>
      <c r="CT47">
        <v>20</v>
      </c>
      <c r="CU47">
        <v>30552</v>
      </c>
    </row>
    <row r="48" spans="2:99" x14ac:dyDescent="0.2">
      <c r="C48" s="119" t="s">
        <v>214</v>
      </c>
      <c r="D48">
        <v>18.346771561994519</v>
      </c>
      <c r="E48">
        <v>15917.659007186445</v>
      </c>
      <c r="F48">
        <v>25</v>
      </c>
      <c r="G48">
        <v>21690</v>
      </c>
      <c r="H48">
        <v>24.287157679046771</v>
      </c>
      <c r="I48">
        <v>21071.538002340978</v>
      </c>
      <c r="J48">
        <v>13</v>
      </c>
      <c r="K48">
        <v>11278.800000000001</v>
      </c>
      <c r="L48">
        <v>17</v>
      </c>
      <c r="M48">
        <v>14749.2</v>
      </c>
      <c r="N48">
        <v>18</v>
      </c>
      <c r="O48">
        <v>15616.800000000001</v>
      </c>
      <c r="P48">
        <v>26</v>
      </c>
      <c r="Q48">
        <v>22557.600000000002</v>
      </c>
      <c r="R48">
        <v>22</v>
      </c>
      <c r="S48">
        <v>19087.2</v>
      </c>
      <c r="T48">
        <v>18</v>
      </c>
      <c r="U48">
        <v>15616.800000000001</v>
      </c>
      <c r="V48">
        <v>12</v>
      </c>
      <c r="W48">
        <v>10411.200000000001</v>
      </c>
      <c r="X48">
        <v>23</v>
      </c>
      <c r="Y48">
        <v>19954.8</v>
      </c>
      <c r="Z48">
        <v>15</v>
      </c>
      <c r="AA48">
        <v>13014</v>
      </c>
      <c r="AB48">
        <v>24</v>
      </c>
      <c r="AC48">
        <v>20822.400000000001</v>
      </c>
      <c r="AD48">
        <v>24</v>
      </c>
      <c r="AE48">
        <v>20822.400000000001</v>
      </c>
      <c r="AF48">
        <v>19</v>
      </c>
      <c r="AG48">
        <v>16484.400000000001</v>
      </c>
      <c r="AH48">
        <v>13</v>
      </c>
      <c r="AI48">
        <v>11278.800000000001</v>
      </c>
      <c r="AJ48">
        <v>25</v>
      </c>
      <c r="AK48">
        <v>21690</v>
      </c>
      <c r="AL48">
        <v>17</v>
      </c>
      <c r="AM48">
        <v>14749.2</v>
      </c>
      <c r="AN48">
        <v>15</v>
      </c>
      <c r="AO48">
        <v>13014</v>
      </c>
      <c r="AP48">
        <v>25</v>
      </c>
      <c r="AQ48">
        <v>21690</v>
      </c>
      <c r="AR48">
        <v>20</v>
      </c>
      <c r="AS48">
        <v>17352</v>
      </c>
      <c r="AT48">
        <v>14</v>
      </c>
      <c r="AU48">
        <v>12146.4</v>
      </c>
      <c r="AV48">
        <v>21</v>
      </c>
      <c r="AW48">
        <v>18219.600000000002</v>
      </c>
      <c r="AX48">
        <v>27</v>
      </c>
      <c r="AY48">
        <v>23425.200000000001</v>
      </c>
      <c r="AZ48">
        <v>21</v>
      </c>
      <c r="BA48">
        <v>18219.600000000002</v>
      </c>
      <c r="BB48">
        <v>17</v>
      </c>
      <c r="BC48">
        <v>14749.2</v>
      </c>
      <c r="BD48">
        <v>13</v>
      </c>
      <c r="BE48">
        <v>11278.800000000001</v>
      </c>
      <c r="BF48">
        <v>17</v>
      </c>
      <c r="BG48">
        <v>14749.2</v>
      </c>
      <c r="BH48">
        <v>15</v>
      </c>
      <c r="BI48">
        <v>13014</v>
      </c>
      <c r="BJ48">
        <v>23</v>
      </c>
      <c r="BK48">
        <v>19954.8</v>
      </c>
      <c r="BL48">
        <v>23</v>
      </c>
      <c r="BM48">
        <v>19954.8</v>
      </c>
      <c r="BN48">
        <v>21</v>
      </c>
      <c r="BO48">
        <v>18219.600000000002</v>
      </c>
      <c r="BP48">
        <v>28</v>
      </c>
      <c r="BQ48">
        <v>24292.799999999999</v>
      </c>
      <c r="BR48">
        <v>16</v>
      </c>
      <c r="BS48">
        <v>13881.6</v>
      </c>
      <c r="BT48">
        <v>16</v>
      </c>
      <c r="BU48">
        <v>13881.6</v>
      </c>
      <c r="BV48">
        <v>14</v>
      </c>
      <c r="BW48">
        <v>12146.4</v>
      </c>
      <c r="BX48">
        <v>18</v>
      </c>
      <c r="BY48">
        <v>15616.800000000001</v>
      </c>
      <c r="BZ48">
        <v>14</v>
      </c>
      <c r="CA48">
        <v>12146.4</v>
      </c>
      <c r="CB48">
        <v>19</v>
      </c>
      <c r="CC48">
        <v>16484.400000000001</v>
      </c>
      <c r="CD48">
        <v>22</v>
      </c>
      <c r="CE48">
        <v>19087.2</v>
      </c>
      <c r="CF48">
        <v>19</v>
      </c>
      <c r="CG48">
        <v>16484.400000000001</v>
      </c>
      <c r="CH48">
        <v>25</v>
      </c>
      <c r="CI48">
        <v>21690</v>
      </c>
      <c r="CJ48">
        <v>21</v>
      </c>
      <c r="CK48">
        <v>18219.600000000002</v>
      </c>
      <c r="CL48">
        <v>18</v>
      </c>
      <c r="CM48">
        <v>15616.800000000001</v>
      </c>
      <c r="CN48">
        <v>17</v>
      </c>
      <c r="CO48">
        <v>14749.2</v>
      </c>
      <c r="CP48">
        <v>14</v>
      </c>
      <c r="CQ48">
        <v>12146.4</v>
      </c>
      <c r="CR48">
        <v>21</v>
      </c>
      <c r="CS48">
        <v>18219.600000000002</v>
      </c>
      <c r="CT48">
        <v>22</v>
      </c>
      <c r="CU48">
        <v>19087.2</v>
      </c>
    </row>
    <row r="49" spans="2:99" x14ac:dyDescent="0.2">
      <c r="B49" s="119" t="s">
        <v>129</v>
      </c>
      <c r="C49" s="119" t="s">
        <v>215</v>
      </c>
      <c r="D49">
        <v>14.491781030897425</v>
      </c>
      <c r="E49">
        <v>14277.302671640142</v>
      </c>
      <c r="F49">
        <v>13.552478921652222</v>
      </c>
      <c r="G49">
        <v>13351.902233611769</v>
      </c>
      <c r="H49">
        <v>12</v>
      </c>
      <c r="I49">
        <v>11822.4</v>
      </c>
      <c r="J49">
        <v>12</v>
      </c>
      <c r="K49">
        <v>11822.4</v>
      </c>
      <c r="L49">
        <v>13.848193819668227</v>
      </c>
      <c r="M49">
        <v>13643.240551137136</v>
      </c>
      <c r="N49">
        <v>11.536158244332626</v>
      </c>
      <c r="O49">
        <v>11365.423102316501</v>
      </c>
      <c r="P49">
        <v>14.500741798714131</v>
      </c>
      <c r="Q49">
        <v>14286.130820093162</v>
      </c>
      <c r="R49">
        <v>12.496490283906384</v>
      </c>
      <c r="S49">
        <v>12311.542227704569</v>
      </c>
      <c r="T49">
        <v>17.365954629783658</v>
      </c>
      <c r="U49">
        <v>17108.938501262859</v>
      </c>
      <c r="V49">
        <v>14.386107466598535</v>
      </c>
      <c r="W49">
        <v>14173.193076092875</v>
      </c>
      <c r="X49">
        <v>14.442550911260522</v>
      </c>
      <c r="Y49">
        <v>14228.801157773865</v>
      </c>
      <c r="Z49">
        <v>14.345872785134464</v>
      </c>
      <c r="AA49">
        <v>14133.553867914474</v>
      </c>
      <c r="AB49">
        <v>13.573165241575079</v>
      </c>
      <c r="AC49">
        <v>13372.282395999768</v>
      </c>
      <c r="AD49">
        <v>10.406749991726036</v>
      </c>
      <c r="AE49">
        <v>10252.730091848491</v>
      </c>
      <c r="AF49">
        <v>18.556910438443417</v>
      </c>
      <c r="AG49">
        <v>18282.268163954453</v>
      </c>
      <c r="AH49">
        <v>9.288036095222699</v>
      </c>
      <c r="AI49">
        <v>9150.5731610134026</v>
      </c>
      <c r="AJ49">
        <v>14.469138463791047</v>
      </c>
      <c r="AK49">
        <v>14254.995214526938</v>
      </c>
      <c r="AL49">
        <v>8</v>
      </c>
      <c r="AM49">
        <v>7881.5999999999995</v>
      </c>
      <c r="AN49">
        <v>10.411493341075923</v>
      </c>
      <c r="AO49">
        <v>10257.403239627998</v>
      </c>
      <c r="AP49">
        <v>15.362838597142396</v>
      </c>
      <c r="AQ49">
        <v>15135.468585904688</v>
      </c>
      <c r="AR49">
        <v>17.419459571085028</v>
      </c>
      <c r="AS49">
        <v>17161.651569432968</v>
      </c>
      <c r="AT49">
        <v>15.389041448969358</v>
      </c>
      <c r="AU49">
        <v>15161.283635524611</v>
      </c>
      <c r="AV49">
        <v>18.320653722064414</v>
      </c>
      <c r="AW49">
        <v>18049.508046977859</v>
      </c>
      <c r="AX49">
        <v>13.483307180212924</v>
      </c>
      <c r="AY49">
        <v>13283.754233945772</v>
      </c>
      <c r="AZ49">
        <v>14</v>
      </c>
      <c r="BA49">
        <v>13792.8</v>
      </c>
      <c r="BB49">
        <v>15.569333251541362</v>
      </c>
      <c r="BC49">
        <v>15338.907119418549</v>
      </c>
      <c r="BD49">
        <v>18.490832119346514</v>
      </c>
      <c r="BE49">
        <v>18217.167803980185</v>
      </c>
      <c r="BF49">
        <v>14.291651758727946</v>
      </c>
      <c r="BG49">
        <v>14080.135312698772</v>
      </c>
      <c r="BH49">
        <v>13.427394886548951</v>
      </c>
      <c r="BI49">
        <v>13228.669442228025</v>
      </c>
      <c r="BJ49">
        <v>16.466405413911875</v>
      </c>
      <c r="BK49">
        <v>16222.702613785979</v>
      </c>
      <c r="BL49">
        <v>17.381548209539371</v>
      </c>
      <c r="BM49">
        <v>17124.301296038186</v>
      </c>
      <c r="BN49">
        <v>14.47625248461445</v>
      </c>
      <c r="BO49">
        <v>14262.003947842155</v>
      </c>
      <c r="BP49">
        <v>17.447924085896112</v>
      </c>
      <c r="BQ49">
        <v>17189.694809424847</v>
      </c>
      <c r="BR49">
        <v>18.390456749892834</v>
      </c>
      <c r="BS49">
        <v>18118.277989994418</v>
      </c>
      <c r="BT49">
        <v>16.450734536215919</v>
      </c>
      <c r="BU49">
        <v>16207.263665079921</v>
      </c>
      <c r="BV49">
        <v>18.501663932934019</v>
      </c>
      <c r="BW49">
        <v>18227.839306726593</v>
      </c>
      <c r="BX49">
        <v>10.254218744828773</v>
      </c>
      <c r="BY49">
        <v>10102.456307405306</v>
      </c>
      <c r="BZ49">
        <v>11.312512662346615</v>
      </c>
      <c r="CA49">
        <v>11145.087474943884</v>
      </c>
      <c r="CB49">
        <v>12.450009087653601</v>
      </c>
      <c r="CC49">
        <v>12265.748953156328</v>
      </c>
      <c r="CD49">
        <v>16.524786882783513</v>
      </c>
      <c r="CE49">
        <v>16280.220036918316</v>
      </c>
      <c r="CF49">
        <v>11.453102220005295</v>
      </c>
      <c r="CG49">
        <v>11283.596307149217</v>
      </c>
      <c r="CH49">
        <v>16.502112733311662</v>
      </c>
      <c r="CI49">
        <v>16257.881464858649</v>
      </c>
      <c r="CJ49">
        <v>14.317365000370486</v>
      </c>
      <c r="CK49">
        <v>14105.467998365002</v>
      </c>
      <c r="CL49">
        <v>13.517064010625784</v>
      </c>
      <c r="CM49">
        <v>13317.011463268522</v>
      </c>
      <c r="CN49">
        <v>10.265959245632382</v>
      </c>
      <c r="CO49">
        <v>10114.023048797022</v>
      </c>
      <c r="CP49">
        <v>14.544485537291628</v>
      </c>
      <c r="CQ49">
        <v>14329.227151339712</v>
      </c>
      <c r="CR49">
        <v>8.999297195783079</v>
      </c>
      <c r="CS49">
        <v>8866.1075972854887</v>
      </c>
      <c r="CT49">
        <v>9.1992845136174939</v>
      </c>
      <c r="CU49">
        <v>9063.1351028159552</v>
      </c>
    </row>
    <row r="50" spans="2:99" x14ac:dyDescent="0.2">
      <c r="C50" s="119" t="s">
        <v>216</v>
      </c>
      <c r="D50">
        <v>14.798086851552307</v>
      </c>
      <c r="E50">
        <v>4173.0604921377508</v>
      </c>
      <c r="F50">
        <v>15</v>
      </c>
      <c r="G50">
        <v>4230</v>
      </c>
      <c r="H50">
        <v>13.965368259285079</v>
      </c>
      <c r="I50">
        <v>3938.2338491183923</v>
      </c>
      <c r="J50">
        <v>11.785559781408937</v>
      </c>
      <c r="K50">
        <v>3323.5278583573204</v>
      </c>
      <c r="L50">
        <v>12</v>
      </c>
      <c r="M50">
        <v>3384</v>
      </c>
      <c r="N50">
        <v>11</v>
      </c>
      <c r="O50">
        <v>3102</v>
      </c>
      <c r="P50">
        <v>15</v>
      </c>
      <c r="Q50">
        <v>4230</v>
      </c>
      <c r="R50">
        <v>13</v>
      </c>
      <c r="S50">
        <v>3666</v>
      </c>
      <c r="T50">
        <v>19</v>
      </c>
      <c r="U50">
        <v>5358</v>
      </c>
      <c r="V50">
        <v>14</v>
      </c>
      <c r="W50">
        <v>3948</v>
      </c>
      <c r="X50">
        <v>13</v>
      </c>
      <c r="Y50">
        <v>3666</v>
      </c>
      <c r="Z50">
        <v>17</v>
      </c>
      <c r="AA50">
        <v>4794</v>
      </c>
      <c r="AB50">
        <v>15</v>
      </c>
      <c r="AC50">
        <v>4230</v>
      </c>
      <c r="AD50">
        <v>10</v>
      </c>
      <c r="AE50">
        <v>2820</v>
      </c>
      <c r="AF50">
        <v>19</v>
      </c>
      <c r="AG50">
        <v>5358</v>
      </c>
      <c r="AH50">
        <v>11</v>
      </c>
      <c r="AI50">
        <v>3102</v>
      </c>
      <c r="AJ50">
        <v>18</v>
      </c>
      <c r="AK50">
        <v>5076</v>
      </c>
      <c r="AL50">
        <v>10</v>
      </c>
      <c r="AM50">
        <v>2820</v>
      </c>
      <c r="AN50">
        <v>9</v>
      </c>
      <c r="AO50">
        <v>2538</v>
      </c>
      <c r="AP50">
        <v>18</v>
      </c>
      <c r="AQ50">
        <v>5076</v>
      </c>
      <c r="AR50">
        <v>17</v>
      </c>
      <c r="AS50">
        <v>4794</v>
      </c>
      <c r="AT50">
        <v>15</v>
      </c>
      <c r="AU50">
        <v>4230</v>
      </c>
      <c r="AV50">
        <v>19</v>
      </c>
      <c r="AW50">
        <v>5358</v>
      </c>
      <c r="AX50">
        <v>12</v>
      </c>
      <c r="AY50">
        <v>3384</v>
      </c>
      <c r="AZ50">
        <v>16</v>
      </c>
      <c r="BA50">
        <v>4512</v>
      </c>
      <c r="BB50">
        <v>16</v>
      </c>
      <c r="BC50">
        <v>4512</v>
      </c>
      <c r="BD50">
        <v>17</v>
      </c>
      <c r="BE50">
        <v>4794</v>
      </c>
      <c r="BF50">
        <v>15</v>
      </c>
      <c r="BG50">
        <v>4230</v>
      </c>
      <c r="BH50">
        <v>12</v>
      </c>
      <c r="BI50">
        <v>3384</v>
      </c>
      <c r="BJ50">
        <v>19</v>
      </c>
      <c r="BK50">
        <v>5358</v>
      </c>
      <c r="BL50">
        <v>17</v>
      </c>
      <c r="BM50">
        <v>4794</v>
      </c>
      <c r="BN50">
        <v>17</v>
      </c>
      <c r="BO50">
        <v>4794</v>
      </c>
      <c r="BP50">
        <v>17</v>
      </c>
      <c r="BQ50">
        <v>4794</v>
      </c>
      <c r="BR50">
        <v>17</v>
      </c>
      <c r="BS50">
        <v>4794</v>
      </c>
      <c r="BT50">
        <v>16</v>
      </c>
      <c r="BU50">
        <v>4512</v>
      </c>
      <c r="BV50">
        <v>19</v>
      </c>
      <c r="BW50">
        <v>5358</v>
      </c>
      <c r="BX50">
        <v>10</v>
      </c>
      <c r="BY50">
        <v>2820</v>
      </c>
      <c r="BZ50">
        <v>12</v>
      </c>
      <c r="CA50">
        <v>3384</v>
      </c>
      <c r="CB50">
        <v>12</v>
      </c>
      <c r="CC50">
        <v>3384</v>
      </c>
      <c r="CD50">
        <v>17</v>
      </c>
      <c r="CE50">
        <v>4794</v>
      </c>
      <c r="CF50">
        <v>12</v>
      </c>
      <c r="CG50">
        <v>3384</v>
      </c>
      <c r="CH50">
        <v>19</v>
      </c>
      <c r="CI50">
        <v>5358</v>
      </c>
      <c r="CJ50">
        <v>16</v>
      </c>
      <c r="CK50">
        <v>4512</v>
      </c>
      <c r="CL50">
        <v>14</v>
      </c>
      <c r="CM50">
        <v>3948</v>
      </c>
      <c r="CN50">
        <v>11</v>
      </c>
      <c r="CO50">
        <v>3102</v>
      </c>
      <c r="CP50">
        <v>15</v>
      </c>
      <c r="CQ50">
        <v>4230</v>
      </c>
      <c r="CR50">
        <v>11</v>
      </c>
      <c r="CS50">
        <v>3102</v>
      </c>
      <c r="CT50">
        <v>12</v>
      </c>
      <c r="CU50">
        <v>3384</v>
      </c>
    </row>
    <row r="51" spans="2:99" x14ac:dyDescent="0.2">
      <c r="C51" s="119" t="s">
        <v>217</v>
      </c>
      <c r="D51">
        <v>14.69832599510827</v>
      </c>
      <c r="E51">
        <v>12558.249730220507</v>
      </c>
      <c r="F51">
        <v>14</v>
      </c>
      <c r="G51">
        <v>11961.6</v>
      </c>
      <c r="H51">
        <v>12.919398342176265</v>
      </c>
      <c r="I51">
        <v>11038.333943555401</v>
      </c>
      <c r="J51">
        <v>11.736462295070879</v>
      </c>
      <c r="K51">
        <v>10027.633384908559</v>
      </c>
      <c r="L51">
        <v>11</v>
      </c>
      <c r="M51">
        <v>9398.4</v>
      </c>
      <c r="N51">
        <v>10</v>
      </c>
      <c r="O51">
        <v>8544</v>
      </c>
      <c r="P51">
        <v>14</v>
      </c>
      <c r="Q51">
        <v>11961.6</v>
      </c>
      <c r="R51">
        <v>11</v>
      </c>
      <c r="S51">
        <v>9398.4</v>
      </c>
      <c r="T51">
        <v>18</v>
      </c>
      <c r="U51">
        <v>15379.199999999999</v>
      </c>
      <c r="V51">
        <v>14</v>
      </c>
      <c r="W51">
        <v>11961.6</v>
      </c>
      <c r="X51">
        <v>13</v>
      </c>
      <c r="Y51">
        <v>11107.199999999999</v>
      </c>
      <c r="Z51">
        <v>16</v>
      </c>
      <c r="AA51">
        <v>13670.4</v>
      </c>
      <c r="AB51">
        <v>13</v>
      </c>
      <c r="AC51">
        <v>11107.199999999999</v>
      </c>
      <c r="AD51">
        <v>9</v>
      </c>
      <c r="AE51">
        <v>7689.5999999999995</v>
      </c>
      <c r="AF51">
        <v>18</v>
      </c>
      <c r="AG51">
        <v>15379.199999999999</v>
      </c>
      <c r="AH51">
        <v>9</v>
      </c>
      <c r="AI51">
        <v>7689.5999999999995</v>
      </c>
      <c r="AJ51">
        <v>16</v>
      </c>
      <c r="AK51">
        <v>13670.4</v>
      </c>
      <c r="AL51">
        <v>9</v>
      </c>
      <c r="AM51">
        <v>7689.5999999999995</v>
      </c>
      <c r="AN51">
        <v>9</v>
      </c>
      <c r="AO51">
        <v>7689.5999999999995</v>
      </c>
      <c r="AP51">
        <v>15</v>
      </c>
      <c r="AQ51">
        <v>12816</v>
      </c>
      <c r="AR51">
        <v>16</v>
      </c>
      <c r="AS51">
        <v>13670.4</v>
      </c>
      <c r="AT51">
        <v>13</v>
      </c>
      <c r="AU51">
        <v>11107.199999999999</v>
      </c>
      <c r="AV51">
        <v>16</v>
      </c>
      <c r="AW51">
        <v>13670.4</v>
      </c>
      <c r="AX51">
        <v>11</v>
      </c>
      <c r="AY51">
        <v>9398.4</v>
      </c>
      <c r="AZ51">
        <v>14</v>
      </c>
      <c r="BA51">
        <v>11961.6</v>
      </c>
      <c r="BB51">
        <v>15</v>
      </c>
      <c r="BC51">
        <v>12816</v>
      </c>
      <c r="BD51">
        <v>15</v>
      </c>
      <c r="BE51">
        <v>12816</v>
      </c>
      <c r="BF51">
        <v>14</v>
      </c>
      <c r="BG51">
        <v>11961.6</v>
      </c>
      <c r="BH51">
        <v>13</v>
      </c>
      <c r="BI51">
        <v>11107.199999999999</v>
      </c>
      <c r="BJ51">
        <v>17</v>
      </c>
      <c r="BK51">
        <v>14524.8</v>
      </c>
      <c r="BL51">
        <v>18</v>
      </c>
      <c r="BM51">
        <v>15379.199999999999</v>
      </c>
      <c r="BN51">
        <v>15</v>
      </c>
      <c r="BO51">
        <v>12816</v>
      </c>
      <c r="BP51">
        <v>18</v>
      </c>
      <c r="BQ51">
        <v>15379.199999999999</v>
      </c>
      <c r="BR51">
        <v>19</v>
      </c>
      <c r="BS51">
        <v>16233.6</v>
      </c>
      <c r="BT51">
        <v>16</v>
      </c>
      <c r="BU51">
        <v>13670.4</v>
      </c>
      <c r="BV51">
        <v>16</v>
      </c>
      <c r="BW51">
        <v>13670.4</v>
      </c>
      <c r="BX51">
        <v>11</v>
      </c>
      <c r="BY51">
        <v>9398.4</v>
      </c>
      <c r="BZ51">
        <v>9</v>
      </c>
      <c r="CA51">
        <v>7689.5999999999995</v>
      </c>
      <c r="CB51">
        <v>11</v>
      </c>
      <c r="CC51">
        <v>9398.4</v>
      </c>
      <c r="CD51">
        <v>18</v>
      </c>
      <c r="CE51">
        <v>15379.199999999999</v>
      </c>
      <c r="CF51">
        <v>11</v>
      </c>
      <c r="CG51">
        <v>9398.4</v>
      </c>
      <c r="CH51">
        <v>18</v>
      </c>
      <c r="CI51">
        <v>15379.199999999999</v>
      </c>
      <c r="CJ51">
        <v>14</v>
      </c>
      <c r="CK51">
        <v>11961.6</v>
      </c>
      <c r="CL51">
        <v>12</v>
      </c>
      <c r="CM51">
        <v>10252.799999999999</v>
      </c>
      <c r="CN51">
        <v>12</v>
      </c>
      <c r="CO51">
        <v>10252.799999999999</v>
      </c>
      <c r="CP51">
        <v>14</v>
      </c>
      <c r="CQ51">
        <v>11961.6</v>
      </c>
      <c r="CR51">
        <v>11</v>
      </c>
      <c r="CS51">
        <v>9398.4</v>
      </c>
      <c r="CT51">
        <v>11</v>
      </c>
      <c r="CU51">
        <v>9398.4</v>
      </c>
    </row>
    <row r="52" spans="2:99" x14ac:dyDescent="0.2">
      <c r="C52" s="119" t="s">
        <v>218</v>
      </c>
      <c r="D52">
        <v>14.74820642333029</v>
      </c>
      <c r="E52">
        <v>7964.0314685983567</v>
      </c>
      <c r="F52">
        <v>12</v>
      </c>
      <c r="G52">
        <v>6480</v>
      </c>
      <c r="H52">
        <v>12.873428425067452</v>
      </c>
      <c r="I52">
        <v>6951.6513495364243</v>
      </c>
      <c r="J52">
        <v>11.736462295070879</v>
      </c>
      <c r="K52">
        <v>6337.6896393382749</v>
      </c>
      <c r="L52">
        <v>12</v>
      </c>
      <c r="M52">
        <v>6480</v>
      </c>
      <c r="N52">
        <v>11</v>
      </c>
      <c r="O52">
        <v>5940</v>
      </c>
      <c r="P52">
        <v>16</v>
      </c>
      <c r="Q52">
        <v>8640</v>
      </c>
      <c r="R52">
        <v>12</v>
      </c>
      <c r="S52">
        <v>6480</v>
      </c>
      <c r="T52">
        <v>18</v>
      </c>
      <c r="U52">
        <v>9720</v>
      </c>
      <c r="V52">
        <v>15</v>
      </c>
      <c r="W52">
        <v>8100</v>
      </c>
      <c r="X52">
        <v>14</v>
      </c>
      <c r="Y52">
        <v>7560</v>
      </c>
      <c r="Z52">
        <v>15</v>
      </c>
      <c r="AA52">
        <v>8100</v>
      </c>
      <c r="AB52">
        <v>14</v>
      </c>
      <c r="AC52">
        <v>7560</v>
      </c>
      <c r="AD52">
        <v>9</v>
      </c>
      <c r="AE52">
        <v>4860</v>
      </c>
      <c r="AF52">
        <v>17</v>
      </c>
      <c r="AG52">
        <v>9180</v>
      </c>
      <c r="AH52">
        <v>9</v>
      </c>
      <c r="AI52">
        <v>4860</v>
      </c>
      <c r="AJ52">
        <v>15</v>
      </c>
      <c r="AK52">
        <v>8100</v>
      </c>
      <c r="AL52">
        <v>8</v>
      </c>
      <c r="AM52">
        <v>4320</v>
      </c>
      <c r="AN52">
        <v>10</v>
      </c>
      <c r="AO52">
        <v>5400</v>
      </c>
      <c r="AP52">
        <v>18</v>
      </c>
      <c r="AQ52">
        <v>9720</v>
      </c>
      <c r="AR52">
        <v>17</v>
      </c>
      <c r="AS52">
        <v>9180</v>
      </c>
      <c r="AT52">
        <v>15</v>
      </c>
      <c r="AU52">
        <v>8100</v>
      </c>
      <c r="AV52">
        <v>17</v>
      </c>
      <c r="AW52">
        <v>9180</v>
      </c>
      <c r="AX52">
        <v>13</v>
      </c>
      <c r="AY52">
        <v>7020</v>
      </c>
      <c r="AZ52">
        <v>14</v>
      </c>
      <c r="BA52">
        <v>7560</v>
      </c>
      <c r="BB52">
        <v>18</v>
      </c>
      <c r="BC52">
        <v>9720</v>
      </c>
      <c r="BD52">
        <v>18</v>
      </c>
      <c r="BE52">
        <v>9720</v>
      </c>
      <c r="BF52">
        <v>13</v>
      </c>
      <c r="BG52">
        <v>7020</v>
      </c>
      <c r="BH52">
        <v>13</v>
      </c>
      <c r="BI52">
        <v>7020</v>
      </c>
      <c r="BJ52">
        <v>17</v>
      </c>
      <c r="BK52">
        <v>9180</v>
      </c>
      <c r="BL52">
        <v>16</v>
      </c>
      <c r="BM52">
        <v>8640</v>
      </c>
      <c r="BN52">
        <v>17</v>
      </c>
      <c r="BO52">
        <v>9180</v>
      </c>
      <c r="BP52">
        <v>17</v>
      </c>
      <c r="BQ52">
        <v>9180</v>
      </c>
      <c r="BR52">
        <v>19</v>
      </c>
      <c r="BS52">
        <v>10260</v>
      </c>
      <c r="BT52">
        <v>15</v>
      </c>
      <c r="BU52">
        <v>8100</v>
      </c>
      <c r="BV52">
        <v>17</v>
      </c>
      <c r="BW52">
        <v>9180</v>
      </c>
      <c r="BX52">
        <v>11</v>
      </c>
      <c r="BY52">
        <v>5940</v>
      </c>
      <c r="BZ52">
        <v>12</v>
      </c>
      <c r="CA52">
        <v>6480</v>
      </c>
      <c r="CB52">
        <v>12</v>
      </c>
      <c r="CC52">
        <v>6480</v>
      </c>
      <c r="CD52">
        <v>16</v>
      </c>
      <c r="CE52">
        <v>8640</v>
      </c>
      <c r="CF52">
        <v>11</v>
      </c>
      <c r="CG52">
        <v>5940</v>
      </c>
      <c r="CH52">
        <v>19</v>
      </c>
      <c r="CI52">
        <v>10260</v>
      </c>
      <c r="CJ52">
        <v>16</v>
      </c>
      <c r="CK52">
        <v>8640</v>
      </c>
      <c r="CL52">
        <v>13</v>
      </c>
      <c r="CM52">
        <v>7020</v>
      </c>
      <c r="CN52">
        <v>11</v>
      </c>
      <c r="CO52">
        <v>5940</v>
      </c>
      <c r="CP52">
        <v>16</v>
      </c>
      <c r="CQ52">
        <v>8640</v>
      </c>
      <c r="CR52">
        <v>11</v>
      </c>
      <c r="CS52">
        <v>5940</v>
      </c>
      <c r="CT52">
        <v>11</v>
      </c>
      <c r="CU52">
        <v>5940</v>
      </c>
    </row>
    <row r="53" spans="2:99" x14ac:dyDescent="0.2">
      <c r="C53" s="119" t="s">
        <v>219</v>
      </c>
      <c r="D53">
        <v>16.798086851552309</v>
      </c>
      <c r="E53">
        <v>6833.4617312114797</v>
      </c>
      <c r="F53">
        <v>14</v>
      </c>
      <c r="G53">
        <v>5695.2</v>
      </c>
      <c r="H53">
        <v>13.011338176393892</v>
      </c>
      <c r="I53">
        <v>5293.0123701570355</v>
      </c>
      <c r="J53">
        <v>11.834657267746996</v>
      </c>
      <c r="K53">
        <v>4814.338576519478</v>
      </c>
      <c r="L53">
        <v>14</v>
      </c>
      <c r="M53">
        <v>5695.2</v>
      </c>
      <c r="N53">
        <v>11</v>
      </c>
      <c r="O53">
        <v>4474.8</v>
      </c>
      <c r="P53">
        <v>16</v>
      </c>
      <c r="Q53">
        <v>6508.8</v>
      </c>
      <c r="R53">
        <v>12</v>
      </c>
      <c r="S53">
        <v>4881.6000000000004</v>
      </c>
      <c r="T53">
        <v>20</v>
      </c>
      <c r="U53">
        <v>8136</v>
      </c>
      <c r="V53">
        <v>13</v>
      </c>
      <c r="W53">
        <v>5288.4000000000005</v>
      </c>
      <c r="X53">
        <v>14</v>
      </c>
      <c r="Y53">
        <v>5695.2</v>
      </c>
      <c r="Z53">
        <v>17</v>
      </c>
      <c r="AA53">
        <v>6915.6</v>
      </c>
      <c r="AB53">
        <v>14</v>
      </c>
      <c r="AC53">
        <v>5695.2</v>
      </c>
      <c r="AD53">
        <v>10</v>
      </c>
      <c r="AE53">
        <v>4068</v>
      </c>
      <c r="AF53">
        <v>20</v>
      </c>
      <c r="AG53">
        <v>8136</v>
      </c>
      <c r="AH53">
        <v>11</v>
      </c>
      <c r="AI53">
        <v>4474.8</v>
      </c>
      <c r="AJ53">
        <v>17</v>
      </c>
      <c r="AK53">
        <v>6915.6</v>
      </c>
      <c r="AL53">
        <v>10</v>
      </c>
      <c r="AM53">
        <v>4068</v>
      </c>
      <c r="AN53">
        <v>10</v>
      </c>
      <c r="AO53">
        <v>4068</v>
      </c>
      <c r="AP53">
        <v>18</v>
      </c>
      <c r="AQ53">
        <v>7322.4000000000005</v>
      </c>
      <c r="AR53">
        <v>19</v>
      </c>
      <c r="AS53">
        <v>7729.2</v>
      </c>
      <c r="AT53">
        <v>15</v>
      </c>
      <c r="AU53">
        <v>6102</v>
      </c>
      <c r="AV53">
        <v>20</v>
      </c>
      <c r="AW53">
        <v>8136</v>
      </c>
      <c r="AX53">
        <v>12</v>
      </c>
      <c r="AY53">
        <v>4881.6000000000004</v>
      </c>
      <c r="AZ53">
        <v>15</v>
      </c>
      <c r="BA53">
        <v>6102</v>
      </c>
      <c r="BB53">
        <v>17</v>
      </c>
      <c r="BC53">
        <v>6915.6</v>
      </c>
      <c r="BD53">
        <v>18</v>
      </c>
      <c r="BE53">
        <v>7322.4000000000005</v>
      </c>
      <c r="BF53">
        <v>14</v>
      </c>
      <c r="BG53">
        <v>5695.2</v>
      </c>
      <c r="BH53">
        <v>12</v>
      </c>
      <c r="BI53">
        <v>4881.6000000000004</v>
      </c>
      <c r="BJ53">
        <v>19</v>
      </c>
      <c r="BK53">
        <v>7729.2</v>
      </c>
      <c r="BL53">
        <v>17</v>
      </c>
      <c r="BM53">
        <v>6915.6</v>
      </c>
      <c r="BN53">
        <v>17</v>
      </c>
      <c r="BO53">
        <v>6915.6</v>
      </c>
      <c r="BP53">
        <v>17</v>
      </c>
      <c r="BQ53">
        <v>6915.6</v>
      </c>
      <c r="BR53">
        <v>17</v>
      </c>
      <c r="BS53">
        <v>6915.6</v>
      </c>
      <c r="BT53">
        <v>17</v>
      </c>
      <c r="BU53">
        <v>6915.6</v>
      </c>
      <c r="BV53">
        <v>18</v>
      </c>
      <c r="BW53">
        <v>7322.4000000000005</v>
      </c>
      <c r="BX53">
        <v>11</v>
      </c>
      <c r="BY53">
        <v>4474.8</v>
      </c>
      <c r="BZ53">
        <v>10</v>
      </c>
      <c r="CA53">
        <v>4068</v>
      </c>
      <c r="CB53">
        <v>11</v>
      </c>
      <c r="CC53">
        <v>4474.8</v>
      </c>
      <c r="CD53">
        <v>17</v>
      </c>
      <c r="CE53">
        <v>6915.6</v>
      </c>
      <c r="CF53">
        <v>12</v>
      </c>
      <c r="CG53">
        <v>4881.6000000000004</v>
      </c>
      <c r="CH53">
        <v>19</v>
      </c>
      <c r="CI53">
        <v>7729.2</v>
      </c>
      <c r="CJ53">
        <v>15</v>
      </c>
      <c r="CK53">
        <v>6102</v>
      </c>
      <c r="CL53">
        <v>14</v>
      </c>
      <c r="CM53">
        <v>5695.2</v>
      </c>
      <c r="CN53">
        <v>11</v>
      </c>
      <c r="CO53">
        <v>4474.8</v>
      </c>
      <c r="CP53">
        <v>16</v>
      </c>
      <c r="CQ53">
        <v>6508.8</v>
      </c>
      <c r="CR53">
        <v>11</v>
      </c>
      <c r="CS53">
        <v>4474.8</v>
      </c>
      <c r="CT53">
        <v>12</v>
      </c>
      <c r="CU53">
        <v>4881.6000000000004</v>
      </c>
    </row>
    <row r="54" spans="2:99" x14ac:dyDescent="0.2">
      <c r="C54" s="119" t="s">
        <v>220</v>
      </c>
      <c r="D54">
        <v>15.69832599510827</v>
      </c>
      <c r="E54">
        <v>5255.7995431622494</v>
      </c>
      <c r="F54">
        <v>14</v>
      </c>
      <c r="G54">
        <v>4687.2</v>
      </c>
      <c r="H54">
        <v>14.919398342176265</v>
      </c>
      <c r="I54">
        <v>4995.0145649606138</v>
      </c>
      <c r="J54">
        <v>11.736462295070879</v>
      </c>
      <c r="K54">
        <v>3929.3675763897304</v>
      </c>
      <c r="L54">
        <v>13</v>
      </c>
      <c r="M54">
        <v>4352.4000000000005</v>
      </c>
      <c r="N54">
        <v>12</v>
      </c>
      <c r="O54">
        <v>4017.6000000000004</v>
      </c>
      <c r="P54">
        <v>16</v>
      </c>
      <c r="Q54">
        <v>5356.8</v>
      </c>
      <c r="R54">
        <v>12</v>
      </c>
      <c r="S54">
        <v>4017.6000000000004</v>
      </c>
      <c r="T54">
        <v>17</v>
      </c>
      <c r="U54">
        <v>5691.6</v>
      </c>
      <c r="V54">
        <v>14</v>
      </c>
      <c r="W54">
        <v>4687.2</v>
      </c>
      <c r="X54">
        <v>12</v>
      </c>
      <c r="Y54">
        <v>4017.6000000000004</v>
      </c>
      <c r="Z54">
        <v>16</v>
      </c>
      <c r="AA54">
        <v>5356.8</v>
      </c>
      <c r="AB54">
        <v>14</v>
      </c>
      <c r="AC54">
        <v>4687.2</v>
      </c>
      <c r="AD54">
        <v>11</v>
      </c>
      <c r="AE54">
        <v>3682.8</v>
      </c>
      <c r="AF54">
        <v>19</v>
      </c>
      <c r="AG54">
        <v>6361.2</v>
      </c>
      <c r="AH54">
        <v>11</v>
      </c>
      <c r="AI54">
        <v>3682.8</v>
      </c>
      <c r="AJ54">
        <v>15</v>
      </c>
      <c r="AK54">
        <v>5022</v>
      </c>
      <c r="AL54">
        <v>10</v>
      </c>
      <c r="AM54">
        <v>3348</v>
      </c>
      <c r="AN54">
        <v>10</v>
      </c>
      <c r="AO54">
        <v>3348</v>
      </c>
      <c r="AP54">
        <v>16</v>
      </c>
      <c r="AQ54">
        <v>5356.8</v>
      </c>
      <c r="AR54">
        <v>19</v>
      </c>
      <c r="AS54">
        <v>6361.2</v>
      </c>
      <c r="AT54">
        <v>16</v>
      </c>
      <c r="AU54">
        <v>5356.8</v>
      </c>
      <c r="AV54">
        <v>20</v>
      </c>
      <c r="AW54">
        <v>6696</v>
      </c>
      <c r="AX54">
        <v>14</v>
      </c>
      <c r="AY54">
        <v>4687.2</v>
      </c>
      <c r="AZ54">
        <v>15</v>
      </c>
      <c r="BA54">
        <v>5022</v>
      </c>
      <c r="BB54">
        <v>17</v>
      </c>
      <c r="BC54">
        <v>5691.6</v>
      </c>
      <c r="BD54">
        <v>17</v>
      </c>
      <c r="BE54">
        <v>5691.6</v>
      </c>
      <c r="BF54">
        <v>16</v>
      </c>
      <c r="BG54">
        <v>5356.8</v>
      </c>
      <c r="BH54">
        <v>14</v>
      </c>
      <c r="BI54">
        <v>4687.2</v>
      </c>
      <c r="BJ54">
        <v>16</v>
      </c>
      <c r="BK54">
        <v>5356.8</v>
      </c>
      <c r="BL54">
        <v>17</v>
      </c>
      <c r="BM54">
        <v>5691.6</v>
      </c>
      <c r="BN54">
        <v>16</v>
      </c>
      <c r="BO54">
        <v>5356.8</v>
      </c>
      <c r="BP54">
        <v>20</v>
      </c>
      <c r="BQ54">
        <v>6696</v>
      </c>
      <c r="BR54">
        <v>17</v>
      </c>
      <c r="BS54">
        <v>5691.6</v>
      </c>
      <c r="BT54">
        <v>18</v>
      </c>
      <c r="BU54">
        <v>6026.4000000000005</v>
      </c>
      <c r="BV54">
        <v>19</v>
      </c>
      <c r="BW54">
        <v>6361.2</v>
      </c>
      <c r="BX54">
        <v>12</v>
      </c>
      <c r="BY54">
        <v>4017.6000000000004</v>
      </c>
      <c r="BZ54">
        <v>11</v>
      </c>
      <c r="CA54">
        <v>3682.8</v>
      </c>
      <c r="CB54">
        <v>11</v>
      </c>
      <c r="CC54">
        <v>3682.8</v>
      </c>
      <c r="CD54">
        <v>18</v>
      </c>
      <c r="CE54">
        <v>6026.4000000000005</v>
      </c>
      <c r="CF54">
        <v>12</v>
      </c>
      <c r="CG54">
        <v>4017.6000000000004</v>
      </c>
      <c r="CH54">
        <v>18</v>
      </c>
      <c r="CI54">
        <v>6026.4000000000005</v>
      </c>
      <c r="CJ54">
        <v>14</v>
      </c>
      <c r="CK54">
        <v>4687.2</v>
      </c>
      <c r="CL54">
        <v>14</v>
      </c>
      <c r="CM54">
        <v>4687.2</v>
      </c>
      <c r="CN54">
        <v>12</v>
      </c>
      <c r="CO54">
        <v>4017.6000000000004</v>
      </c>
      <c r="CP54">
        <v>14</v>
      </c>
      <c r="CQ54">
        <v>4687.2</v>
      </c>
      <c r="CR54">
        <v>12</v>
      </c>
      <c r="CS54">
        <v>4017.6000000000004</v>
      </c>
      <c r="CT54">
        <v>11</v>
      </c>
      <c r="CU54">
        <v>3682.8</v>
      </c>
    </row>
    <row r="55" spans="2:99" x14ac:dyDescent="0.2">
      <c r="C55" s="119" t="s">
        <v>221</v>
      </c>
      <c r="D55">
        <v>14.69832599510827</v>
      </c>
      <c r="E55">
        <v>9753.8091303538476</v>
      </c>
      <c r="F55">
        <v>13</v>
      </c>
      <c r="G55">
        <v>8626.8000000000011</v>
      </c>
      <c r="H55">
        <v>12.873428425067452</v>
      </c>
      <c r="I55">
        <v>8542.8071028747618</v>
      </c>
      <c r="J55">
        <v>12.785559781408937</v>
      </c>
      <c r="K55">
        <v>8484.4974709429716</v>
      </c>
      <c r="L55">
        <v>12</v>
      </c>
      <c r="M55">
        <v>7963.2000000000007</v>
      </c>
      <c r="N55">
        <v>11</v>
      </c>
      <c r="O55">
        <v>7299.6</v>
      </c>
      <c r="P55">
        <v>15</v>
      </c>
      <c r="Q55">
        <v>9954</v>
      </c>
      <c r="R55">
        <v>11</v>
      </c>
      <c r="S55">
        <v>7299.6</v>
      </c>
      <c r="T55">
        <v>16</v>
      </c>
      <c r="U55">
        <v>10617.6</v>
      </c>
      <c r="V55">
        <v>14</v>
      </c>
      <c r="W55">
        <v>9290.4</v>
      </c>
      <c r="X55">
        <v>14</v>
      </c>
      <c r="Y55">
        <v>9290.4</v>
      </c>
      <c r="Z55">
        <v>17</v>
      </c>
      <c r="AA55">
        <v>11281.2</v>
      </c>
      <c r="AB55">
        <v>14</v>
      </c>
      <c r="AC55">
        <v>9290.4</v>
      </c>
      <c r="AD55">
        <v>9</v>
      </c>
      <c r="AE55">
        <v>5972.4000000000005</v>
      </c>
      <c r="AF55">
        <v>19</v>
      </c>
      <c r="AG55">
        <v>12608.4</v>
      </c>
      <c r="AH55">
        <v>10</v>
      </c>
      <c r="AI55">
        <v>6636</v>
      </c>
      <c r="AJ55">
        <v>16</v>
      </c>
      <c r="AK55">
        <v>10617.6</v>
      </c>
      <c r="AL55">
        <v>9</v>
      </c>
      <c r="AM55">
        <v>5972.4000000000005</v>
      </c>
      <c r="AN55">
        <v>10</v>
      </c>
      <c r="AO55">
        <v>6636</v>
      </c>
      <c r="AP55">
        <v>15</v>
      </c>
      <c r="AQ55">
        <v>9954</v>
      </c>
      <c r="AR55">
        <v>18</v>
      </c>
      <c r="AS55">
        <v>11944.800000000001</v>
      </c>
      <c r="AT55">
        <v>15</v>
      </c>
      <c r="AU55">
        <v>9954</v>
      </c>
      <c r="AV55">
        <v>19</v>
      </c>
      <c r="AW55">
        <v>12608.4</v>
      </c>
      <c r="AX55">
        <v>12</v>
      </c>
      <c r="AY55">
        <v>7963.2000000000007</v>
      </c>
      <c r="AZ55">
        <v>15</v>
      </c>
      <c r="BA55">
        <v>9954</v>
      </c>
      <c r="BB55">
        <v>15</v>
      </c>
      <c r="BC55">
        <v>9954</v>
      </c>
      <c r="BD55">
        <v>16</v>
      </c>
      <c r="BE55">
        <v>10617.6</v>
      </c>
      <c r="BF55">
        <v>14</v>
      </c>
      <c r="BG55">
        <v>9290.4</v>
      </c>
      <c r="BH55">
        <v>14</v>
      </c>
      <c r="BI55">
        <v>9290.4</v>
      </c>
      <c r="BJ55">
        <v>18</v>
      </c>
      <c r="BK55">
        <v>11944.800000000001</v>
      </c>
      <c r="BL55">
        <v>17</v>
      </c>
      <c r="BM55">
        <v>11281.2</v>
      </c>
      <c r="BN55">
        <v>14</v>
      </c>
      <c r="BO55">
        <v>9290.4</v>
      </c>
      <c r="BP55">
        <v>16</v>
      </c>
      <c r="BQ55">
        <v>10617.6</v>
      </c>
      <c r="BR55">
        <v>16</v>
      </c>
      <c r="BS55">
        <v>10617.6</v>
      </c>
      <c r="BT55">
        <v>17</v>
      </c>
      <c r="BU55">
        <v>11281.2</v>
      </c>
      <c r="BV55">
        <v>19</v>
      </c>
      <c r="BW55">
        <v>12608.4</v>
      </c>
      <c r="BX55">
        <v>11</v>
      </c>
      <c r="BY55">
        <v>7299.6</v>
      </c>
      <c r="BZ55">
        <v>11</v>
      </c>
      <c r="CA55">
        <v>7299.6</v>
      </c>
      <c r="CB55">
        <v>13</v>
      </c>
      <c r="CC55">
        <v>8626.8000000000011</v>
      </c>
      <c r="CD55">
        <v>15</v>
      </c>
      <c r="CE55">
        <v>9954</v>
      </c>
      <c r="CF55">
        <v>11</v>
      </c>
      <c r="CG55">
        <v>7299.6</v>
      </c>
      <c r="CH55">
        <v>16</v>
      </c>
      <c r="CI55">
        <v>10617.6</v>
      </c>
      <c r="CJ55">
        <v>14</v>
      </c>
      <c r="CK55">
        <v>9290.4</v>
      </c>
      <c r="CL55">
        <v>13</v>
      </c>
      <c r="CM55">
        <v>8626.8000000000011</v>
      </c>
      <c r="CN55">
        <v>11</v>
      </c>
      <c r="CO55">
        <v>7299.6</v>
      </c>
      <c r="CP55">
        <v>15</v>
      </c>
      <c r="CQ55">
        <v>9954</v>
      </c>
      <c r="CR55">
        <v>10</v>
      </c>
      <c r="CS55">
        <v>6636</v>
      </c>
      <c r="CT55">
        <v>11</v>
      </c>
      <c r="CU55">
        <v>7299.6</v>
      </c>
    </row>
    <row r="56" spans="2:99" x14ac:dyDescent="0.2">
      <c r="C56" s="119" t="s">
        <v>222</v>
      </c>
      <c r="D56">
        <v>14.456653814404753</v>
      </c>
      <c r="E56">
        <v>16636.717209616989</v>
      </c>
      <c r="F56">
        <v>12.447244841337513</v>
      </c>
      <c r="G56">
        <v>14324.28936341121</v>
      </c>
      <c r="H56">
        <v>13</v>
      </c>
      <c r="I56">
        <v>14960.4</v>
      </c>
      <c r="J56">
        <v>11</v>
      </c>
      <c r="K56">
        <v>12658.8</v>
      </c>
      <c r="L56">
        <v>13.798300065570096</v>
      </c>
      <c r="M56">
        <v>15879.083715458066</v>
      </c>
      <c r="N56">
        <v>11.536158244332626</v>
      </c>
      <c r="O56">
        <v>13275.810907577985</v>
      </c>
      <c r="P56">
        <v>15.556379776349033</v>
      </c>
      <c r="Q56">
        <v>17902.281846622467</v>
      </c>
      <c r="R56">
        <v>11.418097081184325</v>
      </c>
      <c r="S56">
        <v>13139.94612102692</v>
      </c>
      <c r="T56">
        <v>18.365954629783658</v>
      </c>
      <c r="U56">
        <v>21135.540587955034</v>
      </c>
      <c r="V56">
        <v>14.361975749936127</v>
      </c>
      <c r="W56">
        <v>16527.761693026492</v>
      </c>
      <c r="X56">
        <v>13.505772470012026</v>
      </c>
      <c r="Y56">
        <v>15542.442958489839</v>
      </c>
      <c r="Z56">
        <v>14.317050053039925</v>
      </c>
      <c r="AA56">
        <v>16476.061201038345</v>
      </c>
      <c r="AB56">
        <v>14.541322728154242</v>
      </c>
      <c r="AC56">
        <v>16734.154195559902</v>
      </c>
      <c r="AD56">
        <v>9.4321718662089147</v>
      </c>
      <c r="AE56">
        <v>10854.543383633219</v>
      </c>
      <c r="AF56">
        <v>17.458632125776933</v>
      </c>
      <c r="AG56">
        <v>20091.393850344095</v>
      </c>
      <c r="AH56">
        <v>10.314221194788399</v>
      </c>
      <c r="AI56">
        <v>11869.605750962488</v>
      </c>
      <c r="AJ56">
        <v>15.402118683249469</v>
      </c>
      <c r="AK56">
        <v>17724.75818068349</v>
      </c>
      <c r="AL56">
        <v>9</v>
      </c>
      <c r="AM56">
        <v>10357.199999999999</v>
      </c>
      <c r="AN56">
        <v>10.457214823417692</v>
      </c>
      <c r="AO56">
        <v>12034.16281878908</v>
      </c>
      <c r="AP56">
        <v>15.388755639795423</v>
      </c>
      <c r="AQ56">
        <v>17709.379990276571</v>
      </c>
      <c r="AR56">
        <v>15.466066190094475</v>
      </c>
      <c r="AS56">
        <v>17798.348971560721</v>
      </c>
      <c r="AT56">
        <v>14.416830123895741</v>
      </c>
      <c r="AU56">
        <v>16590.888106579219</v>
      </c>
      <c r="AV56">
        <v>16.320653722064414</v>
      </c>
      <c r="AW56">
        <v>18781.808303351725</v>
      </c>
      <c r="AX56">
        <v>13.456456781312205</v>
      </c>
      <c r="AY56">
        <v>15485.690463934085</v>
      </c>
      <c r="AZ56">
        <v>14</v>
      </c>
      <c r="BA56">
        <v>16111.199999999999</v>
      </c>
      <c r="BB56">
        <v>15.650666573190129</v>
      </c>
      <c r="BC56">
        <v>18010.787092427199</v>
      </c>
      <c r="BD56">
        <v>15.521509126805672</v>
      </c>
      <c r="BE56">
        <v>17862.152703127966</v>
      </c>
      <c r="BF56">
        <v>14.318165554975941</v>
      </c>
      <c r="BG56">
        <v>16477.344920666314</v>
      </c>
      <c r="BH56">
        <v>12.427394886548951</v>
      </c>
      <c r="BI56">
        <v>14301.446035440533</v>
      </c>
      <c r="BJ56">
        <v>15.408104737172891</v>
      </c>
      <c r="BK56">
        <v>17731.646931538562</v>
      </c>
      <c r="BL56">
        <v>17.354294766000844</v>
      </c>
      <c r="BM56">
        <v>19971.322416713771</v>
      </c>
      <c r="BN56">
        <v>15.502710955981922</v>
      </c>
      <c r="BO56">
        <v>17840.519768143993</v>
      </c>
      <c r="BP56">
        <v>18.421575610255164</v>
      </c>
      <c r="BQ56">
        <v>21199.549212281643</v>
      </c>
      <c r="BR56">
        <v>18.390456749892834</v>
      </c>
      <c r="BS56">
        <v>21163.737627776674</v>
      </c>
      <c r="BT56">
        <v>15.450734536215917</v>
      </c>
      <c r="BU56">
        <v>17780.705304277275</v>
      </c>
      <c r="BV56">
        <v>18.528067297825284</v>
      </c>
      <c r="BW56">
        <v>21322.099846337336</v>
      </c>
      <c r="BX56">
        <v>11.27964061931165</v>
      </c>
      <c r="BY56">
        <v>12980.610424703846</v>
      </c>
      <c r="BZ56">
        <v>10.312512662346615</v>
      </c>
      <c r="CA56">
        <v>11867.639571828484</v>
      </c>
      <c r="CB56">
        <v>10.421883519675252</v>
      </c>
      <c r="CC56">
        <v>11993.503554442279</v>
      </c>
      <c r="CD56">
        <v>15.472308194505162</v>
      </c>
      <c r="CE56">
        <v>17805.532270236541</v>
      </c>
      <c r="CF56">
        <v>11.373143004710244</v>
      </c>
      <c r="CG56">
        <v>13088.212969820548</v>
      </c>
      <c r="CH56">
        <v>17.470730687479683</v>
      </c>
      <c r="CI56">
        <v>20105.31687515162</v>
      </c>
      <c r="CJ56">
        <v>14.268539615698103</v>
      </c>
      <c r="CK56">
        <v>16420.235389745376</v>
      </c>
      <c r="CL56">
        <v>13.488338232257686</v>
      </c>
      <c r="CM56">
        <v>15522.379637682145</v>
      </c>
      <c r="CN56">
        <v>11.265959245632382</v>
      </c>
      <c r="CO56">
        <v>12964.865899873745</v>
      </c>
      <c r="CP56">
        <v>15.517261260427047</v>
      </c>
      <c r="CQ56">
        <v>17857.264258499443</v>
      </c>
      <c r="CR56">
        <v>8.999297195783079</v>
      </c>
      <c r="CS56">
        <v>10356.391212907167</v>
      </c>
      <c r="CT56">
        <v>8.4495052131744437</v>
      </c>
      <c r="CU56">
        <v>9723.6905993211494</v>
      </c>
    </row>
    <row r="57" spans="2:99" x14ac:dyDescent="0.2">
      <c r="C57" s="119" t="s">
        <v>223</v>
      </c>
      <c r="D57">
        <v>13.648445566886251</v>
      </c>
      <c r="E57">
        <v>19260.686383989876</v>
      </c>
      <c r="F57">
        <v>11</v>
      </c>
      <c r="G57">
        <v>15523.2</v>
      </c>
      <c r="H57">
        <v>12.873428425067452</v>
      </c>
      <c r="I57">
        <v>18166.982193455187</v>
      </c>
      <c r="J57">
        <v>11.736462295070879</v>
      </c>
      <c r="K57">
        <v>16562.495590804025</v>
      </c>
      <c r="L57">
        <v>11</v>
      </c>
      <c r="M57">
        <v>15523.2</v>
      </c>
      <c r="N57">
        <v>10</v>
      </c>
      <c r="O57">
        <v>14112</v>
      </c>
      <c r="P57">
        <v>15</v>
      </c>
      <c r="Q57">
        <v>21168</v>
      </c>
      <c r="R57">
        <v>10</v>
      </c>
      <c r="S57">
        <v>14112</v>
      </c>
      <c r="T57">
        <v>18</v>
      </c>
      <c r="U57">
        <v>25401.600000000002</v>
      </c>
      <c r="V57">
        <v>13</v>
      </c>
      <c r="W57">
        <v>18345.600000000002</v>
      </c>
      <c r="X57">
        <v>11</v>
      </c>
      <c r="Y57">
        <v>15523.2</v>
      </c>
      <c r="Z57">
        <v>14</v>
      </c>
      <c r="AA57">
        <v>19756.8</v>
      </c>
      <c r="AB57">
        <v>13</v>
      </c>
      <c r="AC57">
        <v>18345.600000000002</v>
      </c>
      <c r="AD57">
        <v>8</v>
      </c>
      <c r="AE57">
        <v>11289.6</v>
      </c>
      <c r="AF57">
        <v>17</v>
      </c>
      <c r="AG57">
        <v>23990.400000000001</v>
      </c>
      <c r="AH57">
        <v>9</v>
      </c>
      <c r="AI57">
        <v>12700.800000000001</v>
      </c>
      <c r="AJ57">
        <v>16</v>
      </c>
      <c r="AK57">
        <v>22579.200000000001</v>
      </c>
      <c r="AL57">
        <v>9</v>
      </c>
      <c r="AM57">
        <v>12700.800000000001</v>
      </c>
      <c r="AN57">
        <v>9</v>
      </c>
      <c r="AO57">
        <v>12700.800000000001</v>
      </c>
      <c r="AP57">
        <v>17</v>
      </c>
      <c r="AQ57">
        <v>23990.400000000001</v>
      </c>
      <c r="AR57">
        <v>16</v>
      </c>
      <c r="AS57">
        <v>22579.200000000001</v>
      </c>
      <c r="AT57">
        <v>13</v>
      </c>
      <c r="AU57">
        <v>18345.600000000002</v>
      </c>
      <c r="AV57">
        <v>17</v>
      </c>
      <c r="AW57">
        <v>23990.400000000001</v>
      </c>
      <c r="AX57">
        <v>10</v>
      </c>
      <c r="AY57">
        <v>14112</v>
      </c>
      <c r="AZ57">
        <v>12</v>
      </c>
      <c r="BA57">
        <v>16934.400000000001</v>
      </c>
      <c r="BB57">
        <v>16</v>
      </c>
      <c r="BC57">
        <v>22579.200000000001</v>
      </c>
      <c r="BD57">
        <v>16</v>
      </c>
      <c r="BE57">
        <v>22579.200000000001</v>
      </c>
      <c r="BF57">
        <v>12</v>
      </c>
      <c r="BG57">
        <v>16934.400000000001</v>
      </c>
      <c r="BH57">
        <v>12</v>
      </c>
      <c r="BI57">
        <v>16934.400000000001</v>
      </c>
      <c r="BJ57">
        <v>18</v>
      </c>
      <c r="BK57">
        <v>25401.600000000002</v>
      </c>
      <c r="BL57">
        <v>17</v>
      </c>
      <c r="BM57">
        <v>23990.400000000001</v>
      </c>
      <c r="BN57">
        <v>13</v>
      </c>
      <c r="BO57">
        <v>18345.600000000002</v>
      </c>
      <c r="BP57">
        <v>18</v>
      </c>
      <c r="BQ57">
        <v>25401.600000000002</v>
      </c>
      <c r="BR57">
        <v>17</v>
      </c>
      <c r="BS57">
        <v>23990.400000000001</v>
      </c>
      <c r="BT57">
        <v>15</v>
      </c>
      <c r="BU57">
        <v>21168</v>
      </c>
      <c r="BV57">
        <v>15</v>
      </c>
      <c r="BW57">
        <v>21168</v>
      </c>
      <c r="BX57">
        <v>10</v>
      </c>
      <c r="BY57">
        <v>14112</v>
      </c>
      <c r="BZ57">
        <v>10</v>
      </c>
      <c r="CA57">
        <v>14112</v>
      </c>
      <c r="CB57">
        <v>10</v>
      </c>
      <c r="CC57">
        <v>14112</v>
      </c>
      <c r="CD57">
        <v>14</v>
      </c>
      <c r="CE57">
        <v>19756.8</v>
      </c>
      <c r="CF57">
        <v>10</v>
      </c>
      <c r="CG57">
        <v>14112</v>
      </c>
      <c r="CH57">
        <v>16</v>
      </c>
      <c r="CI57">
        <v>22579.200000000001</v>
      </c>
      <c r="CJ57">
        <v>15</v>
      </c>
      <c r="CK57">
        <v>21168</v>
      </c>
      <c r="CL57">
        <v>12</v>
      </c>
      <c r="CM57">
        <v>16934.400000000001</v>
      </c>
      <c r="CN57">
        <v>11</v>
      </c>
      <c r="CO57">
        <v>15523.2</v>
      </c>
      <c r="CP57">
        <v>13</v>
      </c>
      <c r="CQ57">
        <v>18345.600000000002</v>
      </c>
      <c r="CR57">
        <v>10</v>
      </c>
      <c r="CS57">
        <v>14112</v>
      </c>
      <c r="CT57">
        <v>12</v>
      </c>
      <c r="CU57">
        <v>16934.400000000001</v>
      </c>
    </row>
    <row r="58" spans="2:99" x14ac:dyDescent="0.2">
      <c r="C58" s="119" t="s">
        <v>224</v>
      </c>
      <c r="D58">
        <v>15.456653814404753</v>
      </c>
      <c r="E58">
        <v>18195.572870317275</v>
      </c>
      <c r="F58">
        <v>12.47355336141619</v>
      </c>
      <c r="G58">
        <v>14683.867017059139</v>
      </c>
      <c r="H58">
        <v>12</v>
      </c>
      <c r="I58">
        <v>14126.400000000001</v>
      </c>
      <c r="J58">
        <v>10</v>
      </c>
      <c r="K58">
        <v>11772</v>
      </c>
      <c r="L58">
        <v>13.848193819668227</v>
      </c>
      <c r="M58">
        <v>16302.093764513438</v>
      </c>
      <c r="N58">
        <v>10.536158244332626</v>
      </c>
      <c r="O58">
        <v>12403.165485228368</v>
      </c>
      <c r="P58">
        <v>14.528560787531582</v>
      </c>
      <c r="Q58">
        <v>17103.021759082178</v>
      </c>
      <c r="R58">
        <v>12.470359216332364</v>
      </c>
      <c r="S58">
        <v>14680.106869466459</v>
      </c>
      <c r="T58">
        <v>16.396450848932297</v>
      </c>
      <c r="U58">
        <v>19301.901939363099</v>
      </c>
      <c r="V58">
        <v>14.386107466598535</v>
      </c>
      <c r="W58">
        <v>16935.325709679797</v>
      </c>
      <c r="X58">
        <v>12.442550911260522</v>
      </c>
      <c r="Y58">
        <v>14647.370932735887</v>
      </c>
      <c r="Z58">
        <v>15.345872785134464</v>
      </c>
      <c r="AA58">
        <v>18065.16144266029</v>
      </c>
      <c r="AB58">
        <v>14.573165241575079</v>
      </c>
      <c r="AC58">
        <v>17155.530122382184</v>
      </c>
      <c r="AD58">
        <v>10.381328117243159</v>
      </c>
      <c r="AE58">
        <v>12220.899459618648</v>
      </c>
      <c r="AF58">
        <v>18.524151000887922</v>
      </c>
      <c r="AG58">
        <v>21806.630558245262</v>
      </c>
      <c r="AH58">
        <v>9.3142211947883986</v>
      </c>
      <c r="AI58">
        <v>10964.701190504904</v>
      </c>
      <c r="AJ58">
        <v>14.469138463791047</v>
      </c>
      <c r="AK58">
        <v>17033.069799574823</v>
      </c>
      <c r="AL58">
        <v>8</v>
      </c>
      <c r="AM58">
        <v>9417.6</v>
      </c>
      <c r="AN58">
        <v>9.4572148234176918</v>
      </c>
      <c r="AO58">
        <v>11133.033290127307</v>
      </c>
      <c r="AP58">
        <v>15.414672682448453</v>
      </c>
      <c r="AQ58">
        <v>18146.15268177832</v>
      </c>
      <c r="AR58">
        <v>17.396156261580302</v>
      </c>
      <c r="AS58">
        <v>20478.755151132333</v>
      </c>
      <c r="AT58">
        <v>13.416830123895741</v>
      </c>
      <c r="AU58">
        <v>15794.292421850067</v>
      </c>
      <c r="AV58">
        <v>17.349804060433907</v>
      </c>
      <c r="AW58">
        <v>20424.189339942797</v>
      </c>
      <c r="AX58">
        <v>11.483307180212924</v>
      </c>
      <c r="AY58">
        <v>13518.149212546654</v>
      </c>
      <c r="AZ58">
        <v>13</v>
      </c>
      <c r="BA58">
        <v>15303.6</v>
      </c>
      <c r="BB58">
        <v>17.609999912365744</v>
      </c>
      <c r="BC58">
        <v>20730.491896836953</v>
      </c>
      <c r="BD58">
        <v>18.552186134264829</v>
      </c>
      <c r="BE58">
        <v>21839.63351725656</v>
      </c>
      <c r="BF58">
        <v>13.265137962479951</v>
      </c>
      <c r="BG58">
        <v>15615.720409431398</v>
      </c>
      <c r="BH58">
        <v>13.403650726185122</v>
      </c>
      <c r="BI58">
        <v>15778.777634865126</v>
      </c>
      <c r="BJ58">
        <v>17.437255075542385</v>
      </c>
      <c r="BK58">
        <v>20527.136674928497</v>
      </c>
      <c r="BL58">
        <v>16.354294766000844</v>
      </c>
      <c r="BM58">
        <v>19252.275798536193</v>
      </c>
      <c r="BN58">
        <v>16.449794013246983</v>
      </c>
      <c r="BO58">
        <v>19364.697512394348</v>
      </c>
      <c r="BP58">
        <v>18.395227134614217</v>
      </c>
      <c r="BQ58">
        <v>21654.861382867857</v>
      </c>
      <c r="BR58">
        <v>18.390456749892834</v>
      </c>
      <c r="BS58">
        <v>21649.245685973845</v>
      </c>
      <c r="BT58">
        <v>14.477248332463912</v>
      </c>
      <c r="BU58">
        <v>17042.616736976517</v>
      </c>
      <c r="BV58">
        <v>16.528067297825284</v>
      </c>
      <c r="BW58">
        <v>19456.840822999926</v>
      </c>
      <c r="BX58">
        <v>10.27964061931165</v>
      </c>
      <c r="BY58">
        <v>12101.192937053675</v>
      </c>
      <c r="BZ58">
        <v>9.3125126623466148</v>
      </c>
      <c r="CA58">
        <v>10962.689906114436</v>
      </c>
      <c r="CB58">
        <v>12.421883519675252</v>
      </c>
      <c r="CC58">
        <v>14623.041279361707</v>
      </c>
      <c r="CD58">
        <v>17.446068850365986</v>
      </c>
      <c r="CE58">
        <v>20537.512250650838</v>
      </c>
      <c r="CF58">
        <v>9.3731430047102435</v>
      </c>
      <c r="CG58">
        <v>11034.063945144899</v>
      </c>
      <c r="CH58">
        <v>17.470730687479683</v>
      </c>
      <c r="CI58">
        <v>20566.544165301086</v>
      </c>
      <c r="CJ58">
        <v>14.317365000370486</v>
      </c>
      <c r="CK58">
        <v>16854.402078436138</v>
      </c>
      <c r="CL58">
        <v>13.517064010625784</v>
      </c>
      <c r="CM58">
        <v>15912.287753308674</v>
      </c>
      <c r="CN58">
        <v>10.265959245632382</v>
      </c>
      <c r="CO58">
        <v>12085.087223958441</v>
      </c>
      <c r="CP58">
        <v>13.490036983562465</v>
      </c>
      <c r="CQ58">
        <v>15880.471537049734</v>
      </c>
      <c r="CR58">
        <v>9.938990209824766</v>
      </c>
      <c r="CS58">
        <v>11700.179275005716</v>
      </c>
      <c r="CT58">
        <v>7.6997259127313926</v>
      </c>
      <c r="CU58">
        <v>9064.117344467395</v>
      </c>
    </row>
    <row r="59" spans="2:99" x14ac:dyDescent="0.2">
      <c r="C59" s="119" t="s">
        <v>225</v>
      </c>
      <c r="D59">
        <v>15.74820642333029</v>
      </c>
      <c r="E59">
        <v>4781.1554701230752</v>
      </c>
      <c r="F59">
        <v>13</v>
      </c>
      <c r="G59">
        <v>3946.7999999999997</v>
      </c>
      <c r="H59">
        <v>15.011338176393892</v>
      </c>
      <c r="I59">
        <v>4557.4422703531854</v>
      </c>
      <c r="J59">
        <v>12.785559781408937</v>
      </c>
      <c r="K59">
        <v>3881.6959496357526</v>
      </c>
      <c r="L59">
        <v>14</v>
      </c>
      <c r="M59">
        <v>4250.3999999999996</v>
      </c>
      <c r="N59">
        <v>12</v>
      </c>
      <c r="O59">
        <v>3643.2</v>
      </c>
      <c r="P59">
        <v>15</v>
      </c>
      <c r="Q59">
        <v>4553.9999999999991</v>
      </c>
      <c r="R59">
        <v>13</v>
      </c>
      <c r="S59">
        <v>3946.7999999999997</v>
      </c>
      <c r="T59">
        <v>19</v>
      </c>
      <c r="U59">
        <v>5768.4</v>
      </c>
      <c r="V59">
        <v>15</v>
      </c>
      <c r="W59">
        <v>4553.9999999999991</v>
      </c>
      <c r="X59">
        <v>13</v>
      </c>
      <c r="Y59">
        <v>3946.7999999999997</v>
      </c>
      <c r="Z59">
        <v>16</v>
      </c>
      <c r="AA59">
        <v>4857.5999999999995</v>
      </c>
      <c r="AB59">
        <v>15</v>
      </c>
      <c r="AC59">
        <v>4553.9999999999991</v>
      </c>
      <c r="AD59">
        <v>10</v>
      </c>
      <c r="AE59">
        <v>3035.9999999999995</v>
      </c>
      <c r="AF59">
        <v>20</v>
      </c>
      <c r="AG59">
        <v>6071.9999999999991</v>
      </c>
      <c r="AH59">
        <v>11</v>
      </c>
      <c r="AI59">
        <v>3339.5999999999995</v>
      </c>
      <c r="AJ59">
        <v>18</v>
      </c>
      <c r="AK59">
        <v>5464.7999999999993</v>
      </c>
      <c r="AL59">
        <v>9</v>
      </c>
      <c r="AM59">
        <v>2732.3999999999996</v>
      </c>
      <c r="AN59">
        <v>9</v>
      </c>
      <c r="AO59">
        <v>2732.3999999999996</v>
      </c>
      <c r="AP59">
        <v>16</v>
      </c>
      <c r="AQ59">
        <v>4857.5999999999995</v>
      </c>
      <c r="AR59">
        <v>19</v>
      </c>
      <c r="AS59">
        <v>5768.4</v>
      </c>
      <c r="AT59">
        <v>15</v>
      </c>
      <c r="AU59">
        <v>4553.9999999999991</v>
      </c>
      <c r="AV59">
        <v>19</v>
      </c>
      <c r="AW59">
        <v>5768.4</v>
      </c>
      <c r="AX59">
        <v>12</v>
      </c>
      <c r="AY59">
        <v>3643.2</v>
      </c>
      <c r="AZ59">
        <v>14</v>
      </c>
      <c r="BA59">
        <v>4250.3999999999996</v>
      </c>
      <c r="BB59">
        <v>18</v>
      </c>
      <c r="BC59">
        <v>5464.7999999999993</v>
      </c>
      <c r="BD59">
        <v>19</v>
      </c>
      <c r="BE59">
        <v>5768.4</v>
      </c>
      <c r="BF59">
        <v>15</v>
      </c>
      <c r="BG59">
        <v>4553.9999999999991</v>
      </c>
      <c r="BH59">
        <v>12</v>
      </c>
      <c r="BI59">
        <v>3643.2</v>
      </c>
      <c r="BJ59">
        <v>17</v>
      </c>
      <c r="BK59">
        <v>5161.2</v>
      </c>
      <c r="BL59">
        <v>18</v>
      </c>
      <c r="BM59">
        <v>5464.7999999999993</v>
      </c>
      <c r="BN59">
        <v>16</v>
      </c>
      <c r="BO59">
        <v>4857.5999999999995</v>
      </c>
      <c r="BP59">
        <v>20</v>
      </c>
      <c r="BQ59">
        <v>6071.9999999999991</v>
      </c>
      <c r="BR59">
        <v>17</v>
      </c>
      <c r="BS59">
        <v>5161.2</v>
      </c>
      <c r="BT59">
        <v>17</v>
      </c>
      <c r="BU59">
        <v>5161.2</v>
      </c>
      <c r="BV59">
        <v>20</v>
      </c>
      <c r="BW59">
        <v>6071.9999999999991</v>
      </c>
      <c r="BX59">
        <v>11</v>
      </c>
      <c r="BY59">
        <v>3339.5999999999995</v>
      </c>
      <c r="BZ59">
        <v>10</v>
      </c>
      <c r="CA59">
        <v>3035.9999999999995</v>
      </c>
      <c r="CB59">
        <v>13</v>
      </c>
      <c r="CC59">
        <v>3946.7999999999997</v>
      </c>
      <c r="CD59">
        <v>15</v>
      </c>
      <c r="CE59">
        <v>4553.9999999999991</v>
      </c>
      <c r="CF59">
        <v>12</v>
      </c>
      <c r="CG59">
        <v>3643.2</v>
      </c>
      <c r="CH59">
        <v>17</v>
      </c>
      <c r="CI59">
        <v>5161.2</v>
      </c>
      <c r="CJ59">
        <v>14</v>
      </c>
      <c r="CK59">
        <v>4250.3999999999996</v>
      </c>
      <c r="CL59">
        <v>13</v>
      </c>
      <c r="CM59">
        <v>3946.7999999999997</v>
      </c>
      <c r="CN59">
        <v>11</v>
      </c>
      <c r="CO59">
        <v>3339.5999999999995</v>
      </c>
      <c r="CP59">
        <v>17</v>
      </c>
      <c r="CQ59">
        <v>5161.2</v>
      </c>
      <c r="CR59">
        <v>11</v>
      </c>
      <c r="CS59">
        <v>3339.5999999999995</v>
      </c>
      <c r="CT59">
        <v>13</v>
      </c>
      <c r="CU59">
        <v>3946.7999999999997</v>
      </c>
    </row>
    <row r="60" spans="2:99" x14ac:dyDescent="0.2">
      <c r="C60" s="119" t="s">
        <v>226</v>
      </c>
      <c r="D60">
        <v>15.69832599510827</v>
      </c>
      <c r="E60">
        <v>10229.029218412548</v>
      </c>
      <c r="F60">
        <v>13</v>
      </c>
      <c r="G60">
        <v>8470.8000000000011</v>
      </c>
      <c r="H60">
        <v>12.965368259285079</v>
      </c>
      <c r="I60">
        <v>8448.2339577501571</v>
      </c>
      <c r="J60">
        <v>11.785559781408937</v>
      </c>
      <c r="K60">
        <v>7679.4707535660636</v>
      </c>
      <c r="L60">
        <v>12</v>
      </c>
      <c r="M60">
        <v>7819.2000000000007</v>
      </c>
      <c r="N60">
        <v>10</v>
      </c>
      <c r="O60">
        <v>6516</v>
      </c>
      <c r="P60">
        <v>14</v>
      </c>
      <c r="Q60">
        <v>9122.4</v>
      </c>
      <c r="R60">
        <v>12</v>
      </c>
      <c r="S60">
        <v>7819.2000000000007</v>
      </c>
      <c r="T60">
        <v>18</v>
      </c>
      <c r="U60">
        <v>11728.800000000001</v>
      </c>
      <c r="V60">
        <v>12</v>
      </c>
      <c r="W60">
        <v>7819.2000000000007</v>
      </c>
      <c r="X60">
        <v>13</v>
      </c>
      <c r="Y60">
        <v>8470.8000000000011</v>
      </c>
      <c r="Z60">
        <v>15</v>
      </c>
      <c r="AA60">
        <v>9774</v>
      </c>
      <c r="AB60">
        <v>14</v>
      </c>
      <c r="AC60">
        <v>9122.4</v>
      </c>
      <c r="AD60">
        <v>11</v>
      </c>
      <c r="AE60">
        <v>7167.6</v>
      </c>
      <c r="AF60">
        <v>19</v>
      </c>
      <c r="AG60">
        <v>12380.4</v>
      </c>
      <c r="AH60">
        <v>10</v>
      </c>
      <c r="AI60">
        <v>6516</v>
      </c>
      <c r="AJ60">
        <v>15</v>
      </c>
      <c r="AK60">
        <v>9774</v>
      </c>
      <c r="AL60">
        <v>10</v>
      </c>
      <c r="AM60">
        <v>6516</v>
      </c>
      <c r="AN60">
        <v>9</v>
      </c>
      <c r="AO60">
        <v>5864.4000000000005</v>
      </c>
      <c r="AP60">
        <v>17</v>
      </c>
      <c r="AQ60">
        <v>11077.2</v>
      </c>
      <c r="AR60">
        <v>17</v>
      </c>
      <c r="AS60">
        <v>11077.2</v>
      </c>
      <c r="AT60">
        <v>16</v>
      </c>
      <c r="AU60">
        <v>10425.6</v>
      </c>
      <c r="AV60">
        <v>16</v>
      </c>
      <c r="AW60">
        <v>10425.6</v>
      </c>
      <c r="AX60">
        <v>12</v>
      </c>
      <c r="AY60">
        <v>7819.2000000000007</v>
      </c>
      <c r="AZ60">
        <v>14</v>
      </c>
      <c r="BA60">
        <v>9122.4</v>
      </c>
      <c r="BB60">
        <v>18</v>
      </c>
      <c r="BC60">
        <v>11728.800000000001</v>
      </c>
      <c r="BD60">
        <v>19</v>
      </c>
      <c r="BE60">
        <v>12380.4</v>
      </c>
      <c r="BF60">
        <v>16</v>
      </c>
      <c r="BG60">
        <v>10425.6</v>
      </c>
      <c r="BH60">
        <v>12</v>
      </c>
      <c r="BI60">
        <v>7819.2000000000007</v>
      </c>
      <c r="BJ60">
        <v>19</v>
      </c>
      <c r="BK60">
        <v>12380.4</v>
      </c>
      <c r="BL60">
        <v>16</v>
      </c>
      <c r="BM60">
        <v>10425.6</v>
      </c>
      <c r="BN60">
        <v>17</v>
      </c>
      <c r="BO60">
        <v>11077.2</v>
      </c>
      <c r="BP60">
        <v>18</v>
      </c>
      <c r="BQ60">
        <v>11728.800000000001</v>
      </c>
      <c r="BR60">
        <v>17</v>
      </c>
      <c r="BS60">
        <v>11077.2</v>
      </c>
      <c r="BT60">
        <v>18</v>
      </c>
      <c r="BU60">
        <v>11728.800000000001</v>
      </c>
      <c r="BV60">
        <v>17</v>
      </c>
      <c r="BW60">
        <v>11077.2</v>
      </c>
      <c r="BX60">
        <v>12</v>
      </c>
      <c r="BY60">
        <v>7819.2000000000007</v>
      </c>
      <c r="BZ60">
        <v>10</v>
      </c>
      <c r="CA60">
        <v>6516</v>
      </c>
      <c r="CB60">
        <v>13</v>
      </c>
      <c r="CC60">
        <v>8470.8000000000011</v>
      </c>
      <c r="CD60">
        <v>17</v>
      </c>
      <c r="CE60">
        <v>11077.2</v>
      </c>
      <c r="CF60">
        <v>11</v>
      </c>
      <c r="CG60">
        <v>7167.6</v>
      </c>
      <c r="CH60">
        <v>17</v>
      </c>
      <c r="CI60">
        <v>11077.2</v>
      </c>
      <c r="CJ60">
        <v>15</v>
      </c>
      <c r="CK60">
        <v>9774</v>
      </c>
      <c r="CL60">
        <v>13</v>
      </c>
      <c r="CM60">
        <v>8470.8000000000011</v>
      </c>
      <c r="CN60">
        <v>11</v>
      </c>
      <c r="CO60">
        <v>7167.6</v>
      </c>
      <c r="CP60">
        <v>15</v>
      </c>
      <c r="CQ60">
        <v>9774</v>
      </c>
      <c r="CR60">
        <v>11</v>
      </c>
      <c r="CS60">
        <v>7167.6</v>
      </c>
      <c r="CT60">
        <v>11</v>
      </c>
      <c r="CU60">
        <v>7167.6</v>
      </c>
    </row>
    <row r="61" spans="2:99" x14ac:dyDescent="0.2">
      <c r="C61" s="119" t="s">
        <v>227</v>
      </c>
      <c r="D61">
        <v>14.74820642333029</v>
      </c>
      <c r="E61">
        <v>14034.393232441102</v>
      </c>
      <c r="F61">
        <v>13</v>
      </c>
      <c r="G61">
        <v>12370.8</v>
      </c>
      <c r="H61">
        <v>12.827458507958639</v>
      </c>
      <c r="I61">
        <v>12206.609516173439</v>
      </c>
      <c r="J61">
        <v>11.736462295070879</v>
      </c>
      <c r="K61">
        <v>11168.417519989447</v>
      </c>
      <c r="L61">
        <v>11</v>
      </c>
      <c r="M61">
        <v>10467.599999999999</v>
      </c>
      <c r="N61">
        <v>11</v>
      </c>
      <c r="O61">
        <v>10467.599999999999</v>
      </c>
      <c r="P61">
        <v>16</v>
      </c>
      <c r="Q61">
        <v>15225.599999999999</v>
      </c>
      <c r="R61">
        <v>11</v>
      </c>
      <c r="S61">
        <v>10467.599999999999</v>
      </c>
      <c r="T61">
        <v>17</v>
      </c>
      <c r="U61">
        <v>16177.199999999999</v>
      </c>
      <c r="V61">
        <v>12</v>
      </c>
      <c r="W61">
        <v>11419.199999999999</v>
      </c>
      <c r="X61">
        <v>12</v>
      </c>
      <c r="Y61">
        <v>11419.199999999999</v>
      </c>
      <c r="Z61">
        <v>16</v>
      </c>
      <c r="AA61">
        <v>15225.599999999999</v>
      </c>
      <c r="AB61">
        <v>14</v>
      </c>
      <c r="AC61">
        <v>13322.399999999998</v>
      </c>
      <c r="AD61">
        <v>9</v>
      </c>
      <c r="AE61">
        <v>8564.4</v>
      </c>
      <c r="AF61">
        <v>17</v>
      </c>
      <c r="AG61">
        <v>16177.199999999999</v>
      </c>
      <c r="AH61">
        <v>10</v>
      </c>
      <c r="AI61">
        <v>9516</v>
      </c>
      <c r="AJ61">
        <v>14</v>
      </c>
      <c r="AK61">
        <v>13322.399999999998</v>
      </c>
      <c r="AL61">
        <v>8</v>
      </c>
      <c r="AM61">
        <v>7612.7999999999993</v>
      </c>
      <c r="AN61">
        <v>9</v>
      </c>
      <c r="AO61">
        <v>8564.4</v>
      </c>
      <c r="AP61">
        <v>17</v>
      </c>
      <c r="AQ61">
        <v>16177.199999999999</v>
      </c>
      <c r="AR61">
        <v>16</v>
      </c>
      <c r="AS61">
        <v>15225.599999999999</v>
      </c>
      <c r="AT61">
        <v>13</v>
      </c>
      <c r="AU61">
        <v>12370.8</v>
      </c>
      <c r="AV61">
        <v>19</v>
      </c>
      <c r="AW61">
        <v>18080.399999999998</v>
      </c>
      <c r="AX61">
        <v>12</v>
      </c>
      <c r="AY61">
        <v>11419.199999999999</v>
      </c>
      <c r="AZ61">
        <v>13</v>
      </c>
      <c r="BA61">
        <v>12370.8</v>
      </c>
      <c r="BB61">
        <v>15</v>
      </c>
      <c r="BC61">
        <v>14273.999999999998</v>
      </c>
      <c r="BD61">
        <v>15</v>
      </c>
      <c r="BE61">
        <v>14273.999999999998</v>
      </c>
      <c r="BF61">
        <v>13</v>
      </c>
      <c r="BG61">
        <v>12370.8</v>
      </c>
      <c r="BH61">
        <v>11</v>
      </c>
      <c r="BI61">
        <v>10467.599999999999</v>
      </c>
      <c r="BJ61">
        <v>16</v>
      </c>
      <c r="BK61">
        <v>15225.599999999999</v>
      </c>
      <c r="BL61">
        <v>16</v>
      </c>
      <c r="BM61">
        <v>15225.599999999999</v>
      </c>
      <c r="BN61">
        <v>17</v>
      </c>
      <c r="BO61">
        <v>16177.199999999999</v>
      </c>
      <c r="BP61">
        <v>17</v>
      </c>
      <c r="BQ61">
        <v>16177.199999999999</v>
      </c>
      <c r="BR61">
        <v>18</v>
      </c>
      <c r="BS61">
        <v>17128.8</v>
      </c>
      <c r="BT61">
        <v>15</v>
      </c>
      <c r="BU61">
        <v>14273.999999999998</v>
      </c>
      <c r="BV61">
        <v>17</v>
      </c>
      <c r="BW61">
        <v>16177.199999999999</v>
      </c>
      <c r="BX61">
        <v>10</v>
      </c>
      <c r="BY61">
        <v>9516</v>
      </c>
      <c r="BZ61">
        <v>10</v>
      </c>
      <c r="CA61">
        <v>9516</v>
      </c>
      <c r="CB61">
        <v>11</v>
      </c>
      <c r="CC61">
        <v>10467.599999999999</v>
      </c>
      <c r="CD61">
        <v>17</v>
      </c>
      <c r="CE61">
        <v>16177.199999999999</v>
      </c>
      <c r="CF61">
        <v>10</v>
      </c>
      <c r="CG61">
        <v>9516</v>
      </c>
      <c r="CH61">
        <v>16</v>
      </c>
      <c r="CI61">
        <v>15225.599999999999</v>
      </c>
      <c r="CJ61">
        <v>14</v>
      </c>
      <c r="CK61">
        <v>13322.399999999998</v>
      </c>
      <c r="CL61">
        <v>13</v>
      </c>
      <c r="CM61">
        <v>12370.8</v>
      </c>
      <c r="CN61">
        <v>11</v>
      </c>
      <c r="CO61">
        <v>10467.599999999999</v>
      </c>
      <c r="CP61">
        <v>16</v>
      </c>
      <c r="CQ61">
        <v>15225.599999999999</v>
      </c>
      <c r="CR61">
        <v>10</v>
      </c>
      <c r="CS61">
        <v>9516</v>
      </c>
      <c r="CT61">
        <v>12</v>
      </c>
      <c r="CU61">
        <v>11419.199999999999</v>
      </c>
    </row>
    <row r="62" spans="2:99" x14ac:dyDescent="0.2">
      <c r="C62" s="119" t="s">
        <v>228</v>
      </c>
      <c r="D62">
        <v>12.648445566886251</v>
      </c>
      <c r="E62">
        <v>21568.129380654434</v>
      </c>
      <c r="F62">
        <v>11</v>
      </c>
      <c r="G62">
        <v>18757.2</v>
      </c>
      <c r="H62">
        <v>11.781488590849825</v>
      </c>
      <c r="I62">
        <v>20089.794345117123</v>
      </c>
      <c r="J62">
        <v>10.68736480873282</v>
      </c>
      <c r="K62">
        <v>18224.094471851204</v>
      </c>
      <c r="L62">
        <v>11</v>
      </c>
      <c r="M62">
        <v>18757.2</v>
      </c>
      <c r="N62">
        <v>10</v>
      </c>
      <c r="O62">
        <v>17052</v>
      </c>
      <c r="P62">
        <v>12</v>
      </c>
      <c r="Q62">
        <v>20462.400000000001</v>
      </c>
      <c r="R62">
        <v>11</v>
      </c>
      <c r="S62">
        <v>18757.2</v>
      </c>
      <c r="T62">
        <v>15</v>
      </c>
      <c r="U62">
        <v>25578</v>
      </c>
      <c r="V62">
        <v>13</v>
      </c>
      <c r="W62">
        <v>22167.600000000002</v>
      </c>
      <c r="X62">
        <v>11</v>
      </c>
      <c r="Y62">
        <v>18757.2</v>
      </c>
      <c r="Z62">
        <v>13</v>
      </c>
      <c r="AA62">
        <v>22167.600000000002</v>
      </c>
      <c r="AB62">
        <v>12</v>
      </c>
      <c r="AC62">
        <v>20462.400000000001</v>
      </c>
      <c r="AD62">
        <v>8</v>
      </c>
      <c r="AE62">
        <v>13641.6</v>
      </c>
      <c r="AF62">
        <v>17</v>
      </c>
      <c r="AG62">
        <v>28988.400000000001</v>
      </c>
      <c r="AH62">
        <v>9</v>
      </c>
      <c r="AI62">
        <v>15346.800000000001</v>
      </c>
      <c r="AJ62">
        <v>14</v>
      </c>
      <c r="AK62">
        <v>23872.799999999999</v>
      </c>
      <c r="AL62">
        <v>9</v>
      </c>
      <c r="AM62">
        <v>15346.800000000001</v>
      </c>
      <c r="AN62">
        <v>8</v>
      </c>
      <c r="AO62">
        <v>13641.6</v>
      </c>
      <c r="AP62">
        <v>16</v>
      </c>
      <c r="AQ62">
        <v>27283.200000000001</v>
      </c>
      <c r="AR62">
        <v>15</v>
      </c>
      <c r="AS62">
        <v>25578</v>
      </c>
      <c r="AT62">
        <v>12</v>
      </c>
      <c r="AU62">
        <v>20462.400000000001</v>
      </c>
      <c r="AV62">
        <v>17</v>
      </c>
      <c r="AW62">
        <v>28988.400000000001</v>
      </c>
      <c r="AX62">
        <v>12</v>
      </c>
      <c r="AY62">
        <v>20462.400000000001</v>
      </c>
      <c r="AZ62">
        <v>12</v>
      </c>
      <c r="BA62">
        <v>20462.400000000001</v>
      </c>
      <c r="BB62">
        <v>15</v>
      </c>
      <c r="BC62">
        <v>25578</v>
      </c>
      <c r="BD62">
        <v>16</v>
      </c>
      <c r="BE62">
        <v>27283.200000000001</v>
      </c>
      <c r="BF62">
        <v>12</v>
      </c>
      <c r="BG62">
        <v>20462.400000000001</v>
      </c>
      <c r="BH62">
        <v>10</v>
      </c>
      <c r="BI62">
        <v>17052</v>
      </c>
      <c r="BJ62">
        <v>15</v>
      </c>
      <c r="BK62">
        <v>25578</v>
      </c>
      <c r="BL62">
        <v>15</v>
      </c>
      <c r="BM62">
        <v>25578</v>
      </c>
      <c r="BN62">
        <v>14</v>
      </c>
      <c r="BO62">
        <v>23872.799999999999</v>
      </c>
      <c r="BP62">
        <v>16</v>
      </c>
      <c r="BQ62">
        <v>27283.200000000001</v>
      </c>
      <c r="BR62">
        <v>15</v>
      </c>
      <c r="BS62">
        <v>25578</v>
      </c>
      <c r="BT62">
        <v>15</v>
      </c>
      <c r="BU62">
        <v>25578</v>
      </c>
      <c r="BV62">
        <v>17</v>
      </c>
      <c r="BW62">
        <v>28988.400000000001</v>
      </c>
      <c r="BX62">
        <v>10</v>
      </c>
      <c r="BY62">
        <v>17052</v>
      </c>
      <c r="BZ62">
        <v>9</v>
      </c>
      <c r="CA62">
        <v>15346.800000000001</v>
      </c>
      <c r="CB62">
        <v>10</v>
      </c>
      <c r="CC62">
        <v>17052</v>
      </c>
      <c r="CD62">
        <v>15</v>
      </c>
      <c r="CE62">
        <v>25578</v>
      </c>
      <c r="CF62">
        <v>10</v>
      </c>
      <c r="CG62">
        <v>17052</v>
      </c>
      <c r="CH62">
        <v>16</v>
      </c>
      <c r="CI62">
        <v>27283.200000000001</v>
      </c>
      <c r="CJ62">
        <v>13</v>
      </c>
      <c r="CK62">
        <v>22167.600000000002</v>
      </c>
      <c r="CL62">
        <v>12</v>
      </c>
      <c r="CM62">
        <v>20462.400000000001</v>
      </c>
      <c r="CN62">
        <v>9</v>
      </c>
      <c r="CO62">
        <v>15346.800000000001</v>
      </c>
      <c r="CP62">
        <v>15</v>
      </c>
      <c r="CQ62">
        <v>25578</v>
      </c>
      <c r="CR62">
        <v>10</v>
      </c>
      <c r="CS62">
        <v>17052</v>
      </c>
      <c r="CT62">
        <v>11</v>
      </c>
      <c r="CU62">
        <v>18757.2</v>
      </c>
    </row>
    <row r="63" spans="2:99" x14ac:dyDescent="0.2">
      <c r="C63" s="119" t="s">
        <v>229</v>
      </c>
      <c r="D63">
        <v>14.74820642333029</v>
      </c>
      <c r="E63">
        <v>11733.673030401578</v>
      </c>
      <c r="F63">
        <v>13</v>
      </c>
      <c r="G63">
        <v>10342.800000000001</v>
      </c>
      <c r="H63">
        <v>12.827458507958639</v>
      </c>
      <c r="I63">
        <v>10205.525988931893</v>
      </c>
      <c r="J63">
        <v>10.68736480873282</v>
      </c>
      <c r="K63">
        <v>8502.8674418278315</v>
      </c>
      <c r="L63">
        <v>12</v>
      </c>
      <c r="M63">
        <v>9547.2000000000007</v>
      </c>
      <c r="N63">
        <v>11</v>
      </c>
      <c r="O63">
        <v>8751.6</v>
      </c>
      <c r="P63">
        <v>14</v>
      </c>
      <c r="Q63">
        <v>11138.4</v>
      </c>
      <c r="R63">
        <v>11</v>
      </c>
      <c r="S63">
        <v>8751.6</v>
      </c>
      <c r="T63">
        <v>18</v>
      </c>
      <c r="U63">
        <v>14320.800000000001</v>
      </c>
      <c r="V63">
        <v>14</v>
      </c>
      <c r="W63">
        <v>11138.4</v>
      </c>
      <c r="X63">
        <v>12</v>
      </c>
      <c r="Y63">
        <v>9547.2000000000007</v>
      </c>
      <c r="Z63">
        <v>14</v>
      </c>
      <c r="AA63">
        <v>11138.4</v>
      </c>
      <c r="AB63">
        <v>13</v>
      </c>
      <c r="AC63">
        <v>10342.800000000001</v>
      </c>
      <c r="AD63">
        <v>9</v>
      </c>
      <c r="AE63">
        <v>7160.4000000000005</v>
      </c>
      <c r="AF63">
        <v>19</v>
      </c>
      <c r="AG63">
        <v>15116.4</v>
      </c>
      <c r="AH63">
        <v>11</v>
      </c>
      <c r="AI63">
        <v>8751.6</v>
      </c>
      <c r="AJ63">
        <v>16</v>
      </c>
      <c r="AK63">
        <v>12729.6</v>
      </c>
      <c r="AL63">
        <v>9</v>
      </c>
      <c r="AM63">
        <v>7160.4000000000005</v>
      </c>
      <c r="AN63">
        <v>9</v>
      </c>
      <c r="AO63">
        <v>7160.4000000000005</v>
      </c>
      <c r="AP63">
        <v>17</v>
      </c>
      <c r="AQ63">
        <v>13525.2</v>
      </c>
      <c r="AR63">
        <v>16</v>
      </c>
      <c r="AS63">
        <v>12729.6</v>
      </c>
      <c r="AT63">
        <v>15</v>
      </c>
      <c r="AU63">
        <v>11934</v>
      </c>
      <c r="AV63">
        <v>16</v>
      </c>
      <c r="AW63">
        <v>12729.6</v>
      </c>
      <c r="AX63">
        <v>11</v>
      </c>
      <c r="AY63">
        <v>8751.6</v>
      </c>
      <c r="AZ63">
        <v>14</v>
      </c>
      <c r="BA63">
        <v>11138.4</v>
      </c>
      <c r="BB63">
        <v>18</v>
      </c>
      <c r="BC63">
        <v>14320.800000000001</v>
      </c>
      <c r="BD63">
        <v>16</v>
      </c>
      <c r="BE63">
        <v>12729.6</v>
      </c>
      <c r="BF63">
        <v>14</v>
      </c>
      <c r="BG63">
        <v>11138.4</v>
      </c>
      <c r="BH63">
        <v>12</v>
      </c>
      <c r="BI63">
        <v>9547.2000000000007</v>
      </c>
      <c r="BJ63">
        <v>18</v>
      </c>
      <c r="BK63">
        <v>14320.800000000001</v>
      </c>
      <c r="BL63">
        <v>18</v>
      </c>
      <c r="BM63">
        <v>14320.800000000001</v>
      </c>
      <c r="BN63">
        <v>16</v>
      </c>
      <c r="BO63">
        <v>12729.6</v>
      </c>
      <c r="BP63">
        <v>16</v>
      </c>
      <c r="BQ63">
        <v>12729.6</v>
      </c>
      <c r="BR63">
        <v>16</v>
      </c>
      <c r="BS63">
        <v>12729.6</v>
      </c>
      <c r="BT63">
        <v>15</v>
      </c>
      <c r="BU63">
        <v>11934</v>
      </c>
      <c r="BV63">
        <v>17</v>
      </c>
      <c r="BW63">
        <v>13525.2</v>
      </c>
      <c r="BX63">
        <v>10</v>
      </c>
      <c r="BY63">
        <v>7956</v>
      </c>
      <c r="BZ63">
        <v>10</v>
      </c>
      <c r="CA63">
        <v>7956</v>
      </c>
      <c r="CB63">
        <v>12</v>
      </c>
      <c r="CC63">
        <v>9547.2000000000007</v>
      </c>
      <c r="CD63">
        <v>16</v>
      </c>
      <c r="CE63">
        <v>12729.6</v>
      </c>
      <c r="CF63">
        <v>10</v>
      </c>
      <c r="CG63">
        <v>7956</v>
      </c>
      <c r="CH63">
        <v>18</v>
      </c>
      <c r="CI63">
        <v>14320.800000000001</v>
      </c>
      <c r="CJ63">
        <v>15</v>
      </c>
      <c r="CK63">
        <v>11934</v>
      </c>
      <c r="CL63">
        <v>13</v>
      </c>
      <c r="CM63">
        <v>10342.800000000001</v>
      </c>
      <c r="CN63">
        <v>11</v>
      </c>
      <c r="CO63">
        <v>8751.6</v>
      </c>
      <c r="CP63">
        <v>15</v>
      </c>
      <c r="CQ63">
        <v>11934</v>
      </c>
      <c r="CR63">
        <v>11</v>
      </c>
      <c r="CS63">
        <v>8751.6</v>
      </c>
      <c r="CT63">
        <v>12</v>
      </c>
      <c r="CU63">
        <v>9547.2000000000007</v>
      </c>
    </row>
    <row r="64" spans="2:99" x14ac:dyDescent="0.2">
      <c r="C64" s="119" t="s">
        <v>230</v>
      </c>
      <c r="D64">
        <v>15.598565138664231</v>
      </c>
      <c r="E64">
        <v>15742.07193793994</v>
      </c>
      <c r="F64">
        <v>12</v>
      </c>
      <c r="G64">
        <v>12110.399999999998</v>
      </c>
      <c r="H64">
        <v>11.781488590849825</v>
      </c>
      <c r="I64">
        <v>11889.878285885641</v>
      </c>
      <c r="J64">
        <v>12.736462295070879</v>
      </c>
      <c r="K64">
        <v>12853.637748185529</v>
      </c>
      <c r="L64">
        <v>12</v>
      </c>
      <c r="M64">
        <v>12110.399999999998</v>
      </c>
      <c r="N64">
        <v>11</v>
      </c>
      <c r="O64">
        <v>11101.199999999997</v>
      </c>
      <c r="P64">
        <v>14</v>
      </c>
      <c r="Q64">
        <v>14128.799999999997</v>
      </c>
      <c r="R64">
        <v>10</v>
      </c>
      <c r="S64">
        <v>10091.999999999998</v>
      </c>
      <c r="T64">
        <v>18</v>
      </c>
      <c r="U64">
        <v>18165.599999999999</v>
      </c>
      <c r="V64">
        <v>12</v>
      </c>
      <c r="W64">
        <v>12110.399999999998</v>
      </c>
      <c r="X64">
        <v>12</v>
      </c>
      <c r="Y64">
        <v>12110.399999999998</v>
      </c>
      <c r="Z64">
        <v>14</v>
      </c>
      <c r="AA64">
        <v>14128.799999999997</v>
      </c>
      <c r="AB64">
        <v>14</v>
      </c>
      <c r="AC64">
        <v>14128.799999999997</v>
      </c>
      <c r="AD64">
        <v>10</v>
      </c>
      <c r="AE64">
        <v>10091.999999999998</v>
      </c>
      <c r="AF64">
        <v>18</v>
      </c>
      <c r="AG64">
        <v>18165.599999999999</v>
      </c>
      <c r="AH64">
        <v>9</v>
      </c>
      <c r="AI64">
        <v>9082.7999999999993</v>
      </c>
      <c r="AJ64">
        <v>15</v>
      </c>
      <c r="AK64">
        <v>15137.999999999996</v>
      </c>
      <c r="AL64">
        <v>9</v>
      </c>
      <c r="AM64">
        <v>9082.7999999999993</v>
      </c>
      <c r="AN64">
        <v>9</v>
      </c>
      <c r="AO64">
        <v>9082.7999999999993</v>
      </c>
      <c r="AP64">
        <v>16</v>
      </c>
      <c r="AQ64">
        <v>16147.199999999997</v>
      </c>
      <c r="AR64">
        <v>17</v>
      </c>
      <c r="AS64">
        <v>17156.399999999998</v>
      </c>
      <c r="AT64">
        <v>13</v>
      </c>
      <c r="AU64">
        <v>13119.599999999999</v>
      </c>
      <c r="AV64">
        <v>17</v>
      </c>
      <c r="AW64">
        <v>17156.399999999998</v>
      </c>
      <c r="AX64">
        <v>11</v>
      </c>
      <c r="AY64">
        <v>11101.199999999997</v>
      </c>
      <c r="AZ64">
        <v>14</v>
      </c>
      <c r="BA64">
        <v>14128.799999999997</v>
      </c>
      <c r="BB64">
        <v>15</v>
      </c>
      <c r="BC64">
        <v>15137.999999999996</v>
      </c>
      <c r="BD64">
        <v>15</v>
      </c>
      <c r="BE64">
        <v>15137.999999999996</v>
      </c>
      <c r="BF64">
        <v>14</v>
      </c>
      <c r="BG64">
        <v>14128.799999999997</v>
      </c>
      <c r="BH64">
        <v>11</v>
      </c>
      <c r="BI64">
        <v>11101.199999999997</v>
      </c>
      <c r="BJ64">
        <v>16</v>
      </c>
      <c r="BK64">
        <v>16147.199999999997</v>
      </c>
      <c r="BL64">
        <v>17</v>
      </c>
      <c r="BM64">
        <v>17156.399999999998</v>
      </c>
      <c r="BN64">
        <v>14</v>
      </c>
      <c r="BO64">
        <v>14128.799999999997</v>
      </c>
      <c r="BP64">
        <v>19</v>
      </c>
      <c r="BQ64">
        <v>19174.799999999996</v>
      </c>
      <c r="BR64">
        <v>18</v>
      </c>
      <c r="BS64">
        <v>18165.599999999999</v>
      </c>
      <c r="BT64">
        <v>15</v>
      </c>
      <c r="BU64">
        <v>15137.999999999996</v>
      </c>
      <c r="BV64">
        <v>16</v>
      </c>
      <c r="BW64">
        <v>16147.199999999997</v>
      </c>
      <c r="BX64">
        <v>11</v>
      </c>
      <c r="BY64">
        <v>11101.199999999997</v>
      </c>
      <c r="BZ64">
        <v>9</v>
      </c>
      <c r="CA64">
        <v>9082.7999999999993</v>
      </c>
      <c r="CB64">
        <v>11</v>
      </c>
      <c r="CC64">
        <v>11101.199999999997</v>
      </c>
      <c r="CD64">
        <v>16</v>
      </c>
      <c r="CE64">
        <v>16147.199999999997</v>
      </c>
      <c r="CF64">
        <v>10</v>
      </c>
      <c r="CG64">
        <v>10091.999999999998</v>
      </c>
      <c r="CH64">
        <v>16</v>
      </c>
      <c r="CI64">
        <v>16147.199999999997</v>
      </c>
      <c r="CJ64">
        <v>13</v>
      </c>
      <c r="CK64">
        <v>13119.599999999999</v>
      </c>
      <c r="CL64">
        <v>12</v>
      </c>
      <c r="CM64">
        <v>12110.399999999998</v>
      </c>
      <c r="CN64">
        <v>11</v>
      </c>
      <c r="CO64">
        <v>11101.199999999997</v>
      </c>
      <c r="CP64">
        <v>16</v>
      </c>
      <c r="CQ64">
        <v>16147.199999999997</v>
      </c>
      <c r="CR64">
        <v>11</v>
      </c>
      <c r="CS64">
        <v>11101.199999999997</v>
      </c>
      <c r="CT64">
        <v>10</v>
      </c>
      <c r="CU64">
        <v>10091.999999999998</v>
      </c>
    </row>
    <row r="65" spans="2:99" x14ac:dyDescent="0.2">
      <c r="C65" s="119" t="s">
        <v>231</v>
      </c>
      <c r="D65">
        <v>14.648445566886251</v>
      </c>
      <c r="E65">
        <v>15029.305151625293</v>
      </c>
      <c r="F65">
        <v>12</v>
      </c>
      <c r="G65">
        <v>12312</v>
      </c>
      <c r="H65">
        <v>12.919398342176265</v>
      </c>
      <c r="I65">
        <v>13255.302699072849</v>
      </c>
      <c r="J65">
        <v>11.68736480873282</v>
      </c>
      <c r="K65">
        <v>11991.236293759874</v>
      </c>
      <c r="L65">
        <v>12</v>
      </c>
      <c r="M65">
        <v>12312</v>
      </c>
      <c r="N65">
        <v>10</v>
      </c>
      <c r="O65">
        <v>10260</v>
      </c>
      <c r="P65">
        <v>16</v>
      </c>
      <c r="Q65">
        <v>16416</v>
      </c>
      <c r="R65">
        <v>12</v>
      </c>
      <c r="S65">
        <v>12312</v>
      </c>
      <c r="T65">
        <v>18</v>
      </c>
      <c r="U65">
        <v>18468</v>
      </c>
      <c r="V65">
        <v>14</v>
      </c>
      <c r="W65">
        <v>14364</v>
      </c>
      <c r="X65">
        <v>12</v>
      </c>
      <c r="Y65">
        <v>12312</v>
      </c>
      <c r="Z65">
        <v>15</v>
      </c>
      <c r="AA65">
        <v>15390</v>
      </c>
      <c r="AB65">
        <v>14</v>
      </c>
      <c r="AC65">
        <v>14364</v>
      </c>
      <c r="AD65">
        <v>10</v>
      </c>
      <c r="AE65">
        <v>10260</v>
      </c>
      <c r="AF65">
        <v>18</v>
      </c>
      <c r="AG65">
        <v>18468</v>
      </c>
      <c r="AH65">
        <v>9</v>
      </c>
      <c r="AI65">
        <v>9234</v>
      </c>
      <c r="AJ65">
        <v>16</v>
      </c>
      <c r="AK65">
        <v>16416</v>
      </c>
      <c r="AL65">
        <v>9</v>
      </c>
      <c r="AM65">
        <v>9234</v>
      </c>
      <c r="AN65">
        <v>9</v>
      </c>
      <c r="AO65">
        <v>9234</v>
      </c>
      <c r="AP65">
        <v>14</v>
      </c>
      <c r="AQ65">
        <v>14364</v>
      </c>
      <c r="AR65">
        <v>17</v>
      </c>
      <c r="AS65">
        <v>17442</v>
      </c>
      <c r="AT65">
        <v>13</v>
      </c>
      <c r="AU65">
        <v>13338</v>
      </c>
      <c r="AV65">
        <v>16</v>
      </c>
      <c r="AW65">
        <v>16416</v>
      </c>
      <c r="AX65">
        <v>11</v>
      </c>
      <c r="AY65">
        <v>11286</v>
      </c>
      <c r="AZ65">
        <v>14</v>
      </c>
      <c r="BA65">
        <v>14364</v>
      </c>
      <c r="BB65">
        <v>16</v>
      </c>
      <c r="BC65">
        <v>16416</v>
      </c>
      <c r="BD65">
        <v>17</v>
      </c>
      <c r="BE65">
        <v>17442</v>
      </c>
      <c r="BF65">
        <v>14</v>
      </c>
      <c r="BG65">
        <v>14364</v>
      </c>
      <c r="BH65">
        <v>13</v>
      </c>
      <c r="BI65">
        <v>13338</v>
      </c>
      <c r="BJ65">
        <v>16</v>
      </c>
      <c r="BK65">
        <v>16416</v>
      </c>
      <c r="BL65">
        <v>18</v>
      </c>
      <c r="BM65">
        <v>18468</v>
      </c>
      <c r="BN65">
        <v>16</v>
      </c>
      <c r="BO65">
        <v>16416</v>
      </c>
      <c r="BP65">
        <v>17</v>
      </c>
      <c r="BQ65">
        <v>17442</v>
      </c>
      <c r="BR65">
        <v>16</v>
      </c>
      <c r="BS65">
        <v>16416</v>
      </c>
      <c r="BT65">
        <v>16</v>
      </c>
      <c r="BU65">
        <v>16416</v>
      </c>
      <c r="BV65">
        <v>17</v>
      </c>
      <c r="BW65">
        <v>17442</v>
      </c>
      <c r="BX65">
        <v>10</v>
      </c>
      <c r="BY65">
        <v>10260</v>
      </c>
      <c r="BZ65">
        <v>10</v>
      </c>
      <c r="CA65">
        <v>10260</v>
      </c>
      <c r="CB65">
        <v>11</v>
      </c>
      <c r="CC65">
        <v>11286</v>
      </c>
      <c r="CD65">
        <v>15</v>
      </c>
      <c r="CE65">
        <v>15390</v>
      </c>
      <c r="CF65">
        <v>10</v>
      </c>
      <c r="CG65">
        <v>10260</v>
      </c>
      <c r="CH65">
        <v>16</v>
      </c>
      <c r="CI65">
        <v>16416</v>
      </c>
      <c r="CJ65">
        <v>15</v>
      </c>
      <c r="CK65">
        <v>15390</v>
      </c>
      <c r="CL65">
        <v>12</v>
      </c>
      <c r="CM65">
        <v>12312</v>
      </c>
      <c r="CN65">
        <v>10</v>
      </c>
      <c r="CO65">
        <v>10260</v>
      </c>
      <c r="CP65">
        <v>15</v>
      </c>
      <c r="CQ65">
        <v>15390</v>
      </c>
      <c r="CR65">
        <v>10</v>
      </c>
      <c r="CS65">
        <v>10260</v>
      </c>
      <c r="CT65">
        <v>11</v>
      </c>
      <c r="CU65">
        <v>11286</v>
      </c>
    </row>
    <row r="66" spans="2:99" x14ac:dyDescent="0.2">
      <c r="C66" s="119" t="s">
        <v>232</v>
      </c>
      <c r="D66">
        <v>14.598565138664231</v>
      </c>
      <c r="E66">
        <v>17378.131941065898</v>
      </c>
      <c r="F66">
        <v>12</v>
      </c>
      <c r="G66">
        <v>14284.8</v>
      </c>
      <c r="H66">
        <v>12.827458507958639</v>
      </c>
      <c r="I66">
        <v>15269.806607873961</v>
      </c>
      <c r="J66">
        <v>10.68736480873282</v>
      </c>
      <c r="K66">
        <v>12722.239068315548</v>
      </c>
      <c r="L66">
        <v>11</v>
      </c>
      <c r="M66">
        <v>13094.399999999998</v>
      </c>
      <c r="N66">
        <v>11</v>
      </c>
      <c r="O66">
        <v>13094.399999999998</v>
      </c>
      <c r="P66">
        <v>16</v>
      </c>
      <c r="Q66">
        <v>19046.399999999998</v>
      </c>
      <c r="R66">
        <v>12</v>
      </c>
      <c r="S66">
        <v>14284.8</v>
      </c>
      <c r="T66">
        <v>18</v>
      </c>
      <c r="U66">
        <v>21427.199999999997</v>
      </c>
      <c r="V66">
        <v>12</v>
      </c>
      <c r="W66">
        <v>14284.8</v>
      </c>
      <c r="X66">
        <v>11</v>
      </c>
      <c r="Y66">
        <v>13094.399999999998</v>
      </c>
      <c r="Z66">
        <v>14</v>
      </c>
      <c r="AA66">
        <v>16665.599999999999</v>
      </c>
      <c r="AB66">
        <v>14</v>
      </c>
      <c r="AC66">
        <v>16665.599999999999</v>
      </c>
      <c r="AD66">
        <v>9</v>
      </c>
      <c r="AE66">
        <v>10713.599999999999</v>
      </c>
      <c r="AF66">
        <v>15</v>
      </c>
      <c r="AG66">
        <v>17855.999999999996</v>
      </c>
      <c r="AH66">
        <v>10</v>
      </c>
      <c r="AI66">
        <v>11903.999999999998</v>
      </c>
      <c r="AJ66">
        <v>16</v>
      </c>
      <c r="AK66">
        <v>19046.399999999998</v>
      </c>
      <c r="AL66">
        <v>9</v>
      </c>
      <c r="AM66">
        <v>10713.599999999999</v>
      </c>
      <c r="AN66">
        <v>9</v>
      </c>
      <c r="AO66">
        <v>10713.599999999999</v>
      </c>
      <c r="AP66">
        <v>15</v>
      </c>
      <c r="AQ66">
        <v>17855.999999999996</v>
      </c>
      <c r="AR66">
        <v>18</v>
      </c>
      <c r="AS66">
        <v>21427.199999999997</v>
      </c>
      <c r="AT66">
        <v>13</v>
      </c>
      <c r="AU66">
        <v>15475.199999999999</v>
      </c>
      <c r="AV66">
        <v>18</v>
      </c>
      <c r="AW66">
        <v>21427.199999999997</v>
      </c>
      <c r="AX66">
        <v>12</v>
      </c>
      <c r="AY66">
        <v>14284.8</v>
      </c>
      <c r="AZ66">
        <v>13</v>
      </c>
      <c r="BA66">
        <v>15475.199999999999</v>
      </c>
      <c r="BB66">
        <v>15</v>
      </c>
      <c r="BC66">
        <v>17855.999999999996</v>
      </c>
      <c r="BD66">
        <v>17</v>
      </c>
      <c r="BE66">
        <v>20236.8</v>
      </c>
      <c r="BF66">
        <v>14</v>
      </c>
      <c r="BG66">
        <v>16665.599999999999</v>
      </c>
      <c r="BH66">
        <v>11</v>
      </c>
      <c r="BI66">
        <v>13094.399999999998</v>
      </c>
      <c r="BJ66">
        <v>16</v>
      </c>
      <c r="BK66">
        <v>19046.399999999998</v>
      </c>
      <c r="BL66">
        <v>17</v>
      </c>
      <c r="BM66">
        <v>20236.8</v>
      </c>
      <c r="BN66">
        <v>14</v>
      </c>
      <c r="BO66">
        <v>16665.599999999999</v>
      </c>
      <c r="BP66">
        <v>15</v>
      </c>
      <c r="BQ66">
        <v>17855.999999999996</v>
      </c>
      <c r="BR66">
        <v>16</v>
      </c>
      <c r="BS66">
        <v>19046.399999999998</v>
      </c>
      <c r="BT66">
        <v>17</v>
      </c>
      <c r="BU66">
        <v>20236.8</v>
      </c>
      <c r="BV66">
        <v>16</v>
      </c>
      <c r="BW66">
        <v>19046.399999999998</v>
      </c>
      <c r="BX66">
        <v>10</v>
      </c>
      <c r="BY66">
        <v>11903.999999999998</v>
      </c>
      <c r="BZ66">
        <v>9</v>
      </c>
      <c r="CA66">
        <v>10713.599999999999</v>
      </c>
      <c r="CB66">
        <v>12</v>
      </c>
      <c r="CC66">
        <v>14284.8</v>
      </c>
      <c r="CD66">
        <v>15</v>
      </c>
      <c r="CE66">
        <v>17855.999999999996</v>
      </c>
      <c r="CF66">
        <v>9</v>
      </c>
      <c r="CG66">
        <v>10713.599999999999</v>
      </c>
      <c r="CH66">
        <v>18</v>
      </c>
      <c r="CI66">
        <v>21427.199999999997</v>
      </c>
      <c r="CJ66">
        <v>13</v>
      </c>
      <c r="CK66">
        <v>15475.199999999999</v>
      </c>
      <c r="CL66">
        <v>12</v>
      </c>
      <c r="CM66">
        <v>14284.8</v>
      </c>
      <c r="CN66">
        <v>12</v>
      </c>
      <c r="CO66">
        <v>14284.8</v>
      </c>
      <c r="CP66">
        <v>14</v>
      </c>
      <c r="CQ66">
        <v>16665.599999999999</v>
      </c>
      <c r="CR66">
        <v>11</v>
      </c>
      <c r="CS66">
        <v>13094.399999999998</v>
      </c>
      <c r="CT66">
        <v>10</v>
      </c>
      <c r="CU66">
        <v>11903.999999999998</v>
      </c>
    </row>
    <row r="67" spans="2:99" x14ac:dyDescent="0.2">
      <c r="C67" s="119" t="s">
        <v>233</v>
      </c>
      <c r="D67">
        <v>14.69832599510827</v>
      </c>
      <c r="E67">
        <v>16509.159757705609</v>
      </c>
      <c r="F67">
        <v>13</v>
      </c>
      <c r="G67">
        <v>14601.6</v>
      </c>
      <c r="H67">
        <v>12.873428425067452</v>
      </c>
      <c r="I67">
        <v>14459.434807035763</v>
      </c>
      <c r="J67">
        <v>11.68736480873282</v>
      </c>
      <c r="K67">
        <v>13127.248153168704</v>
      </c>
      <c r="L67">
        <v>11</v>
      </c>
      <c r="M67">
        <v>12355.2</v>
      </c>
      <c r="N67">
        <v>11</v>
      </c>
      <c r="O67">
        <v>12355.2</v>
      </c>
      <c r="P67">
        <v>15</v>
      </c>
      <c r="Q67">
        <v>16848</v>
      </c>
      <c r="R67">
        <v>12</v>
      </c>
      <c r="S67">
        <v>13478.400000000001</v>
      </c>
      <c r="T67">
        <v>16</v>
      </c>
      <c r="U67">
        <v>17971.2</v>
      </c>
      <c r="V67">
        <v>12</v>
      </c>
      <c r="W67">
        <v>13478.400000000001</v>
      </c>
      <c r="X67">
        <v>11</v>
      </c>
      <c r="Y67">
        <v>12355.2</v>
      </c>
      <c r="Z67">
        <v>14</v>
      </c>
      <c r="AA67">
        <v>15724.800000000001</v>
      </c>
      <c r="AB67">
        <v>14</v>
      </c>
      <c r="AC67">
        <v>15724.800000000001</v>
      </c>
      <c r="AD67">
        <v>9</v>
      </c>
      <c r="AE67">
        <v>10108.800000000001</v>
      </c>
      <c r="AF67">
        <v>18</v>
      </c>
      <c r="AG67">
        <v>20217.600000000002</v>
      </c>
      <c r="AH67">
        <v>11</v>
      </c>
      <c r="AI67">
        <v>12355.2</v>
      </c>
      <c r="AJ67">
        <v>14</v>
      </c>
      <c r="AK67">
        <v>15724.800000000001</v>
      </c>
      <c r="AL67">
        <v>9</v>
      </c>
      <c r="AM67">
        <v>10108.800000000001</v>
      </c>
      <c r="AN67">
        <v>9</v>
      </c>
      <c r="AO67">
        <v>10108.800000000001</v>
      </c>
      <c r="AP67">
        <v>17</v>
      </c>
      <c r="AQ67">
        <v>19094.400000000001</v>
      </c>
      <c r="AR67">
        <v>18</v>
      </c>
      <c r="AS67">
        <v>20217.600000000002</v>
      </c>
      <c r="AT67">
        <v>14</v>
      </c>
      <c r="AU67">
        <v>15724.800000000001</v>
      </c>
      <c r="AV67">
        <v>16</v>
      </c>
      <c r="AW67">
        <v>17971.2</v>
      </c>
      <c r="AX67">
        <v>13</v>
      </c>
      <c r="AY67">
        <v>14601.6</v>
      </c>
      <c r="AZ67">
        <v>13</v>
      </c>
      <c r="BA67">
        <v>14601.6</v>
      </c>
      <c r="BB67">
        <v>15</v>
      </c>
      <c r="BC67">
        <v>16848</v>
      </c>
      <c r="BD67">
        <v>17</v>
      </c>
      <c r="BE67">
        <v>19094.400000000001</v>
      </c>
      <c r="BF67">
        <v>14</v>
      </c>
      <c r="BG67">
        <v>15724.800000000001</v>
      </c>
      <c r="BH67">
        <v>12</v>
      </c>
      <c r="BI67">
        <v>13478.400000000001</v>
      </c>
      <c r="BJ67">
        <v>18</v>
      </c>
      <c r="BK67">
        <v>20217.600000000002</v>
      </c>
      <c r="BL67">
        <v>16</v>
      </c>
      <c r="BM67">
        <v>17971.2</v>
      </c>
      <c r="BN67">
        <v>16</v>
      </c>
      <c r="BO67">
        <v>17971.2</v>
      </c>
      <c r="BP67">
        <v>17</v>
      </c>
      <c r="BQ67">
        <v>19094.400000000001</v>
      </c>
      <c r="BR67">
        <v>16</v>
      </c>
      <c r="BS67">
        <v>17971.2</v>
      </c>
      <c r="BT67">
        <v>15</v>
      </c>
      <c r="BU67">
        <v>16848</v>
      </c>
      <c r="BV67">
        <v>16</v>
      </c>
      <c r="BW67">
        <v>17971.2</v>
      </c>
      <c r="BX67">
        <v>11</v>
      </c>
      <c r="BY67">
        <v>12355.2</v>
      </c>
      <c r="BZ67">
        <v>9</v>
      </c>
      <c r="CA67">
        <v>10108.800000000001</v>
      </c>
      <c r="CB67">
        <v>11</v>
      </c>
      <c r="CC67">
        <v>12355.2</v>
      </c>
      <c r="CD67">
        <v>16</v>
      </c>
      <c r="CE67">
        <v>17971.2</v>
      </c>
      <c r="CF67">
        <v>10</v>
      </c>
      <c r="CG67">
        <v>11232</v>
      </c>
      <c r="CH67">
        <v>15</v>
      </c>
      <c r="CI67">
        <v>16848</v>
      </c>
      <c r="CJ67">
        <v>14</v>
      </c>
      <c r="CK67">
        <v>15724.800000000001</v>
      </c>
      <c r="CL67">
        <v>13</v>
      </c>
      <c r="CM67">
        <v>14601.6</v>
      </c>
      <c r="CN67">
        <v>11</v>
      </c>
      <c r="CO67">
        <v>12355.2</v>
      </c>
      <c r="CP67">
        <v>15</v>
      </c>
      <c r="CQ67">
        <v>16848</v>
      </c>
      <c r="CR67">
        <v>11</v>
      </c>
      <c r="CS67">
        <v>12355.2</v>
      </c>
      <c r="CT67">
        <v>11</v>
      </c>
      <c r="CU67">
        <v>12355.2</v>
      </c>
    </row>
    <row r="68" spans="2:99" x14ac:dyDescent="0.2">
      <c r="C68" s="119" t="s">
        <v>234</v>
      </c>
      <c r="D68">
        <v>15.598565138664231</v>
      </c>
      <c r="E68">
        <v>16116.437501267885</v>
      </c>
      <c r="F68">
        <v>13</v>
      </c>
      <c r="G68">
        <v>13431.6</v>
      </c>
      <c r="H68">
        <v>13.827458507958639</v>
      </c>
      <c r="I68">
        <v>14286.530130422867</v>
      </c>
      <c r="J68">
        <v>10.736462295070879</v>
      </c>
      <c r="K68">
        <v>11092.912843267233</v>
      </c>
      <c r="L68">
        <v>11</v>
      </c>
      <c r="M68">
        <v>11365.2</v>
      </c>
      <c r="N68">
        <v>10</v>
      </c>
      <c r="O68">
        <v>10332</v>
      </c>
      <c r="P68">
        <v>15</v>
      </c>
      <c r="Q68">
        <v>15498</v>
      </c>
      <c r="R68">
        <v>12</v>
      </c>
      <c r="S68">
        <v>12398.400000000001</v>
      </c>
      <c r="T68">
        <v>19</v>
      </c>
      <c r="U68">
        <v>19630.8</v>
      </c>
      <c r="V68">
        <v>13</v>
      </c>
      <c r="W68">
        <v>13431.6</v>
      </c>
      <c r="X68">
        <v>12</v>
      </c>
      <c r="Y68">
        <v>12398.400000000001</v>
      </c>
      <c r="Z68">
        <v>16</v>
      </c>
      <c r="AA68">
        <v>16531.2</v>
      </c>
      <c r="AB68">
        <v>14</v>
      </c>
      <c r="AC68">
        <v>14464.800000000001</v>
      </c>
      <c r="AD68">
        <v>10</v>
      </c>
      <c r="AE68">
        <v>10332</v>
      </c>
      <c r="AF68">
        <v>18</v>
      </c>
      <c r="AG68">
        <v>18597.600000000002</v>
      </c>
      <c r="AH68">
        <v>10</v>
      </c>
      <c r="AI68">
        <v>10332</v>
      </c>
      <c r="AJ68">
        <v>15</v>
      </c>
      <c r="AK68">
        <v>15498</v>
      </c>
      <c r="AL68">
        <v>9</v>
      </c>
      <c r="AM68">
        <v>9298.8000000000011</v>
      </c>
      <c r="AN68">
        <v>10</v>
      </c>
      <c r="AO68">
        <v>10332</v>
      </c>
      <c r="AP68">
        <v>16</v>
      </c>
      <c r="AQ68">
        <v>16531.2</v>
      </c>
      <c r="AR68">
        <v>16</v>
      </c>
      <c r="AS68">
        <v>16531.2</v>
      </c>
      <c r="AT68">
        <v>14</v>
      </c>
      <c r="AU68">
        <v>14464.800000000001</v>
      </c>
      <c r="AV68">
        <v>17</v>
      </c>
      <c r="AW68">
        <v>17564.400000000001</v>
      </c>
      <c r="AX68">
        <v>13</v>
      </c>
      <c r="AY68">
        <v>13431.6</v>
      </c>
      <c r="AZ68">
        <v>14</v>
      </c>
      <c r="BA68">
        <v>14464.800000000001</v>
      </c>
      <c r="BB68">
        <v>17</v>
      </c>
      <c r="BC68">
        <v>17564.400000000001</v>
      </c>
      <c r="BD68">
        <v>18</v>
      </c>
      <c r="BE68">
        <v>18597.600000000002</v>
      </c>
      <c r="BF68">
        <v>15</v>
      </c>
      <c r="BG68">
        <v>15498</v>
      </c>
      <c r="BH68">
        <v>11</v>
      </c>
      <c r="BI68">
        <v>11365.2</v>
      </c>
      <c r="BJ68">
        <v>16</v>
      </c>
      <c r="BK68">
        <v>16531.2</v>
      </c>
      <c r="BL68">
        <v>16</v>
      </c>
      <c r="BM68">
        <v>16531.2</v>
      </c>
      <c r="BN68">
        <v>16</v>
      </c>
      <c r="BO68">
        <v>16531.2</v>
      </c>
      <c r="BP68">
        <v>17</v>
      </c>
      <c r="BQ68">
        <v>17564.400000000001</v>
      </c>
      <c r="BR68">
        <v>19</v>
      </c>
      <c r="BS68">
        <v>19630.8</v>
      </c>
      <c r="BT68">
        <v>15</v>
      </c>
      <c r="BU68">
        <v>15498</v>
      </c>
      <c r="BV68">
        <v>19</v>
      </c>
      <c r="BW68">
        <v>19630.8</v>
      </c>
      <c r="BX68">
        <v>11</v>
      </c>
      <c r="BY68">
        <v>11365.2</v>
      </c>
      <c r="BZ68">
        <v>9</v>
      </c>
      <c r="CA68">
        <v>9298.8000000000011</v>
      </c>
      <c r="CB68">
        <v>11</v>
      </c>
      <c r="CC68">
        <v>11365.2</v>
      </c>
      <c r="CD68">
        <v>16</v>
      </c>
      <c r="CE68">
        <v>16531.2</v>
      </c>
      <c r="CF68">
        <v>11</v>
      </c>
      <c r="CG68">
        <v>11365.2</v>
      </c>
      <c r="CH68">
        <v>19</v>
      </c>
      <c r="CI68">
        <v>19630.8</v>
      </c>
      <c r="CJ68">
        <v>14</v>
      </c>
      <c r="CK68">
        <v>14464.800000000001</v>
      </c>
      <c r="CL68">
        <v>12</v>
      </c>
      <c r="CM68">
        <v>12398.400000000001</v>
      </c>
      <c r="CN68">
        <v>11</v>
      </c>
      <c r="CO68">
        <v>11365.2</v>
      </c>
      <c r="CP68">
        <v>14</v>
      </c>
      <c r="CQ68">
        <v>14464.800000000001</v>
      </c>
      <c r="CR68">
        <v>10</v>
      </c>
      <c r="CS68">
        <v>10332</v>
      </c>
      <c r="CT68">
        <v>12</v>
      </c>
      <c r="CU68">
        <v>12398.400000000001</v>
      </c>
    </row>
    <row r="69" spans="2:99" x14ac:dyDescent="0.2">
      <c r="C69" s="119" t="s">
        <v>235</v>
      </c>
      <c r="D69">
        <v>14.69832599510827</v>
      </c>
      <c r="E69">
        <v>11147.210434690112</v>
      </c>
      <c r="F69">
        <v>14</v>
      </c>
      <c r="G69">
        <v>10617.6</v>
      </c>
      <c r="H69">
        <v>13.965368259285079</v>
      </c>
      <c r="I69">
        <v>10591.335287841803</v>
      </c>
      <c r="J69">
        <v>11.736462295070879</v>
      </c>
      <c r="K69">
        <v>8900.9330045817551</v>
      </c>
      <c r="L69">
        <v>11</v>
      </c>
      <c r="M69">
        <v>8342.4</v>
      </c>
      <c r="N69">
        <v>11</v>
      </c>
      <c r="O69">
        <v>8342.4</v>
      </c>
      <c r="P69">
        <v>14</v>
      </c>
      <c r="Q69">
        <v>10617.6</v>
      </c>
      <c r="R69">
        <v>12</v>
      </c>
      <c r="S69">
        <v>9100.7999999999993</v>
      </c>
      <c r="T69">
        <v>18</v>
      </c>
      <c r="U69">
        <v>13651.199999999999</v>
      </c>
      <c r="V69">
        <v>14</v>
      </c>
      <c r="W69">
        <v>10617.6</v>
      </c>
      <c r="X69">
        <v>14</v>
      </c>
      <c r="Y69">
        <v>10617.6</v>
      </c>
      <c r="Z69">
        <v>16</v>
      </c>
      <c r="AA69">
        <v>12134.4</v>
      </c>
      <c r="AB69">
        <v>13</v>
      </c>
      <c r="AC69">
        <v>9859.1999999999989</v>
      </c>
      <c r="AD69">
        <v>10</v>
      </c>
      <c r="AE69">
        <v>7584</v>
      </c>
      <c r="AF69">
        <v>19</v>
      </c>
      <c r="AG69">
        <v>14409.6</v>
      </c>
      <c r="AH69">
        <v>11</v>
      </c>
      <c r="AI69">
        <v>8342.4</v>
      </c>
      <c r="AJ69">
        <v>15</v>
      </c>
      <c r="AK69">
        <v>11376</v>
      </c>
      <c r="AL69">
        <v>9</v>
      </c>
      <c r="AM69">
        <v>6825.5999999999995</v>
      </c>
      <c r="AN69">
        <v>9</v>
      </c>
      <c r="AO69">
        <v>6825.5999999999995</v>
      </c>
      <c r="AP69">
        <v>17</v>
      </c>
      <c r="AQ69">
        <v>12892.8</v>
      </c>
      <c r="AR69">
        <v>16</v>
      </c>
      <c r="AS69">
        <v>12134.4</v>
      </c>
      <c r="AT69">
        <v>15</v>
      </c>
      <c r="AU69">
        <v>11376</v>
      </c>
      <c r="AV69">
        <v>19</v>
      </c>
      <c r="AW69">
        <v>14409.6</v>
      </c>
      <c r="AX69">
        <v>12</v>
      </c>
      <c r="AY69">
        <v>9100.7999999999993</v>
      </c>
      <c r="AZ69">
        <v>13</v>
      </c>
      <c r="BA69">
        <v>9859.1999999999989</v>
      </c>
      <c r="BB69">
        <v>15</v>
      </c>
      <c r="BC69">
        <v>11376</v>
      </c>
      <c r="BD69">
        <v>19</v>
      </c>
      <c r="BE69">
        <v>14409.6</v>
      </c>
      <c r="BF69">
        <v>15</v>
      </c>
      <c r="BG69">
        <v>11376</v>
      </c>
      <c r="BH69">
        <v>11</v>
      </c>
      <c r="BI69">
        <v>8342.4</v>
      </c>
      <c r="BJ69">
        <v>16</v>
      </c>
      <c r="BK69">
        <v>12134.4</v>
      </c>
      <c r="BL69">
        <v>18</v>
      </c>
      <c r="BM69">
        <v>13651.199999999999</v>
      </c>
      <c r="BN69">
        <v>15</v>
      </c>
      <c r="BO69">
        <v>11376</v>
      </c>
      <c r="BP69">
        <v>19</v>
      </c>
      <c r="BQ69">
        <v>14409.6</v>
      </c>
      <c r="BR69">
        <v>17</v>
      </c>
      <c r="BS69">
        <v>12892.8</v>
      </c>
      <c r="BT69">
        <v>16</v>
      </c>
      <c r="BU69">
        <v>12134.4</v>
      </c>
      <c r="BV69">
        <v>18</v>
      </c>
      <c r="BW69">
        <v>13651.199999999999</v>
      </c>
      <c r="BX69">
        <v>12</v>
      </c>
      <c r="BY69">
        <v>9100.7999999999993</v>
      </c>
      <c r="BZ69">
        <v>10</v>
      </c>
      <c r="CA69">
        <v>7584</v>
      </c>
      <c r="CB69">
        <v>12</v>
      </c>
      <c r="CC69">
        <v>9100.7999999999993</v>
      </c>
      <c r="CD69">
        <v>16</v>
      </c>
      <c r="CE69">
        <v>12134.4</v>
      </c>
      <c r="CF69">
        <v>10</v>
      </c>
      <c r="CG69">
        <v>7584</v>
      </c>
      <c r="CH69">
        <v>18</v>
      </c>
      <c r="CI69">
        <v>13651.199999999999</v>
      </c>
      <c r="CJ69">
        <v>14</v>
      </c>
      <c r="CK69">
        <v>10617.6</v>
      </c>
      <c r="CL69">
        <v>13</v>
      </c>
      <c r="CM69">
        <v>9859.1999999999989</v>
      </c>
      <c r="CN69">
        <v>12</v>
      </c>
      <c r="CO69">
        <v>9100.7999999999993</v>
      </c>
      <c r="CP69">
        <v>16</v>
      </c>
      <c r="CQ69">
        <v>12134.4</v>
      </c>
      <c r="CR69">
        <v>11</v>
      </c>
      <c r="CS69">
        <v>8342.4</v>
      </c>
      <c r="CT69">
        <v>10</v>
      </c>
      <c r="CU69">
        <v>7584</v>
      </c>
    </row>
    <row r="70" spans="2:99" x14ac:dyDescent="0.2">
      <c r="C70" s="119" t="s">
        <v>236</v>
      </c>
      <c r="D70">
        <v>15.69832599510827</v>
      </c>
      <c r="E70">
        <v>8401.7440725819451</v>
      </c>
      <c r="F70">
        <v>14</v>
      </c>
      <c r="G70">
        <v>7492.7999999999993</v>
      </c>
      <c r="H70">
        <v>13.919398342176265</v>
      </c>
      <c r="I70">
        <v>7449.6619927327365</v>
      </c>
      <c r="J70">
        <v>12.785559781408937</v>
      </c>
      <c r="K70">
        <v>6842.8315950100623</v>
      </c>
      <c r="L70">
        <v>12</v>
      </c>
      <c r="M70">
        <v>6422.4</v>
      </c>
      <c r="N70">
        <v>12</v>
      </c>
      <c r="O70">
        <v>6422.4</v>
      </c>
      <c r="P70">
        <v>15</v>
      </c>
      <c r="Q70">
        <v>8027.9999999999991</v>
      </c>
      <c r="R70">
        <v>11</v>
      </c>
      <c r="S70">
        <v>5887.1999999999989</v>
      </c>
      <c r="T70">
        <v>19</v>
      </c>
      <c r="U70">
        <v>10168.799999999999</v>
      </c>
      <c r="V70">
        <v>13</v>
      </c>
      <c r="W70">
        <v>6957.5999999999995</v>
      </c>
      <c r="X70">
        <v>14</v>
      </c>
      <c r="Y70">
        <v>7492.7999999999993</v>
      </c>
      <c r="Z70">
        <v>15</v>
      </c>
      <c r="AA70">
        <v>8027.9999999999991</v>
      </c>
      <c r="AB70">
        <v>14</v>
      </c>
      <c r="AC70">
        <v>7492.7999999999993</v>
      </c>
      <c r="AD70">
        <v>9</v>
      </c>
      <c r="AE70">
        <v>4816.7999999999993</v>
      </c>
      <c r="AF70">
        <v>18</v>
      </c>
      <c r="AG70">
        <v>9633.5999999999985</v>
      </c>
      <c r="AH70">
        <v>10</v>
      </c>
      <c r="AI70">
        <v>5351.9999999999991</v>
      </c>
      <c r="AJ70">
        <v>17</v>
      </c>
      <c r="AK70">
        <v>9098.4</v>
      </c>
      <c r="AL70">
        <v>10</v>
      </c>
      <c r="AM70">
        <v>5351.9999999999991</v>
      </c>
      <c r="AN70">
        <v>9</v>
      </c>
      <c r="AO70">
        <v>4816.7999999999993</v>
      </c>
      <c r="AP70">
        <v>16</v>
      </c>
      <c r="AQ70">
        <v>8563.1999999999989</v>
      </c>
      <c r="AR70">
        <v>18</v>
      </c>
      <c r="AS70">
        <v>9633.5999999999985</v>
      </c>
      <c r="AT70">
        <v>15</v>
      </c>
      <c r="AU70">
        <v>8027.9999999999991</v>
      </c>
      <c r="AV70">
        <v>20</v>
      </c>
      <c r="AW70">
        <v>10703.999999999998</v>
      </c>
      <c r="AX70">
        <v>12</v>
      </c>
      <c r="AY70">
        <v>6422.4</v>
      </c>
      <c r="AZ70">
        <v>13</v>
      </c>
      <c r="BA70">
        <v>6957.5999999999995</v>
      </c>
      <c r="BB70">
        <v>16</v>
      </c>
      <c r="BC70">
        <v>8563.1999999999989</v>
      </c>
      <c r="BD70">
        <v>17</v>
      </c>
      <c r="BE70">
        <v>9098.4</v>
      </c>
      <c r="BF70">
        <v>13</v>
      </c>
      <c r="BG70">
        <v>6957.5999999999995</v>
      </c>
      <c r="BH70">
        <v>11</v>
      </c>
      <c r="BI70">
        <v>5887.1999999999989</v>
      </c>
      <c r="BJ70">
        <v>18</v>
      </c>
      <c r="BK70">
        <v>9633.5999999999985</v>
      </c>
      <c r="BL70">
        <v>17</v>
      </c>
      <c r="BM70">
        <v>9098.4</v>
      </c>
      <c r="BN70">
        <v>16</v>
      </c>
      <c r="BO70">
        <v>8563.1999999999989</v>
      </c>
      <c r="BP70">
        <v>18</v>
      </c>
      <c r="BQ70">
        <v>9633.5999999999985</v>
      </c>
      <c r="BR70">
        <v>20</v>
      </c>
      <c r="BS70">
        <v>10703.999999999998</v>
      </c>
      <c r="BT70">
        <v>15</v>
      </c>
      <c r="BU70">
        <v>8027.9999999999991</v>
      </c>
      <c r="BV70">
        <v>19</v>
      </c>
      <c r="BW70">
        <v>10168.799999999999</v>
      </c>
      <c r="BX70">
        <v>11</v>
      </c>
      <c r="BY70">
        <v>5887.1999999999989</v>
      </c>
      <c r="BZ70">
        <v>11</v>
      </c>
      <c r="CA70">
        <v>5887.1999999999989</v>
      </c>
      <c r="CB70">
        <v>11</v>
      </c>
      <c r="CC70">
        <v>5887.1999999999989</v>
      </c>
      <c r="CD70">
        <v>15</v>
      </c>
      <c r="CE70">
        <v>8027.9999999999991</v>
      </c>
      <c r="CF70">
        <v>11</v>
      </c>
      <c r="CG70">
        <v>5887.1999999999989</v>
      </c>
      <c r="CH70">
        <v>18</v>
      </c>
      <c r="CI70">
        <v>9633.5999999999985</v>
      </c>
      <c r="CJ70">
        <v>14</v>
      </c>
      <c r="CK70">
        <v>7492.7999999999993</v>
      </c>
      <c r="CL70">
        <v>12</v>
      </c>
      <c r="CM70">
        <v>6422.4</v>
      </c>
      <c r="CN70">
        <v>11</v>
      </c>
      <c r="CO70">
        <v>5887.1999999999989</v>
      </c>
      <c r="CP70">
        <v>16</v>
      </c>
      <c r="CQ70">
        <v>8563.1999999999989</v>
      </c>
      <c r="CR70">
        <v>10</v>
      </c>
      <c r="CS70">
        <v>5351.9999999999991</v>
      </c>
      <c r="CT70">
        <v>11</v>
      </c>
      <c r="CU70">
        <v>5887.1999999999989</v>
      </c>
    </row>
    <row r="71" spans="2:99" x14ac:dyDescent="0.2">
      <c r="B71" s="119" t="s">
        <v>130</v>
      </c>
      <c r="C71" s="119" t="s">
        <v>237</v>
      </c>
      <c r="D71">
        <v>15.018689278287523</v>
      </c>
      <c r="E71">
        <v>8470.5407529541626</v>
      </c>
      <c r="F71">
        <v>10.684021522045608</v>
      </c>
      <c r="G71">
        <v>6025.7881384337234</v>
      </c>
      <c r="H71">
        <v>13</v>
      </c>
      <c r="I71">
        <v>7332</v>
      </c>
      <c r="J71">
        <v>12</v>
      </c>
      <c r="K71">
        <v>6768</v>
      </c>
      <c r="L71">
        <v>9.0976625901588815</v>
      </c>
      <c r="M71">
        <v>5131.0817008496088</v>
      </c>
      <c r="N71">
        <v>9.6031780248742038</v>
      </c>
      <c r="O71">
        <v>5416.1924060290512</v>
      </c>
      <c r="P71">
        <v>13.723293709253744</v>
      </c>
      <c r="Q71">
        <v>7739.9376520191117</v>
      </c>
      <c r="R71">
        <v>14.810063094794629</v>
      </c>
      <c r="S71">
        <v>8352.8755854641713</v>
      </c>
      <c r="T71">
        <v>14.701413040418682</v>
      </c>
      <c r="U71">
        <v>8291.5969547961377</v>
      </c>
      <c r="V71">
        <v>11.844610083184296</v>
      </c>
      <c r="W71">
        <v>6680.3600869159427</v>
      </c>
      <c r="X71">
        <v>10.537383249387778</v>
      </c>
      <c r="Y71">
        <v>5943.0841526547065</v>
      </c>
      <c r="Z71">
        <v>9.6052773739853112</v>
      </c>
      <c r="AA71">
        <v>5417.3764389277158</v>
      </c>
      <c r="AB71">
        <v>12.605007754995917</v>
      </c>
      <c r="AC71">
        <v>7109.2243738176976</v>
      </c>
      <c r="AD71">
        <v>17.635546862071934</v>
      </c>
      <c r="AE71">
        <v>9946.4484302085712</v>
      </c>
      <c r="AF71">
        <v>14.622429313554408</v>
      </c>
      <c r="AG71">
        <v>8247.0501328446862</v>
      </c>
      <c r="AH71">
        <v>13.811738086536696</v>
      </c>
      <c r="AI71">
        <v>7789.8202808066962</v>
      </c>
      <c r="AJ71">
        <v>10.703707695686571</v>
      </c>
      <c r="AK71">
        <v>6036.8911403672264</v>
      </c>
      <c r="AL71">
        <v>15</v>
      </c>
      <c r="AM71">
        <v>8460</v>
      </c>
      <c r="AN71">
        <v>12.051594093860693</v>
      </c>
      <c r="AO71">
        <v>6797.0990689374312</v>
      </c>
      <c r="AP71">
        <v>9.8811794502029606</v>
      </c>
      <c r="AQ71">
        <v>5572.98520991447</v>
      </c>
      <c r="AR71">
        <v>13.815615832665332</v>
      </c>
      <c r="AS71">
        <v>7792.0073296232467</v>
      </c>
      <c r="AT71">
        <v>10.889237597644248</v>
      </c>
      <c r="AU71">
        <v>6141.5300050713558</v>
      </c>
      <c r="AV71">
        <v>13.699608120867815</v>
      </c>
      <c r="AW71">
        <v>7726.5789801694473</v>
      </c>
      <c r="AX71">
        <v>9.6712599725179516</v>
      </c>
      <c r="AY71">
        <v>5454.5906245001242</v>
      </c>
      <c r="AZ71">
        <v>11</v>
      </c>
      <c r="BA71">
        <v>6204</v>
      </c>
      <c r="BB71">
        <v>12.260666485555875</v>
      </c>
      <c r="BC71">
        <v>6915.0158978535137</v>
      </c>
      <c r="BD71">
        <v>15.705571171560615</v>
      </c>
      <c r="BE71">
        <v>8857.9421407601876</v>
      </c>
      <c r="BF71">
        <v>15.87495527618384</v>
      </c>
      <c r="BG71">
        <v>8953.4747757676851</v>
      </c>
      <c r="BH71">
        <v>14.807301452370242</v>
      </c>
      <c r="BI71">
        <v>8351.3180191368156</v>
      </c>
      <c r="BJ71">
        <v>15.816209474345785</v>
      </c>
      <c r="BK71">
        <v>8920.3421435310229</v>
      </c>
      <c r="BL71">
        <v>12.626829201386112</v>
      </c>
      <c r="BM71">
        <v>7121.5316695817673</v>
      </c>
      <c r="BN71">
        <v>13.767295669656615</v>
      </c>
      <c r="BO71">
        <v>7764.7547576863308</v>
      </c>
      <c r="BP71">
        <v>14.658711891023694</v>
      </c>
      <c r="BQ71">
        <v>8267.5135065373634</v>
      </c>
      <c r="BR71">
        <v>8.5706675575356819</v>
      </c>
      <c r="BS71">
        <v>4833.8565024501249</v>
      </c>
      <c r="BT71">
        <v>11.71587249869587</v>
      </c>
      <c r="BU71">
        <v>6607.7520892644707</v>
      </c>
      <c r="BV71">
        <v>10.580874027607811</v>
      </c>
      <c r="BW71">
        <v>5967.6129515708053</v>
      </c>
      <c r="BX71">
        <v>9.7118124855205643</v>
      </c>
      <c r="BY71">
        <v>5477.4622418335985</v>
      </c>
      <c r="BZ71">
        <v>16.817340809214222</v>
      </c>
      <c r="CA71">
        <v>9484.9802163968216</v>
      </c>
      <c r="CB71">
        <v>11.618762495523702</v>
      </c>
      <c r="CC71">
        <v>6552.9820474753678</v>
      </c>
      <c r="CD71">
        <v>16.655983603479392</v>
      </c>
      <c r="CE71">
        <v>9393.9747523623773</v>
      </c>
      <c r="CF71">
        <v>10.559714507065365</v>
      </c>
      <c r="CG71">
        <v>5955.6789819848664</v>
      </c>
      <c r="CH71">
        <v>9.5648768249756202</v>
      </c>
      <c r="CI71">
        <v>5394.5905292862499</v>
      </c>
      <c r="CJ71">
        <v>11.878856924102884</v>
      </c>
      <c r="CK71">
        <v>6699.6753051940268</v>
      </c>
      <c r="CL71">
        <v>15.603241345730082</v>
      </c>
      <c r="CM71">
        <v>8800.2281189917667</v>
      </c>
      <c r="CN71">
        <v>11.652809057461303</v>
      </c>
      <c r="CO71">
        <v>6572.1843084081747</v>
      </c>
      <c r="CP71">
        <v>9.6261583678853722</v>
      </c>
      <c r="CQ71">
        <v>5429.15331948735</v>
      </c>
      <c r="CR71">
        <v>11.371465105146362</v>
      </c>
      <c r="CS71">
        <v>6413.506319302548</v>
      </c>
      <c r="CT71">
        <v>9.5847927931010091</v>
      </c>
      <c r="CU71">
        <v>5405.8231353089695</v>
      </c>
    </row>
    <row r="72" spans="2:99" x14ac:dyDescent="0.2">
      <c r="C72" s="119" t="s">
        <v>238</v>
      </c>
      <c r="D72">
        <v>15.08894371127287</v>
      </c>
      <c r="E72">
        <v>1122.6174121187014</v>
      </c>
      <c r="F72">
        <v>10.684021522045608</v>
      </c>
      <c r="G72">
        <v>794.89120124019314</v>
      </c>
      <c r="H72">
        <v>12</v>
      </c>
      <c r="I72">
        <v>892.8</v>
      </c>
      <c r="J72">
        <v>13</v>
      </c>
      <c r="K72">
        <v>967.19999999999993</v>
      </c>
      <c r="L72">
        <v>9</v>
      </c>
      <c r="M72">
        <v>669.59999999999991</v>
      </c>
      <c r="N72">
        <v>11.73721758595736</v>
      </c>
      <c r="O72">
        <v>873.24898839522746</v>
      </c>
      <c r="P72">
        <v>14.806750675706098</v>
      </c>
      <c r="Q72">
        <v>1101.6222502725336</v>
      </c>
      <c r="R72">
        <v>15.862325229942668</v>
      </c>
      <c r="S72">
        <v>1180.1569971077342</v>
      </c>
      <c r="T72">
        <v>12.762405478715959</v>
      </c>
      <c r="U72">
        <v>949.52296761646721</v>
      </c>
      <c r="V72">
        <v>12.844610083184296</v>
      </c>
      <c r="W72">
        <v>955.63899018891152</v>
      </c>
      <c r="X72">
        <v>10.663826366890785</v>
      </c>
      <c r="Y72">
        <v>793.38868169667433</v>
      </c>
      <c r="Z72">
        <v>10.576454641890772</v>
      </c>
      <c r="AA72">
        <v>786.88822535667327</v>
      </c>
      <c r="AB72">
        <v>12.636850268416755</v>
      </c>
      <c r="AC72">
        <v>940.1816599702064</v>
      </c>
      <c r="AD72">
        <v>18.813499983452072</v>
      </c>
      <c r="AE72">
        <v>1399.7243987688339</v>
      </c>
      <c r="AF72">
        <v>17.556910438443417</v>
      </c>
      <c r="AG72">
        <v>1306.2341366201902</v>
      </c>
      <c r="AH72">
        <v>15.942663584365194</v>
      </c>
      <c r="AI72">
        <v>1186.1341706767703</v>
      </c>
      <c r="AJ72">
        <v>10.703707695686571</v>
      </c>
      <c r="AK72">
        <v>796.35585255908074</v>
      </c>
      <c r="AL72">
        <v>16</v>
      </c>
      <c r="AM72">
        <v>1190.3999999999999</v>
      </c>
      <c r="AN72">
        <v>12.28020150556954</v>
      </c>
      <c r="AO72">
        <v>913.64699201437372</v>
      </c>
      <c r="AP72">
        <v>10.933013535509017</v>
      </c>
      <c r="AQ72">
        <v>813.41620704187085</v>
      </c>
      <c r="AR72">
        <v>14.885525761179501</v>
      </c>
      <c r="AS72">
        <v>1107.4831166317547</v>
      </c>
      <c r="AT72">
        <v>11.889237597644248</v>
      </c>
      <c r="AU72">
        <v>884.55927726473203</v>
      </c>
      <c r="AV72">
        <v>14.728758459237307</v>
      </c>
      <c r="AW72">
        <v>1095.8196293672554</v>
      </c>
      <c r="AX72">
        <v>11.724960770319386</v>
      </c>
      <c r="AY72">
        <v>872.33708131176229</v>
      </c>
      <c r="AZ72">
        <v>12</v>
      </c>
      <c r="BA72">
        <v>892.8</v>
      </c>
      <c r="BB72">
        <v>12.34199980720464</v>
      </c>
      <c r="BC72">
        <v>918.2447856560251</v>
      </c>
      <c r="BD72">
        <v>16.705571171560617</v>
      </c>
      <c r="BE72">
        <v>1242.8944951641097</v>
      </c>
      <c r="BF72">
        <v>15.82192768368785</v>
      </c>
      <c r="BG72">
        <v>1177.1514196663759</v>
      </c>
      <c r="BH72">
        <v>14.759813131642581</v>
      </c>
      <c r="BI72">
        <v>1098.1300969942079</v>
      </c>
      <c r="BJ72">
        <v>16.816209474345783</v>
      </c>
      <c r="BK72">
        <v>1251.1259848913262</v>
      </c>
      <c r="BL72">
        <v>14.654082644924639</v>
      </c>
      <c r="BM72">
        <v>1090.2637487823929</v>
      </c>
      <c r="BN72">
        <v>14.740837198289146</v>
      </c>
      <c r="BO72">
        <v>1096.7182875527124</v>
      </c>
      <c r="BP72">
        <v>14.658711891023694</v>
      </c>
      <c r="BQ72">
        <v>1090.6081646921627</v>
      </c>
      <c r="BR72">
        <v>10.600702692142825</v>
      </c>
      <c r="BS72">
        <v>788.69228029542603</v>
      </c>
      <c r="BT72">
        <v>12.742386294943865</v>
      </c>
      <c r="BU72">
        <v>948.03354034382346</v>
      </c>
      <c r="BV72">
        <v>12.607277392499075</v>
      </c>
      <c r="BW72">
        <v>937.98143800193111</v>
      </c>
      <c r="BX72">
        <v>10.711812485520564</v>
      </c>
      <c r="BY72">
        <v>796.95884892272989</v>
      </c>
      <c r="BZ72">
        <v>17.889459115909595</v>
      </c>
      <c r="CA72">
        <v>1330.9757582236737</v>
      </c>
      <c r="CB72">
        <v>12.703139199458754</v>
      </c>
      <c r="CC72">
        <v>945.11355643973116</v>
      </c>
      <c r="CD72">
        <v>16.708462291757744</v>
      </c>
      <c r="CE72">
        <v>1243.1095945067759</v>
      </c>
      <c r="CF72">
        <v>10.666326794125435</v>
      </c>
      <c r="CG72">
        <v>793.57471348293234</v>
      </c>
      <c r="CH72">
        <v>9.5962588708075991</v>
      </c>
      <c r="CI72">
        <v>713.96165998808533</v>
      </c>
      <c r="CJ72">
        <v>12.878856924102884</v>
      </c>
      <c r="CK72">
        <v>958.18695515325442</v>
      </c>
      <c r="CL72">
        <v>18.603241345730083</v>
      </c>
      <c r="CM72">
        <v>1384.0811561223181</v>
      </c>
      <c r="CN72">
        <v>11.725343397179225</v>
      </c>
      <c r="CO72">
        <v>872.36554875013428</v>
      </c>
      <c r="CP72">
        <v>10.707831198479116</v>
      </c>
      <c r="CQ72">
        <v>796.66264116684613</v>
      </c>
      <c r="CR72">
        <v>12.335797213252043</v>
      </c>
      <c r="CS72">
        <v>917.78331266595194</v>
      </c>
      <c r="CT72">
        <v>9.5847927931010091</v>
      </c>
      <c r="CU72">
        <v>713.10858380671505</v>
      </c>
    </row>
    <row r="73" spans="2:99" x14ac:dyDescent="0.2">
      <c r="C73" s="119" t="s">
        <v>239</v>
      </c>
      <c r="D73">
        <v>15.053816494780197</v>
      </c>
      <c r="E73">
        <v>8418.094183881085</v>
      </c>
      <c r="F73">
        <v>10.736638562202963</v>
      </c>
      <c r="G73">
        <v>6003.9282839838961</v>
      </c>
      <c r="H73">
        <v>13</v>
      </c>
      <c r="I73">
        <v>7269.5999999999995</v>
      </c>
      <c r="J73">
        <v>11</v>
      </c>
      <c r="K73">
        <v>6151.1999999999989</v>
      </c>
      <c r="L73">
        <v>7.9978750819626194</v>
      </c>
      <c r="M73">
        <v>4472.4117458334958</v>
      </c>
      <c r="N73">
        <v>10.603178024874204</v>
      </c>
      <c r="O73">
        <v>5929.2971515096542</v>
      </c>
      <c r="P73">
        <v>13.806750675706098</v>
      </c>
      <c r="Q73">
        <v>7720.7349778548496</v>
      </c>
      <c r="R73">
        <v>15.836194162368647</v>
      </c>
      <c r="S73">
        <v>8855.5997755965473</v>
      </c>
      <c r="T73">
        <v>14.701413040418682</v>
      </c>
      <c r="U73">
        <v>8221.0301722021268</v>
      </c>
      <c r="V73">
        <v>10.723951499872253</v>
      </c>
      <c r="W73">
        <v>5996.8336787285634</v>
      </c>
      <c r="X73">
        <v>8.6006048081392805</v>
      </c>
      <c r="Y73">
        <v>4809.458208711485</v>
      </c>
      <c r="Z73">
        <v>10.605277373985311</v>
      </c>
      <c r="AA73">
        <v>5930.4711075325849</v>
      </c>
      <c r="AB73">
        <v>11.636850268416755</v>
      </c>
      <c r="AC73">
        <v>6507.3266700986487</v>
      </c>
      <c r="AD73">
        <v>15.660968736554809</v>
      </c>
      <c r="AE73">
        <v>8757.6137174814485</v>
      </c>
      <c r="AF73">
        <v>15.524151000887922</v>
      </c>
      <c r="AG73">
        <v>8681.105239696526</v>
      </c>
      <c r="AH73">
        <v>15.811738086536696</v>
      </c>
      <c r="AI73">
        <v>8841.9239379913197</v>
      </c>
      <c r="AJ73">
        <v>9.670197805415782</v>
      </c>
      <c r="AK73">
        <v>5407.574612788505</v>
      </c>
      <c r="AL73">
        <v>17</v>
      </c>
      <c r="AM73">
        <v>9506.4</v>
      </c>
      <c r="AN73">
        <v>12.005872611518923</v>
      </c>
      <c r="AO73">
        <v>6713.6839643613812</v>
      </c>
      <c r="AP73">
        <v>9.7515942369378195</v>
      </c>
      <c r="AQ73">
        <v>5453.091497295628</v>
      </c>
      <c r="AR73">
        <v>15.74570590415116</v>
      </c>
      <c r="AS73">
        <v>8804.9987416013282</v>
      </c>
      <c r="AT73">
        <v>11.805871572865101</v>
      </c>
      <c r="AU73">
        <v>6601.8433835461637</v>
      </c>
      <c r="AV73">
        <v>13.699608120867815</v>
      </c>
      <c r="AW73">
        <v>7660.8208611892815</v>
      </c>
      <c r="AX73">
        <v>10.644409573617232</v>
      </c>
      <c r="AY73">
        <v>5952.3538335667554</v>
      </c>
      <c r="AZ73">
        <v>12</v>
      </c>
      <c r="BA73">
        <v>6710.4</v>
      </c>
      <c r="BB73">
        <v>11.138666503082725</v>
      </c>
      <c r="BC73">
        <v>6228.7423085238588</v>
      </c>
      <c r="BD73">
        <v>15.644217156642302</v>
      </c>
      <c r="BE73">
        <v>8748.2462339943741</v>
      </c>
      <c r="BF73">
        <v>16.848441479935843</v>
      </c>
      <c r="BG73">
        <v>9421.648475580123</v>
      </c>
      <c r="BH73">
        <v>14.759813131642581</v>
      </c>
      <c r="BI73">
        <v>8253.6875032145308</v>
      </c>
      <c r="BJ73">
        <v>17.816209474345783</v>
      </c>
      <c r="BK73">
        <v>9962.8243380541608</v>
      </c>
      <c r="BL73">
        <v>13.654082644924639</v>
      </c>
      <c r="BM73">
        <v>7635.3630150418567</v>
      </c>
      <c r="BN73">
        <v>15.714378726921677</v>
      </c>
      <c r="BO73">
        <v>8787.480584094601</v>
      </c>
      <c r="BP73">
        <v>13.632363415382747</v>
      </c>
      <c r="BQ73">
        <v>7623.2176218820314</v>
      </c>
      <c r="BR73">
        <v>8.6307378267499644</v>
      </c>
      <c r="BS73">
        <v>4826.3085927185793</v>
      </c>
      <c r="BT73">
        <v>11.636331109951882</v>
      </c>
      <c r="BU73">
        <v>6507.036356685092</v>
      </c>
      <c r="BV73">
        <v>12.580874027607811</v>
      </c>
      <c r="BW73">
        <v>7035.2247562382872</v>
      </c>
      <c r="BX73">
        <v>9.6101249875890549</v>
      </c>
      <c r="BY73">
        <v>5373.9818930597985</v>
      </c>
      <c r="BZ73">
        <v>14.841380244779346</v>
      </c>
      <c r="CA73">
        <v>8299.2998328806098</v>
      </c>
      <c r="CB73">
        <v>12.646888063502052</v>
      </c>
      <c r="CC73">
        <v>7072.139805110347</v>
      </c>
      <c r="CD73">
        <v>15.655983603479392</v>
      </c>
      <c r="CE73">
        <v>8754.8260310656751</v>
      </c>
      <c r="CF73">
        <v>10.559714507065365</v>
      </c>
      <c r="CG73">
        <v>5904.9923523509515</v>
      </c>
      <c r="CH73">
        <v>8.5334947791436413</v>
      </c>
      <c r="CI73">
        <v>4771.9302804971239</v>
      </c>
      <c r="CJ73">
        <v>12.8300315394305</v>
      </c>
      <c r="CK73">
        <v>7174.553636849535</v>
      </c>
      <c r="CL73">
        <v>15.689418680834379</v>
      </c>
      <c r="CM73">
        <v>8773.5229263225829</v>
      </c>
      <c r="CN73">
        <v>10.701165283939917</v>
      </c>
      <c r="CO73">
        <v>5984.0916267792009</v>
      </c>
      <c r="CP73">
        <v>10.762279752208279</v>
      </c>
      <c r="CQ73">
        <v>6018.2668374348686</v>
      </c>
      <c r="CR73">
        <v>12.286519025124052</v>
      </c>
      <c r="CS73">
        <v>6870.621438849369</v>
      </c>
      <c r="CT73">
        <v>8.0852341922149087</v>
      </c>
      <c r="CU73">
        <v>4521.2629602865763</v>
      </c>
    </row>
    <row r="74" spans="2:99" x14ac:dyDescent="0.2">
      <c r="C74" s="119" t="s">
        <v>240</v>
      </c>
      <c r="D74">
        <v>12.983562061794851</v>
      </c>
      <c r="E74">
        <v>5234.9722233156836</v>
      </c>
      <c r="F74">
        <v>10.657713001966931</v>
      </c>
      <c r="G74">
        <v>4297.189882393066</v>
      </c>
      <c r="H74">
        <v>13</v>
      </c>
      <c r="I74">
        <v>5241.5999999999995</v>
      </c>
      <c r="J74">
        <v>11</v>
      </c>
      <c r="K74">
        <v>4435.2</v>
      </c>
      <c r="L74">
        <v>8</v>
      </c>
      <c r="M74">
        <v>3225.6</v>
      </c>
      <c r="N74">
        <v>10.603178024874204</v>
      </c>
      <c r="O74">
        <v>4275.2013796292786</v>
      </c>
      <c r="P74">
        <v>12.834569664523551</v>
      </c>
      <c r="Q74">
        <v>5174.8984887358956</v>
      </c>
      <c r="R74">
        <v>15.836194162368647</v>
      </c>
      <c r="S74">
        <v>6385.1534862670387</v>
      </c>
      <c r="T74">
        <v>12.640420602121406</v>
      </c>
      <c r="U74">
        <v>5096.6175867753509</v>
      </c>
      <c r="V74">
        <v>11.79634664985948</v>
      </c>
      <c r="W74">
        <v>4756.2869692233426</v>
      </c>
      <c r="X74">
        <v>10.632215587515033</v>
      </c>
      <c r="Y74">
        <v>4286.9093248860609</v>
      </c>
      <c r="Z74">
        <v>12.576454641890772</v>
      </c>
      <c r="AA74">
        <v>5070.8265116103594</v>
      </c>
      <c r="AB74">
        <v>11.636850268416755</v>
      </c>
      <c r="AC74">
        <v>4691.9780282256352</v>
      </c>
      <c r="AD74">
        <v>17.711812485520564</v>
      </c>
      <c r="AE74">
        <v>7141.4027941618915</v>
      </c>
      <c r="AF74">
        <v>14.589669875998913</v>
      </c>
      <c r="AG74">
        <v>5882.554894002762</v>
      </c>
      <c r="AH74">
        <v>14.916478484799494</v>
      </c>
      <c r="AI74">
        <v>6014.3241250711562</v>
      </c>
      <c r="AJ74">
        <v>9.670197805415782</v>
      </c>
      <c r="AK74">
        <v>3899.023755143643</v>
      </c>
      <c r="AL74">
        <v>16</v>
      </c>
      <c r="AM74">
        <v>6451.2</v>
      </c>
      <c r="AN74">
        <v>11.14303705854423</v>
      </c>
      <c r="AO74">
        <v>4492.8725420050332</v>
      </c>
      <c r="AP74">
        <v>10.881179450202961</v>
      </c>
      <c r="AQ74">
        <v>4387.2915543218332</v>
      </c>
      <c r="AR74">
        <v>13.769009213655883</v>
      </c>
      <c r="AS74">
        <v>5551.6645149460519</v>
      </c>
      <c r="AT74">
        <v>9.8058715728651009</v>
      </c>
      <c r="AU74">
        <v>3953.7274181792086</v>
      </c>
      <c r="AV74">
        <v>14.641307444128831</v>
      </c>
      <c r="AW74">
        <v>5903.3751614727444</v>
      </c>
      <c r="AX74">
        <v>9.6981103714186681</v>
      </c>
      <c r="AY74">
        <v>3910.2781017560069</v>
      </c>
      <c r="AZ74">
        <v>12</v>
      </c>
      <c r="BA74">
        <v>4838.3999999999996</v>
      </c>
      <c r="BB74">
        <v>12.219999824731492</v>
      </c>
      <c r="BC74">
        <v>4927.1039293317372</v>
      </c>
      <c r="BD74">
        <v>16.613540149183144</v>
      </c>
      <c r="BE74">
        <v>6698.5793881506434</v>
      </c>
      <c r="BF74">
        <v>16.848441479935843</v>
      </c>
      <c r="BG74">
        <v>6793.2916047101317</v>
      </c>
      <c r="BH74">
        <v>15.759813131642581</v>
      </c>
      <c r="BI74">
        <v>6354.3566546782886</v>
      </c>
      <c r="BJ74">
        <v>16.787059135976293</v>
      </c>
      <c r="BK74">
        <v>6768.5422436256413</v>
      </c>
      <c r="BL74">
        <v>14.708589532001692</v>
      </c>
      <c r="BM74">
        <v>5930.5032993030818</v>
      </c>
      <c r="BN74">
        <v>13.740837198289146</v>
      </c>
      <c r="BO74">
        <v>5540.3055583501837</v>
      </c>
      <c r="BP74">
        <v>16.68506036666464</v>
      </c>
      <c r="BQ74">
        <v>6727.4163398391829</v>
      </c>
      <c r="BR74">
        <v>8.6307378267499644</v>
      </c>
      <c r="BS74">
        <v>3479.9134917455854</v>
      </c>
      <c r="BT74">
        <v>10.662844906199878</v>
      </c>
      <c r="BU74">
        <v>4299.2590661797904</v>
      </c>
      <c r="BV74">
        <v>10.633680757390339</v>
      </c>
      <c r="BW74">
        <v>4287.5000813797842</v>
      </c>
      <c r="BX74">
        <v>9.7118124855205643</v>
      </c>
      <c r="BY74">
        <v>3915.8027941618916</v>
      </c>
      <c r="BZ74">
        <v>15.913498551474719</v>
      </c>
      <c r="CA74">
        <v>6416.3226159546066</v>
      </c>
      <c r="CB74">
        <v>12.703139199458754</v>
      </c>
      <c r="CC74">
        <v>5121.905725221769</v>
      </c>
      <c r="CD74">
        <v>17.577265571061865</v>
      </c>
      <c r="CE74">
        <v>7087.1534782521439</v>
      </c>
      <c r="CF74">
        <v>11.666326794125435</v>
      </c>
      <c r="CG74">
        <v>4703.8629633913752</v>
      </c>
      <c r="CH74">
        <v>9.5334947791436413</v>
      </c>
      <c r="CI74">
        <v>3843.9050949507159</v>
      </c>
      <c r="CJ74">
        <v>13.927682308775266</v>
      </c>
      <c r="CK74">
        <v>5615.6415068981869</v>
      </c>
      <c r="CL74">
        <v>17.631967124098182</v>
      </c>
      <c r="CM74">
        <v>7109.2091444363869</v>
      </c>
      <c r="CN74">
        <v>11.604452830982687</v>
      </c>
      <c r="CO74">
        <v>4678.9153814522197</v>
      </c>
      <c r="CP74">
        <v>10.653382644749954</v>
      </c>
      <c r="CQ74">
        <v>4295.4438823631808</v>
      </c>
      <c r="CR74">
        <v>12.311158119188047</v>
      </c>
      <c r="CS74">
        <v>4963.8589536566205</v>
      </c>
      <c r="CT74">
        <v>9.5664352559827464</v>
      </c>
      <c r="CU74">
        <v>3857.1866952122432</v>
      </c>
    </row>
    <row r="75" spans="2:99" x14ac:dyDescent="0.2">
      <c r="C75" s="119" t="s">
        <v>241</v>
      </c>
      <c r="D75">
        <v>13.018689278287523</v>
      </c>
      <c r="E75">
        <v>8373.6209437945345</v>
      </c>
      <c r="F75">
        <v>10.736638562202963</v>
      </c>
      <c r="G75">
        <v>6905.8059232089445</v>
      </c>
      <c r="H75">
        <v>12</v>
      </c>
      <c r="I75">
        <v>7718.4</v>
      </c>
      <c r="J75">
        <v>11</v>
      </c>
      <c r="K75">
        <v>7075.1999999999989</v>
      </c>
      <c r="L75">
        <v>8.9978750819626203</v>
      </c>
      <c r="M75">
        <v>5787.4332527183569</v>
      </c>
      <c r="N75">
        <v>9.670197805415782</v>
      </c>
      <c r="O75">
        <v>6219.8712284434305</v>
      </c>
      <c r="P75">
        <v>12.751112698071195</v>
      </c>
      <c r="Q75">
        <v>8201.515687399391</v>
      </c>
      <c r="R75">
        <v>16.731669892072567</v>
      </c>
      <c r="S75">
        <v>10761.810074581073</v>
      </c>
      <c r="T75">
        <v>14.670916821270044</v>
      </c>
      <c r="U75">
        <v>9436.333699440891</v>
      </c>
      <c r="V75">
        <v>10.844610083184296</v>
      </c>
      <c r="W75">
        <v>6975.2532055041384</v>
      </c>
      <c r="X75">
        <v>9.6322155875150326</v>
      </c>
      <c r="Y75">
        <v>6195.4410658896686</v>
      </c>
      <c r="Z75">
        <v>11.518809177701694</v>
      </c>
      <c r="AA75">
        <v>7408.8980630977294</v>
      </c>
      <c r="AB75">
        <v>13.573165241575079</v>
      </c>
      <c r="AC75">
        <v>8730.2598833810898</v>
      </c>
      <c r="AD75">
        <v>15.737234360003441</v>
      </c>
      <c r="AE75">
        <v>10122.189140354212</v>
      </c>
      <c r="AF75">
        <v>14.524151000887922</v>
      </c>
      <c r="AG75">
        <v>9341.9339237711101</v>
      </c>
      <c r="AH75">
        <v>14.864108285668095</v>
      </c>
      <c r="AI75">
        <v>9560.5944493417173</v>
      </c>
      <c r="AJ75">
        <v>9.6366879151449929</v>
      </c>
      <c r="AK75">
        <v>6198.3176670212588</v>
      </c>
      <c r="AL75">
        <v>14</v>
      </c>
      <c r="AM75">
        <v>9004.7999999999993</v>
      </c>
      <c r="AN75">
        <v>11.051594093860693</v>
      </c>
      <c r="AO75">
        <v>7108.3853211711967</v>
      </c>
      <c r="AP75">
        <v>10.803428322243876</v>
      </c>
      <c r="AQ75">
        <v>6948.7650968672606</v>
      </c>
      <c r="AR75">
        <v>14.815615832665332</v>
      </c>
      <c r="AS75">
        <v>9529.4041035703394</v>
      </c>
      <c r="AT75">
        <v>10.833660247791483</v>
      </c>
      <c r="AU75">
        <v>6968.2102713794811</v>
      </c>
      <c r="AV75">
        <v>12.612157105759339</v>
      </c>
      <c r="AW75">
        <v>8112.1394504244063</v>
      </c>
      <c r="AX75">
        <v>9.6444095736172315</v>
      </c>
      <c r="AY75">
        <v>6203.2842377506031</v>
      </c>
      <c r="AZ75">
        <v>12</v>
      </c>
      <c r="BA75">
        <v>7718.4</v>
      </c>
      <c r="BB75">
        <v>11.301333146380259</v>
      </c>
      <c r="BC75">
        <v>7269.017479751782</v>
      </c>
      <c r="BD75">
        <v>16.644217156642302</v>
      </c>
      <c r="BE75">
        <v>10705.560475152328</v>
      </c>
      <c r="BF75">
        <v>15.742386294943865</v>
      </c>
      <c r="BG75">
        <v>10125.502864907892</v>
      </c>
      <c r="BH75">
        <v>14.831045612734073</v>
      </c>
      <c r="BI75">
        <v>9539.3285381105543</v>
      </c>
      <c r="BJ75">
        <v>15.699608120867815</v>
      </c>
      <c r="BK75">
        <v>10097.987943342177</v>
      </c>
      <c r="BL75">
        <v>12.654082644924639</v>
      </c>
      <c r="BM75">
        <v>8139.1059572155273</v>
      </c>
      <c r="BN75">
        <v>13.740837198289146</v>
      </c>
      <c r="BO75">
        <v>8838.1064859395774</v>
      </c>
      <c r="BP75">
        <v>14.658711891023694</v>
      </c>
      <c r="BQ75">
        <v>9428.4834883064395</v>
      </c>
      <c r="BR75">
        <v>9.6607729613571056</v>
      </c>
      <c r="BS75">
        <v>6213.8091687448896</v>
      </c>
      <c r="BT75">
        <v>10.636331109951882</v>
      </c>
      <c r="BU75">
        <v>6841.2881699210502</v>
      </c>
      <c r="BV75">
        <v>12.554470662716547</v>
      </c>
      <c r="BW75">
        <v>8075.0355302592816</v>
      </c>
      <c r="BX75">
        <v>9.7372343600034412</v>
      </c>
      <c r="BY75">
        <v>6262.9891403542124</v>
      </c>
      <c r="BZ75">
        <v>14.841380244779346</v>
      </c>
      <c r="CA75">
        <v>9545.9757734420746</v>
      </c>
      <c r="CB75">
        <v>12.646888063502052</v>
      </c>
      <c r="CC75">
        <v>8134.4784024445189</v>
      </c>
      <c r="CD75">
        <v>16.603504915201039</v>
      </c>
      <c r="CE75">
        <v>10679.374361457307</v>
      </c>
      <c r="CF75">
        <v>11.6130206505954</v>
      </c>
      <c r="CG75">
        <v>7469.494882462961</v>
      </c>
      <c r="CH75">
        <v>9.5334947791436413</v>
      </c>
      <c r="CI75">
        <v>6131.943841945189</v>
      </c>
      <c r="CJ75">
        <v>13.781206154758118</v>
      </c>
      <c r="CK75">
        <v>8864.0717987404205</v>
      </c>
      <c r="CL75">
        <v>17.574515567361981</v>
      </c>
      <c r="CM75">
        <v>11303.928412927226</v>
      </c>
      <c r="CN75">
        <v>10.701165283939917</v>
      </c>
      <c r="CO75">
        <v>6882.9895106301537</v>
      </c>
      <c r="CP75">
        <v>10.707831198479116</v>
      </c>
      <c r="CQ75">
        <v>6887.2770268617669</v>
      </c>
      <c r="CR75">
        <v>12.212601742932065</v>
      </c>
      <c r="CS75">
        <v>7855.1454410539036</v>
      </c>
      <c r="CT75">
        <v>8.8533710297762216</v>
      </c>
      <c r="CU75">
        <v>5694.4882463520653</v>
      </c>
    </row>
    <row r="76" spans="2:99" x14ac:dyDescent="0.2">
      <c r="C76" s="119" t="s">
        <v>242</v>
      </c>
      <c r="D76">
        <v>14.018689278287523</v>
      </c>
      <c r="E76">
        <v>10917.755209930323</v>
      </c>
      <c r="F76">
        <v>10.710330042124285</v>
      </c>
      <c r="G76">
        <v>8341.2050368063938</v>
      </c>
      <c r="H76">
        <v>12</v>
      </c>
      <c r="I76">
        <v>9345.5999999999985</v>
      </c>
      <c r="J76">
        <v>12</v>
      </c>
      <c r="K76">
        <v>9345.5999999999985</v>
      </c>
      <c r="L76">
        <v>8</v>
      </c>
      <c r="M76">
        <v>6230.4</v>
      </c>
      <c r="N76">
        <v>10.636687915144993</v>
      </c>
      <c r="O76">
        <v>8283.8525483149206</v>
      </c>
      <c r="P76">
        <v>11.806750675706098</v>
      </c>
      <c r="Q76">
        <v>9195.0974262399086</v>
      </c>
      <c r="R76">
        <v>14.836194162368647</v>
      </c>
      <c r="S76">
        <v>11554.428013652701</v>
      </c>
      <c r="T76">
        <v>12.701413040418682</v>
      </c>
      <c r="U76">
        <v>9891.8604758780693</v>
      </c>
      <c r="V76">
        <v>11.772214933197072</v>
      </c>
      <c r="W76">
        <v>9168.2009899738787</v>
      </c>
      <c r="X76">
        <v>9.6322155875150326</v>
      </c>
      <c r="Y76">
        <v>7501.5694995567073</v>
      </c>
      <c r="Z76">
        <v>11.518809177701694</v>
      </c>
      <c r="AA76">
        <v>8970.8485875940787</v>
      </c>
      <c r="AB76">
        <v>11.541322728154242</v>
      </c>
      <c r="AC76">
        <v>8988.3821406865227</v>
      </c>
      <c r="AD76">
        <v>15.686390611037687</v>
      </c>
      <c r="AE76">
        <v>12216.561007876151</v>
      </c>
      <c r="AF76">
        <v>15.589669875998913</v>
      </c>
      <c r="AG76">
        <v>12141.234899427953</v>
      </c>
      <c r="AH76">
        <v>13.811738086536696</v>
      </c>
      <c r="AI76">
        <v>10756.581621794778</v>
      </c>
      <c r="AJ76">
        <v>9.670197805415782</v>
      </c>
      <c r="AK76">
        <v>7531.1500508578101</v>
      </c>
      <c r="AL76">
        <v>16</v>
      </c>
      <c r="AM76">
        <v>12460.8</v>
      </c>
      <c r="AN76">
        <v>9.9601511291771541</v>
      </c>
      <c r="AO76">
        <v>7756.9656994031675</v>
      </c>
      <c r="AP76">
        <v>9.7775112795908488</v>
      </c>
      <c r="AQ76">
        <v>7614.7257845453523</v>
      </c>
      <c r="AR76">
        <v>14.74570590415116</v>
      </c>
      <c r="AS76">
        <v>11483.955758152922</v>
      </c>
      <c r="AT76">
        <v>10.750294223012334</v>
      </c>
      <c r="AU76">
        <v>8372.329140882006</v>
      </c>
      <c r="AV76">
        <v>13.670457782498323</v>
      </c>
      <c r="AW76">
        <v>10646.552521009693</v>
      </c>
      <c r="AX76">
        <v>9.5907087758157967</v>
      </c>
      <c r="AY76">
        <v>7469.2439946053419</v>
      </c>
      <c r="AZ76">
        <v>12</v>
      </c>
      <c r="BA76">
        <v>9345.5999999999985</v>
      </c>
      <c r="BB76">
        <v>13.301333146380259</v>
      </c>
      <c r="BC76">
        <v>10359.078254400945</v>
      </c>
      <c r="BD76">
        <v>16.67489416410146</v>
      </c>
      <c r="BE76">
        <v>12986.407575002217</v>
      </c>
      <c r="BF76">
        <v>14.795413887439853</v>
      </c>
      <c r="BG76">
        <v>11522.668335538157</v>
      </c>
      <c r="BH76">
        <v>15.831045612734073</v>
      </c>
      <c r="BI76">
        <v>12329.218323197296</v>
      </c>
      <c r="BJ76">
        <v>15.728758459237307</v>
      </c>
      <c r="BK76">
        <v>12249.557088054014</v>
      </c>
      <c r="BL76">
        <v>14.572322314309059</v>
      </c>
      <c r="BM76">
        <v>11348.924618383895</v>
      </c>
      <c r="BN76">
        <v>13.820212612391554</v>
      </c>
      <c r="BO76">
        <v>10763.181582530542</v>
      </c>
      <c r="BP76">
        <v>14.658711891023694</v>
      </c>
      <c r="BQ76">
        <v>11416.204820729252</v>
      </c>
      <c r="BR76">
        <v>9.6307378267499644</v>
      </c>
      <c r="BS76">
        <v>7500.4186194728718</v>
      </c>
      <c r="BT76">
        <v>10.662844906199878</v>
      </c>
      <c r="BU76">
        <v>8304.2236129484645</v>
      </c>
      <c r="BV76">
        <v>11.554470662716547</v>
      </c>
      <c r="BW76">
        <v>8998.6217521236467</v>
      </c>
      <c r="BX76">
        <v>9.6101249875890549</v>
      </c>
      <c r="BY76">
        <v>7484.3653403343551</v>
      </c>
      <c r="BZ76">
        <v>15.721183066953724</v>
      </c>
      <c r="CA76">
        <v>12243.657372543559</v>
      </c>
      <c r="CB76">
        <v>11.731264767437104</v>
      </c>
      <c r="CC76">
        <v>9136.3090008800154</v>
      </c>
      <c r="CD76">
        <v>16.629744259340217</v>
      </c>
      <c r="CE76">
        <v>12951.24482917416</v>
      </c>
      <c r="CF76">
        <v>10.586367578830382</v>
      </c>
      <c r="CG76">
        <v>8244.6630703931005</v>
      </c>
      <c r="CH76">
        <v>9.5334947791436413</v>
      </c>
      <c r="CI76">
        <v>7424.6857339970675</v>
      </c>
      <c r="CJ76">
        <v>12.756793462421927</v>
      </c>
      <c r="CK76">
        <v>9934.9907485341955</v>
      </c>
      <c r="CL76">
        <v>16.66069290246628</v>
      </c>
      <c r="CM76">
        <v>12975.347632440738</v>
      </c>
      <c r="CN76">
        <v>10.628630944221994</v>
      </c>
      <c r="CO76">
        <v>8277.5777793600882</v>
      </c>
      <c r="CP76">
        <v>9.7350554753436978</v>
      </c>
      <c r="CQ76">
        <v>7581.6612041976714</v>
      </c>
      <c r="CR76">
        <v>10.333215714848693</v>
      </c>
      <c r="CS76">
        <v>8047.5083987241615</v>
      </c>
      <c r="CT76">
        <v>9.6215078673375345</v>
      </c>
      <c r="CU76">
        <v>7493.2303270824714</v>
      </c>
    </row>
    <row r="77" spans="2:99" x14ac:dyDescent="0.2">
      <c r="C77" s="119" t="s">
        <v>243</v>
      </c>
      <c r="D77">
        <v>15.19432536075089</v>
      </c>
      <c r="E77">
        <v>4230.1001804330472</v>
      </c>
      <c r="F77">
        <v>10.684021522045608</v>
      </c>
      <c r="G77">
        <v>2974.431591737497</v>
      </c>
      <c r="H77">
        <v>12</v>
      </c>
      <c r="I77">
        <v>3340.7999999999997</v>
      </c>
      <c r="J77">
        <v>12</v>
      </c>
      <c r="K77">
        <v>3340.7999999999997</v>
      </c>
      <c r="L77">
        <v>9</v>
      </c>
      <c r="M77">
        <v>2505.6</v>
      </c>
      <c r="N77">
        <v>9.7037076956865711</v>
      </c>
      <c r="O77">
        <v>2701.5122224791412</v>
      </c>
      <c r="P77">
        <v>13.890207642158455</v>
      </c>
      <c r="Q77">
        <v>3867.0338075769137</v>
      </c>
      <c r="R77">
        <v>15.914587365090709</v>
      </c>
      <c r="S77">
        <v>4430.6211224412527</v>
      </c>
      <c r="T77">
        <v>13.670916821270044</v>
      </c>
      <c r="U77">
        <v>3805.98324304158</v>
      </c>
      <c r="V77">
        <v>11.868741799846704</v>
      </c>
      <c r="W77">
        <v>3304.257717077322</v>
      </c>
      <c r="X77">
        <v>9.6638263668907847</v>
      </c>
      <c r="Y77">
        <v>2690.4092605423943</v>
      </c>
      <c r="Z77">
        <v>10.605277373985311</v>
      </c>
      <c r="AA77">
        <v>2952.5092209175104</v>
      </c>
      <c r="AB77">
        <v>13.541322728154242</v>
      </c>
      <c r="AC77">
        <v>3769.9042475181404</v>
      </c>
      <c r="AD77">
        <v>16.711812485520564</v>
      </c>
      <c r="AE77">
        <v>4652.5685959689245</v>
      </c>
      <c r="AF77">
        <v>15.556910438443417</v>
      </c>
      <c r="AG77">
        <v>4331.0438660626469</v>
      </c>
      <c r="AH77">
        <v>15.785552986970995</v>
      </c>
      <c r="AI77">
        <v>4394.6979515727244</v>
      </c>
      <c r="AJ77">
        <v>9.7372175859573602</v>
      </c>
      <c r="AK77">
        <v>2710.841375930529</v>
      </c>
      <c r="AL77">
        <v>15</v>
      </c>
      <c r="AM77">
        <v>4176</v>
      </c>
      <c r="AN77">
        <v>13.188758540886001</v>
      </c>
      <c r="AO77">
        <v>3671.7503777826623</v>
      </c>
      <c r="AP77">
        <v>10.855262407549933</v>
      </c>
      <c r="AQ77">
        <v>3022.1050542619009</v>
      </c>
      <c r="AR77">
        <v>16.722402594646436</v>
      </c>
      <c r="AS77">
        <v>4655.5168823495669</v>
      </c>
      <c r="AT77">
        <v>10.889237597644248</v>
      </c>
      <c r="AU77">
        <v>3031.5637471841583</v>
      </c>
      <c r="AV77">
        <v>13.641307444128831</v>
      </c>
      <c r="AW77">
        <v>3797.7399924454662</v>
      </c>
      <c r="AX77">
        <v>9.617559174716515</v>
      </c>
      <c r="AY77">
        <v>2677.5284742410777</v>
      </c>
      <c r="AZ77">
        <v>13</v>
      </c>
      <c r="BA77">
        <v>3619.2</v>
      </c>
      <c r="BB77">
        <v>12.34199980720464</v>
      </c>
      <c r="BC77">
        <v>3436.0127463257718</v>
      </c>
      <c r="BD77">
        <v>16.644217156642302</v>
      </c>
      <c r="BE77">
        <v>4633.7500564092161</v>
      </c>
      <c r="BF77">
        <v>17.795413887439853</v>
      </c>
      <c r="BG77">
        <v>4954.2432262632547</v>
      </c>
      <c r="BH77">
        <v>14.831045612734073</v>
      </c>
      <c r="BI77">
        <v>4128.9630985851654</v>
      </c>
      <c r="BJ77">
        <v>15.787059135976293</v>
      </c>
      <c r="BK77">
        <v>4395.1172634557997</v>
      </c>
      <c r="BL77">
        <v>13.654082644924639</v>
      </c>
      <c r="BM77">
        <v>3801.2966083470192</v>
      </c>
      <c r="BN77">
        <v>13.846671083759023</v>
      </c>
      <c r="BO77">
        <v>3854.913229718512</v>
      </c>
      <c r="BP77">
        <v>16.68506036666464</v>
      </c>
      <c r="BQ77">
        <v>4645.1208060794352</v>
      </c>
      <c r="BR77">
        <v>9.6607729613571056</v>
      </c>
      <c r="BS77">
        <v>2689.5591924418181</v>
      </c>
      <c r="BT77">
        <v>11.636331109951882</v>
      </c>
      <c r="BU77">
        <v>3239.5545810106037</v>
      </c>
      <c r="BV77">
        <v>11.633680757390339</v>
      </c>
      <c r="BW77">
        <v>3238.8167228574703</v>
      </c>
      <c r="BX77">
        <v>9.6863906110376874</v>
      </c>
      <c r="BY77">
        <v>2696.6911461128921</v>
      </c>
      <c r="BZ77">
        <v>14.841380244779346</v>
      </c>
      <c r="CA77">
        <v>4131.8402601465696</v>
      </c>
      <c r="CB77">
        <v>13.759390335415453</v>
      </c>
      <c r="CC77">
        <v>3830.6142693796619</v>
      </c>
      <c r="CD77">
        <v>15.577265571061865</v>
      </c>
      <c r="CE77">
        <v>4336.7107349836233</v>
      </c>
      <c r="CF77">
        <v>11.586367578830382</v>
      </c>
      <c r="CG77">
        <v>3225.644733946378</v>
      </c>
      <c r="CH77">
        <v>10.627640916639578</v>
      </c>
      <c r="CI77">
        <v>2958.7352311924583</v>
      </c>
      <c r="CJ77">
        <v>13.903269616439074</v>
      </c>
      <c r="CK77">
        <v>3870.6702612166378</v>
      </c>
      <c r="CL77">
        <v>18.603241345730083</v>
      </c>
      <c r="CM77">
        <v>5179.1423906512546</v>
      </c>
      <c r="CN77">
        <v>11.67698717070061</v>
      </c>
      <c r="CO77">
        <v>3250.8732283230493</v>
      </c>
      <c r="CP77">
        <v>9.7895040290728605</v>
      </c>
      <c r="CQ77">
        <v>2725.3979216938842</v>
      </c>
      <c r="CR77">
        <v>11.272908728890378</v>
      </c>
      <c r="CS77">
        <v>3138.377790123081</v>
      </c>
      <c r="CT77">
        <v>8.9084436411310097</v>
      </c>
      <c r="CU77">
        <v>2480.1107096908727</v>
      </c>
    </row>
    <row r="78" spans="2:99" x14ac:dyDescent="0.2">
      <c r="C78" s="119" t="s">
        <v>244</v>
      </c>
      <c r="D78">
        <v>14.124070927765544</v>
      </c>
      <c r="E78">
        <v>7796.4871521265804</v>
      </c>
      <c r="F78">
        <v>10.657713001966931</v>
      </c>
      <c r="G78">
        <v>5883.0575770857458</v>
      </c>
      <c r="H78">
        <v>12</v>
      </c>
      <c r="I78">
        <v>6624</v>
      </c>
      <c r="J78">
        <v>12</v>
      </c>
      <c r="K78">
        <v>6624</v>
      </c>
      <c r="L78">
        <v>9</v>
      </c>
      <c r="M78">
        <v>4968</v>
      </c>
      <c r="N78">
        <v>9.7037076956865711</v>
      </c>
      <c r="O78">
        <v>5356.4466480189876</v>
      </c>
      <c r="P78">
        <v>12.806750675706098</v>
      </c>
      <c r="Q78">
        <v>7069.3263729897662</v>
      </c>
      <c r="R78">
        <v>14.731669892072567</v>
      </c>
      <c r="S78">
        <v>8131.8817804240571</v>
      </c>
      <c r="T78">
        <v>14.701413040418682</v>
      </c>
      <c r="U78">
        <v>8115.1799983111123</v>
      </c>
      <c r="V78">
        <v>11.723951499872253</v>
      </c>
      <c r="W78">
        <v>6471.6212279294841</v>
      </c>
      <c r="X78">
        <v>9.6006048081392805</v>
      </c>
      <c r="Y78">
        <v>5299.5338540928824</v>
      </c>
      <c r="Z78">
        <v>10.605277373985311</v>
      </c>
      <c r="AA78">
        <v>5854.1131104398919</v>
      </c>
      <c r="AB78">
        <v>13.541322728154242</v>
      </c>
      <c r="AC78">
        <v>7474.8101459411419</v>
      </c>
      <c r="AD78">
        <v>15.686390611037687</v>
      </c>
      <c r="AE78">
        <v>8658.887617292803</v>
      </c>
      <c r="AF78">
        <v>16.589669875998911</v>
      </c>
      <c r="AG78">
        <v>9157.4977715513996</v>
      </c>
      <c r="AH78">
        <v>14.759367887405295</v>
      </c>
      <c r="AI78">
        <v>8147.1710738477232</v>
      </c>
      <c r="AJ78">
        <v>9.670197805415782</v>
      </c>
      <c r="AK78">
        <v>5337.9491885895113</v>
      </c>
      <c r="AL78">
        <v>15</v>
      </c>
      <c r="AM78">
        <v>8280</v>
      </c>
      <c r="AN78">
        <v>12.097315576202462</v>
      </c>
      <c r="AO78">
        <v>6677.7181980637588</v>
      </c>
      <c r="AP78">
        <v>10.855262407549933</v>
      </c>
      <c r="AQ78">
        <v>5992.1048489675632</v>
      </c>
      <c r="AR78">
        <v>13.722402594646436</v>
      </c>
      <c r="AS78">
        <v>7574.7662322448323</v>
      </c>
      <c r="AT78">
        <v>11.889237597644248</v>
      </c>
      <c r="AU78">
        <v>6562.8591538996252</v>
      </c>
      <c r="AV78">
        <v>12.699608120867815</v>
      </c>
      <c r="AW78">
        <v>7010.1836827190336</v>
      </c>
      <c r="AX78">
        <v>10.671259972517952</v>
      </c>
      <c r="AY78">
        <v>5890.5355048299089</v>
      </c>
      <c r="AZ78">
        <v>13</v>
      </c>
      <c r="BA78">
        <v>7176</v>
      </c>
      <c r="BB78">
        <v>13.138666503082725</v>
      </c>
      <c r="BC78">
        <v>7252.5439097016642</v>
      </c>
      <c r="BD78">
        <v>16.67489416410146</v>
      </c>
      <c r="BE78">
        <v>9204.541578584005</v>
      </c>
      <c r="BF78">
        <v>15.795413887439853</v>
      </c>
      <c r="BG78">
        <v>8719.0684658667997</v>
      </c>
      <c r="BH78">
        <v>13.854789773097902</v>
      </c>
      <c r="BI78">
        <v>7647.843954750042</v>
      </c>
      <c r="BJ78">
        <v>16.728758459237309</v>
      </c>
      <c r="BK78">
        <v>9234.2746694989946</v>
      </c>
      <c r="BL78">
        <v>13.599575757847585</v>
      </c>
      <c r="BM78">
        <v>7506.965818331867</v>
      </c>
      <c r="BN78">
        <v>13.820212612391554</v>
      </c>
      <c r="BO78">
        <v>7628.7573620401381</v>
      </c>
      <c r="BP78">
        <v>13.658711891023694</v>
      </c>
      <c r="BQ78">
        <v>7539.6089638450794</v>
      </c>
      <c r="BR78">
        <v>8.5706675575356819</v>
      </c>
      <c r="BS78">
        <v>4731.008491759696</v>
      </c>
      <c r="BT78">
        <v>12.71587249869587</v>
      </c>
      <c r="BU78">
        <v>7019.1616192801202</v>
      </c>
      <c r="BV78">
        <v>11.607277392499075</v>
      </c>
      <c r="BW78">
        <v>6407.2171206594894</v>
      </c>
      <c r="BX78">
        <v>9.6355468620719318</v>
      </c>
      <c r="BY78">
        <v>5318.8218678637068</v>
      </c>
      <c r="BZ78">
        <v>15.793301373649097</v>
      </c>
      <c r="CA78">
        <v>8717.9023582543014</v>
      </c>
      <c r="CB78">
        <v>12.703139199458754</v>
      </c>
      <c r="CC78">
        <v>7012.1328381012318</v>
      </c>
      <c r="CD78">
        <v>15.682222947618568</v>
      </c>
      <c r="CE78">
        <v>8656.5870670854492</v>
      </c>
      <c r="CF78">
        <v>9.5597145070653653</v>
      </c>
      <c r="CG78">
        <v>5276.9624079000814</v>
      </c>
      <c r="CH78">
        <v>10.596258870807599</v>
      </c>
      <c r="CI78">
        <v>5849.134896685795</v>
      </c>
      <c r="CJ78">
        <v>11.903269616439074</v>
      </c>
      <c r="CK78">
        <v>6570.6048282743686</v>
      </c>
      <c r="CL78">
        <v>18.66069290246628</v>
      </c>
      <c r="CM78">
        <v>10300.702482161387</v>
      </c>
      <c r="CN78">
        <v>12.628630944221994</v>
      </c>
      <c r="CO78">
        <v>6971.0042812105412</v>
      </c>
      <c r="CP78">
        <v>9.7078311984791164</v>
      </c>
      <c r="CQ78">
        <v>5358.7228215604719</v>
      </c>
      <c r="CR78">
        <v>12.187962648868069</v>
      </c>
      <c r="CS78">
        <v>6727.7553821751744</v>
      </c>
      <c r="CT78">
        <v>8.8717285668944843</v>
      </c>
      <c r="CU78">
        <v>4897.1941689257555</v>
      </c>
    </row>
    <row r="79" spans="2:99" x14ac:dyDescent="0.2">
      <c r="C79" s="119" t="s">
        <v>245</v>
      </c>
      <c r="D79">
        <v>12.08894371127287</v>
      </c>
      <c r="E79">
        <v>9153.7481781758161</v>
      </c>
      <c r="F79">
        <v>10.657713001966931</v>
      </c>
      <c r="G79">
        <v>8070.0202850893593</v>
      </c>
      <c r="H79">
        <v>13</v>
      </c>
      <c r="I79">
        <v>9843.5999999999985</v>
      </c>
      <c r="J79">
        <v>11</v>
      </c>
      <c r="K79">
        <v>8329.1999999999989</v>
      </c>
      <c r="L79">
        <v>7</v>
      </c>
      <c r="M79">
        <v>5300.4</v>
      </c>
      <c r="N79">
        <v>9.6031780248742038</v>
      </c>
      <c r="O79">
        <v>7271.5264004347464</v>
      </c>
      <c r="P79">
        <v>13.723293709253744</v>
      </c>
      <c r="Q79">
        <v>10391.277996646933</v>
      </c>
      <c r="R79">
        <v>16.836194162368649</v>
      </c>
      <c r="S79">
        <v>12748.36621974554</v>
      </c>
      <c r="T79">
        <v>13.640420602121406</v>
      </c>
      <c r="U79">
        <v>10328.526479926328</v>
      </c>
      <c r="V79">
        <v>11.723951499872253</v>
      </c>
      <c r="W79">
        <v>8877.3760757032687</v>
      </c>
      <c r="X79">
        <v>9.5373832493877782</v>
      </c>
      <c r="Y79">
        <v>7221.7065964364247</v>
      </c>
      <c r="Z79">
        <v>10.518809177701694</v>
      </c>
      <c r="AA79">
        <v>7964.8423093557221</v>
      </c>
      <c r="AB79">
        <v>11.605007754995917</v>
      </c>
      <c r="AC79">
        <v>8787.3118720829079</v>
      </c>
      <c r="AD79">
        <v>14.660968736554809</v>
      </c>
      <c r="AE79">
        <v>11101.2855273193</v>
      </c>
      <c r="AF79">
        <v>15.589669875998913</v>
      </c>
      <c r="AG79">
        <v>11804.498030106375</v>
      </c>
      <c r="AH79">
        <v>13.785552986970995</v>
      </c>
      <c r="AI79">
        <v>10438.420721734436</v>
      </c>
      <c r="AJ79">
        <v>8.7707274762281493</v>
      </c>
      <c r="AK79">
        <v>6641.1948449999536</v>
      </c>
      <c r="AL79">
        <v>15</v>
      </c>
      <c r="AM79">
        <v>11357.999999999998</v>
      </c>
      <c r="AN79">
        <v>12.051594093860693</v>
      </c>
      <c r="AO79">
        <v>9125.467047871316</v>
      </c>
      <c r="AP79">
        <v>10.855262407549933</v>
      </c>
      <c r="AQ79">
        <v>8219.6046949968095</v>
      </c>
      <c r="AR79">
        <v>14.792312523160607</v>
      </c>
      <c r="AS79">
        <v>11200.73904253721</v>
      </c>
      <c r="AT79">
        <v>10.750294223012334</v>
      </c>
      <c r="AU79">
        <v>8140.1227856649384</v>
      </c>
      <c r="AV79">
        <v>12.583006767389845</v>
      </c>
      <c r="AW79">
        <v>9527.85272426759</v>
      </c>
      <c r="AX79">
        <v>9.5638583769150785</v>
      </c>
      <c r="AY79">
        <v>7241.7535630000966</v>
      </c>
      <c r="AZ79">
        <v>13</v>
      </c>
      <c r="BA79">
        <v>9843.5999999999985</v>
      </c>
      <c r="BB79">
        <v>12.260666485555875</v>
      </c>
      <c r="BC79">
        <v>9283.776662862907</v>
      </c>
      <c r="BD79">
        <v>14.705571171560615</v>
      </c>
      <c r="BE79">
        <v>11135.058491105698</v>
      </c>
      <c r="BF79">
        <v>16.742386294943863</v>
      </c>
      <c r="BG79">
        <v>12677.334902531491</v>
      </c>
      <c r="BH79">
        <v>15.71232481091492</v>
      </c>
      <c r="BI79">
        <v>11897.372346824775</v>
      </c>
      <c r="BJ79">
        <v>14.757908797606799</v>
      </c>
      <c r="BK79">
        <v>11174.688541547866</v>
      </c>
      <c r="BL79">
        <v>14.626829201386112</v>
      </c>
      <c r="BM79">
        <v>11075.435071289563</v>
      </c>
      <c r="BN79">
        <v>13.740837198289146</v>
      </c>
      <c r="BO79">
        <v>10404.56192654454</v>
      </c>
      <c r="BP79">
        <v>13.685060366664642</v>
      </c>
      <c r="BQ79">
        <v>10362.327709638466</v>
      </c>
      <c r="BR79">
        <v>8.5706675575356819</v>
      </c>
      <c r="BS79">
        <v>6489.7094745660179</v>
      </c>
      <c r="BT79">
        <v>10.609817313703887</v>
      </c>
      <c r="BU79">
        <v>8033.7536699365828</v>
      </c>
      <c r="BV79">
        <v>10.607277392499075</v>
      </c>
      <c r="BW79">
        <v>8031.8304416002984</v>
      </c>
      <c r="BX79">
        <v>8.6863906110376874</v>
      </c>
      <c r="BY79">
        <v>6577.3349706777362</v>
      </c>
      <c r="BZ79">
        <v>14.769261938083973</v>
      </c>
      <c r="CA79">
        <v>11183.285139517184</v>
      </c>
      <c r="CB79">
        <v>12.731264767437104</v>
      </c>
      <c r="CC79">
        <v>9640.1136819033745</v>
      </c>
      <c r="CD79">
        <v>16.655983603479392</v>
      </c>
      <c r="CE79">
        <v>12611.910784554595</v>
      </c>
      <c r="CF79">
        <v>11.6130206505954</v>
      </c>
      <c r="CG79">
        <v>8793.3792366308371</v>
      </c>
      <c r="CH79">
        <v>9.5648768249756202</v>
      </c>
      <c r="CI79">
        <v>7242.5247318715392</v>
      </c>
      <c r="CJ79">
        <v>11.878856924102884</v>
      </c>
      <c r="CK79">
        <v>8994.6704629307023</v>
      </c>
      <c r="CL79">
        <v>15.603241345730082</v>
      </c>
      <c r="CM79">
        <v>11814.774346986816</v>
      </c>
      <c r="CN79">
        <v>10.580274717743379</v>
      </c>
      <c r="CO79">
        <v>8011.3840162752858</v>
      </c>
      <c r="CP79">
        <v>10.735055475343698</v>
      </c>
      <c r="CQ79">
        <v>8128.5840059302473</v>
      </c>
      <c r="CR79">
        <v>11.297547822954375</v>
      </c>
      <c r="CS79">
        <v>8554.5032115410522</v>
      </c>
      <c r="CT79">
        <v>8.8717285668944843</v>
      </c>
      <c r="CU79">
        <v>6717.6728708525025</v>
      </c>
    </row>
    <row r="80" spans="2:99" x14ac:dyDescent="0.2">
      <c r="C80" s="119" t="s">
        <v>246</v>
      </c>
      <c r="D80">
        <v>13.053816494780197</v>
      </c>
      <c r="E80">
        <v>10510.933041597014</v>
      </c>
      <c r="F80">
        <v>11.657713001966931</v>
      </c>
      <c r="G80">
        <v>9386.7905091837711</v>
      </c>
      <c r="H80">
        <v>13</v>
      </c>
      <c r="I80">
        <v>10467.599999999999</v>
      </c>
      <c r="J80">
        <v>12</v>
      </c>
      <c r="K80">
        <v>9662.4</v>
      </c>
      <c r="L80">
        <v>8</v>
      </c>
      <c r="M80">
        <v>6441.5999999999995</v>
      </c>
      <c r="N80">
        <v>10.670197805415782</v>
      </c>
      <c r="O80">
        <v>8591.6432729207863</v>
      </c>
      <c r="P80">
        <v>12.862388653341002</v>
      </c>
      <c r="Q80">
        <v>10356.795343670174</v>
      </c>
      <c r="R80">
        <v>14.862325229942668</v>
      </c>
      <c r="S80">
        <v>11967.144275149834</v>
      </c>
      <c r="T80">
        <v>13.640420602121406</v>
      </c>
      <c r="U80">
        <v>10983.266668828155</v>
      </c>
      <c r="V80">
        <v>10.79634664985948</v>
      </c>
      <c r="W80">
        <v>8693.2183224668515</v>
      </c>
      <c r="X80">
        <v>9.6006048081392805</v>
      </c>
      <c r="Y80">
        <v>7730.4069915137479</v>
      </c>
      <c r="Z80">
        <v>9.5764546418907717</v>
      </c>
      <c r="AA80">
        <v>7710.9612776504491</v>
      </c>
      <c r="AB80">
        <v>13.605007754995917</v>
      </c>
      <c r="AC80">
        <v>10954.752244322712</v>
      </c>
      <c r="AD80">
        <v>15.711812485520564</v>
      </c>
      <c r="AE80">
        <v>12651.151413341157</v>
      </c>
      <c r="AF80">
        <v>16.556910438443417</v>
      </c>
      <c r="AG80">
        <v>13331.624285034639</v>
      </c>
      <c r="AH80">
        <v>12.785552986970995</v>
      </c>
      <c r="AI80">
        <v>10294.927265109043</v>
      </c>
      <c r="AJ80">
        <v>10.703707695686571</v>
      </c>
      <c r="AK80">
        <v>8618.6254365668265</v>
      </c>
      <c r="AL80">
        <v>14</v>
      </c>
      <c r="AM80">
        <v>11272.8</v>
      </c>
      <c r="AN80">
        <v>12.005872611518923</v>
      </c>
      <c r="AO80">
        <v>9667.1286267950363</v>
      </c>
      <c r="AP80">
        <v>10.803428322243876</v>
      </c>
      <c r="AQ80">
        <v>8698.9204850707683</v>
      </c>
      <c r="AR80">
        <v>15.722402594646436</v>
      </c>
      <c r="AS80">
        <v>12659.678569209309</v>
      </c>
      <c r="AT80">
        <v>10.778082897938718</v>
      </c>
      <c r="AU80">
        <v>8678.5123494202562</v>
      </c>
      <c r="AV80">
        <v>13.670457782498323</v>
      </c>
      <c r="AW80">
        <v>11007.452606467648</v>
      </c>
      <c r="AX80">
        <v>10.617559174716515</v>
      </c>
      <c r="AY80">
        <v>8549.2586474817363</v>
      </c>
      <c r="AZ80">
        <v>12</v>
      </c>
      <c r="BA80">
        <v>9662.4</v>
      </c>
      <c r="BB80">
        <v>13.138666503082725</v>
      </c>
      <c r="BC80">
        <v>10579.25426828221</v>
      </c>
      <c r="BD80">
        <v>14.644217156642302</v>
      </c>
      <c r="BE80">
        <v>11791.523654528381</v>
      </c>
      <c r="BF80">
        <v>15.795413887439853</v>
      </c>
      <c r="BG80">
        <v>12718.467262166569</v>
      </c>
      <c r="BH80">
        <v>14.688580650551089</v>
      </c>
      <c r="BI80">
        <v>11827.245139823735</v>
      </c>
      <c r="BJ80">
        <v>14.728758459237307</v>
      </c>
      <c r="BK80">
        <v>11859.596311377878</v>
      </c>
      <c r="BL80">
        <v>13.572322314309059</v>
      </c>
      <c r="BM80">
        <v>10928.433927481654</v>
      </c>
      <c r="BN80">
        <v>14.740837198289146</v>
      </c>
      <c r="BO80">
        <v>11869.322112062418</v>
      </c>
      <c r="BP80">
        <v>15.632363415382747</v>
      </c>
      <c r="BQ80">
        <v>12587.179022066186</v>
      </c>
      <c r="BR80">
        <v>9.5706675575356819</v>
      </c>
      <c r="BS80">
        <v>7706.3015173277308</v>
      </c>
      <c r="BT80">
        <v>11.689358702447873</v>
      </c>
      <c r="BU80">
        <v>9412.2716272110265</v>
      </c>
      <c r="BV80">
        <v>10.633680757390339</v>
      </c>
      <c r="BW80">
        <v>8562.2397458507003</v>
      </c>
      <c r="BX80">
        <v>8.6101249875890549</v>
      </c>
      <c r="BY80">
        <v>6932.8726400067062</v>
      </c>
      <c r="BZ80">
        <v>15.841380244779346</v>
      </c>
      <c r="CA80">
        <v>12755.479373096328</v>
      </c>
      <c r="CB80">
        <v>12.675013631480402</v>
      </c>
      <c r="CC80">
        <v>10205.920976068019</v>
      </c>
      <c r="CD80">
        <v>16.577265571061865</v>
      </c>
      <c r="CE80">
        <v>13348.014237819012</v>
      </c>
      <c r="CF80">
        <v>10.559714507065365</v>
      </c>
      <c r="CG80">
        <v>8502.6821210890321</v>
      </c>
      <c r="CH80">
        <v>9.5962588708075991</v>
      </c>
      <c r="CI80">
        <v>7726.9076427742784</v>
      </c>
      <c r="CJ80">
        <v>10.8300315394305</v>
      </c>
      <c r="CK80">
        <v>8720.3413955494379</v>
      </c>
      <c r="CL80">
        <v>16.603241345730083</v>
      </c>
      <c r="CM80">
        <v>13368.929931581863</v>
      </c>
      <c r="CN80">
        <v>11.604452830982687</v>
      </c>
      <c r="CO80">
        <v>9343.9054195072586</v>
      </c>
      <c r="CP80">
        <v>10.735055475343698</v>
      </c>
      <c r="CQ80">
        <v>8643.8666687467448</v>
      </c>
      <c r="CR80">
        <v>11.272908728890378</v>
      </c>
      <c r="CS80">
        <v>9076.9461085025323</v>
      </c>
      <c r="CT80">
        <v>8.1403068035696968</v>
      </c>
      <c r="CU80">
        <v>6554.5750382343194</v>
      </c>
    </row>
    <row r="81" spans="2:99" x14ac:dyDescent="0.2">
      <c r="C81" s="119" t="s">
        <v>247</v>
      </c>
      <c r="D81">
        <v>14.053816494780197</v>
      </c>
      <c r="E81">
        <v>10590.956110466357</v>
      </c>
      <c r="F81">
        <v>9.6840215220456081</v>
      </c>
      <c r="G81">
        <v>7297.8786190135706</v>
      </c>
      <c r="H81">
        <v>12</v>
      </c>
      <c r="I81">
        <v>9043.2000000000007</v>
      </c>
      <c r="J81">
        <v>12</v>
      </c>
      <c r="K81">
        <v>9043.2000000000007</v>
      </c>
      <c r="L81">
        <v>8</v>
      </c>
      <c r="M81">
        <v>6028.8</v>
      </c>
      <c r="N81">
        <v>9.670197805415782</v>
      </c>
      <c r="O81">
        <v>7287.4610661613333</v>
      </c>
      <c r="P81">
        <v>13.806750675706098</v>
      </c>
      <c r="Q81">
        <v>10404.767309212117</v>
      </c>
      <c r="R81">
        <v>16.836194162368649</v>
      </c>
      <c r="S81">
        <v>12687.755920761014</v>
      </c>
      <c r="T81">
        <v>13.609924382972768</v>
      </c>
      <c r="U81">
        <v>10256.439015008278</v>
      </c>
      <c r="V81">
        <v>11.820478366521888</v>
      </c>
      <c r="W81">
        <v>8907.9124970108951</v>
      </c>
      <c r="X81">
        <v>10.600604808139281</v>
      </c>
      <c r="Y81">
        <v>7988.6157834137621</v>
      </c>
      <c r="Z81">
        <v>9.5764546418907717</v>
      </c>
      <c r="AA81">
        <v>7216.8162181288853</v>
      </c>
      <c r="AB81">
        <v>12.605007754995917</v>
      </c>
      <c r="AC81">
        <v>9499.1338441649241</v>
      </c>
      <c r="AD81">
        <v>15.686390611037687</v>
      </c>
      <c r="AE81">
        <v>11821.263964478001</v>
      </c>
      <c r="AF81">
        <v>15.556910438443417</v>
      </c>
      <c r="AG81">
        <v>11723.687706410959</v>
      </c>
      <c r="AH81">
        <v>12.785552986970995</v>
      </c>
      <c r="AI81">
        <v>9635.1927309813418</v>
      </c>
      <c r="AJ81">
        <v>9.7707274762281493</v>
      </c>
      <c r="AK81">
        <v>7363.2202260855338</v>
      </c>
      <c r="AL81">
        <v>16</v>
      </c>
      <c r="AM81">
        <v>12057.6</v>
      </c>
      <c r="AN81">
        <v>11.097315576202462</v>
      </c>
      <c r="AO81">
        <v>8362.9370182261755</v>
      </c>
      <c r="AP81">
        <v>9.8811794502029606</v>
      </c>
      <c r="AQ81">
        <v>7446.4568336729517</v>
      </c>
      <c r="AR81">
        <v>15.769009213655883</v>
      </c>
      <c r="AS81">
        <v>11883.525343411073</v>
      </c>
      <c r="AT81">
        <v>9.8336602477914834</v>
      </c>
      <c r="AU81">
        <v>7410.6463627356625</v>
      </c>
      <c r="AV81">
        <v>13.612157105759339</v>
      </c>
      <c r="AW81">
        <v>10258.121594900238</v>
      </c>
      <c r="AX81">
        <v>10.617559174716515</v>
      </c>
      <c r="AY81">
        <v>8001.3925940663657</v>
      </c>
      <c r="AZ81">
        <v>13</v>
      </c>
      <c r="BA81">
        <v>9796.8000000000011</v>
      </c>
      <c r="BB81">
        <v>12.138666503082725</v>
      </c>
      <c r="BC81">
        <v>9147.6990767231418</v>
      </c>
      <c r="BD81">
        <v>14.613540149183144</v>
      </c>
      <c r="BE81">
        <v>11012.763856424419</v>
      </c>
      <c r="BF81">
        <v>15.742386294943865</v>
      </c>
      <c r="BG81">
        <v>11863.462311869696</v>
      </c>
      <c r="BH81">
        <v>15.71232481091492</v>
      </c>
      <c r="BI81">
        <v>11840.807977505485</v>
      </c>
      <c r="BJ81">
        <v>16.757908797606799</v>
      </c>
      <c r="BK81">
        <v>12628.760069876484</v>
      </c>
      <c r="BL81">
        <v>12.681336088463166</v>
      </c>
      <c r="BM81">
        <v>9556.6548762658422</v>
      </c>
      <c r="BN81">
        <v>12.687920255554207</v>
      </c>
      <c r="BO81">
        <v>9561.616704585651</v>
      </c>
      <c r="BP81">
        <v>15.606014939741797</v>
      </c>
      <c r="BQ81">
        <v>11760.692858589418</v>
      </c>
      <c r="BR81">
        <v>9.6607729613571056</v>
      </c>
      <c r="BS81">
        <v>7280.3585036787154</v>
      </c>
      <c r="BT81">
        <v>12.609817313703887</v>
      </c>
      <c r="BU81">
        <v>9502.7583276072492</v>
      </c>
      <c r="BV81">
        <v>12.580874027607811</v>
      </c>
      <c r="BW81">
        <v>9480.9466672052458</v>
      </c>
      <c r="BX81">
        <v>9.7118124855205643</v>
      </c>
      <c r="BY81">
        <v>7318.8218890882972</v>
      </c>
      <c r="BZ81">
        <v>15.769261938083973</v>
      </c>
      <c r="CA81">
        <v>11883.715796540082</v>
      </c>
      <c r="CB81">
        <v>11.618762495523702</v>
      </c>
      <c r="CC81">
        <v>8755.8994166266621</v>
      </c>
      <c r="CD81">
        <v>16.629744259340217</v>
      </c>
      <c r="CE81">
        <v>12532.175273838788</v>
      </c>
      <c r="CF81">
        <v>9.5597145070653653</v>
      </c>
      <c r="CG81">
        <v>7204.2008525244592</v>
      </c>
      <c r="CH81">
        <v>8.5962588708075991</v>
      </c>
      <c r="CI81">
        <v>6478.1406850406065</v>
      </c>
      <c r="CJ81">
        <v>12.756793462421927</v>
      </c>
      <c r="CK81">
        <v>9613.5195532811649</v>
      </c>
      <c r="CL81">
        <v>16.545789788993883</v>
      </c>
      <c r="CM81">
        <v>12468.90718498579</v>
      </c>
      <c r="CN81">
        <v>11.628630944221994</v>
      </c>
      <c r="CO81">
        <v>8763.3362795656958</v>
      </c>
      <c r="CP81">
        <v>9.680606921614535</v>
      </c>
      <c r="CQ81">
        <v>7295.3053761287138</v>
      </c>
      <c r="CR81">
        <v>11.297547822954375</v>
      </c>
      <c r="CS81">
        <v>8513.8320393784179</v>
      </c>
      <c r="CT81">
        <v>8.890086104012747</v>
      </c>
      <c r="CU81">
        <v>6699.5688879840063</v>
      </c>
    </row>
    <row r="82" spans="2:99" x14ac:dyDescent="0.2">
      <c r="C82" s="119" t="s">
        <v>248</v>
      </c>
      <c r="D82">
        <v>13.08894371127287</v>
      </c>
      <c r="E82">
        <v>6659.6545602956348</v>
      </c>
      <c r="F82">
        <v>11.710330042124285</v>
      </c>
      <c r="G82">
        <v>5958.2159254328353</v>
      </c>
      <c r="H82">
        <v>11</v>
      </c>
      <c r="I82">
        <v>5596.7999999999993</v>
      </c>
      <c r="J82">
        <v>13</v>
      </c>
      <c r="K82">
        <v>6614.3999999999987</v>
      </c>
      <c r="L82">
        <v>8</v>
      </c>
      <c r="M82">
        <v>4070.3999999999992</v>
      </c>
      <c r="N82">
        <v>9.6031780248742038</v>
      </c>
      <c r="O82">
        <v>4886.0969790559939</v>
      </c>
      <c r="P82">
        <v>12.890207642158455</v>
      </c>
      <c r="Q82">
        <v>6558.5376483302207</v>
      </c>
      <c r="R82">
        <v>14.862325229942668</v>
      </c>
      <c r="S82">
        <v>7561.9510769948274</v>
      </c>
      <c r="T82">
        <v>14.640420602121406</v>
      </c>
      <c r="U82">
        <v>7449.0460023593696</v>
      </c>
      <c r="V82">
        <v>11.844610083184296</v>
      </c>
      <c r="W82">
        <v>6026.5376103241688</v>
      </c>
      <c r="X82">
        <v>10.632215587515033</v>
      </c>
      <c r="Y82">
        <v>5409.6712909276475</v>
      </c>
      <c r="Z82">
        <v>10.518809177701694</v>
      </c>
      <c r="AA82">
        <v>5351.9701096146209</v>
      </c>
      <c r="AB82">
        <v>13.636850268416755</v>
      </c>
      <c r="AC82">
        <v>6938.4294165704432</v>
      </c>
      <c r="AD82">
        <v>14.660968736554809</v>
      </c>
      <c r="AE82">
        <v>7459.5008931590855</v>
      </c>
      <c r="AF82">
        <v>15.524151000887922</v>
      </c>
      <c r="AG82">
        <v>7898.6880292517735</v>
      </c>
      <c r="AH82">
        <v>14.785552986970995</v>
      </c>
      <c r="AI82">
        <v>7522.8893597708402</v>
      </c>
      <c r="AJ82">
        <v>9.670197805415782</v>
      </c>
      <c r="AK82">
        <v>4920.1966433955486</v>
      </c>
      <c r="AL82">
        <v>17</v>
      </c>
      <c r="AM82">
        <v>8649.5999999999985</v>
      </c>
      <c r="AN82">
        <v>12.14303705854423</v>
      </c>
      <c r="AO82">
        <v>6178.3772553873032</v>
      </c>
      <c r="AP82">
        <v>10.777511279590849</v>
      </c>
      <c r="AQ82">
        <v>5483.5977390558228</v>
      </c>
      <c r="AR82">
        <v>15.792312523160607</v>
      </c>
      <c r="AS82">
        <v>8035.1286117841155</v>
      </c>
      <c r="AT82">
        <v>10.778082897938718</v>
      </c>
      <c r="AU82">
        <v>5483.8885784712193</v>
      </c>
      <c r="AV82">
        <v>13.699608120867815</v>
      </c>
      <c r="AW82">
        <v>6970.3606118975431</v>
      </c>
      <c r="AX82">
        <v>9.617559174716515</v>
      </c>
      <c r="AY82">
        <v>4893.4141080957615</v>
      </c>
      <c r="AZ82">
        <v>11</v>
      </c>
      <c r="BA82">
        <v>5596.7999999999993</v>
      </c>
      <c r="BB82">
        <v>11.301333146380259</v>
      </c>
      <c r="BC82">
        <v>5750.1183048782741</v>
      </c>
      <c r="BD82">
        <v>16.613540149183144</v>
      </c>
      <c r="BE82">
        <v>8452.9692279043829</v>
      </c>
      <c r="BF82">
        <v>14.71587249869587</v>
      </c>
      <c r="BG82">
        <v>7487.4359273364571</v>
      </c>
      <c r="BH82">
        <v>13.831045612734073</v>
      </c>
      <c r="BI82">
        <v>7037.2360077590947</v>
      </c>
      <c r="BJ82">
        <v>15.787059135976293</v>
      </c>
      <c r="BK82">
        <v>8032.4556883847363</v>
      </c>
      <c r="BL82">
        <v>13.626829201386112</v>
      </c>
      <c r="BM82">
        <v>6933.330697665252</v>
      </c>
      <c r="BN82">
        <v>13.714378726921677</v>
      </c>
      <c r="BO82">
        <v>6977.8758962577476</v>
      </c>
      <c r="BP82">
        <v>15.737757317946537</v>
      </c>
      <c r="BQ82">
        <v>8007.3709233711961</v>
      </c>
      <c r="BR82">
        <v>8.6607729613571056</v>
      </c>
      <c r="BS82">
        <v>4406.6012827384948</v>
      </c>
      <c r="BT82">
        <v>11.609817313703887</v>
      </c>
      <c r="BU82">
        <v>5907.0750492125371</v>
      </c>
      <c r="BV82">
        <v>12.660084122281603</v>
      </c>
      <c r="BW82">
        <v>6441.4508014168787</v>
      </c>
      <c r="BX82">
        <v>9.7372343600034412</v>
      </c>
      <c r="BY82">
        <v>4954.3048423697501</v>
      </c>
      <c r="BZ82">
        <v>15.793301373649097</v>
      </c>
      <c r="CA82">
        <v>8035.6317389126589</v>
      </c>
      <c r="CB82">
        <v>11.731264767437104</v>
      </c>
      <c r="CC82">
        <v>5968.8675136719967</v>
      </c>
      <c r="CD82">
        <v>16.577265571061865</v>
      </c>
      <c r="CE82">
        <v>8434.5127225562755</v>
      </c>
      <c r="CF82">
        <v>10.639673722360417</v>
      </c>
      <c r="CG82">
        <v>5413.465989936979</v>
      </c>
      <c r="CH82">
        <v>10.56487682497562</v>
      </c>
      <c r="CI82">
        <v>5375.4093285475947</v>
      </c>
      <c r="CJ82">
        <v>11.903269616439074</v>
      </c>
      <c r="CK82">
        <v>6056.3835808442</v>
      </c>
      <c r="CL82">
        <v>17.66069290246628</v>
      </c>
      <c r="CM82">
        <v>8985.7605487748424</v>
      </c>
      <c r="CN82">
        <v>10.67698717070061</v>
      </c>
      <c r="CO82">
        <v>5432.4510724524689</v>
      </c>
      <c r="CP82">
        <v>9.7622797522082791</v>
      </c>
      <c r="CQ82">
        <v>4967.0479379235712</v>
      </c>
      <c r="CR82">
        <v>12.261879931060056</v>
      </c>
      <c r="CS82">
        <v>6238.8445089233555</v>
      </c>
      <c r="CT82">
        <v>8.1219492664514323</v>
      </c>
      <c r="CU82">
        <v>4132.4477867704882</v>
      </c>
    </row>
    <row r="83" spans="2:99" x14ac:dyDescent="0.2">
      <c r="C83" s="119" t="s">
        <v>249</v>
      </c>
      <c r="D83">
        <v>13.124070927765544</v>
      </c>
      <c r="E83">
        <v>11291.950626249474</v>
      </c>
      <c r="F83">
        <v>11.631404481888254</v>
      </c>
      <c r="G83">
        <v>10007.660416216653</v>
      </c>
      <c r="H83">
        <v>12</v>
      </c>
      <c r="I83">
        <v>10324.799999999999</v>
      </c>
      <c r="J83">
        <v>12</v>
      </c>
      <c r="K83">
        <v>10324.799999999999</v>
      </c>
      <c r="L83">
        <v>8</v>
      </c>
      <c r="M83">
        <v>6883.2</v>
      </c>
      <c r="N83">
        <v>9.5696681346034147</v>
      </c>
      <c r="O83">
        <v>8233.7424630127771</v>
      </c>
      <c r="P83">
        <v>12.751112698071195</v>
      </c>
      <c r="Q83">
        <v>10971.057365420456</v>
      </c>
      <c r="R83">
        <v>15.836194162368647</v>
      </c>
      <c r="S83">
        <v>13625.461457301984</v>
      </c>
      <c r="T83">
        <v>12.579428163824128</v>
      </c>
      <c r="U83">
        <v>10823.339992154279</v>
      </c>
      <c r="V83">
        <v>9.7963466498594798</v>
      </c>
      <c r="W83">
        <v>8428.776657539096</v>
      </c>
      <c r="X83">
        <v>9.6322155875150326</v>
      </c>
      <c r="Y83">
        <v>8287.5582914979332</v>
      </c>
      <c r="Z83">
        <v>11.518809177701694</v>
      </c>
      <c r="AA83">
        <v>9910.783416494538</v>
      </c>
      <c r="AB83">
        <v>11.509480214733404</v>
      </c>
      <c r="AC83">
        <v>9902.7567767566215</v>
      </c>
      <c r="AD83">
        <v>14.737234360003441</v>
      </c>
      <c r="AE83">
        <v>12679.916443346961</v>
      </c>
      <c r="AF83">
        <v>13.491391563332428</v>
      </c>
      <c r="AG83">
        <v>11607.993301091221</v>
      </c>
      <c r="AH83">
        <v>12.733182787839596</v>
      </c>
      <c r="AI83">
        <v>10955.630470657188</v>
      </c>
      <c r="AJ83">
        <v>9.670197805415782</v>
      </c>
      <c r="AK83">
        <v>8320.2381917797393</v>
      </c>
      <c r="AL83">
        <v>15</v>
      </c>
      <c r="AM83">
        <v>12906</v>
      </c>
      <c r="AN83">
        <v>11.005872611518923</v>
      </c>
      <c r="AO83">
        <v>9469.4527949508811</v>
      </c>
      <c r="AP83">
        <v>10.803428322243876</v>
      </c>
      <c r="AQ83">
        <v>9295.2697284586302</v>
      </c>
      <c r="AR83">
        <v>14.815615832665332</v>
      </c>
      <c r="AS83">
        <v>12747.355862425251</v>
      </c>
      <c r="AT83">
        <v>9.7780828979387184</v>
      </c>
      <c r="AU83">
        <v>8413.0625253864728</v>
      </c>
      <c r="AV83">
        <v>12.583006767389845</v>
      </c>
      <c r="AW83">
        <v>10826.419022662223</v>
      </c>
      <c r="AX83">
        <v>9.5638583769150785</v>
      </c>
      <c r="AY83">
        <v>8228.7437474977341</v>
      </c>
      <c r="AZ83">
        <v>11</v>
      </c>
      <c r="BA83">
        <v>9464.4</v>
      </c>
      <c r="BB83">
        <v>11.138666503082725</v>
      </c>
      <c r="BC83">
        <v>9583.7086592523756</v>
      </c>
      <c r="BD83">
        <v>16.582863141723987</v>
      </c>
      <c r="BE83">
        <v>14267.895447139317</v>
      </c>
      <c r="BF83">
        <v>15.689358702447873</v>
      </c>
      <c r="BG83">
        <v>13499.12422758615</v>
      </c>
      <c r="BH83">
        <v>15.736068971278749</v>
      </c>
      <c r="BI83">
        <v>13539.313742888236</v>
      </c>
      <c r="BJ83">
        <v>15.757908797606799</v>
      </c>
      <c r="BK83">
        <v>13558.104729460889</v>
      </c>
      <c r="BL83">
        <v>14.599575757847585</v>
      </c>
      <c r="BM83">
        <v>12561.474982052063</v>
      </c>
      <c r="BN83">
        <v>13.767295669656615</v>
      </c>
      <c r="BO83">
        <v>11845.381194172551</v>
      </c>
      <c r="BP83">
        <v>14.606014939741797</v>
      </c>
      <c r="BQ83">
        <v>12567.015254153843</v>
      </c>
      <c r="BR83">
        <v>9.5406324229285424</v>
      </c>
      <c r="BS83">
        <v>8208.760136687717</v>
      </c>
      <c r="BT83">
        <v>10.636331109951882</v>
      </c>
      <c r="BU83">
        <v>9151.4992870025999</v>
      </c>
      <c r="BV83">
        <v>11.580874027607811</v>
      </c>
      <c r="BW83">
        <v>9964.1840133537607</v>
      </c>
      <c r="BX83">
        <v>9.6863906110376874</v>
      </c>
      <c r="BY83">
        <v>8334.1704817368263</v>
      </c>
      <c r="BZ83">
        <v>13.86541968034447</v>
      </c>
      <c r="CA83">
        <v>11929.807092968382</v>
      </c>
      <c r="CB83">
        <v>12.675013631480402</v>
      </c>
      <c r="CC83">
        <v>10905.581728525738</v>
      </c>
      <c r="CD83">
        <v>15.603504915201041</v>
      </c>
      <c r="CE83">
        <v>13425.255629038975</v>
      </c>
      <c r="CF83">
        <v>9.5597145070653653</v>
      </c>
      <c r="CG83">
        <v>8225.1783618790396</v>
      </c>
      <c r="CH83">
        <v>9.5648768249756202</v>
      </c>
      <c r="CI83">
        <v>8229.620020209024</v>
      </c>
      <c r="CJ83">
        <v>11.80561884709431</v>
      </c>
      <c r="CK83">
        <v>10157.554456039945</v>
      </c>
      <c r="CL83">
        <v>17.574515567361981</v>
      </c>
      <c r="CM83">
        <v>15121.113194158248</v>
      </c>
      <c r="CN83">
        <v>11.652809057461303</v>
      </c>
      <c r="CO83">
        <v>10026.076913039704</v>
      </c>
      <c r="CP83">
        <v>9.7350554753436978</v>
      </c>
      <c r="CQ83">
        <v>8376.0417309857166</v>
      </c>
      <c r="CR83">
        <v>10.259298432656706</v>
      </c>
      <c r="CS83">
        <v>8827.1003714578292</v>
      </c>
      <c r="CT83">
        <v>8.8717285668944843</v>
      </c>
      <c r="CU83">
        <v>7633.2352589560141</v>
      </c>
    </row>
    <row r="84" spans="2:99" x14ac:dyDescent="0.2">
      <c r="C84" s="119" t="s">
        <v>250</v>
      </c>
      <c r="D84">
        <v>15.124070927765544</v>
      </c>
      <c r="E84">
        <v>11814.924208770442</v>
      </c>
      <c r="F84">
        <v>10.710330042124285</v>
      </c>
      <c r="G84">
        <v>8366.9098289074918</v>
      </c>
      <c r="H84">
        <v>12</v>
      </c>
      <c r="I84">
        <v>9374.4</v>
      </c>
      <c r="J84">
        <v>12</v>
      </c>
      <c r="K84">
        <v>9374.4</v>
      </c>
      <c r="L84">
        <v>7</v>
      </c>
      <c r="M84">
        <v>5468.4</v>
      </c>
      <c r="N84">
        <v>9.6031780248742038</v>
      </c>
      <c r="O84">
        <v>7502.0026730317277</v>
      </c>
      <c r="P84">
        <v>12.806750675706098</v>
      </c>
      <c r="Q84">
        <v>10004.633627861604</v>
      </c>
      <c r="R84">
        <v>15.836194162368647</v>
      </c>
      <c r="S84">
        <v>12371.234879642387</v>
      </c>
      <c r="T84">
        <v>13.609924382972768</v>
      </c>
      <c r="U84">
        <v>10632.072927978325</v>
      </c>
      <c r="V84">
        <v>10.844610083184296</v>
      </c>
      <c r="W84">
        <v>8471.8093969835718</v>
      </c>
      <c r="X84">
        <v>9.6322155875150326</v>
      </c>
      <c r="Y84">
        <v>7524.6868169667432</v>
      </c>
      <c r="Z84">
        <v>10.518809177701694</v>
      </c>
      <c r="AA84">
        <v>8217.2937296205637</v>
      </c>
      <c r="AB84">
        <v>11.605007754995917</v>
      </c>
      <c r="AC84">
        <v>9065.83205820281</v>
      </c>
      <c r="AD84">
        <v>16.686390611037687</v>
      </c>
      <c r="AE84">
        <v>13035.408345342641</v>
      </c>
      <c r="AF84">
        <v>15.524151000887922</v>
      </c>
      <c r="AG84">
        <v>12127.466761893644</v>
      </c>
      <c r="AH84">
        <v>14.864108285668095</v>
      </c>
      <c r="AI84">
        <v>11611.841392763916</v>
      </c>
      <c r="AJ84">
        <v>8.670197805415782</v>
      </c>
      <c r="AK84">
        <v>6773.1585255908085</v>
      </c>
      <c r="AL84">
        <v>15</v>
      </c>
      <c r="AM84">
        <v>11717.999999999998</v>
      </c>
      <c r="AN84">
        <v>11.051594093860693</v>
      </c>
      <c r="AO84">
        <v>8633.5053061239723</v>
      </c>
      <c r="AP84">
        <v>10.725677194284792</v>
      </c>
      <c r="AQ84">
        <v>8378.8990241752781</v>
      </c>
      <c r="AR84">
        <v>13.769009213655883</v>
      </c>
      <c r="AS84">
        <v>10756.349997707975</v>
      </c>
      <c r="AT84">
        <v>10.722505548085952</v>
      </c>
      <c r="AU84">
        <v>8376.4213341647446</v>
      </c>
      <c r="AV84">
        <v>12.641307444128831</v>
      </c>
      <c r="AW84">
        <v>9875.3893753534412</v>
      </c>
      <c r="AX84">
        <v>10.617559174716515</v>
      </c>
      <c r="AY84">
        <v>8294.4372272885412</v>
      </c>
      <c r="AZ84">
        <v>13</v>
      </c>
      <c r="BA84">
        <v>10155.599999999999</v>
      </c>
      <c r="BB84">
        <v>11.179333163907108</v>
      </c>
      <c r="BC84">
        <v>8733.2950676442324</v>
      </c>
      <c r="BD84">
        <v>15.644217156642302</v>
      </c>
      <c r="BE84">
        <v>12221.262442768966</v>
      </c>
      <c r="BF84">
        <v>16.742386294943863</v>
      </c>
      <c r="BG84">
        <v>13079.152173610144</v>
      </c>
      <c r="BH84">
        <v>14.807301452370242</v>
      </c>
      <c r="BI84">
        <v>11567.463894591632</v>
      </c>
      <c r="BJ84">
        <v>16.728758459237309</v>
      </c>
      <c r="BK84">
        <v>13068.506108356185</v>
      </c>
      <c r="BL84">
        <v>12.654082644924639</v>
      </c>
      <c r="BM84">
        <v>9885.3693622151277</v>
      </c>
      <c r="BN84">
        <v>13.793754141024085</v>
      </c>
      <c r="BO84">
        <v>10775.680734968015</v>
      </c>
      <c r="BP84">
        <v>13.711408842305589</v>
      </c>
      <c r="BQ84">
        <v>10711.352587609126</v>
      </c>
      <c r="BR84">
        <v>8.6307378267499644</v>
      </c>
      <c r="BS84">
        <v>6742.3323902570719</v>
      </c>
      <c r="BT84">
        <v>10.662844906199878</v>
      </c>
      <c r="BU84">
        <v>8329.8144407233431</v>
      </c>
      <c r="BV84">
        <v>11.633680757390339</v>
      </c>
      <c r="BW84">
        <v>9088.2314076733328</v>
      </c>
      <c r="BX84">
        <v>8.6355468620719318</v>
      </c>
      <c r="BY84">
        <v>6746.0892086505928</v>
      </c>
      <c r="BZ84">
        <v>14.841380244779346</v>
      </c>
      <c r="CA84">
        <v>11594.086247221625</v>
      </c>
      <c r="CB84">
        <v>11.675013631480402</v>
      </c>
      <c r="CC84">
        <v>9120.5206489124885</v>
      </c>
      <c r="CD84">
        <v>16.551026226922691</v>
      </c>
      <c r="CE84">
        <v>12929.661688472004</v>
      </c>
      <c r="CF84">
        <v>11.559714507065365</v>
      </c>
      <c r="CG84">
        <v>9030.4489729194629</v>
      </c>
      <c r="CH84">
        <v>8.5962588708075991</v>
      </c>
      <c r="CI84">
        <v>6715.3974298748963</v>
      </c>
      <c r="CJ84">
        <v>12.756793462421927</v>
      </c>
      <c r="CK84">
        <v>9965.6070528440086</v>
      </c>
      <c r="CL84">
        <v>16.66069290246628</v>
      </c>
      <c r="CM84">
        <v>13015.333295406657</v>
      </c>
      <c r="CN84">
        <v>10.67698717070061</v>
      </c>
      <c r="CO84">
        <v>8340.8623777513149</v>
      </c>
      <c r="CP84">
        <v>9.680606921614535</v>
      </c>
      <c r="CQ84">
        <v>7562.4901271652743</v>
      </c>
      <c r="CR84">
        <v>10.259298432656706</v>
      </c>
      <c r="CS84">
        <v>8014.5639355914182</v>
      </c>
      <c r="CT84">
        <v>8.7799408813031707</v>
      </c>
      <c r="CU84">
        <v>6858.8898164740367</v>
      </c>
    </row>
    <row r="85" spans="2:99" x14ac:dyDescent="0.2">
      <c r="C85" s="119" t="s">
        <v>251</v>
      </c>
      <c r="D85">
        <v>14.19432536075089</v>
      </c>
      <c r="E85">
        <v>2129.1488041126336</v>
      </c>
      <c r="F85">
        <v>10.736638562202963</v>
      </c>
      <c r="G85">
        <v>1610.4957843304444</v>
      </c>
      <c r="H85">
        <v>13</v>
      </c>
      <c r="I85">
        <v>1950</v>
      </c>
      <c r="J85">
        <v>13</v>
      </c>
      <c r="K85">
        <v>1950</v>
      </c>
      <c r="L85">
        <v>8</v>
      </c>
      <c r="M85">
        <v>1200</v>
      </c>
      <c r="N85">
        <v>10.703707695686571</v>
      </c>
      <c r="O85">
        <v>1605.5561543529857</v>
      </c>
      <c r="P85">
        <v>13.862388653341002</v>
      </c>
      <c r="Q85">
        <v>2079.3582980011502</v>
      </c>
      <c r="R85">
        <v>14.783932027220608</v>
      </c>
      <c r="S85">
        <v>2217.5898040830912</v>
      </c>
      <c r="T85">
        <v>13.762405478715959</v>
      </c>
      <c r="U85">
        <v>2064.3608218073937</v>
      </c>
      <c r="V85">
        <v>10.820478366521888</v>
      </c>
      <c r="W85">
        <v>1623.0717549782833</v>
      </c>
      <c r="X85">
        <v>10.632215587515033</v>
      </c>
      <c r="Y85">
        <v>1594.8323381272548</v>
      </c>
      <c r="Z85">
        <v>11.547631909796234</v>
      </c>
      <c r="AA85">
        <v>1732.1447864694351</v>
      </c>
      <c r="AB85">
        <v>13.636850268416755</v>
      </c>
      <c r="AC85">
        <v>2045.5275402625132</v>
      </c>
      <c r="AD85">
        <v>17.762656234486318</v>
      </c>
      <c r="AE85">
        <v>2664.3984351729478</v>
      </c>
      <c r="AF85">
        <v>15.556910438443417</v>
      </c>
      <c r="AG85">
        <v>2333.5365657665125</v>
      </c>
      <c r="AH85">
        <v>13.811738086536696</v>
      </c>
      <c r="AI85">
        <v>2071.7607129805042</v>
      </c>
      <c r="AJ85">
        <v>10.703707695686571</v>
      </c>
      <c r="AK85">
        <v>1605.5561543529857</v>
      </c>
      <c r="AL85">
        <v>15</v>
      </c>
      <c r="AM85">
        <v>2250</v>
      </c>
      <c r="AN85">
        <v>11.14303705854423</v>
      </c>
      <c r="AO85">
        <v>1671.4555587816346</v>
      </c>
      <c r="AP85">
        <v>10.855262407549933</v>
      </c>
      <c r="AQ85">
        <v>1628.2893611324901</v>
      </c>
      <c r="AR85">
        <v>14.769009213655883</v>
      </c>
      <c r="AS85">
        <v>2215.3513820483822</v>
      </c>
      <c r="AT85">
        <v>10.805871572865101</v>
      </c>
      <c r="AU85">
        <v>1620.8807359297653</v>
      </c>
      <c r="AV85">
        <v>14.641307444128831</v>
      </c>
      <c r="AW85">
        <v>2196.1961166193246</v>
      </c>
      <c r="AX85">
        <v>10.617559174716515</v>
      </c>
      <c r="AY85">
        <v>1592.6338762074772</v>
      </c>
      <c r="AZ85">
        <v>12</v>
      </c>
      <c r="BA85">
        <v>1800</v>
      </c>
      <c r="BB85">
        <v>12.179333163907108</v>
      </c>
      <c r="BC85">
        <v>1826.8999745860663</v>
      </c>
      <c r="BD85">
        <v>17.67489416410146</v>
      </c>
      <c r="BE85">
        <v>2651.2341246152191</v>
      </c>
      <c r="BF85">
        <v>15.87495527618384</v>
      </c>
      <c r="BG85">
        <v>2381.243291427576</v>
      </c>
      <c r="BH85">
        <v>14.854789773097902</v>
      </c>
      <c r="BI85">
        <v>2228.2184659646855</v>
      </c>
      <c r="BJ85">
        <v>17.757908797606799</v>
      </c>
      <c r="BK85">
        <v>2663.68631964102</v>
      </c>
      <c r="BL85">
        <v>14.599575757847585</v>
      </c>
      <c r="BM85">
        <v>2189.9363636771377</v>
      </c>
      <c r="BN85">
        <v>14.793754141024085</v>
      </c>
      <c r="BO85">
        <v>2219.0631211536129</v>
      </c>
      <c r="BP85">
        <v>16.711408842305588</v>
      </c>
      <c r="BQ85">
        <v>2506.7113263458382</v>
      </c>
      <c r="BR85">
        <v>9.6607729613571056</v>
      </c>
      <c r="BS85">
        <v>1449.1159442035657</v>
      </c>
      <c r="BT85">
        <v>10.609817313703887</v>
      </c>
      <c r="BU85">
        <v>1591.472597055583</v>
      </c>
      <c r="BV85">
        <v>12.686487487172869</v>
      </c>
      <c r="BW85">
        <v>1902.9731230759303</v>
      </c>
      <c r="BX85">
        <v>9.7372343600034412</v>
      </c>
      <c r="BY85">
        <v>1460.5851540005162</v>
      </c>
      <c r="BZ85">
        <v>15.769261938083973</v>
      </c>
      <c r="CA85">
        <v>2365.389290712596</v>
      </c>
      <c r="CB85">
        <v>13.731264767437104</v>
      </c>
      <c r="CC85">
        <v>2059.6897151155654</v>
      </c>
      <c r="CD85">
        <v>15.708462291757744</v>
      </c>
      <c r="CE85">
        <v>2356.2693437636617</v>
      </c>
      <c r="CF85">
        <v>10.586367578830382</v>
      </c>
      <c r="CG85">
        <v>1587.9551368245573</v>
      </c>
      <c r="CH85">
        <v>9.627640916639578</v>
      </c>
      <c r="CI85">
        <v>1444.1461374959367</v>
      </c>
      <c r="CJ85">
        <v>12.903269616439074</v>
      </c>
      <c r="CK85">
        <v>1935.4904424658612</v>
      </c>
      <c r="CL85">
        <v>15.603241345730082</v>
      </c>
      <c r="CM85">
        <v>2340.4862018595122</v>
      </c>
      <c r="CN85">
        <v>13.701165283939917</v>
      </c>
      <c r="CO85">
        <v>2055.1747925909876</v>
      </c>
      <c r="CP85">
        <v>9.7078311984791164</v>
      </c>
      <c r="CQ85">
        <v>1456.1746797718674</v>
      </c>
      <c r="CR85">
        <v>13.324768415421721</v>
      </c>
      <c r="CS85">
        <v>1998.7152623132581</v>
      </c>
      <c r="CT85">
        <v>9.6398654044557972</v>
      </c>
      <c r="CU85">
        <v>1445.9798106683695</v>
      </c>
    </row>
    <row r="86" spans="2:99" x14ac:dyDescent="0.2">
      <c r="C86" s="119" t="s">
        <v>252</v>
      </c>
      <c r="D86">
        <v>14.124070927765544</v>
      </c>
      <c r="E86">
        <v>7626.998300993394</v>
      </c>
      <c r="F86">
        <v>11.710330042124285</v>
      </c>
      <c r="G86">
        <v>6323.5782227471136</v>
      </c>
      <c r="H86">
        <v>11</v>
      </c>
      <c r="I86">
        <v>5940</v>
      </c>
      <c r="J86">
        <v>11</v>
      </c>
      <c r="K86">
        <v>5940</v>
      </c>
      <c r="L86">
        <v>8</v>
      </c>
      <c r="M86">
        <v>4320</v>
      </c>
      <c r="N86">
        <v>9.670197805415782</v>
      </c>
      <c r="O86">
        <v>5221.9068149245222</v>
      </c>
      <c r="P86">
        <v>11.862388653341002</v>
      </c>
      <c r="Q86">
        <v>6405.6898728041406</v>
      </c>
      <c r="R86">
        <v>14.757800959646588</v>
      </c>
      <c r="S86">
        <v>7969.2125182091577</v>
      </c>
      <c r="T86">
        <v>13.670916821270044</v>
      </c>
      <c r="U86">
        <v>7382.2950834858239</v>
      </c>
      <c r="V86">
        <v>10.79634664985948</v>
      </c>
      <c r="W86">
        <v>5830.0271909241192</v>
      </c>
      <c r="X86">
        <v>9.6006048081392805</v>
      </c>
      <c r="Y86">
        <v>5184.3265963952117</v>
      </c>
      <c r="Z86">
        <v>11.576454641890772</v>
      </c>
      <c r="AA86">
        <v>6251.2855066210168</v>
      </c>
      <c r="AB86">
        <v>13.541322728154242</v>
      </c>
      <c r="AC86">
        <v>7312.3142732032902</v>
      </c>
      <c r="AD86">
        <v>16.66096873655481</v>
      </c>
      <c r="AE86">
        <v>8996.9231177395977</v>
      </c>
      <c r="AF86">
        <v>14.556910438443417</v>
      </c>
      <c r="AG86">
        <v>7860.7316367594449</v>
      </c>
      <c r="AH86">
        <v>13.811738086536696</v>
      </c>
      <c r="AI86">
        <v>7458.3385667298162</v>
      </c>
      <c r="AJ86">
        <v>10.73721758595736</v>
      </c>
      <c r="AK86">
        <v>5798.0974964169745</v>
      </c>
      <c r="AL86">
        <v>15</v>
      </c>
      <c r="AM86">
        <v>8100</v>
      </c>
      <c r="AN86">
        <v>12.005872611518923</v>
      </c>
      <c r="AO86">
        <v>6483.1712102202182</v>
      </c>
      <c r="AP86">
        <v>10.829345364896904</v>
      </c>
      <c r="AQ86">
        <v>5847.8464970443283</v>
      </c>
      <c r="AR86">
        <v>14.769009213655883</v>
      </c>
      <c r="AS86">
        <v>7975.2649753741771</v>
      </c>
      <c r="AT86">
        <v>10.833660247791483</v>
      </c>
      <c r="AU86">
        <v>5850.176533807401</v>
      </c>
      <c r="AV86">
        <v>12.612157105759339</v>
      </c>
      <c r="AW86">
        <v>6810.5648371100433</v>
      </c>
      <c r="AX86">
        <v>9.5907087758157967</v>
      </c>
      <c r="AY86">
        <v>5178.98273894053</v>
      </c>
      <c r="AZ86">
        <v>13</v>
      </c>
      <c r="BA86">
        <v>7020</v>
      </c>
      <c r="BB86">
        <v>11.138666503082725</v>
      </c>
      <c r="BC86">
        <v>6014.8799116646715</v>
      </c>
      <c r="BD86">
        <v>17.644217156642302</v>
      </c>
      <c r="BE86">
        <v>9527.877264586843</v>
      </c>
      <c r="BF86">
        <v>15.742386294943865</v>
      </c>
      <c r="BG86">
        <v>8500.8885992696869</v>
      </c>
      <c r="BH86">
        <v>15.736068971278749</v>
      </c>
      <c r="BI86">
        <v>8497.4772444905248</v>
      </c>
      <c r="BJ86">
        <v>16.787059135976293</v>
      </c>
      <c r="BK86">
        <v>9065.0119334271985</v>
      </c>
      <c r="BL86">
        <v>12.681336088463166</v>
      </c>
      <c r="BM86">
        <v>6847.9214877701097</v>
      </c>
      <c r="BN86">
        <v>13.793754141024085</v>
      </c>
      <c r="BO86">
        <v>7448.6272361530055</v>
      </c>
      <c r="BP86">
        <v>13.632363415382747</v>
      </c>
      <c r="BQ86">
        <v>7361.4762443066829</v>
      </c>
      <c r="BR86">
        <v>8.6607729613571056</v>
      </c>
      <c r="BS86">
        <v>4676.8173991328367</v>
      </c>
      <c r="BT86">
        <v>10.662844906199878</v>
      </c>
      <c r="BU86">
        <v>5757.9362493479339</v>
      </c>
      <c r="BV86">
        <v>12.633680757390339</v>
      </c>
      <c r="BW86">
        <v>6822.1876089907828</v>
      </c>
      <c r="BX86">
        <v>9.7372343600034412</v>
      </c>
      <c r="BY86">
        <v>5258.1065544018584</v>
      </c>
      <c r="BZ86">
        <v>16.841380244779344</v>
      </c>
      <c r="CA86">
        <v>9094.3453321808465</v>
      </c>
      <c r="CB86">
        <v>12.646888063502052</v>
      </c>
      <c r="CC86">
        <v>6829.319554291108</v>
      </c>
      <c r="CD86">
        <v>16.577265571061865</v>
      </c>
      <c r="CE86">
        <v>8951.7234083734074</v>
      </c>
      <c r="CF86">
        <v>11.559714507065365</v>
      </c>
      <c r="CG86">
        <v>6242.2458338152974</v>
      </c>
      <c r="CH86">
        <v>9.5648768249756202</v>
      </c>
      <c r="CI86">
        <v>5165.0334854868352</v>
      </c>
      <c r="CJ86">
        <v>12.878856924102884</v>
      </c>
      <c r="CK86">
        <v>6954.5827390155573</v>
      </c>
      <c r="CL86">
        <v>17.574515567361981</v>
      </c>
      <c r="CM86">
        <v>9490.2384063754707</v>
      </c>
      <c r="CN86">
        <v>11.628630944221994</v>
      </c>
      <c r="CO86">
        <v>6279.460709879877</v>
      </c>
      <c r="CP86">
        <v>9.680606921614535</v>
      </c>
      <c r="CQ86">
        <v>5227.5277376718486</v>
      </c>
      <c r="CR86">
        <v>10.283937526720701</v>
      </c>
      <c r="CS86">
        <v>5553.3262644291781</v>
      </c>
      <c r="CT86">
        <v>8.890086104012747</v>
      </c>
      <c r="CU86">
        <v>4800.6464961668835</v>
      </c>
    </row>
    <row r="87" spans="2:99" x14ac:dyDescent="0.2">
      <c r="B87" s="119" t="s">
        <v>131</v>
      </c>
      <c r="C87" s="119" t="s">
        <v>253</v>
      </c>
      <c r="D87">
        <v>10.456653814404753</v>
      </c>
      <c r="E87">
        <v>20440.666876398409</v>
      </c>
      <c r="F87">
        <v>10.263085200786772</v>
      </c>
      <c r="G87">
        <v>20062.278950497981</v>
      </c>
      <c r="H87">
        <v>7</v>
      </c>
      <c r="I87">
        <v>13683.6</v>
      </c>
      <c r="J87">
        <v>8</v>
      </c>
      <c r="K87">
        <v>15638.4</v>
      </c>
      <c r="L87">
        <v>10.598725049177572</v>
      </c>
      <c r="M87">
        <v>20718.387726132318</v>
      </c>
      <c r="N87">
        <v>7.3686087929786801</v>
      </c>
      <c r="O87">
        <v>14404.156468514724</v>
      </c>
      <c r="P87">
        <v>9.3060088769919691</v>
      </c>
      <c r="Q87">
        <v>18191.3861527439</v>
      </c>
      <c r="R87">
        <v>10.391966013610304</v>
      </c>
      <c r="S87">
        <v>20314.215163405421</v>
      </c>
      <c r="T87">
        <v>11.518435725526851</v>
      </c>
      <c r="U87">
        <v>22516.238156259889</v>
      </c>
      <c r="V87">
        <v>12.555029483235394</v>
      </c>
      <c r="W87">
        <v>24542.571633828549</v>
      </c>
      <c r="X87">
        <v>9.3477185731332675</v>
      </c>
      <c r="Y87">
        <v>18272.92026676091</v>
      </c>
      <c r="Z87">
        <v>9.634100106079849</v>
      </c>
      <c r="AA87">
        <v>18832.738887364889</v>
      </c>
      <c r="AB87">
        <v>7.5731652415750785</v>
      </c>
      <c r="AC87">
        <v>14804.023414230964</v>
      </c>
      <c r="AD87">
        <v>9.4575937406917916</v>
      </c>
      <c r="AE87">
        <v>18487.704244304314</v>
      </c>
      <c r="AF87">
        <v>10.393113250665941</v>
      </c>
      <c r="AG87">
        <v>20316.45778240178</v>
      </c>
      <c r="AH87">
        <v>6.3927764934854974</v>
      </c>
      <c r="AI87">
        <v>12496.59948946545</v>
      </c>
      <c r="AJ87">
        <v>10.36860879297868</v>
      </c>
      <c r="AK87">
        <v>20268.556468514722</v>
      </c>
      <c r="AL87">
        <v>9</v>
      </c>
      <c r="AM87">
        <v>17593.2</v>
      </c>
      <c r="AN87">
        <v>11.777265199810078</v>
      </c>
      <c r="AO87">
        <v>23022.198012588738</v>
      </c>
      <c r="AP87">
        <v>12.311004511836339</v>
      </c>
      <c r="AQ87">
        <v>24065.551619737675</v>
      </c>
      <c r="AR87">
        <v>10.489369499599199</v>
      </c>
      <c r="AS87">
        <v>20504.619497816515</v>
      </c>
      <c r="AT87">
        <v>11.333464099116593</v>
      </c>
      <c r="AU87">
        <v>22154.655620953115</v>
      </c>
      <c r="AV87">
        <v>8.5538564290203531</v>
      </c>
      <c r="AW87">
        <v>16721.078547448986</v>
      </c>
      <c r="AX87">
        <v>11.510157579113642</v>
      </c>
      <c r="AY87">
        <v>22500.056035651345</v>
      </c>
      <c r="AZ87">
        <v>6</v>
      </c>
      <c r="BA87">
        <v>11728.8</v>
      </c>
      <c r="BB87">
        <v>10.772666555663278</v>
      </c>
      <c r="BC87">
        <v>21058.408583010576</v>
      </c>
      <c r="BD87">
        <v>12.398801096969043</v>
      </c>
      <c r="BE87">
        <v>24237.176384355083</v>
      </c>
      <c r="BF87">
        <v>7.3181655549759412</v>
      </c>
      <c r="BG87">
        <v>14305.550026866969</v>
      </c>
      <c r="BH87">
        <v>8.5223715280042747</v>
      </c>
      <c r="BI87">
        <v>16659.531862942757</v>
      </c>
      <c r="BJ87">
        <v>7.4081047371728923</v>
      </c>
      <c r="BK87">
        <v>14481.363140225569</v>
      </c>
      <c r="BL87">
        <v>9.4905619836934783</v>
      </c>
      <c r="BM87">
        <v>18552.150565724012</v>
      </c>
      <c r="BN87">
        <v>12.55562789871686</v>
      </c>
      <c r="BO87">
        <v>24543.741416411718</v>
      </c>
      <c r="BP87">
        <v>11.526969512818955</v>
      </c>
      <c r="BQ87">
        <v>22532.920003658492</v>
      </c>
      <c r="BR87">
        <v>14.720843230571388</v>
      </c>
      <c r="BS87">
        <v>28776.304347120949</v>
      </c>
      <c r="BT87">
        <v>9.6098173137038874</v>
      </c>
      <c r="BU87">
        <v>18785.270884828358</v>
      </c>
      <c r="BV87">
        <v>9.5544706627165468</v>
      </c>
      <c r="BW87">
        <v>18677.079251478306</v>
      </c>
      <c r="BX87">
        <v>12.610124987589055</v>
      </c>
      <c r="BY87">
        <v>24650.272325739083</v>
      </c>
      <c r="BZ87">
        <v>7.4567492757373595</v>
      </c>
      <c r="CA87">
        <v>14576.45348421139</v>
      </c>
      <c r="CB87">
        <v>11.534385791588653</v>
      </c>
      <c r="CC87">
        <v>22547.417345397498</v>
      </c>
      <c r="CD87">
        <v>7.4985475386443383</v>
      </c>
      <c r="CE87">
        <v>14658.160728541952</v>
      </c>
      <c r="CF87">
        <v>12.692979865890452</v>
      </c>
      <c r="CG87">
        <v>24812.237041842654</v>
      </c>
      <c r="CH87">
        <v>10.502112733311662</v>
      </c>
      <c r="CI87">
        <v>20529.529971077638</v>
      </c>
      <c r="CJ87">
        <v>12.341777692706676</v>
      </c>
      <c r="CK87">
        <v>24125.707033703009</v>
      </c>
      <c r="CL87">
        <v>8.4883382322576857</v>
      </c>
      <c r="CM87">
        <v>16593.003576417323</v>
      </c>
      <c r="CN87">
        <v>6.5560966045040718</v>
      </c>
      <c r="CO87">
        <v>12815.85764248456</v>
      </c>
      <c r="CP87">
        <v>14.571709814156209</v>
      </c>
      <c r="CQ87">
        <v>28484.778344712558</v>
      </c>
      <c r="CR87">
        <v>8.0842432758053882</v>
      </c>
      <c r="CS87">
        <v>15803.078755544373</v>
      </c>
      <c r="CT87">
        <v>7.8282286725592316</v>
      </c>
      <c r="CU87">
        <v>15302.621409118785</v>
      </c>
    </row>
    <row r="88" spans="2:99" x14ac:dyDescent="0.2">
      <c r="C88" s="119" t="s">
        <v>254</v>
      </c>
      <c r="D88">
        <v>11.421526597912079</v>
      </c>
      <c r="E88">
        <v>21614.096933888817</v>
      </c>
      <c r="F88">
        <v>10.28939372086545</v>
      </c>
      <c r="G88">
        <v>19471.648677365774</v>
      </c>
      <c r="H88">
        <v>7</v>
      </c>
      <c r="I88">
        <v>13246.8</v>
      </c>
      <c r="J88">
        <v>8</v>
      </c>
      <c r="K88">
        <v>15139.199999999999</v>
      </c>
      <c r="L88">
        <v>9.6486188032757028</v>
      </c>
      <c r="M88">
        <v>18259.046223318939</v>
      </c>
      <c r="N88">
        <v>8.4021186832494692</v>
      </c>
      <c r="O88">
        <v>15900.169396181294</v>
      </c>
      <c r="P88">
        <v>9.2781898881745164</v>
      </c>
      <c r="Q88">
        <v>17558.046544381454</v>
      </c>
      <c r="R88">
        <v>10.365834946036284</v>
      </c>
      <c r="S88">
        <v>19616.306051879063</v>
      </c>
      <c r="T88">
        <v>10.579428163824128</v>
      </c>
      <c r="U88">
        <v>20020.509857220779</v>
      </c>
      <c r="V88">
        <v>10.506766049910578</v>
      </c>
      <c r="W88">
        <v>19883.004072850777</v>
      </c>
      <c r="X88">
        <v>10.347718573133267</v>
      </c>
      <c r="Y88">
        <v>19582.022627797392</v>
      </c>
      <c r="Z88">
        <v>10.547631909796234</v>
      </c>
      <c r="AA88">
        <v>19960.33862609839</v>
      </c>
      <c r="AB88">
        <v>6.605007754995917</v>
      </c>
      <c r="AC88">
        <v>12499.316675554272</v>
      </c>
      <c r="AD88">
        <v>9.5084374896575454</v>
      </c>
      <c r="AE88">
        <v>17993.767105427938</v>
      </c>
      <c r="AF88">
        <v>11.425872688221437</v>
      </c>
      <c r="AG88">
        <v>21622.321475190245</v>
      </c>
      <c r="AH88">
        <v>7.418961593051197</v>
      </c>
      <c r="AI88">
        <v>14039.642918690084</v>
      </c>
      <c r="AJ88">
        <v>10.402118683249469</v>
      </c>
      <c r="AK88">
        <v>19684.969396181295</v>
      </c>
      <c r="AL88">
        <v>8</v>
      </c>
      <c r="AM88">
        <v>15139.199999999999</v>
      </c>
      <c r="AN88">
        <v>12.777265199810078</v>
      </c>
      <c r="AO88">
        <v>24179.696664120591</v>
      </c>
      <c r="AP88">
        <v>12.311004511836339</v>
      </c>
      <c r="AQ88">
        <v>23297.344938199087</v>
      </c>
      <c r="AR88">
        <v>11.512672809103922</v>
      </c>
      <c r="AS88">
        <v>21786.58202394826</v>
      </c>
      <c r="AT88">
        <v>10.361252774042976</v>
      </c>
      <c r="AU88">
        <v>19607.634749598925</v>
      </c>
      <c r="AV88">
        <v>9.6121571057593389</v>
      </c>
      <c r="AW88">
        <v>18190.046106938971</v>
      </c>
      <c r="AX88">
        <v>11.483307180212924</v>
      </c>
      <c r="AY88">
        <v>21731.010507834933</v>
      </c>
      <c r="AZ88">
        <v>7</v>
      </c>
      <c r="BA88">
        <v>13246.8</v>
      </c>
      <c r="BB88">
        <v>10.650666573190129</v>
      </c>
      <c r="BC88">
        <v>20155.321423105001</v>
      </c>
      <c r="BD88">
        <v>12.429478104428201</v>
      </c>
      <c r="BE88">
        <v>23521.544364819925</v>
      </c>
      <c r="BF88">
        <v>7.3181655549759412</v>
      </c>
      <c r="BG88">
        <v>13848.89649623647</v>
      </c>
      <c r="BH88">
        <v>8.474883207276612</v>
      </c>
      <c r="BI88">
        <v>16037.86898145026</v>
      </c>
      <c r="BJ88">
        <v>7.4081047371728923</v>
      </c>
      <c r="BK88">
        <v>14019.09740462598</v>
      </c>
      <c r="BL88">
        <v>9.4360550966164265</v>
      </c>
      <c r="BM88">
        <v>17856.790664836924</v>
      </c>
      <c r="BN88">
        <v>12.502710955981922</v>
      </c>
      <c r="BO88">
        <v>23660.130213100187</v>
      </c>
      <c r="BP88">
        <v>13.632363415382747</v>
      </c>
      <c r="BQ88">
        <v>25797.884527270307</v>
      </c>
      <c r="BR88">
        <v>12.750878365178529</v>
      </c>
      <c r="BS88">
        <v>24129.762218263848</v>
      </c>
      <c r="BT88">
        <v>10.583303517455892</v>
      </c>
      <c r="BU88">
        <v>20027.84357643353</v>
      </c>
      <c r="BV88">
        <v>8.6072773924990749</v>
      </c>
      <c r="BW88">
        <v>16288.411737565248</v>
      </c>
      <c r="BX88">
        <v>11.610124987589055</v>
      </c>
      <c r="BY88">
        <v>21971.000526513526</v>
      </c>
      <c r="BZ88">
        <v>7.4807887113024831</v>
      </c>
      <c r="CA88">
        <v>14156.644557268817</v>
      </c>
      <c r="CB88">
        <v>11.478134655631951</v>
      </c>
      <c r="CC88">
        <v>21721.222022317903</v>
      </c>
      <c r="CD88">
        <v>7.4723081945051621</v>
      </c>
      <c r="CE88">
        <v>14140.596027281568</v>
      </c>
      <c r="CF88">
        <v>14.639673722360417</v>
      </c>
      <c r="CG88">
        <v>27704.11855219485</v>
      </c>
      <c r="CH88">
        <v>10.502112733311662</v>
      </c>
      <c r="CI88">
        <v>19874.198136518989</v>
      </c>
      <c r="CJ88">
        <v>11.39060307737906</v>
      </c>
      <c r="CK88">
        <v>21555.577263632131</v>
      </c>
      <c r="CL88">
        <v>8.4883382322576857</v>
      </c>
      <c r="CM88">
        <v>16063.331270724444</v>
      </c>
      <c r="CN88">
        <v>7.5802747177433796</v>
      </c>
      <c r="CO88">
        <v>14344.91187585757</v>
      </c>
      <c r="CP88">
        <v>13.571709814156209</v>
      </c>
      <c r="CQ88">
        <v>25683.103652309208</v>
      </c>
      <c r="CR88">
        <v>10.037546586080747</v>
      </c>
      <c r="CS88">
        <v>18995.053159499206</v>
      </c>
      <c r="CT88">
        <v>7.0968069092344424</v>
      </c>
      <c r="CU88">
        <v>13429.997395035258</v>
      </c>
    </row>
    <row r="89" spans="2:99" x14ac:dyDescent="0.2">
      <c r="C89" s="119" t="s">
        <v>255</v>
      </c>
      <c r="D89">
        <v>11.421526597912079</v>
      </c>
      <c r="E89">
        <v>27384.252171153999</v>
      </c>
      <c r="F89">
        <v>10.263085200786772</v>
      </c>
      <c r="G89">
        <v>24606.773077406364</v>
      </c>
      <c r="H89">
        <v>6</v>
      </c>
      <c r="I89">
        <v>14385.599999999999</v>
      </c>
      <c r="J89">
        <v>7</v>
      </c>
      <c r="K89">
        <v>16783.2</v>
      </c>
      <c r="L89">
        <v>10.598725049177572</v>
      </c>
      <c r="M89">
        <v>25411.503177908147</v>
      </c>
      <c r="N89">
        <v>6.3686087929786801</v>
      </c>
      <c r="O89">
        <v>15269.376442045683</v>
      </c>
      <c r="P89">
        <v>9.2503708993570655</v>
      </c>
      <c r="Q89">
        <v>22178.689268298498</v>
      </c>
      <c r="R89">
        <v>9.4180970811843245</v>
      </c>
      <c r="S89">
        <v>22580.829561847535</v>
      </c>
      <c r="T89">
        <v>9.4574432872295748</v>
      </c>
      <c r="U89">
        <v>22675.166025461629</v>
      </c>
      <c r="V89">
        <v>11.506766049910578</v>
      </c>
      <c r="W89">
        <v>27588.622281265601</v>
      </c>
      <c r="X89">
        <v>9.3161077937575154</v>
      </c>
      <c r="Y89">
        <v>22336.300046313019</v>
      </c>
      <c r="Z89">
        <v>9.634100106079849</v>
      </c>
      <c r="AA89">
        <v>23098.718414337047</v>
      </c>
      <c r="AB89">
        <v>6.4776377013125659</v>
      </c>
      <c r="AC89">
        <v>15530.784152667007</v>
      </c>
      <c r="AD89">
        <v>9.4321718662089147</v>
      </c>
      <c r="AE89">
        <v>22614.575266422493</v>
      </c>
      <c r="AF89">
        <v>10.393113250665941</v>
      </c>
      <c r="AG89">
        <v>24918.52832979666</v>
      </c>
      <c r="AH89">
        <v>6.3927764934854974</v>
      </c>
      <c r="AI89">
        <v>15327.320920780829</v>
      </c>
      <c r="AJ89">
        <v>10.335098902707891</v>
      </c>
      <c r="AK89">
        <v>24779.433129132438</v>
      </c>
      <c r="AL89">
        <v>7</v>
      </c>
      <c r="AM89">
        <v>16783.2</v>
      </c>
      <c r="AN89">
        <v>11.685822235126539</v>
      </c>
      <c r="AO89">
        <v>28017.927390939389</v>
      </c>
      <c r="AP89">
        <v>11.336921554489367</v>
      </c>
      <c r="AQ89">
        <v>27181.403119043705</v>
      </c>
      <c r="AR89">
        <v>9.5359761186086462</v>
      </c>
      <c r="AS89">
        <v>22863.456341976089</v>
      </c>
      <c r="AT89">
        <v>10.333464099116593</v>
      </c>
      <c r="AU89">
        <v>24775.513524041944</v>
      </c>
      <c r="AV89">
        <v>8.6121571057593389</v>
      </c>
      <c r="AW89">
        <v>20648.507876768592</v>
      </c>
      <c r="AX89">
        <v>12.510157579113642</v>
      </c>
      <c r="AY89">
        <v>29994.353811682868</v>
      </c>
      <c r="AZ89">
        <v>7</v>
      </c>
      <c r="BA89">
        <v>16783.2</v>
      </c>
      <c r="BB89">
        <v>9.7319998948388946</v>
      </c>
      <c r="BC89">
        <v>23333.442947865733</v>
      </c>
      <c r="BD89">
        <v>10.368124089509887</v>
      </c>
      <c r="BE89">
        <v>24858.614317008905</v>
      </c>
      <c r="BF89">
        <v>7.2916517587279461</v>
      </c>
      <c r="BG89">
        <v>17482.464256726122</v>
      </c>
      <c r="BH89">
        <v>7.4273948865489512</v>
      </c>
      <c r="BI89">
        <v>17807.921979989766</v>
      </c>
      <c r="BJ89">
        <v>7.3789543988033994</v>
      </c>
      <c r="BK89">
        <v>17691.781066571031</v>
      </c>
      <c r="BL89">
        <v>9.4905619836934783</v>
      </c>
      <c r="BM89">
        <v>22754.571412103483</v>
      </c>
      <c r="BN89">
        <v>12.47625248461445</v>
      </c>
      <c r="BO89">
        <v>29913.062957111604</v>
      </c>
      <c r="BP89">
        <v>11.526969512818955</v>
      </c>
      <c r="BQ89">
        <v>27637.062103934724</v>
      </c>
      <c r="BR89">
        <v>12.720843230571388</v>
      </c>
      <c r="BS89">
        <v>30499.49372961796</v>
      </c>
      <c r="BT89">
        <v>8.6098173137038874</v>
      </c>
      <c r="BU89">
        <v>20642.897991336438</v>
      </c>
      <c r="BV89">
        <v>8.5544706627165468</v>
      </c>
      <c r="BW89">
        <v>20510.198860929191</v>
      </c>
      <c r="BX89">
        <v>13.533859364140422</v>
      </c>
      <c r="BY89">
        <v>32448.781211463076</v>
      </c>
      <c r="BZ89">
        <v>6.4327098401722349</v>
      </c>
      <c r="CA89">
        <v>15423.06511279695</v>
      </c>
      <c r="CB89">
        <v>9.5343857915886527</v>
      </c>
      <c r="CC89">
        <v>22859.643373912953</v>
      </c>
      <c r="CD89">
        <v>7.4198295062268107</v>
      </c>
      <c r="CE89">
        <v>17789.783224129402</v>
      </c>
      <c r="CF89">
        <v>11.666326794125435</v>
      </c>
      <c r="CG89">
        <v>27971.185121595143</v>
      </c>
      <c r="CH89">
        <v>9.5648768249756202</v>
      </c>
      <c r="CI89">
        <v>22932.748675561546</v>
      </c>
      <c r="CJ89">
        <v>10.366190385042868</v>
      </c>
      <c r="CK89">
        <v>24853.978067178781</v>
      </c>
      <c r="CL89">
        <v>8.4596124538895854</v>
      </c>
      <c r="CM89">
        <v>20282.766819445667</v>
      </c>
      <c r="CN89">
        <v>6.5802747177433796</v>
      </c>
      <c r="CO89">
        <v>15776.866663261526</v>
      </c>
      <c r="CP89">
        <v>12.571709814156209</v>
      </c>
      <c r="CQ89">
        <v>30141.931450420925</v>
      </c>
      <c r="CR89">
        <v>8.0842432758053882</v>
      </c>
      <c r="CS89">
        <v>19382.781678070998</v>
      </c>
      <c r="CT89">
        <v>7.0784493721161805</v>
      </c>
      <c r="CU89">
        <v>16971.290214585755</v>
      </c>
    </row>
    <row r="90" spans="2:99" x14ac:dyDescent="0.2">
      <c r="C90" s="119" t="s">
        <v>256</v>
      </c>
      <c r="D90">
        <v>11.351272164926732</v>
      </c>
      <c r="E90">
        <v>24941.015200777012</v>
      </c>
      <c r="F90">
        <v>9.2630852007867723</v>
      </c>
      <c r="G90">
        <v>20352.850803168694</v>
      </c>
      <c r="H90">
        <v>6</v>
      </c>
      <c r="I90">
        <v>13183.199999999999</v>
      </c>
      <c r="J90">
        <v>7</v>
      </c>
      <c r="K90">
        <v>15380.399999999998</v>
      </c>
      <c r="L90">
        <v>10.598725049177572</v>
      </c>
      <c r="M90">
        <v>23287.518678052958</v>
      </c>
      <c r="N90">
        <v>7.3686087929786801</v>
      </c>
      <c r="O90">
        <v>16190.307239932754</v>
      </c>
      <c r="P90">
        <v>8.3060088769919691</v>
      </c>
      <c r="Q90">
        <v>18249.962704526752</v>
      </c>
      <c r="R90">
        <v>9.391966013610304</v>
      </c>
      <c r="S90">
        <v>20636.027725104559</v>
      </c>
      <c r="T90">
        <v>10.518435725526851</v>
      </c>
      <c r="U90">
        <v>23111.106976127594</v>
      </c>
      <c r="V90">
        <v>11.458502616585761</v>
      </c>
      <c r="W90">
        <v>25176.621949162232</v>
      </c>
      <c r="X90">
        <v>10.316107793757515</v>
      </c>
      <c r="Y90">
        <v>22666.552044444012</v>
      </c>
      <c r="Z90">
        <v>10.605277373985311</v>
      </c>
      <c r="AA90">
        <v>23301.915446120525</v>
      </c>
      <c r="AB90">
        <v>6.5731652415750785</v>
      </c>
      <c r="AC90">
        <v>14442.558668788761</v>
      </c>
      <c r="AD90">
        <v>9.4830156151746685</v>
      </c>
      <c r="AE90">
        <v>20836.081909661782</v>
      </c>
      <c r="AF90">
        <v>11.393113250665941</v>
      </c>
      <c r="AG90">
        <v>25032.948434363203</v>
      </c>
      <c r="AH90">
        <v>6.3404062943540982</v>
      </c>
      <c r="AI90">
        <v>13931.140709954823</v>
      </c>
      <c r="AJ90">
        <v>11.36860879297868</v>
      </c>
      <c r="AK90">
        <v>24979.107239932753</v>
      </c>
      <c r="AL90">
        <v>9</v>
      </c>
      <c r="AM90">
        <v>19774.8</v>
      </c>
      <c r="AN90">
        <v>11.685822235126539</v>
      </c>
      <c r="AO90">
        <v>25676.088615020028</v>
      </c>
      <c r="AP90">
        <v>12.311004511836339</v>
      </c>
      <c r="AQ90">
        <v>27049.739113406802</v>
      </c>
      <c r="AR90">
        <v>9.4660661900944749</v>
      </c>
      <c r="AS90">
        <v>20798.840632875577</v>
      </c>
      <c r="AT90">
        <v>11.333464099116593</v>
      </c>
      <c r="AU90">
        <v>24901.887318578978</v>
      </c>
      <c r="AV90">
        <v>9.5247060906508612</v>
      </c>
      <c r="AW90">
        <v>20927.68422237807</v>
      </c>
      <c r="AX90">
        <v>12.53700797801436</v>
      </c>
      <c r="AY90">
        <v>27546.313929293148</v>
      </c>
      <c r="AZ90">
        <v>7</v>
      </c>
      <c r="BA90">
        <v>15380.399999999998</v>
      </c>
      <c r="BB90">
        <v>10.650666573190129</v>
      </c>
      <c r="BC90">
        <v>23401.64459461335</v>
      </c>
      <c r="BD90">
        <v>12.398801096969043</v>
      </c>
      <c r="BE90">
        <v>27242.64577026038</v>
      </c>
      <c r="BF90">
        <v>7.3181655549759412</v>
      </c>
      <c r="BG90">
        <v>16079.473357393137</v>
      </c>
      <c r="BH90">
        <v>7.4511390469127825</v>
      </c>
      <c r="BI90">
        <v>16371.642713876765</v>
      </c>
      <c r="BJ90">
        <v>6.3498040604339074</v>
      </c>
      <c r="BK90">
        <v>13951.78948158538</v>
      </c>
      <c r="BL90">
        <v>8.4905619836934783</v>
      </c>
      <c r="BM90">
        <v>18655.46279057131</v>
      </c>
      <c r="BN90">
        <v>12.47625248461445</v>
      </c>
      <c r="BO90">
        <v>27412.821959194869</v>
      </c>
      <c r="BP90">
        <v>12.526969512818955</v>
      </c>
      <c r="BQ90">
        <v>27524.257413565803</v>
      </c>
      <c r="BR90">
        <v>13.690808095964247</v>
      </c>
      <c r="BS90">
        <v>30081.44354845264</v>
      </c>
      <c r="BT90">
        <v>10.609817313703887</v>
      </c>
      <c r="BU90">
        <v>23311.89060167018</v>
      </c>
      <c r="BV90">
        <v>8.5544706627165468</v>
      </c>
      <c r="BW90">
        <v>18795.882940120795</v>
      </c>
      <c r="BX90">
        <v>11.559281238623301</v>
      </c>
      <c r="BY90">
        <v>25398.052737503116</v>
      </c>
      <c r="BZ90">
        <v>6.4567492757373595</v>
      </c>
      <c r="CA90">
        <v>14186.769508650124</v>
      </c>
      <c r="CB90">
        <v>11.534385791588653</v>
      </c>
      <c r="CC90">
        <v>25343.352461278584</v>
      </c>
      <c r="CD90">
        <v>7.4723081945051621</v>
      </c>
      <c r="CE90">
        <v>16418.155564966743</v>
      </c>
      <c r="CF90">
        <v>11.559714507065365</v>
      </c>
      <c r="CG90">
        <v>25399.00471492402</v>
      </c>
      <c r="CH90">
        <v>9.4707306874796835</v>
      </c>
      <c r="CI90">
        <v>20809.08946653036</v>
      </c>
      <c r="CJ90">
        <v>10.341777692706676</v>
      </c>
      <c r="CK90">
        <v>22722.953946415109</v>
      </c>
      <c r="CL90">
        <v>8.4883382322576857</v>
      </c>
      <c r="CM90">
        <v>18650.576763916586</v>
      </c>
      <c r="CN90">
        <v>7.5560966045040718</v>
      </c>
      <c r="CO90">
        <v>16602.255459416345</v>
      </c>
      <c r="CP90">
        <v>14.490036983562465</v>
      </c>
      <c r="CQ90">
        <v>31837.509260283445</v>
      </c>
      <c r="CR90">
        <v>8.1088823698693844</v>
      </c>
      <c r="CS90">
        <v>17816.836343077011</v>
      </c>
      <c r="CT90">
        <v>7.8465862096774934</v>
      </c>
      <c r="CU90">
        <v>17240.519219903388</v>
      </c>
    </row>
    <row r="91" spans="2:99" x14ac:dyDescent="0.2">
      <c r="C91" s="119" t="s">
        <v>257</v>
      </c>
      <c r="D91">
        <v>10.421526597912079</v>
      </c>
      <c r="E91">
        <v>23936.16229008446</v>
      </c>
      <c r="F91">
        <v>10.263085200786772</v>
      </c>
      <c r="G91">
        <v>23572.254089167054</v>
      </c>
      <c r="H91">
        <v>7</v>
      </c>
      <c r="I91">
        <v>16077.599999999999</v>
      </c>
      <c r="J91">
        <v>7</v>
      </c>
      <c r="K91">
        <v>16077.599999999999</v>
      </c>
      <c r="L91">
        <v>11.648618803275703</v>
      </c>
      <c r="M91">
        <v>26754.547667363629</v>
      </c>
      <c r="N91">
        <v>8.3686087929786801</v>
      </c>
      <c r="O91">
        <v>19221.020675713429</v>
      </c>
      <c r="P91">
        <v>9.3060088769919691</v>
      </c>
      <c r="Q91">
        <v>21374.041188675154</v>
      </c>
      <c r="R91">
        <v>10.418097081184325</v>
      </c>
      <c r="S91">
        <v>23928.285376064156</v>
      </c>
      <c r="T91">
        <v>10.487939506378213</v>
      </c>
      <c r="U91">
        <v>24088.699458249477</v>
      </c>
      <c r="V91">
        <v>10.458502616585761</v>
      </c>
      <c r="W91">
        <v>24021.088809774174</v>
      </c>
      <c r="X91">
        <v>10.347718573133267</v>
      </c>
      <c r="Y91">
        <v>23766.640018772487</v>
      </c>
      <c r="Z91">
        <v>11.518809177701694</v>
      </c>
      <c r="AA91">
        <v>26456.400919345248</v>
      </c>
      <c r="AB91">
        <v>6.5094802147334034</v>
      </c>
      <c r="AC91">
        <v>14950.97415719968</v>
      </c>
      <c r="AD91">
        <v>9.4321718662089147</v>
      </c>
      <c r="AE91">
        <v>21663.812342308633</v>
      </c>
      <c r="AF91">
        <v>9.4258726882214372</v>
      </c>
      <c r="AG91">
        <v>21649.344390306993</v>
      </c>
      <c r="AH91">
        <v>6.3404062943540982</v>
      </c>
      <c r="AI91">
        <v>14562.645176872491</v>
      </c>
      <c r="AJ91">
        <v>11.402118683249469</v>
      </c>
      <c r="AK91">
        <v>26188.386191687379</v>
      </c>
      <c r="AL91">
        <v>7</v>
      </c>
      <c r="AM91">
        <v>16077.599999999999</v>
      </c>
      <c r="AN91">
        <v>12.731543717468307</v>
      </c>
      <c r="AO91">
        <v>29241.809610281205</v>
      </c>
      <c r="AP91">
        <v>11.311004511836339</v>
      </c>
      <c r="AQ91">
        <v>25979.1151627857</v>
      </c>
      <c r="AR91">
        <v>11.466066190094475</v>
      </c>
      <c r="AS91">
        <v>26335.260825408986</v>
      </c>
      <c r="AT91">
        <v>10.361252774042976</v>
      </c>
      <c r="AU91">
        <v>23797.725371421904</v>
      </c>
      <c r="AV91">
        <v>7.583006767389846</v>
      </c>
      <c r="AW91">
        <v>17416.649943340995</v>
      </c>
      <c r="AX91">
        <v>11.483307180212924</v>
      </c>
      <c r="AY91">
        <v>26374.859931513041</v>
      </c>
      <c r="AZ91">
        <v>7</v>
      </c>
      <c r="BA91">
        <v>16077.599999999999</v>
      </c>
      <c r="BB91">
        <v>10.650666573190129</v>
      </c>
      <c r="BC91">
        <v>24462.450985303087</v>
      </c>
      <c r="BD91">
        <v>12.368124089509887</v>
      </c>
      <c r="BE91">
        <v>28407.107408786305</v>
      </c>
      <c r="BF91">
        <v>7.3711931474719323</v>
      </c>
      <c r="BG91">
        <v>16930.156421113534</v>
      </c>
      <c r="BH91">
        <v>8.4511390469127825</v>
      </c>
      <c r="BI91">
        <v>19410.576162949277</v>
      </c>
      <c r="BJ91">
        <v>7.3789543988033994</v>
      </c>
      <c r="BK91">
        <v>16947.982463171647</v>
      </c>
      <c r="BL91">
        <v>8.4360550966164265</v>
      </c>
      <c r="BM91">
        <v>19375.931345908604</v>
      </c>
      <c r="BN91">
        <v>11.502710955981922</v>
      </c>
      <c r="BO91">
        <v>26419.426523699276</v>
      </c>
      <c r="BP91">
        <v>12.526969512818955</v>
      </c>
      <c r="BQ91">
        <v>28771.943577042573</v>
      </c>
      <c r="BR91">
        <v>12.720843230571388</v>
      </c>
      <c r="BS91">
        <v>29217.232731976361</v>
      </c>
      <c r="BT91">
        <v>8.5833035174558923</v>
      </c>
      <c r="BU91">
        <v>19714.131518892689</v>
      </c>
      <c r="BV91">
        <v>9.6072773924990749</v>
      </c>
      <c r="BW91">
        <v>22065.994715091874</v>
      </c>
      <c r="BX91">
        <v>12.508437489657545</v>
      </c>
      <c r="BY91">
        <v>28729.379226245448</v>
      </c>
      <c r="BZ91">
        <v>6.4807887113024831</v>
      </c>
      <c r="CA91">
        <v>14885.075512119542</v>
      </c>
      <c r="CB91">
        <v>10.478134655631951</v>
      </c>
      <c r="CC91">
        <v>24066.179677055461</v>
      </c>
      <c r="CD91">
        <v>6.4460688503659869</v>
      </c>
      <c r="CE91">
        <v>14805.330935520597</v>
      </c>
      <c r="CF91">
        <v>12.6130206505954</v>
      </c>
      <c r="CG91">
        <v>28969.585830287513</v>
      </c>
      <c r="CH91">
        <v>10.502112733311662</v>
      </c>
      <c r="CI91">
        <v>24121.252525870223</v>
      </c>
      <c r="CJ91">
        <v>10.366190385042868</v>
      </c>
      <c r="CK91">
        <v>23809.066076366456</v>
      </c>
      <c r="CL91">
        <v>8.4883382322576857</v>
      </c>
      <c r="CM91">
        <v>19496.015251849451</v>
      </c>
      <c r="CN91">
        <v>7.6044528309826873</v>
      </c>
      <c r="CO91">
        <v>17465.907262201035</v>
      </c>
      <c r="CP91">
        <v>14.517261260427047</v>
      </c>
      <c r="CQ91">
        <v>33343.245662948837</v>
      </c>
      <c r="CR91">
        <v>8.0842432758053882</v>
      </c>
      <c r="CS91">
        <v>18567.889955869814</v>
      </c>
      <c r="CT91">
        <v>7.041734297879656</v>
      </c>
      <c r="CU91">
        <v>16173.455335369992</v>
      </c>
    </row>
    <row r="92" spans="2:99" x14ac:dyDescent="0.2">
      <c r="C92" s="119" t="s">
        <v>258</v>
      </c>
      <c r="D92">
        <v>11.456653814404753</v>
      </c>
      <c r="E92">
        <v>16277.613739506272</v>
      </c>
      <c r="F92">
        <v>11.28939372086545</v>
      </c>
      <c r="G92">
        <v>16039.970598605631</v>
      </c>
      <c r="H92">
        <v>8</v>
      </c>
      <c r="I92">
        <v>11366.4</v>
      </c>
      <c r="J92">
        <v>8</v>
      </c>
      <c r="K92">
        <v>11366.4</v>
      </c>
      <c r="L92">
        <v>11.648618803275703</v>
      </c>
      <c r="M92">
        <v>16550.357595694117</v>
      </c>
      <c r="N92">
        <v>8.4021186832494692</v>
      </c>
      <c r="O92">
        <v>11937.730225160845</v>
      </c>
      <c r="P92">
        <v>9.33382786580942</v>
      </c>
      <c r="Q92">
        <v>13261.502631742023</v>
      </c>
      <c r="R92">
        <v>11.444228148758345</v>
      </c>
      <c r="S92">
        <v>16259.959353755856</v>
      </c>
      <c r="T92">
        <v>12.548931944675489</v>
      </c>
      <c r="U92">
        <v>17829.522506994934</v>
      </c>
      <c r="V92">
        <v>11.579161199897802</v>
      </c>
      <c r="W92">
        <v>16451.672232814795</v>
      </c>
      <c r="X92">
        <v>9.3793293525090196</v>
      </c>
      <c r="Y92">
        <v>13326.151144044814</v>
      </c>
      <c r="Z92">
        <v>11.662922838174389</v>
      </c>
      <c r="AA92">
        <v>16570.680768478171</v>
      </c>
      <c r="AB92">
        <v>7.541322728154241</v>
      </c>
      <c r="AC92">
        <v>10714.711332161545</v>
      </c>
      <c r="AD92">
        <v>10.483015615174669</v>
      </c>
      <c r="AE92">
        <v>14894.268586040169</v>
      </c>
      <c r="AF92">
        <v>10.458632125776932</v>
      </c>
      <c r="AG92">
        <v>14859.624524303865</v>
      </c>
      <c r="AH92">
        <v>6.3927764934854974</v>
      </c>
      <c r="AI92">
        <v>9082.8568419441945</v>
      </c>
      <c r="AJ92">
        <v>11.435628573520258</v>
      </c>
      <c r="AK92">
        <v>16247.741077257582</v>
      </c>
      <c r="AL92">
        <v>9</v>
      </c>
      <c r="AM92">
        <v>12787.199999999999</v>
      </c>
      <c r="AN92">
        <v>12.777265199810078</v>
      </c>
      <c r="AO92">
        <v>18153.938395890156</v>
      </c>
      <c r="AP92">
        <v>12.336921554489367</v>
      </c>
      <c r="AQ92">
        <v>17528.298144618493</v>
      </c>
      <c r="AR92">
        <v>11.512672809103922</v>
      </c>
      <c r="AS92">
        <v>16357.205527174852</v>
      </c>
      <c r="AT92">
        <v>11.416830123895741</v>
      </c>
      <c r="AU92">
        <v>16221.032240031069</v>
      </c>
      <c r="AV92">
        <v>8.5830067673898451</v>
      </c>
      <c r="AW92">
        <v>12194.736015107492</v>
      </c>
      <c r="AX92">
        <v>11.510157579113642</v>
      </c>
      <c r="AY92">
        <v>16353.631888404661</v>
      </c>
      <c r="AZ92">
        <v>8</v>
      </c>
      <c r="BA92">
        <v>11366.4</v>
      </c>
      <c r="BB92">
        <v>11.691333234014511</v>
      </c>
      <c r="BC92">
        <v>16611.046258887818</v>
      </c>
      <c r="BD92">
        <v>12.460155111887358</v>
      </c>
      <c r="BE92">
        <v>17703.388382969559</v>
      </c>
      <c r="BF92">
        <v>7.3711931474719323</v>
      </c>
      <c r="BG92">
        <v>10472.99122392812</v>
      </c>
      <c r="BH92">
        <v>9.5461156883681042</v>
      </c>
      <c r="BI92">
        <v>13563.121170033402</v>
      </c>
      <c r="BJ92">
        <v>6.3789543988033994</v>
      </c>
      <c r="BK92">
        <v>9063.2184098198704</v>
      </c>
      <c r="BL92">
        <v>9.517815427232005</v>
      </c>
      <c r="BM92">
        <v>13522.912159011232</v>
      </c>
      <c r="BN92">
        <v>13.529169427349391</v>
      </c>
      <c r="BO92">
        <v>19222.243922378013</v>
      </c>
      <c r="BP92">
        <v>14.632363415382747</v>
      </c>
      <c r="BQ92">
        <v>20789.661940575807</v>
      </c>
      <c r="BR92">
        <v>13.690808095964247</v>
      </c>
      <c r="BS92">
        <v>19451.900142746003</v>
      </c>
      <c r="BT92">
        <v>9.6098173137038874</v>
      </c>
      <c r="BU92">
        <v>13653.628439310483</v>
      </c>
      <c r="BV92">
        <v>9.6072773924990749</v>
      </c>
      <c r="BW92">
        <v>13650.019719262686</v>
      </c>
      <c r="BX92">
        <v>14.635546862071932</v>
      </c>
      <c r="BY92">
        <v>20794.184981631799</v>
      </c>
      <c r="BZ92">
        <v>8.4567492757373586</v>
      </c>
      <c r="CA92">
        <v>12015.349370967639</v>
      </c>
      <c r="CB92">
        <v>11.534385791588653</v>
      </c>
      <c r="CC92">
        <v>16388.055332689157</v>
      </c>
      <c r="CD92">
        <v>7.4985475386443383</v>
      </c>
      <c r="CE92">
        <v>10653.936342905876</v>
      </c>
      <c r="CF92">
        <v>14.666326794125435</v>
      </c>
      <c r="CG92">
        <v>20837.917109093418</v>
      </c>
      <c r="CH92">
        <v>11.533494779143641</v>
      </c>
      <c r="CI92">
        <v>16386.789382207284</v>
      </c>
      <c r="CJ92">
        <v>11.41501576971525</v>
      </c>
      <c r="CK92">
        <v>16218.454405611426</v>
      </c>
      <c r="CL92">
        <v>8.5745155673619831</v>
      </c>
      <c r="CM92">
        <v>12182.671718107906</v>
      </c>
      <c r="CN92">
        <v>7.6528090574613019</v>
      </c>
      <c r="CO92">
        <v>10873.111108841018</v>
      </c>
      <c r="CP92">
        <v>15.544485537291628</v>
      </c>
      <c r="CQ92">
        <v>22085.605051383944</v>
      </c>
      <c r="CR92">
        <v>10.037546586080747</v>
      </c>
      <c r="CS92">
        <v>14261.346189503525</v>
      </c>
      <c r="CT92">
        <v>8.5963655101205436</v>
      </c>
      <c r="CU92">
        <v>12213.716116779267</v>
      </c>
    </row>
    <row r="93" spans="2:99" x14ac:dyDescent="0.2">
      <c r="C93" s="119" t="s">
        <v>259</v>
      </c>
      <c r="D93">
        <v>11.456653814404753</v>
      </c>
      <c r="E93">
        <v>20305.773220650983</v>
      </c>
      <c r="F93">
        <v>10.263085200786772</v>
      </c>
      <c r="G93">
        <v>18190.292209874475</v>
      </c>
      <c r="H93">
        <v>8</v>
      </c>
      <c r="I93">
        <v>14179.199999999999</v>
      </c>
      <c r="J93">
        <v>7</v>
      </c>
      <c r="K93">
        <v>12406.8</v>
      </c>
      <c r="L93">
        <v>11.648618803275703</v>
      </c>
      <c r="M93">
        <v>20646.011966925853</v>
      </c>
      <c r="N93">
        <v>8.3686087929786801</v>
      </c>
      <c r="O93">
        <v>14832.522224675411</v>
      </c>
      <c r="P93">
        <v>9.2781898881745164</v>
      </c>
      <c r="Q93">
        <v>16444.66375780051</v>
      </c>
      <c r="R93">
        <v>10.418097081184325</v>
      </c>
      <c r="S93">
        <v>18465.035266691095</v>
      </c>
      <c r="T93">
        <v>11.579428163824128</v>
      </c>
      <c r="U93">
        <v>20523.378477561881</v>
      </c>
      <c r="V93">
        <v>11.530897766572986</v>
      </c>
      <c r="W93">
        <v>20437.36320147396</v>
      </c>
      <c r="X93">
        <v>10.347718573133267</v>
      </c>
      <c r="Y93">
        <v>18340.296399021401</v>
      </c>
      <c r="Z93">
        <v>11.662922838174389</v>
      </c>
      <c r="AA93">
        <v>20671.364438380286</v>
      </c>
      <c r="AB93">
        <v>6.541322728154241</v>
      </c>
      <c r="AC93">
        <v>11593.840403380576</v>
      </c>
      <c r="AD93">
        <v>9.4830156151746685</v>
      </c>
      <c r="AE93">
        <v>16807.69687633558</v>
      </c>
      <c r="AF93">
        <v>10.393113250665941</v>
      </c>
      <c r="AG93">
        <v>18420.753925480312</v>
      </c>
      <c r="AH93">
        <v>6.418961593051197</v>
      </c>
      <c r="AI93">
        <v>11376.967527523941</v>
      </c>
      <c r="AJ93">
        <v>11.402118683249469</v>
      </c>
      <c r="AK93">
        <v>20209.115154191357</v>
      </c>
      <c r="AL93">
        <v>8</v>
      </c>
      <c r="AM93">
        <v>14179.199999999999</v>
      </c>
      <c r="AN93">
        <v>12.777265199810078</v>
      </c>
      <c r="AO93">
        <v>22646.42484014338</v>
      </c>
      <c r="AP93">
        <v>11.336921554489367</v>
      </c>
      <c r="AQ93">
        <v>20093.559763176952</v>
      </c>
      <c r="AR93">
        <v>10.559279428113369</v>
      </c>
      <c r="AS93">
        <v>18715.266858388135</v>
      </c>
      <c r="AT93">
        <v>11.361252774042976</v>
      </c>
      <c r="AU93">
        <v>20136.684416713768</v>
      </c>
      <c r="AV93">
        <v>9.6121571057593389</v>
      </c>
      <c r="AW93">
        <v>17036.58725424785</v>
      </c>
      <c r="AX93">
        <v>12.510157579113642</v>
      </c>
      <c r="AY93">
        <v>22173.003293221016</v>
      </c>
      <c r="AZ93">
        <v>8</v>
      </c>
      <c r="BA93">
        <v>14179.199999999999</v>
      </c>
      <c r="BB93">
        <v>10.691333234014511</v>
      </c>
      <c r="BC93">
        <v>18949.319023967317</v>
      </c>
      <c r="BD93">
        <v>11.368124089509887</v>
      </c>
      <c r="BE93">
        <v>20148.863136247324</v>
      </c>
      <c r="BF93">
        <v>8.3711931474719314</v>
      </c>
      <c r="BG93">
        <v>14837.10273457925</v>
      </c>
      <c r="BH93">
        <v>9.4986273676404434</v>
      </c>
      <c r="BI93">
        <v>16835.367146405919</v>
      </c>
      <c r="BJ93">
        <v>7.3498040604339074</v>
      </c>
      <c r="BK93">
        <v>13026.792716713057</v>
      </c>
      <c r="BL93">
        <v>9.517815427232005</v>
      </c>
      <c r="BM93">
        <v>16869.376063226005</v>
      </c>
      <c r="BN93">
        <v>11.55562789871686</v>
      </c>
      <c r="BO93">
        <v>20481.19488768576</v>
      </c>
      <c r="BP93">
        <v>12.658711891023694</v>
      </c>
      <c r="BQ93">
        <v>22436.300955650393</v>
      </c>
      <c r="BR93">
        <v>13.720843230571388</v>
      </c>
      <c r="BS93">
        <v>24318.822541864727</v>
      </c>
      <c r="BT93">
        <v>8.6098173137038874</v>
      </c>
      <c r="BU93">
        <v>15260.04020680877</v>
      </c>
      <c r="BV93">
        <v>9.5544706627165468</v>
      </c>
      <c r="BW93">
        <v>16934.343802598807</v>
      </c>
      <c r="BX93">
        <v>12.610124987589055</v>
      </c>
      <c r="BY93">
        <v>22350.185528002839</v>
      </c>
      <c r="BZ93">
        <v>7.4567492757373595</v>
      </c>
      <c r="CA93">
        <v>13216.342416316895</v>
      </c>
      <c r="CB93">
        <v>10.506260223610301</v>
      </c>
      <c r="CC93">
        <v>18621.295620326895</v>
      </c>
      <c r="CD93">
        <v>7.5510262269226898</v>
      </c>
      <c r="CE93">
        <v>13383.438884597774</v>
      </c>
      <c r="CF93">
        <v>12.6130206505954</v>
      </c>
      <c r="CG93">
        <v>22355.317801115285</v>
      </c>
      <c r="CH93">
        <v>10.533494779143641</v>
      </c>
      <c r="CI93">
        <v>18669.566146554189</v>
      </c>
      <c r="CJ93">
        <v>12.366190385042868</v>
      </c>
      <c r="CK93">
        <v>21917.835838449977</v>
      </c>
      <c r="CL93">
        <v>8.5170640106257842</v>
      </c>
      <c r="CM93">
        <v>15095.64425243314</v>
      </c>
      <c r="CN93">
        <v>7.531918491264765</v>
      </c>
      <c r="CO93">
        <v>13349.572333917669</v>
      </c>
      <c r="CP93">
        <v>14.598934091020791</v>
      </c>
      <c r="CQ93">
        <v>25875.150782925248</v>
      </c>
      <c r="CR93">
        <v>9.0978535720390603</v>
      </c>
      <c r="CS93">
        <v>16125.035671082029</v>
      </c>
      <c r="CT93">
        <v>7.864943746795757</v>
      </c>
      <c r="CU93">
        <v>13939.826296820798</v>
      </c>
    </row>
    <row r="94" spans="2:99" x14ac:dyDescent="0.2">
      <c r="C94" s="119" t="s">
        <v>260</v>
      </c>
      <c r="D94">
        <v>11.351272164926732</v>
      </c>
      <c r="E94">
        <v>27188.567089432505</v>
      </c>
      <c r="F94">
        <v>10.263085200786772</v>
      </c>
      <c r="G94">
        <v>24582.141672924474</v>
      </c>
      <c r="H94">
        <v>7</v>
      </c>
      <c r="I94">
        <v>16766.399999999998</v>
      </c>
      <c r="J94">
        <v>7</v>
      </c>
      <c r="K94">
        <v>16766.399999999998</v>
      </c>
      <c r="L94">
        <v>10.598725049177572</v>
      </c>
      <c r="M94">
        <v>25386.066237790121</v>
      </c>
      <c r="N94">
        <v>7.3686087929786801</v>
      </c>
      <c r="O94">
        <v>17649.291780942534</v>
      </c>
      <c r="P94">
        <v>9.2781898881745164</v>
      </c>
      <c r="Q94">
        <v>22223.120420155599</v>
      </c>
      <c r="R94">
        <v>9.3658349460362835</v>
      </c>
      <c r="S94">
        <v>22433.047862746105</v>
      </c>
      <c r="T94">
        <v>10.487939506378213</v>
      </c>
      <c r="U94">
        <v>25120.712705677095</v>
      </c>
      <c r="V94">
        <v>11.48263433324817</v>
      </c>
      <c r="W94">
        <v>27503.205754996012</v>
      </c>
      <c r="X94">
        <v>10.347718573133267</v>
      </c>
      <c r="Y94">
        <v>24784.855526368799</v>
      </c>
      <c r="Z94">
        <v>10.518809177701694</v>
      </c>
      <c r="AA94">
        <v>25194.651742431095</v>
      </c>
      <c r="AB94">
        <v>6.541322728154241</v>
      </c>
      <c r="AC94">
        <v>15667.776198475036</v>
      </c>
      <c r="AD94">
        <v>9.4575937406917916</v>
      </c>
      <c r="AE94">
        <v>22652.828527704976</v>
      </c>
      <c r="AF94">
        <v>10.360353813110446</v>
      </c>
      <c r="AG94">
        <v>24815.11945316214</v>
      </c>
      <c r="AH94">
        <v>6.3927764934854974</v>
      </c>
      <c r="AI94">
        <v>15311.978257196462</v>
      </c>
      <c r="AJ94">
        <v>11.402118683249469</v>
      </c>
      <c r="AK94">
        <v>27310.354670119126</v>
      </c>
      <c r="AL94">
        <v>8</v>
      </c>
      <c r="AM94">
        <v>19161.599999999999</v>
      </c>
      <c r="AN94">
        <v>11.685822235126539</v>
      </c>
      <c r="AO94">
        <v>27989.881417575085</v>
      </c>
      <c r="AP94">
        <v>10.336921554489367</v>
      </c>
      <c r="AQ94">
        <v>24758.994507312927</v>
      </c>
      <c r="AR94">
        <v>10.489369499599199</v>
      </c>
      <c r="AS94">
        <v>25124.137825440001</v>
      </c>
      <c r="AT94">
        <v>9.3612527740429758</v>
      </c>
      <c r="AU94">
        <v>22422.072644387736</v>
      </c>
      <c r="AV94">
        <v>8.5538564290203531</v>
      </c>
      <c r="AW94">
        <v>20488.196918789548</v>
      </c>
      <c r="AX94">
        <v>11.510157579113642</v>
      </c>
      <c r="AY94">
        <v>27569.129433492992</v>
      </c>
      <c r="AZ94">
        <v>7</v>
      </c>
      <c r="BA94">
        <v>16766.399999999998</v>
      </c>
      <c r="BB94">
        <v>10.650666573190129</v>
      </c>
      <c r="BC94">
        <v>25510.476576104997</v>
      </c>
      <c r="BD94">
        <v>11.398801096969043</v>
      </c>
      <c r="BE94">
        <v>27302.408387460251</v>
      </c>
      <c r="BF94">
        <v>8.3181655549759412</v>
      </c>
      <c r="BG94">
        <v>19923.670137278372</v>
      </c>
      <c r="BH94">
        <v>7.5223715280042738</v>
      </c>
      <c r="BI94">
        <v>18017.584283875836</v>
      </c>
      <c r="BJ94">
        <v>7.3789543988033994</v>
      </c>
      <c r="BK94">
        <v>17674.071576013899</v>
      </c>
      <c r="BL94">
        <v>8.4905619836934783</v>
      </c>
      <c r="BM94">
        <v>20336.594063342618</v>
      </c>
      <c r="BN94">
        <v>11.502710955981922</v>
      </c>
      <c r="BO94">
        <v>27551.293281767896</v>
      </c>
      <c r="BP94">
        <v>12.553317988459902</v>
      </c>
      <c r="BQ94">
        <v>30067.707245959155</v>
      </c>
      <c r="BR94">
        <v>12.720843230571388</v>
      </c>
      <c r="BS94">
        <v>30468.963705864586</v>
      </c>
      <c r="BT94">
        <v>9.6098173137038874</v>
      </c>
      <c r="BU94">
        <v>23017.434429783549</v>
      </c>
      <c r="BV94">
        <v>8.5280672978252827</v>
      </c>
      <c r="BW94">
        <v>20426.426791751117</v>
      </c>
      <c r="BX94">
        <v>12.508437489657545</v>
      </c>
      <c r="BY94">
        <v>29960.209475227752</v>
      </c>
      <c r="BZ94">
        <v>7.4086704046071112</v>
      </c>
      <c r="CA94">
        <v>17745.247353114952</v>
      </c>
      <c r="CB94">
        <v>9.5343857915886527</v>
      </c>
      <c r="CC94">
        <v>22836.760848013138</v>
      </c>
      <c r="CD94">
        <v>6.4460688503659869</v>
      </c>
      <c r="CE94">
        <v>15439.624110396611</v>
      </c>
      <c r="CF94">
        <v>12.6130206505954</v>
      </c>
      <c r="CG94">
        <v>30210.707062306101</v>
      </c>
      <c r="CH94">
        <v>9.4707306874796835</v>
      </c>
      <c r="CI94">
        <v>22684.294142651335</v>
      </c>
      <c r="CJ94">
        <v>10.317365000370486</v>
      </c>
      <c r="CK94">
        <v>24712.152648887386</v>
      </c>
      <c r="CL94">
        <v>7.4596124538895863</v>
      </c>
      <c r="CM94">
        <v>17867.263749556336</v>
      </c>
      <c r="CN94">
        <v>7.531918491264765</v>
      </c>
      <c r="CO94">
        <v>18040.451170277363</v>
      </c>
      <c r="CP94">
        <v>12.490036983562465</v>
      </c>
      <c r="CQ94">
        <v>29916.136583028816</v>
      </c>
      <c r="CR94">
        <v>9.0732144779750659</v>
      </c>
      <c r="CS94">
        <v>21732.163317645874</v>
      </c>
      <c r="CT94">
        <v>7.041734297879656</v>
      </c>
      <c r="CU94">
        <v>16866.361990281352</v>
      </c>
    </row>
    <row r="95" spans="2:99" x14ac:dyDescent="0.2">
      <c r="B95" s="119" t="s">
        <v>132</v>
      </c>
      <c r="C95" s="119" t="s">
        <v>261</v>
      </c>
      <c r="D95">
        <v>26.421526597912077</v>
      </c>
      <c r="E95">
        <v>45783.221288862049</v>
      </c>
      <c r="F95">
        <v>17.447244841337511</v>
      </c>
      <c r="G95">
        <v>30232.585861069638</v>
      </c>
      <c r="H95">
        <v>28</v>
      </c>
      <c r="I95">
        <v>48518.400000000001</v>
      </c>
      <c r="J95">
        <v>22</v>
      </c>
      <c r="K95">
        <v>38121.599999999999</v>
      </c>
      <c r="L95">
        <v>22.94798132786449</v>
      </c>
      <c r="M95">
        <v>39764.262044923584</v>
      </c>
      <c r="N95">
        <v>21.435628573520258</v>
      </c>
      <c r="O95">
        <v>37143.657192195904</v>
      </c>
      <c r="P95">
        <v>16.333827865809422</v>
      </c>
      <c r="Q95">
        <v>28303.256925874564</v>
      </c>
      <c r="R95">
        <v>14.235179608166183</v>
      </c>
      <c r="S95">
        <v>24666.71922503036</v>
      </c>
      <c r="T95">
        <v>19.365954629783658</v>
      </c>
      <c r="U95">
        <v>33557.326182489123</v>
      </c>
      <c r="V95">
        <v>17.289580599948902</v>
      </c>
      <c r="W95">
        <v>29959.385263591455</v>
      </c>
      <c r="X95">
        <v>16.56899402876353</v>
      </c>
      <c r="Y95">
        <v>28710.752853041446</v>
      </c>
      <c r="Z95">
        <v>18.489986445607155</v>
      </c>
      <c r="AA95">
        <v>32039.448512948078</v>
      </c>
      <c r="AB95">
        <v>14.382110161050052</v>
      </c>
      <c r="AC95">
        <v>24921.320487067529</v>
      </c>
      <c r="AD95">
        <v>22.432171866208915</v>
      </c>
      <c r="AE95">
        <v>38870.467409766803</v>
      </c>
      <c r="AF95">
        <v>20.556910438443417</v>
      </c>
      <c r="AG95">
        <v>35621.01440773475</v>
      </c>
      <c r="AH95">
        <v>27.366591393919798</v>
      </c>
      <c r="AI95">
        <v>47420.829567384222</v>
      </c>
      <c r="AJ95">
        <v>16.335098902707891</v>
      </c>
      <c r="AK95">
        <v>28305.459378612231</v>
      </c>
      <c r="AL95">
        <v>19</v>
      </c>
      <c r="AM95">
        <v>32923.199999999997</v>
      </c>
      <c r="AN95">
        <v>21.68582223512654</v>
      </c>
      <c r="AO95">
        <v>37577.192769027271</v>
      </c>
      <c r="AP95">
        <v>14.362838597142396</v>
      </c>
      <c r="AQ95">
        <v>24887.926721128344</v>
      </c>
      <c r="AR95">
        <v>26.32624633306613</v>
      </c>
      <c r="AS95">
        <v>45618.119645936989</v>
      </c>
      <c r="AT95">
        <v>25.305675424190209</v>
      </c>
      <c r="AU95">
        <v>43849.67437503679</v>
      </c>
      <c r="AV95">
        <v>27.378954398803401</v>
      </c>
      <c r="AW95">
        <v>47442.252182246535</v>
      </c>
      <c r="AX95">
        <v>21.483307180212925</v>
      </c>
      <c r="AY95">
        <v>37226.274681872957</v>
      </c>
      <c r="AZ95">
        <v>22</v>
      </c>
      <c r="BA95">
        <v>38121.599999999999</v>
      </c>
      <c r="BB95">
        <v>22.731999894838896</v>
      </c>
      <c r="BC95">
        <v>39390.009417776841</v>
      </c>
      <c r="BD95">
        <v>25.460155111887357</v>
      </c>
      <c r="BE95">
        <v>44117.356777878413</v>
      </c>
      <c r="BF95">
        <v>19.397706943719928</v>
      </c>
      <c r="BG95">
        <v>33612.346592077891</v>
      </c>
      <c r="BH95">
        <v>15.356162405457459</v>
      </c>
      <c r="BI95">
        <v>26609.158216176686</v>
      </c>
      <c r="BJ95">
        <v>22.349804060433907</v>
      </c>
      <c r="BK95">
        <v>38727.740475919876</v>
      </c>
      <c r="BL95">
        <v>27.517815427232005</v>
      </c>
      <c r="BM95">
        <v>47682.87057230762</v>
      </c>
      <c r="BN95">
        <v>24.264584713674694</v>
      </c>
      <c r="BO95">
        <v>42045.672391855507</v>
      </c>
      <c r="BP95">
        <v>19.368878658973269</v>
      </c>
      <c r="BQ95">
        <v>33562.392940268881</v>
      </c>
      <c r="BR95">
        <v>14.300351346071412</v>
      </c>
      <c r="BS95">
        <v>24779.648812472544</v>
      </c>
      <c r="BT95">
        <v>19.371193147471931</v>
      </c>
      <c r="BU95">
        <v>33566.403485939365</v>
      </c>
      <c r="BV95">
        <v>15.422453838260227</v>
      </c>
      <c r="BW95">
        <v>26724.02801093732</v>
      </c>
      <c r="BX95">
        <v>25.35590624276028</v>
      </c>
      <c r="BY95">
        <v>43936.714337455014</v>
      </c>
      <c r="BZ95">
        <v>20.336552097911738</v>
      </c>
      <c r="CA95">
        <v>35239.177475261458</v>
      </c>
      <c r="CB95">
        <v>21.337506815740202</v>
      </c>
      <c r="CC95">
        <v>36973.631810314619</v>
      </c>
      <c r="CD95">
        <v>14.524786882783514</v>
      </c>
      <c r="CE95">
        <v>25168.550710487274</v>
      </c>
      <c r="CF95">
        <v>16.426449148240277</v>
      </c>
      <c r="CG95">
        <v>28463.751084070751</v>
      </c>
      <c r="CH95">
        <v>22.439348641647705</v>
      </c>
      <c r="CI95">
        <v>38882.903326247142</v>
      </c>
      <c r="CJ95">
        <v>18.317365000370486</v>
      </c>
      <c r="CK95">
        <v>31740.330072641977</v>
      </c>
      <c r="CL95">
        <v>18.430886675521485</v>
      </c>
      <c r="CM95">
        <v>31937.04043134363</v>
      </c>
      <c r="CN95">
        <v>20.483562264786151</v>
      </c>
      <c r="CO95">
        <v>35493.916692421444</v>
      </c>
      <c r="CP95">
        <v>26.299467045510397</v>
      </c>
      <c r="CQ95">
        <v>45571.716496460416</v>
      </c>
      <c r="CR95">
        <v>17.801481639054195</v>
      </c>
      <c r="CS95">
        <v>30846.40738415311</v>
      </c>
      <c r="CT95">
        <v>15.252591528516682</v>
      </c>
      <c r="CU95">
        <v>26429.690600613707</v>
      </c>
    </row>
    <row r="96" spans="2:99" x14ac:dyDescent="0.2">
      <c r="C96" s="119" t="s">
        <v>262</v>
      </c>
      <c r="D96">
        <v>31.421526597912077</v>
      </c>
      <c r="E96">
        <v>25866.200695401221</v>
      </c>
      <c r="F96">
        <v>22.447244841337511</v>
      </c>
      <c r="G96">
        <v>18478.571953389037</v>
      </c>
      <c r="H96">
        <v>35</v>
      </c>
      <c r="I96">
        <v>28811.999999999996</v>
      </c>
      <c r="J96">
        <v>23</v>
      </c>
      <c r="K96">
        <v>18933.599999999999</v>
      </c>
      <c r="L96">
        <v>27.898087573766357</v>
      </c>
      <c r="M96">
        <v>22965.705690724462</v>
      </c>
      <c r="N96">
        <v>22.402118683249469</v>
      </c>
      <c r="O96">
        <v>18441.424100050961</v>
      </c>
      <c r="P96">
        <v>17.333827865809422</v>
      </c>
      <c r="Q96">
        <v>14269.207099134315</v>
      </c>
      <c r="R96">
        <v>17.313572810888243</v>
      </c>
      <c r="S96">
        <v>14252.533137923199</v>
      </c>
      <c r="T96">
        <v>23.426947068080938</v>
      </c>
      <c r="U96">
        <v>19285.062826444228</v>
      </c>
      <c r="V96">
        <v>19.313712316611308</v>
      </c>
      <c r="W96">
        <v>15899.047979034427</v>
      </c>
      <c r="X96">
        <v>20.537383249387776</v>
      </c>
      <c r="Y96">
        <v>16906.373890896015</v>
      </c>
      <c r="Z96">
        <v>21.547631909796234</v>
      </c>
      <c r="AA96">
        <v>17738.010588144258</v>
      </c>
      <c r="AB96">
        <v>14.382110161050052</v>
      </c>
      <c r="AC96">
        <v>11839.353084576402</v>
      </c>
      <c r="AD96">
        <v>22.508437489657545</v>
      </c>
      <c r="AE96">
        <v>18528.945741486088</v>
      </c>
      <c r="AF96">
        <v>21.556910438443417</v>
      </c>
      <c r="AG96">
        <v>17745.648672926618</v>
      </c>
      <c r="AH96">
        <v>26.366591393919798</v>
      </c>
      <c r="AI96">
        <v>21704.978035474775</v>
      </c>
      <c r="AJ96">
        <v>19.335098902707891</v>
      </c>
      <c r="AK96">
        <v>15916.653416709134</v>
      </c>
      <c r="AL96">
        <v>21</v>
      </c>
      <c r="AM96">
        <v>17287.199999999997</v>
      </c>
      <c r="AN96">
        <v>23.640100752784768</v>
      </c>
      <c r="AO96">
        <v>19460.53093969242</v>
      </c>
      <c r="AP96">
        <v>15.362838597142396</v>
      </c>
      <c r="AQ96">
        <v>12646.688733167619</v>
      </c>
      <c r="AR96">
        <v>30.372852952075579</v>
      </c>
      <c r="AS96">
        <v>25002.932550148616</v>
      </c>
      <c r="AT96">
        <v>27.333464099116593</v>
      </c>
      <c r="AU96">
        <v>22500.907646392778</v>
      </c>
      <c r="AV96">
        <v>26.378954398803401</v>
      </c>
      <c r="AW96">
        <v>21715.155261094958</v>
      </c>
      <c r="AX96">
        <v>21.456456781312205</v>
      </c>
      <c r="AY96">
        <v>17662.955222376208</v>
      </c>
      <c r="AZ96">
        <v>28</v>
      </c>
      <c r="BA96">
        <v>23049.599999999999</v>
      </c>
      <c r="BB96">
        <v>25.772666555663278</v>
      </c>
      <c r="BC96">
        <v>21216.059108622008</v>
      </c>
      <c r="BD96">
        <v>27.460155111887357</v>
      </c>
      <c r="BE96">
        <v>22605.199688105669</v>
      </c>
      <c r="BF96">
        <v>21.450734536215919</v>
      </c>
      <c r="BG96">
        <v>17658.244670212942</v>
      </c>
      <c r="BH96">
        <v>14.356162405457459</v>
      </c>
      <c r="BI96">
        <v>11817.992892172579</v>
      </c>
      <c r="BJ96">
        <v>27.320653722064414</v>
      </c>
      <c r="BK96">
        <v>22490.362144003422</v>
      </c>
      <c r="BL96">
        <v>26.517815427232005</v>
      </c>
      <c r="BM96">
        <v>21829.465659697384</v>
      </c>
      <c r="BN96">
        <v>26.264584713674694</v>
      </c>
      <c r="BO96">
        <v>21621.006136297005</v>
      </c>
      <c r="BP96">
        <v>24.368878658973269</v>
      </c>
      <c r="BQ96">
        <v>20060.460912066792</v>
      </c>
      <c r="BR96">
        <v>17.300351346071412</v>
      </c>
      <c r="BS96">
        <v>14241.649228085986</v>
      </c>
      <c r="BT96">
        <v>19.397706943719928</v>
      </c>
      <c r="BU96">
        <v>15968.192356070243</v>
      </c>
      <c r="BV96">
        <v>15.475260568042755</v>
      </c>
      <c r="BW96">
        <v>12739.234499612794</v>
      </c>
      <c r="BX96">
        <v>27.457593740691792</v>
      </c>
      <c r="BY96">
        <v>22603.091167337479</v>
      </c>
      <c r="BZ96">
        <v>19.336552097911738</v>
      </c>
      <c r="CA96">
        <v>15917.849687000942</v>
      </c>
      <c r="CB96">
        <v>23.421883519675252</v>
      </c>
      <c r="CC96">
        <v>19280.894513396666</v>
      </c>
      <c r="CD96">
        <v>16.577265571061865</v>
      </c>
      <c r="CE96">
        <v>13646.405018098127</v>
      </c>
      <c r="CF96">
        <v>20.506408363535332</v>
      </c>
      <c r="CG96">
        <v>16880.875364862284</v>
      </c>
      <c r="CH96">
        <v>26.56487682497562</v>
      </c>
      <c r="CI96">
        <v>21868.20660231993</v>
      </c>
      <c r="CJ96">
        <v>20.366190385042866</v>
      </c>
      <c r="CK96">
        <v>16765.447924967288</v>
      </c>
      <c r="CL96">
        <v>18.430886675521485</v>
      </c>
      <c r="CM96">
        <v>15172.305911289286</v>
      </c>
      <c r="CN96">
        <v>21.556096604504074</v>
      </c>
      <c r="CO96">
        <v>17744.978724827753</v>
      </c>
      <c r="CP96">
        <v>27.299467045510397</v>
      </c>
      <c r="CQ96">
        <v>22472.921271864157</v>
      </c>
      <c r="CR96">
        <v>18.815091935287864</v>
      </c>
      <c r="CS96">
        <v>15488.583681128968</v>
      </c>
      <c r="CT96">
        <v>16.770507666521045</v>
      </c>
      <c r="CU96">
        <v>13805.481911080124</v>
      </c>
    </row>
    <row r="97" spans="2:99" x14ac:dyDescent="0.2">
      <c r="C97" s="119" t="s">
        <v>263</v>
      </c>
      <c r="D97">
        <v>30.421526597912077</v>
      </c>
      <c r="E97">
        <v>55634.887842261604</v>
      </c>
      <c r="F97">
        <v>20.447244841337511</v>
      </c>
      <c r="G97">
        <v>37393.921365838039</v>
      </c>
      <c r="H97">
        <v>28</v>
      </c>
      <c r="I97">
        <v>51206.400000000001</v>
      </c>
      <c r="J97">
        <v>20</v>
      </c>
      <c r="K97">
        <v>36576</v>
      </c>
      <c r="L97">
        <v>22.848193819668225</v>
      </c>
      <c r="M97">
        <v>41784.776857409248</v>
      </c>
      <c r="N97">
        <v>21.402118683249469</v>
      </c>
      <c r="O97">
        <v>39140.194647926626</v>
      </c>
      <c r="P97">
        <v>18.306008876991967</v>
      </c>
      <c r="Q97">
        <v>33478.029034242907</v>
      </c>
      <c r="R97">
        <v>16.287441743314222</v>
      </c>
      <c r="S97">
        <v>29786.473460173049</v>
      </c>
      <c r="T97">
        <v>22.304962191486382</v>
      </c>
      <c r="U97">
        <v>40791.314855790297</v>
      </c>
      <c r="V97">
        <v>16.265448883286492</v>
      </c>
      <c r="W97">
        <v>29746.252917754337</v>
      </c>
      <c r="X97">
        <v>17.474161690636276</v>
      </c>
      <c r="Y97">
        <v>31956.74689983562</v>
      </c>
      <c r="Z97">
        <v>18.518809177701694</v>
      </c>
      <c r="AA97">
        <v>33867.198224180858</v>
      </c>
      <c r="AB97">
        <v>15.382110161050052</v>
      </c>
      <c r="AC97">
        <v>28130.803062528335</v>
      </c>
      <c r="AD97">
        <v>19.406749991726038</v>
      </c>
      <c r="AE97">
        <v>35491.06438486858</v>
      </c>
      <c r="AF97">
        <v>20.491391563332428</v>
      </c>
      <c r="AG97">
        <v>37474.656891022343</v>
      </c>
      <c r="AH97">
        <v>22.314221194788399</v>
      </c>
      <c r="AI97">
        <v>40808.247721029024</v>
      </c>
      <c r="AJ97">
        <v>17.335098902707891</v>
      </c>
      <c r="AK97">
        <v>31702.428873272191</v>
      </c>
      <c r="AL97">
        <v>17</v>
      </c>
      <c r="AM97">
        <v>31089.599999999999</v>
      </c>
      <c r="AN97">
        <v>21.640100752784768</v>
      </c>
      <c r="AO97">
        <v>39575.416256692784</v>
      </c>
      <c r="AP97">
        <v>14.362838597142396</v>
      </c>
      <c r="AQ97">
        <v>26266.759226454014</v>
      </c>
      <c r="AR97">
        <v>23.302943023561408</v>
      </c>
      <c r="AS97">
        <v>42616.422201489098</v>
      </c>
      <c r="AT97">
        <v>22.277886749263828</v>
      </c>
      <c r="AU97">
        <v>40741.799287053691</v>
      </c>
      <c r="AV97">
        <v>25.378954398803401</v>
      </c>
      <c r="AW97">
        <v>46413.03180453166</v>
      </c>
      <c r="AX97">
        <v>22.429606382411489</v>
      </c>
      <c r="AY97">
        <v>41019.26415215413</v>
      </c>
      <c r="AZ97">
        <v>25</v>
      </c>
      <c r="BA97">
        <v>45720</v>
      </c>
      <c r="BB97">
        <v>24.691333234014511</v>
      </c>
      <c r="BC97">
        <v>45155.510218365736</v>
      </c>
      <c r="BD97">
        <v>24.429478104428203</v>
      </c>
      <c r="BE97">
        <v>44676.629557378299</v>
      </c>
      <c r="BF97">
        <v>18.450734536215919</v>
      </c>
      <c r="BG97">
        <v>33742.703319831671</v>
      </c>
      <c r="BH97">
        <v>15.308674084729798</v>
      </c>
      <c r="BI97">
        <v>27996.503166153856</v>
      </c>
      <c r="BJ97">
        <v>21.291503383694923</v>
      </c>
      <c r="BK97">
        <v>38937.901388101272</v>
      </c>
      <c r="BL97">
        <v>23.463308540154951</v>
      </c>
      <c r="BM97">
        <v>42909.698658235371</v>
      </c>
      <c r="BN97">
        <v>25.264584713674694</v>
      </c>
      <c r="BO97">
        <v>46203.872524368278</v>
      </c>
      <c r="BP97">
        <v>18.395227134614217</v>
      </c>
      <c r="BQ97">
        <v>33641.191383782476</v>
      </c>
      <c r="BR97">
        <v>15.300351346071412</v>
      </c>
      <c r="BS97">
        <v>27981.2825416954</v>
      </c>
      <c r="BT97">
        <v>16.371193147471931</v>
      </c>
      <c r="BU97">
        <v>29939.638028096666</v>
      </c>
      <c r="BV97">
        <v>12.422453838260227</v>
      </c>
      <c r="BW97">
        <v>22718.183579410303</v>
      </c>
      <c r="BX97">
        <v>24.406749991726038</v>
      </c>
      <c r="BY97">
        <v>44635.06438486858</v>
      </c>
      <c r="BZ97">
        <v>20.336552097911738</v>
      </c>
      <c r="CA97">
        <v>37191.48647666099</v>
      </c>
      <c r="CB97">
        <v>24.365632383718552</v>
      </c>
      <c r="CC97">
        <v>44559.868503344485</v>
      </c>
      <c r="CD97">
        <v>15.472308194505162</v>
      </c>
      <c r="CE97">
        <v>28295.75722611104</v>
      </c>
      <c r="CF97">
        <v>15.453102220005295</v>
      </c>
      <c r="CG97">
        <v>28260.633339945682</v>
      </c>
      <c r="CH97">
        <v>24.470730687479683</v>
      </c>
      <c r="CI97">
        <v>44752.072281262845</v>
      </c>
      <c r="CJ97">
        <v>18.341777692706678</v>
      </c>
      <c r="CK97">
        <v>33543.443044421969</v>
      </c>
      <c r="CL97">
        <v>18.488338232257686</v>
      </c>
      <c r="CM97">
        <v>33811.472959152852</v>
      </c>
      <c r="CN97">
        <v>20.483562264786151</v>
      </c>
      <c r="CO97">
        <v>37460.338669840916</v>
      </c>
      <c r="CP97">
        <v>25.272242768645814</v>
      </c>
      <c r="CQ97">
        <v>46217.877575299462</v>
      </c>
      <c r="CR97">
        <v>17.801481639054195</v>
      </c>
      <c r="CS97">
        <v>32555.349621502311</v>
      </c>
      <c r="CT97">
        <v>15.252591528516682</v>
      </c>
      <c r="CU97">
        <v>27893.939387351307</v>
      </c>
    </row>
    <row r="98" spans="2:99" x14ac:dyDescent="0.2">
      <c r="C98" s="119" t="s">
        <v>264</v>
      </c>
      <c r="D98">
        <v>29.386399381419405</v>
      </c>
      <c r="E98">
        <v>37132.654258361559</v>
      </c>
      <c r="F98">
        <v>22.499861881494866</v>
      </c>
      <c r="G98">
        <v>28430.825473456909</v>
      </c>
      <c r="H98">
        <v>33</v>
      </c>
      <c r="I98">
        <v>41698.799999999996</v>
      </c>
      <c r="J98">
        <v>21</v>
      </c>
      <c r="K98">
        <v>26535.599999999999</v>
      </c>
      <c r="L98">
        <v>25.898087573766357</v>
      </c>
      <c r="M98">
        <v>32724.823458211165</v>
      </c>
      <c r="N98">
        <v>19.402118683249469</v>
      </c>
      <c r="O98">
        <v>24516.517168154027</v>
      </c>
      <c r="P98">
        <v>18.306008876991967</v>
      </c>
      <c r="Q98">
        <v>23131.472816967049</v>
      </c>
      <c r="R98">
        <v>15.287441743314222</v>
      </c>
      <c r="S98">
        <v>19317.21138685185</v>
      </c>
      <c r="T98">
        <v>23.396450848932297</v>
      </c>
      <c r="U98">
        <v>29563.755292710848</v>
      </c>
      <c r="V98">
        <v>16.289580599948902</v>
      </c>
      <c r="W98">
        <v>20583.514046095432</v>
      </c>
      <c r="X98">
        <v>20.537383249387776</v>
      </c>
      <c r="Y98">
        <v>25951.037473926393</v>
      </c>
      <c r="Z98">
        <v>21.547631909796234</v>
      </c>
      <c r="AA98">
        <v>27227.58768121852</v>
      </c>
      <c r="AB98">
        <v>15.41395267447089</v>
      </c>
      <c r="AC98">
        <v>19477.070599461415</v>
      </c>
      <c r="AD98">
        <v>23.483015615174669</v>
      </c>
      <c r="AE98">
        <v>29673.138531334709</v>
      </c>
      <c r="AF98">
        <v>19.524151000887922</v>
      </c>
      <c r="AG98">
        <v>24670.717204721976</v>
      </c>
      <c r="AH98">
        <v>27.314221194788399</v>
      </c>
      <c r="AI98">
        <v>34514.24990173462</v>
      </c>
      <c r="AJ98">
        <v>17.36860879297868</v>
      </c>
      <c r="AK98">
        <v>21946.974070807857</v>
      </c>
      <c r="AL98">
        <v>17</v>
      </c>
      <c r="AM98">
        <v>21481.199999999997</v>
      </c>
      <c r="AN98">
        <v>21.731543717468309</v>
      </c>
      <c r="AO98">
        <v>27459.978641392954</v>
      </c>
      <c r="AP98">
        <v>16.362838597142396</v>
      </c>
      <c r="AQ98">
        <v>20676.082851349129</v>
      </c>
      <c r="AR98">
        <v>25.349549642570857</v>
      </c>
      <c r="AS98">
        <v>32031.690928352531</v>
      </c>
      <c r="AT98">
        <v>26.333464099116593</v>
      </c>
      <c r="AU98">
        <v>33274.965235643722</v>
      </c>
      <c r="AV98">
        <v>27.408104737172891</v>
      </c>
      <c r="AW98">
        <v>34632.881145891661</v>
      </c>
      <c r="AX98">
        <v>20.510157579113642</v>
      </c>
      <c r="AY98">
        <v>25916.635116967995</v>
      </c>
      <c r="AZ98">
        <v>23</v>
      </c>
      <c r="BA98">
        <v>29062.799999999999</v>
      </c>
      <c r="BB98">
        <v>25.81333321648766</v>
      </c>
      <c r="BC98">
        <v>32617.727852353804</v>
      </c>
      <c r="BD98">
        <v>26.429478104428203</v>
      </c>
      <c r="BE98">
        <v>33396.288532755476</v>
      </c>
      <c r="BF98">
        <v>17.424220739967922</v>
      </c>
      <c r="BG98">
        <v>22017.245327023466</v>
      </c>
      <c r="BH98">
        <v>15.308674084729798</v>
      </c>
      <c r="BI98">
        <v>19344.040573464572</v>
      </c>
      <c r="BJ98">
        <v>22.349804060433907</v>
      </c>
      <c r="BK98">
        <v>28241.212410764285</v>
      </c>
      <c r="BL98">
        <v>26.572322314309059</v>
      </c>
      <c r="BM98">
        <v>33576.786476360925</v>
      </c>
      <c r="BN98">
        <v>25.291043185042163</v>
      </c>
      <c r="BO98">
        <v>31957.762168619276</v>
      </c>
      <c r="BP98">
        <v>21.395227134614217</v>
      </c>
      <c r="BQ98">
        <v>27035.009007298522</v>
      </c>
      <c r="BR98">
        <v>14.300351346071412</v>
      </c>
      <c r="BS98">
        <v>18069.923960895834</v>
      </c>
      <c r="BT98">
        <v>19.397706943719928</v>
      </c>
      <c r="BU98">
        <v>24510.942494084498</v>
      </c>
      <c r="BV98">
        <v>14.475260568042755</v>
      </c>
      <c r="BW98">
        <v>18290.939253778823</v>
      </c>
      <c r="BX98">
        <v>26.432171866208915</v>
      </c>
      <c r="BY98">
        <v>33399.69237014158</v>
      </c>
      <c r="BZ98">
        <v>20.288473226781491</v>
      </c>
      <c r="CA98">
        <v>25636.514769361089</v>
      </c>
      <c r="CB98">
        <v>25.337506815740202</v>
      </c>
      <c r="CC98">
        <v>32016.473612369318</v>
      </c>
      <c r="CD98">
        <v>15.551026226922689</v>
      </c>
      <c r="CE98">
        <v>19650.276740339508</v>
      </c>
      <c r="CF98">
        <v>16.506408363535332</v>
      </c>
      <c r="CG98">
        <v>20857.497608163245</v>
      </c>
      <c r="CH98">
        <v>21.439348641647705</v>
      </c>
      <c r="CI98">
        <v>27090.760943586036</v>
      </c>
      <c r="CJ98">
        <v>19.366190385042866</v>
      </c>
      <c r="CK98">
        <v>24471.118170540165</v>
      </c>
      <c r="CL98">
        <v>18.517064010625784</v>
      </c>
      <c r="CM98">
        <v>23398.162083826741</v>
      </c>
      <c r="CN98">
        <v>22.483562264786151</v>
      </c>
      <c r="CO98">
        <v>28410.229277783779</v>
      </c>
      <c r="CP98">
        <v>29.272242768645814</v>
      </c>
      <c r="CQ98">
        <v>36988.405962460849</v>
      </c>
      <c r="CR98">
        <v>18.790452841223871</v>
      </c>
      <c r="CS98">
        <v>23743.616210170483</v>
      </c>
      <c r="CT98">
        <v>13.753032927630583</v>
      </c>
      <c r="CU98">
        <v>17378.332407354002</v>
      </c>
    </row>
    <row r="99" spans="2:99" x14ac:dyDescent="0.2">
      <c r="C99" s="119" t="s">
        <v>265</v>
      </c>
      <c r="D99">
        <v>19.316144948434058</v>
      </c>
      <c r="E99">
        <v>105883.38014933612</v>
      </c>
      <c r="F99">
        <v>14.342010761022804</v>
      </c>
      <c r="G99">
        <v>78617.166187622599</v>
      </c>
      <c r="H99">
        <v>22</v>
      </c>
      <c r="I99">
        <v>120595.19999999998</v>
      </c>
      <c r="J99">
        <v>13</v>
      </c>
      <c r="K99">
        <v>71260.799999999988</v>
      </c>
      <c r="L99">
        <v>18.748406311471964</v>
      </c>
      <c r="M99">
        <v>102771.26403696471</v>
      </c>
      <c r="N99">
        <v>15.335098902707891</v>
      </c>
      <c r="O99">
        <v>84060.878145083567</v>
      </c>
      <c r="P99">
        <v>13.250370899357065</v>
      </c>
      <c r="Q99">
        <v>72633.233121915677</v>
      </c>
      <c r="R99">
        <v>12.182917473018142</v>
      </c>
      <c r="S99">
        <v>66781.880420096233</v>
      </c>
      <c r="T99">
        <v>16.274465972337744</v>
      </c>
      <c r="U99">
        <v>89210.112673966563</v>
      </c>
      <c r="V99">
        <v>12.193053733299267</v>
      </c>
      <c r="W99">
        <v>66837.443344453262</v>
      </c>
      <c r="X99">
        <v>12.410940131884772</v>
      </c>
      <c r="Y99">
        <v>68031.809426939551</v>
      </c>
      <c r="Z99">
        <v>14.345872785134464</v>
      </c>
      <c r="AA99">
        <v>78638.336258993077</v>
      </c>
      <c r="AB99">
        <v>10.28658262078754</v>
      </c>
      <c r="AC99">
        <v>56386.931294108974</v>
      </c>
      <c r="AD99">
        <v>15.305062493794527</v>
      </c>
      <c r="AE99">
        <v>83896.230565984064</v>
      </c>
      <c r="AF99">
        <v>15.393113250665941</v>
      </c>
      <c r="AG99">
        <v>84378.889594850407</v>
      </c>
      <c r="AH99">
        <v>19.235665896091298</v>
      </c>
      <c r="AI99">
        <v>105442.22617601405</v>
      </c>
      <c r="AJ99">
        <v>12.234569231895524</v>
      </c>
      <c r="AK99">
        <v>67065.014701558495</v>
      </c>
      <c r="AL99">
        <v>12</v>
      </c>
      <c r="AM99">
        <v>65779.199999999997</v>
      </c>
      <c r="AN99">
        <v>15.502936305759462</v>
      </c>
      <c r="AO99">
        <v>84980.895653651067</v>
      </c>
      <c r="AP99">
        <v>11.233253383877255</v>
      </c>
      <c r="AQ99">
        <v>61576.201749061554</v>
      </c>
      <c r="AR99">
        <v>17.233033095047237</v>
      </c>
      <c r="AS99">
        <v>94464.594213810924</v>
      </c>
      <c r="AT99">
        <v>17.250098074337444</v>
      </c>
      <c r="AU99">
        <v>94558.137604288131</v>
      </c>
      <c r="AV99">
        <v>16.291503383694923</v>
      </c>
      <c r="AW99">
        <v>89303.50494806208</v>
      </c>
      <c r="AX99">
        <v>13.322204786808616</v>
      </c>
      <c r="AY99">
        <v>73026.997759370104</v>
      </c>
      <c r="AZ99">
        <v>17</v>
      </c>
      <c r="BA99">
        <v>93187.199999999997</v>
      </c>
      <c r="BB99">
        <v>14.609999912365746</v>
      </c>
      <c r="BC99">
        <v>80086.17551962407</v>
      </c>
      <c r="BD99">
        <v>18.33744708205073</v>
      </c>
      <c r="BE99">
        <v>100518.54992496927</v>
      </c>
      <c r="BF99">
        <v>12.318165554975941</v>
      </c>
      <c r="BG99">
        <v>67523.256306156109</v>
      </c>
      <c r="BH99">
        <v>9.2611857640021373</v>
      </c>
      <c r="BI99">
        <v>50766.115883954109</v>
      </c>
      <c r="BJ99">
        <v>17.26235304532543</v>
      </c>
      <c r="BK99">
        <v>94625.314453255865</v>
      </c>
      <c r="BL99">
        <v>17.354294766000844</v>
      </c>
      <c r="BM99">
        <v>95129.302189310212</v>
      </c>
      <c r="BN99">
        <v>17.211667770939755</v>
      </c>
      <c r="BO99">
        <v>94347.478053183353</v>
      </c>
      <c r="BP99">
        <v>14.289833232050425</v>
      </c>
      <c r="BQ99">
        <v>78331.149844807602</v>
      </c>
      <c r="BR99">
        <v>11.210245942249989</v>
      </c>
      <c r="BS99">
        <v>61450.084157037534</v>
      </c>
      <c r="BT99">
        <v>13.265137962479951</v>
      </c>
      <c r="BU99">
        <v>72714.180255130093</v>
      </c>
      <c r="BV99">
        <v>9.3432437435864344</v>
      </c>
      <c r="BW99">
        <v>51215.924904843392</v>
      </c>
      <c r="BX99">
        <v>17.27964061931165</v>
      </c>
      <c r="BY99">
        <v>94720.078018818735</v>
      </c>
      <c r="BZ99">
        <v>12.240394355651242</v>
      </c>
      <c r="CA99">
        <v>67096.945699937845</v>
      </c>
      <c r="CB99">
        <v>16.281255679783502</v>
      </c>
      <c r="CC99">
        <v>89247.331134301232</v>
      </c>
      <c r="CD99">
        <v>12.341111473809285</v>
      </c>
      <c r="CE99">
        <v>67649.036654832962</v>
      </c>
      <c r="CF99">
        <v>12.319836861180208</v>
      </c>
      <c r="CG99">
        <v>67532.417738245422</v>
      </c>
      <c r="CH99">
        <v>15.376584549983747</v>
      </c>
      <c r="CI99">
        <v>84288.285869190891</v>
      </c>
      <c r="CJ99">
        <v>13.244126923361913</v>
      </c>
      <c r="CK99">
        <v>72599.006143100647</v>
      </c>
      <c r="CL99">
        <v>13.315983562049091</v>
      </c>
      <c r="CM99">
        <v>72992.895493728283</v>
      </c>
      <c r="CN99">
        <v>13.338493585350305</v>
      </c>
      <c r="CO99">
        <v>73116.28643745622</v>
      </c>
      <c r="CP99">
        <v>18.217794214916651</v>
      </c>
      <c r="CQ99">
        <v>99862.660768487112</v>
      </c>
      <c r="CR99">
        <v>12.881264722269801</v>
      </c>
      <c r="CS99">
        <v>70609.94070159414</v>
      </c>
      <c r="CT99">
        <v>9.9307062769422814</v>
      </c>
      <c r="CU99">
        <v>54436.159527686803</v>
      </c>
    </row>
    <row r="100" spans="2:99" x14ac:dyDescent="0.2">
      <c r="C100" s="119" t="s">
        <v>266</v>
      </c>
      <c r="D100">
        <v>29.456653814404753</v>
      </c>
      <c r="E100">
        <v>47790.475148490266</v>
      </c>
      <c r="F100">
        <v>20.420936321258836</v>
      </c>
      <c r="G100">
        <v>33130.927087610333</v>
      </c>
      <c r="H100">
        <v>32</v>
      </c>
      <c r="I100">
        <v>51916.799999999996</v>
      </c>
      <c r="J100">
        <v>22</v>
      </c>
      <c r="K100">
        <v>35692.799999999996</v>
      </c>
      <c r="L100">
        <v>26.94798132786449</v>
      </c>
      <c r="M100">
        <v>43720.404906327341</v>
      </c>
      <c r="N100">
        <v>18.402118683249469</v>
      </c>
      <c r="O100">
        <v>29855.597351703935</v>
      </c>
      <c r="P100">
        <v>18.306008876991967</v>
      </c>
      <c r="Q100">
        <v>29699.668802031767</v>
      </c>
      <c r="R100">
        <v>15.287441743314222</v>
      </c>
      <c r="S100">
        <v>24802.345484352991</v>
      </c>
      <c r="T100">
        <v>21.365954629783658</v>
      </c>
      <c r="U100">
        <v>34664.124791361006</v>
      </c>
      <c r="V100">
        <v>15.289580599948902</v>
      </c>
      <c r="W100">
        <v>24805.815565357098</v>
      </c>
      <c r="X100">
        <v>17.537383249387776</v>
      </c>
      <c r="Y100">
        <v>28452.650583806728</v>
      </c>
      <c r="Z100">
        <v>19.518809177701694</v>
      </c>
      <c r="AA100">
        <v>31667.316009903225</v>
      </c>
      <c r="AB100">
        <v>13.382110161050052</v>
      </c>
      <c r="AC100">
        <v>21711.135525287602</v>
      </c>
      <c r="AD100">
        <v>21.432171866208915</v>
      </c>
      <c r="AE100">
        <v>34771.555635737343</v>
      </c>
      <c r="AF100">
        <v>21.524151000887922</v>
      </c>
      <c r="AG100">
        <v>34920.782583840562</v>
      </c>
      <c r="AH100">
        <v>23.366591393919798</v>
      </c>
      <c r="AI100">
        <v>37909.957877495479</v>
      </c>
      <c r="AJ100">
        <v>17.335098902707891</v>
      </c>
      <c r="AK100">
        <v>28124.464459753279</v>
      </c>
      <c r="AL100">
        <v>20</v>
      </c>
      <c r="AM100">
        <v>32447.999999999996</v>
      </c>
      <c r="AN100">
        <v>22.640100752784768</v>
      </c>
      <c r="AO100">
        <v>36731.299461318005</v>
      </c>
      <c r="AP100">
        <v>14.336921554489367</v>
      </c>
      <c r="AQ100">
        <v>23260.221530003546</v>
      </c>
      <c r="AR100">
        <v>24.302943023561408</v>
      </c>
      <c r="AS100">
        <v>39429.094761426022</v>
      </c>
      <c r="AT100">
        <v>24.277886749263828</v>
      </c>
      <c r="AU100">
        <v>39388.443462005635</v>
      </c>
      <c r="AV100">
        <v>24.349804060433907</v>
      </c>
      <c r="AW100">
        <v>39505.122107647971</v>
      </c>
      <c r="AX100">
        <v>20.483307180212925</v>
      </c>
      <c r="AY100">
        <v>33232.117569177448</v>
      </c>
      <c r="AZ100">
        <v>25</v>
      </c>
      <c r="BA100">
        <v>40560</v>
      </c>
      <c r="BB100">
        <v>25.81333321648766</v>
      </c>
      <c r="BC100">
        <v>41879.551810429577</v>
      </c>
      <c r="BD100">
        <v>27.429478104428203</v>
      </c>
      <c r="BE100">
        <v>44501.585276624312</v>
      </c>
      <c r="BF100">
        <v>20.450734536215919</v>
      </c>
      <c r="BG100">
        <v>33179.271711556707</v>
      </c>
      <c r="BH100">
        <v>14.308674084729798</v>
      </c>
      <c r="BI100">
        <v>23214.392835065624</v>
      </c>
      <c r="BJ100">
        <v>22.320653722064414</v>
      </c>
      <c r="BK100">
        <v>36213.028598677301</v>
      </c>
      <c r="BL100">
        <v>27.490561983693478</v>
      </c>
      <c r="BM100">
        <v>44600.687762344292</v>
      </c>
      <c r="BN100">
        <v>25.264584713674694</v>
      </c>
      <c r="BO100">
        <v>40989.262239465817</v>
      </c>
      <c r="BP100">
        <v>21.368878658973269</v>
      </c>
      <c r="BQ100">
        <v>34668.868736318233</v>
      </c>
      <c r="BR100">
        <v>14.300351346071412</v>
      </c>
      <c r="BS100">
        <v>23200.890023866257</v>
      </c>
      <c r="BT100">
        <v>17.371193147471931</v>
      </c>
      <c r="BU100">
        <v>28183.023762458459</v>
      </c>
      <c r="BV100">
        <v>13.475260568042755</v>
      </c>
      <c r="BW100">
        <v>21862.262745592565</v>
      </c>
      <c r="BX100">
        <v>25.432171866208915</v>
      </c>
      <c r="BY100">
        <v>41261.155635737341</v>
      </c>
      <c r="BZ100">
        <v>20.288473226781491</v>
      </c>
      <c r="CA100">
        <v>32916.018963130286</v>
      </c>
      <c r="CB100">
        <v>25.393757951696902</v>
      </c>
      <c r="CC100">
        <v>41198.832900833047</v>
      </c>
      <c r="CD100">
        <v>17.524786882783513</v>
      </c>
      <c r="CE100">
        <v>28432.21423862797</v>
      </c>
      <c r="CF100">
        <v>17.453102220005295</v>
      </c>
      <c r="CG100">
        <v>28315.913041736589</v>
      </c>
      <c r="CH100">
        <v>25.439348641647705</v>
      </c>
      <c r="CI100">
        <v>41272.799236209234</v>
      </c>
      <c r="CJ100">
        <v>17.317365000370486</v>
      </c>
      <c r="CK100">
        <v>28095.692976601076</v>
      </c>
      <c r="CL100">
        <v>17.430886675521485</v>
      </c>
      <c r="CM100">
        <v>28279.870542366054</v>
      </c>
      <c r="CN100">
        <v>20.507740378025456</v>
      </c>
      <c r="CO100">
        <v>33271.757989308499</v>
      </c>
      <c r="CP100">
        <v>25.299467045510397</v>
      </c>
      <c r="CQ100">
        <v>41045.855334636064</v>
      </c>
      <c r="CR100">
        <v>18.765813747159875</v>
      </c>
      <c r="CS100">
        <v>30445.65622339218</v>
      </c>
      <c r="CT100">
        <v>15.215876454280158</v>
      </c>
      <c r="CU100">
        <v>24686.237959424125</v>
      </c>
    </row>
    <row r="101" spans="2:99" x14ac:dyDescent="0.2">
      <c r="C101" s="119" t="s">
        <v>267</v>
      </c>
      <c r="D101">
        <v>29.421526597912077</v>
      </c>
      <c r="E101">
        <v>35023.38526215453</v>
      </c>
      <c r="F101">
        <v>21.499861881494866</v>
      </c>
      <c r="G101">
        <v>25593.435583731483</v>
      </c>
      <c r="H101">
        <v>35</v>
      </c>
      <c r="I101">
        <v>41663.999999999993</v>
      </c>
      <c r="J101">
        <v>20</v>
      </c>
      <c r="K101">
        <v>23807.999999999996</v>
      </c>
      <c r="L101">
        <v>24.898087573766357</v>
      </c>
      <c r="M101">
        <v>29638.683447811469</v>
      </c>
      <c r="N101">
        <v>21.402118683249469</v>
      </c>
      <c r="O101">
        <v>25477.082080540164</v>
      </c>
      <c r="P101">
        <v>17.333827865809422</v>
      </c>
      <c r="Q101">
        <v>20634.188691459534</v>
      </c>
      <c r="R101">
        <v>15.287441743314222</v>
      </c>
      <c r="S101">
        <v>18198.170651241249</v>
      </c>
      <c r="T101">
        <v>21.365954629783658</v>
      </c>
      <c r="U101">
        <v>25434.032391294462</v>
      </c>
      <c r="V101">
        <v>16.265448883286492</v>
      </c>
      <c r="W101">
        <v>19362.390350664238</v>
      </c>
      <c r="X101">
        <v>19.537383249387776</v>
      </c>
      <c r="Y101">
        <v>23257.301020071205</v>
      </c>
      <c r="Z101">
        <v>21.518809177701694</v>
      </c>
      <c r="AA101">
        <v>25615.990445136093</v>
      </c>
      <c r="AB101">
        <v>14.445795187891727</v>
      </c>
      <c r="AC101">
        <v>17196.274591666312</v>
      </c>
      <c r="AD101">
        <v>22.483015615174669</v>
      </c>
      <c r="AE101">
        <v>26763.781788303921</v>
      </c>
      <c r="AF101">
        <v>20.589669875998911</v>
      </c>
      <c r="AG101">
        <v>24509.943020389102</v>
      </c>
      <c r="AH101">
        <v>25.314221194788399</v>
      </c>
      <c r="AI101">
        <v>30134.048910276106</v>
      </c>
      <c r="AJ101">
        <v>17.335098902707891</v>
      </c>
      <c r="AK101">
        <v>20635.70173378347</v>
      </c>
      <c r="AL101">
        <v>20</v>
      </c>
      <c r="AM101">
        <v>23807.999999999996</v>
      </c>
      <c r="AN101">
        <v>22.68582223512654</v>
      </c>
      <c r="AO101">
        <v>27005.202788694631</v>
      </c>
      <c r="AP101">
        <v>15.362838597142396</v>
      </c>
      <c r="AQ101">
        <v>18287.923066038307</v>
      </c>
      <c r="AR101">
        <v>24.302943023561408</v>
      </c>
      <c r="AS101">
        <v>28930.223375247497</v>
      </c>
      <c r="AT101">
        <v>23.333464099116593</v>
      </c>
      <c r="AU101">
        <v>27776.15566358839</v>
      </c>
      <c r="AV101">
        <v>26.378954398803401</v>
      </c>
      <c r="AW101">
        <v>31401.507316335566</v>
      </c>
      <c r="AX101">
        <v>21.429606382411489</v>
      </c>
      <c r="AY101">
        <v>25509.803437622635</v>
      </c>
      <c r="AZ101">
        <v>26</v>
      </c>
      <c r="BA101">
        <v>30950.399999999998</v>
      </c>
      <c r="BB101">
        <v>22.853999877312045</v>
      </c>
      <c r="BC101">
        <v>27205.401453952254</v>
      </c>
      <c r="BD101">
        <v>24.460155111887357</v>
      </c>
      <c r="BE101">
        <v>29117.368645190705</v>
      </c>
      <c r="BF101">
        <v>17.397706943719928</v>
      </c>
      <c r="BG101">
        <v>20710.230345804201</v>
      </c>
      <c r="BH101">
        <v>15.356162405457459</v>
      </c>
      <c r="BI101">
        <v>18279.975727456556</v>
      </c>
      <c r="BJ101">
        <v>25.349804060433907</v>
      </c>
      <c r="BK101">
        <v>30176.406753540519</v>
      </c>
      <c r="BL101">
        <v>25.517815427232005</v>
      </c>
      <c r="BM101">
        <v>30376.407484576976</v>
      </c>
      <c r="BN101">
        <v>27.291043185042163</v>
      </c>
      <c r="BO101">
        <v>32487.257807474187</v>
      </c>
      <c r="BP101">
        <v>22.447924085896112</v>
      </c>
      <c r="BQ101">
        <v>26722.00883185073</v>
      </c>
      <c r="BR101">
        <v>14.300351346071412</v>
      </c>
      <c r="BS101">
        <v>17023.138242363406</v>
      </c>
      <c r="BT101">
        <v>18.344679351223938</v>
      </c>
      <c r="BU101">
        <v>21837.506299696972</v>
      </c>
      <c r="BV101">
        <v>14.448857203151491</v>
      </c>
      <c r="BW101">
        <v>17199.919614631533</v>
      </c>
      <c r="BX101">
        <v>23.432171866208915</v>
      </c>
      <c r="BY101">
        <v>27893.657389535088</v>
      </c>
      <c r="BZ101">
        <v>20.336552097911738</v>
      </c>
      <c r="CA101">
        <v>24208.631617354131</v>
      </c>
      <c r="CB101">
        <v>26.337506815740202</v>
      </c>
      <c r="CC101">
        <v>31352.168113457134</v>
      </c>
      <c r="CD101">
        <v>16.498547538644338</v>
      </c>
      <c r="CE101">
        <v>19639.870990002219</v>
      </c>
      <c r="CF101">
        <v>19.506408363535332</v>
      </c>
      <c r="CG101">
        <v>23220.428515952455</v>
      </c>
      <c r="CH101">
        <v>26.502112733311662</v>
      </c>
      <c r="CI101">
        <v>31548.114997734199</v>
      </c>
      <c r="CJ101">
        <v>21.366190385042866</v>
      </c>
      <c r="CK101">
        <v>25434.313034355026</v>
      </c>
      <c r="CL101">
        <v>18.517064010625784</v>
      </c>
      <c r="CM101">
        <v>22042.712998248931</v>
      </c>
      <c r="CN101">
        <v>23.459384151546843</v>
      </c>
      <c r="CO101">
        <v>27926.050894001357</v>
      </c>
      <c r="CP101">
        <v>27.326691322374977</v>
      </c>
      <c r="CQ101">
        <v>32529.693350155168</v>
      </c>
      <c r="CR101">
        <v>20.76839524556323</v>
      </c>
      <c r="CS101">
        <v>24722.697700318466</v>
      </c>
      <c r="CT101">
        <v>15.252591528516682</v>
      </c>
      <c r="CU101">
        <v>18156.684955546258</v>
      </c>
    </row>
    <row r="102" spans="2:99" x14ac:dyDescent="0.2">
      <c r="C102" s="119" t="s">
        <v>268</v>
      </c>
      <c r="D102">
        <v>29.386399381419405</v>
      </c>
      <c r="E102">
        <v>56986.105680448505</v>
      </c>
      <c r="F102">
        <v>20.420936321258836</v>
      </c>
      <c r="G102">
        <v>39600.279714185133</v>
      </c>
      <c r="H102">
        <v>26</v>
      </c>
      <c r="I102">
        <v>50419.199999999997</v>
      </c>
      <c r="J102">
        <v>19</v>
      </c>
      <c r="K102">
        <v>36844.799999999996</v>
      </c>
      <c r="L102">
        <v>25.798300065570096</v>
      </c>
      <c r="M102">
        <v>50028.063487153529</v>
      </c>
      <c r="N102">
        <v>21.36860879297868</v>
      </c>
      <c r="O102">
        <v>41438.006171344256</v>
      </c>
      <c r="P102">
        <v>16.306008876991967</v>
      </c>
      <c r="Q102">
        <v>31620.612414262821</v>
      </c>
      <c r="R102">
        <v>16.235179608166181</v>
      </c>
      <c r="S102">
        <v>31483.260296155855</v>
      </c>
      <c r="T102">
        <v>20.304962191486382</v>
      </c>
      <c r="U102">
        <v>39375.382681730385</v>
      </c>
      <c r="V102">
        <v>16.241317166624086</v>
      </c>
      <c r="W102">
        <v>31495.162249517423</v>
      </c>
      <c r="X102">
        <v>17.56899402876353</v>
      </c>
      <c r="Y102">
        <v>34069.793220578234</v>
      </c>
      <c r="Z102">
        <v>18.518809177701694</v>
      </c>
      <c r="AA102">
        <v>35911.674757399123</v>
      </c>
      <c r="AB102">
        <v>15.350267647629215</v>
      </c>
      <c r="AC102">
        <v>29767.239022282571</v>
      </c>
      <c r="AD102">
        <v>19.406749991726038</v>
      </c>
      <c r="AE102">
        <v>37633.569583955126</v>
      </c>
      <c r="AF102">
        <v>20.491391563332428</v>
      </c>
      <c r="AG102">
        <v>39736.90651961424</v>
      </c>
      <c r="AH102">
        <v>23.340406294354096</v>
      </c>
      <c r="AI102">
        <v>45261.715886011458</v>
      </c>
      <c r="AJ102">
        <v>15.36860879297868</v>
      </c>
      <c r="AK102">
        <v>29802.806171344255</v>
      </c>
      <c r="AL102">
        <v>17</v>
      </c>
      <c r="AM102">
        <v>32966.399999999994</v>
      </c>
      <c r="AN102">
        <v>19.640100752784768</v>
      </c>
      <c r="AO102">
        <v>38086.08337980022</v>
      </c>
      <c r="AP102">
        <v>14.362838597142396</v>
      </c>
      <c r="AQ102">
        <v>27852.416607578532</v>
      </c>
      <c r="AR102">
        <v>23.302943023561408</v>
      </c>
      <c r="AS102">
        <v>45189.067111290278</v>
      </c>
      <c r="AT102">
        <v>25.277886749263828</v>
      </c>
      <c r="AU102">
        <v>49018.87798417241</v>
      </c>
      <c r="AV102">
        <v>23.408104737172891</v>
      </c>
      <c r="AW102">
        <v>45392.99670632567</v>
      </c>
      <c r="AX102">
        <v>20.483307180212925</v>
      </c>
      <c r="AY102">
        <v>39721.229283868903</v>
      </c>
      <c r="AZ102">
        <v>23</v>
      </c>
      <c r="BA102">
        <v>44601.599999999999</v>
      </c>
      <c r="BB102">
        <v>21.691333234014511</v>
      </c>
      <c r="BC102">
        <v>42063.833407400933</v>
      </c>
      <c r="BD102">
        <v>25.429478104428203</v>
      </c>
      <c r="BE102">
        <v>49312.843940107166</v>
      </c>
      <c r="BF102">
        <v>18.424220739967922</v>
      </c>
      <c r="BG102">
        <v>35728.248858945793</v>
      </c>
      <c r="BH102">
        <v>14.284929924365967</v>
      </c>
      <c r="BI102">
        <v>27701.336109330481</v>
      </c>
      <c r="BJ102">
        <v>21.320653722064414</v>
      </c>
      <c r="BK102">
        <v>41345.011697827307</v>
      </c>
      <c r="BL102">
        <v>23.517815427232005</v>
      </c>
      <c r="BM102">
        <v>45605.747676488303</v>
      </c>
      <c r="BN102">
        <v>21.238126242307224</v>
      </c>
      <c r="BO102">
        <v>41184.974409082162</v>
      </c>
      <c r="BP102">
        <v>22.342530183332322</v>
      </c>
      <c r="BQ102">
        <v>43326.634531518037</v>
      </c>
      <c r="BR102">
        <v>14.300351346071412</v>
      </c>
      <c r="BS102">
        <v>27731.24133030168</v>
      </c>
      <c r="BT102">
        <v>17.344679351223938</v>
      </c>
      <c r="BU102">
        <v>33634.802197893456</v>
      </c>
      <c r="BV102">
        <v>14.448857203151491</v>
      </c>
      <c r="BW102">
        <v>28019.223888351367</v>
      </c>
      <c r="BX102">
        <v>20.406749991726038</v>
      </c>
      <c r="BY102">
        <v>39572.769583955131</v>
      </c>
      <c r="BZ102">
        <v>17.312512662346613</v>
      </c>
      <c r="CA102">
        <v>33572.424554822552</v>
      </c>
      <c r="CB102">
        <v>23.365632383718552</v>
      </c>
      <c r="CC102">
        <v>45310.634318507015</v>
      </c>
      <c r="CD102">
        <v>14.498547538644338</v>
      </c>
      <c r="CE102">
        <v>28115.583386939099</v>
      </c>
      <c r="CF102">
        <v>17.399796076475262</v>
      </c>
      <c r="CG102">
        <v>33741.684551500824</v>
      </c>
      <c r="CH102">
        <v>22.407966595815726</v>
      </c>
      <c r="CI102">
        <v>43453.528822605855</v>
      </c>
      <c r="CJ102">
        <v>20.317365000370486</v>
      </c>
      <c r="CK102">
        <v>39399.434208718441</v>
      </c>
      <c r="CL102">
        <v>16.488338232257686</v>
      </c>
      <c r="CM102">
        <v>31974.185499994102</v>
      </c>
      <c r="CN102">
        <v>18.459384151546843</v>
      </c>
      <c r="CO102">
        <v>35796.437746679636</v>
      </c>
      <c r="CP102">
        <v>26.299467045510397</v>
      </c>
      <c r="CQ102">
        <v>50999.926494653759</v>
      </c>
      <c r="CR102">
        <v>17.850759827182184</v>
      </c>
      <c r="CS102">
        <v>34616.19345687169</v>
      </c>
      <c r="CT102">
        <v>15.215876454280158</v>
      </c>
      <c r="CU102">
        <v>29506.62762014008</v>
      </c>
    </row>
    <row r="103" spans="2:99" x14ac:dyDescent="0.2">
      <c r="C103" s="119" t="s">
        <v>269</v>
      </c>
      <c r="D103">
        <v>25.421526597912077</v>
      </c>
      <c r="E103">
        <v>51554.855940565692</v>
      </c>
      <c r="F103">
        <v>19.447244841337511</v>
      </c>
      <c r="G103">
        <v>39439.01253823247</v>
      </c>
      <c r="H103">
        <v>30</v>
      </c>
      <c r="I103">
        <v>60840</v>
      </c>
      <c r="J103">
        <v>21</v>
      </c>
      <c r="K103">
        <v>42588</v>
      </c>
      <c r="L103">
        <v>25.898087573766357</v>
      </c>
      <c r="M103">
        <v>52521.321599598174</v>
      </c>
      <c r="N103">
        <v>20.402118683249469</v>
      </c>
      <c r="O103">
        <v>41375.496689629923</v>
      </c>
      <c r="P103">
        <v>18.333827865809422</v>
      </c>
      <c r="Q103">
        <v>37181.002911861506</v>
      </c>
      <c r="R103">
        <v>16.261310675740202</v>
      </c>
      <c r="S103">
        <v>32977.938050401128</v>
      </c>
      <c r="T103">
        <v>23.365954629783658</v>
      </c>
      <c r="U103">
        <v>47386.155989201259</v>
      </c>
      <c r="V103">
        <v>16.265448883286492</v>
      </c>
      <c r="W103">
        <v>32986.330335305007</v>
      </c>
      <c r="X103">
        <v>16.505772470012026</v>
      </c>
      <c r="Y103">
        <v>33473.706569184389</v>
      </c>
      <c r="Z103">
        <v>19.461163713512619</v>
      </c>
      <c r="AA103">
        <v>39467.240011003589</v>
      </c>
      <c r="AB103">
        <v>14.350267647629215</v>
      </c>
      <c r="AC103">
        <v>29102.342789392049</v>
      </c>
      <c r="AD103">
        <v>19.381328117243161</v>
      </c>
      <c r="AE103">
        <v>39305.33342176913</v>
      </c>
      <c r="AF103">
        <v>17.524151000887922</v>
      </c>
      <c r="AG103">
        <v>35538.978229800705</v>
      </c>
      <c r="AH103">
        <v>25.340406294354096</v>
      </c>
      <c r="AI103">
        <v>51390.343964950109</v>
      </c>
      <c r="AJ103">
        <v>15.335098902707891</v>
      </c>
      <c r="AK103">
        <v>31099.580574691601</v>
      </c>
      <c r="AL103">
        <v>19</v>
      </c>
      <c r="AM103">
        <v>38532</v>
      </c>
      <c r="AN103">
        <v>20.640100752784768</v>
      </c>
      <c r="AO103">
        <v>41858.124326647507</v>
      </c>
      <c r="AP103">
        <v>15.311004511836339</v>
      </c>
      <c r="AQ103">
        <v>31050.717150004097</v>
      </c>
      <c r="AR103">
        <v>23.302943023561408</v>
      </c>
      <c r="AS103">
        <v>47258.368451782539</v>
      </c>
      <c r="AT103">
        <v>24.333464099116593</v>
      </c>
      <c r="AU103">
        <v>49348.265193008454</v>
      </c>
      <c r="AV103">
        <v>23.349804060433907</v>
      </c>
      <c r="AW103">
        <v>47353.402634559963</v>
      </c>
      <c r="AX103">
        <v>21.456456781312205</v>
      </c>
      <c r="AY103">
        <v>43513.694352501152</v>
      </c>
      <c r="AZ103">
        <v>24</v>
      </c>
      <c r="BA103">
        <v>48672</v>
      </c>
      <c r="BB103">
        <v>23.731999894838896</v>
      </c>
      <c r="BC103">
        <v>48128.495786733285</v>
      </c>
      <c r="BD103">
        <v>23.429478104428203</v>
      </c>
      <c r="BE103">
        <v>47514.981595780395</v>
      </c>
      <c r="BF103">
        <v>18.397706943719928</v>
      </c>
      <c r="BG103">
        <v>37310.549681864017</v>
      </c>
      <c r="BH103">
        <v>14.308674084729798</v>
      </c>
      <c r="BI103">
        <v>29017.991043832029</v>
      </c>
      <c r="BJ103">
        <v>24.320653722064414</v>
      </c>
      <c r="BK103">
        <v>49322.285748346629</v>
      </c>
      <c r="BL103">
        <v>26.436055096616425</v>
      </c>
      <c r="BM103">
        <v>53612.319735938108</v>
      </c>
      <c r="BN103">
        <v>22.291043185042163</v>
      </c>
      <c r="BO103">
        <v>45206.235579265507</v>
      </c>
      <c r="BP103">
        <v>19.395227134614217</v>
      </c>
      <c r="BQ103">
        <v>39333.520628997634</v>
      </c>
      <c r="BR103">
        <v>15.270316211464271</v>
      </c>
      <c r="BS103">
        <v>30968.201276849541</v>
      </c>
      <c r="BT103">
        <v>17.371193147471931</v>
      </c>
      <c r="BU103">
        <v>35228.77970307308</v>
      </c>
      <c r="BV103">
        <v>12.422453838260227</v>
      </c>
      <c r="BW103">
        <v>25192.736383991738</v>
      </c>
      <c r="BX103">
        <v>21.432171866208915</v>
      </c>
      <c r="BY103">
        <v>43464.444544671678</v>
      </c>
      <c r="BZ103">
        <v>17.264433791216366</v>
      </c>
      <c r="CA103">
        <v>35012.271728586791</v>
      </c>
      <c r="CB103">
        <v>22.365632383718552</v>
      </c>
      <c r="CC103">
        <v>45357.502474181223</v>
      </c>
      <c r="CD103">
        <v>14.498547538644338</v>
      </c>
      <c r="CE103">
        <v>29403.054408370717</v>
      </c>
      <c r="CF103">
        <v>16.453102220005295</v>
      </c>
      <c r="CG103">
        <v>33366.891302170741</v>
      </c>
      <c r="CH103">
        <v>21.407966595815726</v>
      </c>
      <c r="CI103">
        <v>43415.356256314291</v>
      </c>
      <c r="CJ103">
        <v>19.317365000370486</v>
      </c>
      <c r="CK103">
        <v>39175.616220751348</v>
      </c>
      <c r="CL103">
        <v>17.430886675521485</v>
      </c>
      <c r="CM103">
        <v>35349.838177957572</v>
      </c>
      <c r="CN103">
        <v>19.459384151546843</v>
      </c>
      <c r="CO103">
        <v>39463.631059337</v>
      </c>
      <c r="CP103">
        <v>23.299467045510397</v>
      </c>
      <c r="CQ103">
        <v>47251.319168295086</v>
      </c>
      <c r="CR103">
        <v>16.861788625012508</v>
      </c>
      <c r="CS103">
        <v>34195.707331525366</v>
      </c>
      <c r="CT103">
        <v>12.216759252507956</v>
      </c>
      <c r="CU103">
        <v>24775.587764086133</v>
      </c>
    </row>
    <row r="104" spans="2:99" x14ac:dyDescent="0.2">
      <c r="C104" s="119" t="s">
        <v>270</v>
      </c>
      <c r="D104">
        <v>28.386399381419405</v>
      </c>
      <c r="E104">
        <v>58827.974078053579</v>
      </c>
      <c r="F104">
        <v>19.394627801180157</v>
      </c>
      <c r="G104">
        <v>40193.426655165757</v>
      </c>
      <c r="H104">
        <v>30</v>
      </c>
      <c r="I104">
        <v>62172</v>
      </c>
      <c r="J104">
        <v>20</v>
      </c>
      <c r="K104">
        <v>41448</v>
      </c>
      <c r="L104">
        <v>23.898087573766357</v>
      </c>
      <c r="M104">
        <v>49526.396687873399</v>
      </c>
      <c r="N104">
        <v>19.36860879297868</v>
      </c>
      <c r="O104">
        <v>40139.504862569018</v>
      </c>
      <c r="P104">
        <v>17.333827865809422</v>
      </c>
      <c r="Q104">
        <v>35922.624869103449</v>
      </c>
      <c r="R104">
        <v>14.287441743314222</v>
      </c>
      <c r="S104">
        <v>29609.294268844395</v>
      </c>
      <c r="T104">
        <v>22.33545841063502</v>
      </c>
      <c r="U104">
        <v>46288.00401020002</v>
      </c>
      <c r="V104">
        <v>15.265448883286494</v>
      </c>
      <c r="W104">
        <v>31636.116265722932</v>
      </c>
      <c r="X104">
        <v>16.537383249387776</v>
      </c>
      <c r="Y104">
        <v>34272.073046031226</v>
      </c>
      <c r="Z104">
        <v>21.489986445607155</v>
      </c>
      <c r="AA104">
        <v>44535.847909876269</v>
      </c>
      <c r="AB104">
        <v>13.382110161050052</v>
      </c>
      <c r="AC104">
        <v>27733.085097760129</v>
      </c>
      <c r="AD104">
        <v>21.381328117243161</v>
      </c>
      <c r="AE104">
        <v>44310.66439017473</v>
      </c>
      <c r="AF104">
        <v>19.524151000887922</v>
      </c>
      <c r="AG104">
        <v>40461.850534240133</v>
      </c>
      <c r="AH104">
        <v>26.340406294354096</v>
      </c>
      <c r="AI104">
        <v>54587.858004419431</v>
      </c>
      <c r="AJ104">
        <v>15.335098902707891</v>
      </c>
      <c r="AK104">
        <v>31780.458965971833</v>
      </c>
      <c r="AL104">
        <v>18</v>
      </c>
      <c r="AM104">
        <v>37303.200000000004</v>
      </c>
      <c r="AN104">
        <v>21.640100752784768</v>
      </c>
      <c r="AO104">
        <v>44846.944800071156</v>
      </c>
      <c r="AP104">
        <v>13.311004511836339</v>
      </c>
      <c r="AQ104">
        <v>27585.725750329631</v>
      </c>
      <c r="AR104">
        <v>22.349549642570857</v>
      </c>
      <c r="AS104">
        <v>46317.206679263843</v>
      </c>
      <c r="AT104">
        <v>21.277886749263828</v>
      </c>
      <c r="AU104">
        <v>44096.292499174357</v>
      </c>
      <c r="AV104">
        <v>24.408104737172891</v>
      </c>
      <c r="AW104">
        <v>50583.3562573171</v>
      </c>
      <c r="AX104">
        <v>20.483307180212925</v>
      </c>
      <c r="AY104">
        <v>42449.605800273268</v>
      </c>
      <c r="AZ104">
        <v>23</v>
      </c>
      <c r="BA104">
        <v>47665.200000000004</v>
      </c>
      <c r="BB104">
        <v>21.772666555663278</v>
      </c>
      <c r="BC104">
        <v>45121.674169956583</v>
      </c>
      <c r="BD104">
        <v>21.398801096969045</v>
      </c>
      <c r="BE104">
        <v>44346.875393358649</v>
      </c>
      <c r="BF104">
        <v>16.424220739967922</v>
      </c>
      <c r="BG104">
        <v>34037.55506150952</v>
      </c>
      <c r="BH104">
        <v>12.308674084729798</v>
      </c>
      <c r="BI104">
        <v>25508.496173194035</v>
      </c>
      <c r="BJ104">
        <v>22.349804060433907</v>
      </c>
      <c r="BK104">
        <v>46317.733934843229</v>
      </c>
      <c r="BL104">
        <v>25.463308540154951</v>
      </c>
      <c r="BM104">
        <v>52770.160618617127</v>
      </c>
      <c r="BN104">
        <v>25.238126242307224</v>
      </c>
      <c r="BO104">
        <v>52303.492824557492</v>
      </c>
      <c r="BP104">
        <v>20.395227134614217</v>
      </c>
      <c r="BQ104">
        <v>42267.068713774504</v>
      </c>
      <c r="BR104">
        <v>15.270316211464271</v>
      </c>
      <c r="BS104">
        <v>31646.203316638555</v>
      </c>
      <c r="BT104">
        <v>17.344679351223938</v>
      </c>
      <c r="BU104">
        <v>35945.11348747649</v>
      </c>
      <c r="BV104">
        <v>13.396050473368962</v>
      </c>
      <c r="BW104">
        <v>27761.97500100984</v>
      </c>
      <c r="BX104">
        <v>22.406749991726038</v>
      </c>
      <c r="BY104">
        <v>46435.748682853045</v>
      </c>
      <c r="BZ104">
        <v>19.312512662346613</v>
      </c>
      <c r="CA104">
        <v>40023.25124144712</v>
      </c>
      <c r="CB104">
        <v>21.337506815740202</v>
      </c>
      <c r="CC104">
        <v>44219.849124939996</v>
      </c>
      <c r="CD104">
        <v>15.446068850365986</v>
      </c>
      <c r="CE104">
        <v>32010.433085498469</v>
      </c>
      <c r="CF104">
        <v>17.453102220005295</v>
      </c>
      <c r="CG104">
        <v>36169.809040738975</v>
      </c>
      <c r="CH104">
        <v>21.470730687479683</v>
      </c>
      <c r="CI104">
        <v>44495.942276732902</v>
      </c>
      <c r="CJ104">
        <v>17.317365000370486</v>
      </c>
      <c r="CK104">
        <v>35888.507226767797</v>
      </c>
      <c r="CL104">
        <v>15.402160897153388</v>
      </c>
      <c r="CM104">
        <v>31919.438243260684</v>
      </c>
      <c r="CN104">
        <v>20.483562264786151</v>
      </c>
      <c r="CO104">
        <v>42450.134437542823</v>
      </c>
      <c r="CP104">
        <v>25.299467045510397</v>
      </c>
      <c r="CQ104">
        <v>52430.615505115748</v>
      </c>
      <c r="CR104">
        <v>18.790452841223871</v>
      </c>
      <c r="CS104">
        <v>38941.334468152352</v>
      </c>
      <c r="CT104">
        <v>14.502812228073632</v>
      </c>
      <c r="CU104">
        <v>30055.628061459796</v>
      </c>
    </row>
    <row r="105" spans="2:99" x14ac:dyDescent="0.2">
      <c r="C105" s="119" t="s">
        <v>271</v>
      </c>
      <c r="D105">
        <v>25.386399381419405</v>
      </c>
      <c r="E105">
        <v>50722.025964075969</v>
      </c>
      <c r="F105">
        <v>19.447244841337511</v>
      </c>
      <c r="G105">
        <v>38855.595192992347</v>
      </c>
      <c r="H105">
        <v>32</v>
      </c>
      <c r="I105">
        <v>63936</v>
      </c>
      <c r="J105">
        <v>19</v>
      </c>
      <c r="K105">
        <v>37962</v>
      </c>
      <c r="L105">
        <v>22.898087573766357</v>
      </c>
      <c r="M105">
        <v>45750.378972385181</v>
      </c>
      <c r="N105">
        <v>20.36860879297868</v>
      </c>
      <c r="O105">
        <v>40696.480368371405</v>
      </c>
      <c r="P105">
        <v>16.333827865809422</v>
      </c>
      <c r="Q105">
        <v>32634.988075887224</v>
      </c>
      <c r="R105">
        <v>14.261310675740203</v>
      </c>
      <c r="S105">
        <v>28494.098730128928</v>
      </c>
      <c r="T105">
        <v>22.365954629783658</v>
      </c>
      <c r="U105">
        <v>44687.177350307749</v>
      </c>
      <c r="V105">
        <v>15.289580599948902</v>
      </c>
      <c r="W105">
        <v>30548.582038697907</v>
      </c>
      <c r="X105">
        <v>16.474161690636276</v>
      </c>
      <c r="Y105">
        <v>32915.37505789128</v>
      </c>
      <c r="Z105">
        <v>19.489986445607155</v>
      </c>
      <c r="AA105">
        <v>38940.992918323092</v>
      </c>
      <c r="AB105">
        <v>13.350267647629215</v>
      </c>
      <c r="AC105">
        <v>26673.834759963171</v>
      </c>
      <c r="AD105">
        <v>21.432171866208915</v>
      </c>
      <c r="AE105">
        <v>42821.47938868541</v>
      </c>
      <c r="AF105">
        <v>18.556910438443417</v>
      </c>
      <c r="AG105">
        <v>37076.707056009946</v>
      </c>
      <c r="AH105">
        <v>22.314221194788399</v>
      </c>
      <c r="AI105">
        <v>44583.81394718722</v>
      </c>
      <c r="AJ105">
        <v>15.335098902707891</v>
      </c>
      <c r="AK105">
        <v>30639.527607610366</v>
      </c>
      <c r="AL105">
        <v>16</v>
      </c>
      <c r="AM105">
        <v>31968</v>
      </c>
      <c r="AN105">
        <v>20.68582223512654</v>
      </c>
      <c r="AO105">
        <v>41330.272825782828</v>
      </c>
      <c r="AP105">
        <v>15.336921554489367</v>
      </c>
      <c r="AQ105">
        <v>30643.169265869754</v>
      </c>
      <c r="AR105">
        <v>23.302943023561408</v>
      </c>
      <c r="AS105">
        <v>46559.280161075694</v>
      </c>
      <c r="AT105">
        <v>24.277886749263828</v>
      </c>
      <c r="AU105">
        <v>48507.217725029128</v>
      </c>
      <c r="AV105">
        <v>24.349804060433907</v>
      </c>
      <c r="AW105">
        <v>48650.908512746944</v>
      </c>
      <c r="AX105">
        <v>19.483307180212925</v>
      </c>
      <c r="AY105">
        <v>38927.647746065428</v>
      </c>
      <c r="AZ105">
        <v>23</v>
      </c>
      <c r="BA105">
        <v>45954</v>
      </c>
      <c r="BB105">
        <v>22.731999894838896</v>
      </c>
      <c r="BC105">
        <v>45418.535789888112</v>
      </c>
      <c r="BD105">
        <v>26.398801096969045</v>
      </c>
      <c r="BE105">
        <v>52744.804591744149</v>
      </c>
      <c r="BF105">
        <v>16.371193147471931</v>
      </c>
      <c r="BG105">
        <v>32709.643908648919</v>
      </c>
      <c r="BH105">
        <v>14.284929924365967</v>
      </c>
      <c r="BI105">
        <v>28541.289988883203</v>
      </c>
      <c r="BJ105">
        <v>22.320653722064414</v>
      </c>
      <c r="BK105">
        <v>44596.666136684697</v>
      </c>
      <c r="BL105">
        <v>25.517815427232005</v>
      </c>
      <c r="BM105">
        <v>50984.595223609547</v>
      </c>
      <c r="BN105">
        <v>23.264584713674694</v>
      </c>
      <c r="BO105">
        <v>46482.640257922038</v>
      </c>
      <c r="BP105">
        <v>20.421575610255164</v>
      </c>
      <c r="BQ105">
        <v>40802.308069289822</v>
      </c>
      <c r="BR105">
        <v>16.300351346071412</v>
      </c>
      <c r="BS105">
        <v>32568.101989450683</v>
      </c>
      <c r="BT105">
        <v>17.344679351223938</v>
      </c>
      <c r="BU105">
        <v>34654.669343745431</v>
      </c>
      <c r="BV105">
        <v>12.422453838260227</v>
      </c>
      <c r="BW105">
        <v>24820.062768843931</v>
      </c>
      <c r="BX105">
        <v>25.432171866208915</v>
      </c>
      <c r="BY105">
        <v>50813.47938868541</v>
      </c>
      <c r="BZ105">
        <v>19.288473226781491</v>
      </c>
      <c r="CA105">
        <v>38538.369507109419</v>
      </c>
      <c r="CB105">
        <v>20.365632383718552</v>
      </c>
      <c r="CC105">
        <v>40690.533502669663</v>
      </c>
      <c r="CD105">
        <v>15.524786882783514</v>
      </c>
      <c r="CE105">
        <v>31018.524191801462</v>
      </c>
      <c r="CF105">
        <v>15.426449148240279</v>
      </c>
      <c r="CG105">
        <v>30822.045398184076</v>
      </c>
      <c r="CH105">
        <v>24.470730687479683</v>
      </c>
      <c r="CI105">
        <v>48892.519913584409</v>
      </c>
      <c r="CJ105">
        <v>19.341777692706678</v>
      </c>
      <c r="CK105">
        <v>38644.871830027943</v>
      </c>
      <c r="CL105">
        <v>18.430886675521485</v>
      </c>
      <c r="CM105">
        <v>36824.911577691928</v>
      </c>
      <c r="CN105">
        <v>21.459384151546843</v>
      </c>
      <c r="CO105">
        <v>42875.849534790592</v>
      </c>
      <c r="CP105">
        <v>24.299467045510397</v>
      </c>
      <c r="CQ105">
        <v>48550.335156929774</v>
      </c>
      <c r="CR105">
        <v>17.801481639054195</v>
      </c>
      <c r="CS105">
        <v>35567.360314830279</v>
      </c>
      <c r="CT105">
        <v>13.734675390512319</v>
      </c>
      <c r="CU105">
        <v>27441.881430243611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1575.8256549269795</v>
      </c>
      <c r="E109">
        <f>SUM(L$6:L$19)+SUM(N$6:N$19)+SUM(P$6:P$19)+SUM(R$6:R$19)</f>
        <v>1352</v>
      </c>
      <c r="F109">
        <f>SUM(T$6:T$19)+SUM(V$6:V$19)+SUM(X$6:X$19)+SUM(Z$6:Z$19)</f>
        <v>1335</v>
      </c>
      <c r="G109">
        <f>SUM(AB$6:AB$19)+SUM(AD$6:AD$19)+SUM(AF$6:AF$19)+SUM(AH$6:AH$19)</f>
        <v>1407</v>
      </c>
      <c r="H109">
        <f>SUM(AJ$6:AJ$19)+SUM(AL$6:AL$19)+SUM(AN$6:AN$19)+SUM(AP$6:AP$19)</f>
        <v>1667</v>
      </c>
      <c r="I109">
        <f>SUM(AR$6:AR$19)+SUM(AT$6:AT$19)+SUM(AV$6:AV$19)+SUM(AX$6:AX$19)</f>
        <v>1547</v>
      </c>
      <c r="J109">
        <f>SUM(AZ$6:AZ$19)+SUM(BB$6:BB$19)+SUM(BD$6:BD$19)+SUM(BF$6:BF$19)</f>
        <v>1372</v>
      </c>
      <c r="K109">
        <f>SUM(BH$6:BH$19)+SUM(BJ$6:BJ$19)+SUM(BL$6:BL$19)+SUM(BN$6:BN$19)</f>
        <v>1635</v>
      </c>
      <c r="L109">
        <f>SUM(BP$6:BP$19)+SUM(BR$6:BR$19)+SUM(BT$6:BT$19)+SUM(BV$6:BV$19)</f>
        <v>1582</v>
      </c>
      <c r="M109">
        <f>SUM(BX$6:BX$19)+SUM(BZ$6:BZ$19)+SUM(CB$6:CB$19)+SUM(CD$6:CD$19)</f>
        <v>1579</v>
      </c>
      <c r="N109">
        <f>SUM(CF$6:CF$19)+SUM(CH$6:CH$19)+SUM(CJ$6:CJ$19)+SUM(CL$6:CL$19)</f>
        <v>1792</v>
      </c>
      <c r="O109">
        <f>SUM(CN$6:CN$19)+SUM(CP$6:CP$19)+SUM(CR$6:CR$19)+SUM(CT$6:CT$19)</f>
        <v>1720</v>
      </c>
    </row>
    <row r="110" spans="2:99" x14ac:dyDescent="0.2">
      <c r="C110" s="119" t="s">
        <v>127</v>
      </c>
      <c r="D110">
        <f>SUM(D$20:D$36)+SUM(F$20:F$36)+SUM(H$20:H$36)+SUM(J$20:J$36)</f>
        <v>2979.1814911190404</v>
      </c>
      <c r="E110">
        <f>SUM(L$20:L$36)+SUM(N$20:N$36)+SUM(P$20:P$36)+SUM(R$20:R$36)</f>
        <v>2580</v>
      </c>
      <c r="F110">
        <f>SUM(T$20:T$36)+SUM(V$20:V$36)+SUM(X$20:X$36)+SUM(Z$20:Z$36)</f>
        <v>2926</v>
      </c>
      <c r="G110">
        <f>SUM(AB$20:AB$36)+SUM(AD$20:AD$36)+SUM(AF$20:AF$36)+SUM(AH$20:AH$36)</f>
        <v>2486</v>
      </c>
      <c r="H110">
        <f>SUM(AJ$20:AJ$36)+SUM(AL$20:AL$36)+SUM(AN$20:AN$36)+SUM(AP$20:AP$36)</f>
        <v>2552</v>
      </c>
      <c r="I110">
        <f>SUM(AR$20:AR$36)+SUM(AT$20:AT$36)+SUM(AV$20:AV$36)+SUM(AX$20:AX$36)</f>
        <v>2665</v>
      </c>
      <c r="J110">
        <f>SUM(AZ$20:AZ$36)+SUM(BB$20:BB$36)+SUM(BD$20:BD$36)+SUM(BF$20:BF$36)</f>
        <v>3079</v>
      </c>
      <c r="K110">
        <f>SUM(BH$20:BH$36)+SUM(BJ$20:BJ$36)+SUM(BL$20:BL$36)+SUM(BN$20:BN$36)</f>
        <v>2971</v>
      </c>
      <c r="L110">
        <f>SUM(BP$20:BP$36)+SUM(BR$20:BR$36)+SUM(BT$20:BT$36)+SUM(BV$20:BV$36)</f>
        <v>3076</v>
      </c>
      <c r="M110">
        <f>SUM(BX$20:BX$36)+SUM(BZ$20:BZ$36)+SUM(CB$20:CB$36)+SUM(CD$20:CD$36)</f>
        <v>2951</v>
      </c>
      <c r="N110">
        <f>SUM(CF$20:CF$36)+SUM(CH$20:CH$36)+SUM(CJ$20:CJ$36)+SUM(CL$20:CL$36)</f>
        <v>2473</v>
      </c>
      <c r="O110">
        <f>SUM(CN$20:CN$36)+SUM(CP$20:CP$36)+SUM(CR$20:CR$36)+SUM(CT$20:CT$36)</f>
        <v>2680</v>
      </c>
    </row>
    <row r="111" spans="2:99" x14ac:dyDescent="0.2">
      <c r="C111" s="119" t="s">
        <v>128</v>
      </c>
      <c r="D111">
        <f>SUM(D$37:D$48)+SUM(F$37:F$48)+SUM(H$37:H$48)+SUM(J$37:J$48)</f>
        <v>927.0691778977025</v>
      </c>
      <c r="E111">
        <f>SUM(L$37:L$48)+SUM(N$37:N$48)+SUM(P$37:P$48)+SUM(R$37:R$48)</f>
        <v>970</v>
      </c>
      <c r="F111">
        <f>SUM(T$37:T$48)+SUM(V$37:V$48)+SUM(X$37:X$48)+SUM(Z$37:Z$48)</f>
        <v>794</v>
      </c>
      <c r="G111">
        <f>SUM(AB$37:AB$48)+SUM(AD$37:AD$48)+SUM(AF$37:AF$48)+SUM(AH$37:AH$48)</f>
        <v>916</v>
      </c>
      <c r="H111">
        <f>SUM(AJ$37:AJ$48)+SUM(AL$37:AL$48)+SUM(AN$37:AN$48)+SUM(AP$37:AP$48)</f>
        <v>979</v>
      </c>
      <c r="I111">
        <f>SUM(AR$37:AR$48)+SUM(AT$37:AT$48)+SUM(AV$37:AV$48)+SUM(AX$37:AX$48)</f>
        <v>939</v>
      </c>
      <c r="J111">
        <f>SUM(AZ$37:AZ$48)+SUM(BB$37:BB$48)+SUM(BD$37:BD$48)+SUM(BF$37:BF$48)</f>
        <v>788</v>
      </c>
      <c r="K111">
        <f>SUM(BH$37:BH$48)+SUM(BJ$37:BJ$48)+SUM(BL$37:BL$48)+SUM(BN$37:BN$48)</f>
        <v>968</v>
      </c>
      <c r="L111">
        <f>SUM(BP$37:BP$48)+SUM(BR$37:BR$48)+SUM(BT$37:BT$48)+SUM(BV$37:BV$48)</f>
        <v>833</v>
      </c>
      <c r="M111">
        <f>SUM(BX$37:BX$48)+SUM(BZ$37:BZ$48)+SUM(CB$37:CB$48)+SUM(CD$37:CD$48)</f>
        <v>846</v>
      </c>
      <c r="N111">
        <f>SUM(CF$37:CF$48)+SUM(CH$37:CH$48)+SUM(CJ$37:CJ$48)+SUM(CL$37:CL$48)</f>
        <v>964</v>
      </c>
      <c r="O111">
        <f>SUM(CN$37:CN$48)+SUM(CP$37:CP$48)+SUM(CR$37:CR$48)+SUM(CT$37:CT$48)</f>
        <v>842</v>
      </c>
    </row>
    <row r="112" spans="2:99" x14ac:dyDescent="0.2">
      <c r="C112" s="119" t="s">
        <v>129</v>
      </c>
      <c r="D112">
        <f>SUM(D$49:D$70)+SUM(F$49:F$70)+SUM(H$49:H$70)+SUM(J$49:J$70)</f>
        <v>1157.1505572551227</v>
      </c>
      <c r="E112">
        <f>SUM(L$49:L$70)+SUM(N$49:N$70)+SUM(P$49:P$70)+SUM(R$49:R$70)</f>
        <v>1090.0737913819223</v>
      </c>
      <c r="F112">
        <f>SUM(T$49:T$70)+SUM(V$49:V$70)+SUM(X$49:X$70)+SUM(Z$49:Z$70)</f>
        <v>1299.6622207074747</v>
      </c>
      <c r="G112">
        <f>SUM(AB$49:AB$70)+SUM(AD$49:AD$70)+SUM(AF$49:AF$70)+SUM(AH$49:AH$70)</f>
        <v>1134.3640752363901</v>
      </c>
      <c r="H112">
        <f>SUM(AJ$49:AJ$70)+SUM(AL$49:AL$70)+SUM(AN$49:AN$70)+SUM(AP$49:AP$70)</f>
        <v>1103.8325855181292</v>
      </c>
      <c r="I112">
        <f>SUM(AR$49:AR$70)+SUM(AT$49:AT$70)+SUM(AV$49:AV$70)+SUM(AX$49:AX$70)</f>
        <v>1343.9185663658213</v>
      </c>
      <c r="J112">
        <f>SUM(AZ$49:AZ$70)+SUM(BB$49:BB$70)+SUM(BD$49:BD$70)+SUM(BF$49:BF$70)</f>
        <v>1342.2694823936981</v>
      </c>
      <c r="K112">
        <f>SUM(BH$49:BH$70)+SUM(BJ$49:BJ$70)+SUM(BL$49:BL$70)+SUM(BN$49:BN$70)</f>
        <v>1355.0891009212946</v>
      </c>
      <c r="L112">
        <f>SUM(BP$49:BP$70)+SUM(BR$49:BR$70)+SUM(BT$49:BT$70)+SUM(BV$49:BV$70)</f>
        <v>1503.3726130139244</v>
      </c>
      <c r="M112">
        <f>SUM(BX$49:BX$70)+SUM(BZ$49:BZ$70)+SUM(CB$49:CB$70)+SUM(CD$49:CD$70)</f>
        <v>1065.4879780251506</v>
      </c>
      <c r="N112">
        <f>SUM(CF$49:CF$70)+SUM(CH$49:CH$70)+SUM(CJ$49:CJ$70)+SUM(CL$49:CL$70)</f>
        <v>1213.0686982076452</v>
      </c>
      <c r="O112">
        <f>SUM(CN$49:CN$70)+SUM(CP$49:CP$70)+SUM(CR$49:CR$70)+SUM(CT$49:CT$70)</f>
        <v>1042.6357617590925</v>
      </c>
    </row>
    <row r="113" spans="2:15" x14ac:dyDescent="0.2">
      <c r="C113" s="119" t="s">
        <v>130</v>
      </c>
      <c r="D113">
        <f>SUM(D$71:D$86)+SUM(F$71:F$86)+SUM(H$71:H$86)+SUM(J$71:J$86)</f>
        <v>783.40242338042503</v>
      </c>
      <c r="E113">
        <f>SUM(L$71:L$86)+SUM(N$71:N$86)+SUM(P$71:P$86)+SUM(R$71:R$86)</f>
        <v>752.6094946828141</v>
      </c>
      <c r="F113">
        <f>SUM(T$71:T$86)+SUM(V$71:V$86)+SUM(X$71:X$86)+SUM(Z$71:Z$86)</f>
        <v>733.36119996949606</v>
      </c>
      <c r="G113">
        <f>SUM(AB$71:AB$86)+SUM(AD$71:AD$86)+SUM(AF$71:AF$86)+SUM(AH$71:AH$86)</f>
        <v>938.64520483131673</v>
      </c>
      <c r="H113">
        <f>SUM(AJ$71:AJ$86)+SUM(AL$71:AL$86)+SUM(AN$71:AN$86)+SUM(AP$71:AP$86)</f>
        <v>759.71103962371194</v>
      </c>
      <c r="I113">
        <f>SUM(AR$71:AR$86)+SUM(AT$71:AT$86)+SUM(AV$71:AV$86)+SUM(AX$71:AX$86)</f>
        <v>788.95827323053891</v>
      </c>
      <c r="J113">
        <f>SUM(AZ$71:AZ$86)+SUM(BB$71:BB$86)+SUM(BD$71:BD$86)+SUM(BF$71:BF$86)</f>
        <v>903.51771915336701</v>
      </c>
      <c r="K113">
        <f>SUM(BH$71:BH$86)+SUM(BJ$71:BJ$86)+SUM(BL$71:BL$86)+SUM(BN$71:BN$86)</f>
        <v>944.14566283856675</v>
      </c>
      <c r="L113">
        <f>SUM(BP$71:BP$86)+SUM(BR$71:BR$86)+SUM(BT$71:BT$86)+SUM(BV$71:BV$86)</f>
        <v>755.79873842763232</v>
      </c>
      <c r="M113">
        <f>SUM(BX$71:BX$86)+SUM(BZ$71:BZ$86)+SUM(CB$71:CB$86)+SUM(CD$71:CD$86)</f>
        <v>865.07444700866449</v>
      </c>
      <c r="N113">
        <f>SUM(CF$71:CF$86)+SUM(CH$71:CH$86)+SUM(CJ$71:CJ$86)+SUM(CL$71:CL$86)</f>
        <v>800.05652575276622</v>
      </c>
      <c r="O113">
        <f>SUM(CN$71:CN$86)+SUM(CP$71:CP$86)+SUM(CR$71:CR$86)+SUM(CT$71:CT$86)</f>
        <v>672.726908287578</v>
      </c>
    </row>
    <row r="114" spans="2:15" x14ac:dyDescent="0.2">
      <c r="C114" s="119" t="s">
        <v>131</v>
      </c>
      <c r="D114">
        <f>SUM(D$87:D$94)+SUM(F$87:F$94)+SUM(H$87:H$94)+SUM(J$87:J$94)</f>
        <v>286.49438421325544</v>
      </c>
      <c r="E114">
        <f>SUM(L$87:L$94)+SUM(N$87:N$94)+SUM(P$87:P$94)+SUM(R$87:R$94)</f>
        <v>303.55618190645453</v>
      </c>
      <c r="F114">
        <f>SUM(T$87:T$94)+SUM(V$87:V$94)+SUM(X$87:X$94)+SUM(Z$87:Z$94)</f>
        <v>343.79095347269424</v>
      </c>
      <c r="G114">
        <f>SUM(AB$87:AB$94)+SUM(AD$87:AD$94)+SUM(AF$87:AF$94)+SUM(AH$87:AH$94)</f>
        <v>267.43246595438433</v>
      </c>
      <c r="H114">
        <f>SUM(AJ$87:AJ$94)+SUM(AL$87:AL$94)+SUM(AN$87:AN$94)+SUM(AP$87:AP$94)</f>
        <v>344.60619528257445</v>
      </c>
      <c r="I114">
        <f>SUM(AR$87:AR$94)+SUM(AT$87:AT$94)+SUM(AV$87:AV$94)+SUM(AX$87:AX$94)</f>
        <v>336.58302009649231</v>
      </c>
      <c r="J114">
        <f>SUM(AZ$87:AZ$94)+SUM(BB$87:BB$94)+SUM(BD$87:BD$94)+SUM(BF$87:BF$94)</f>
        <v>298.35830140809156</v>
      </c>
      <c r="K114">
        <f>SUM(BH$87:BH$94)+SUM(BJ$87:BJ$94)+SUM(BL$87:BL$94)+SUM(BN$87:BN$94)</f>
        <v>294.89672953452396</v>
      </c>
      <c r="L114">
        <f>SUM(BP$87:BP$94)+SUM(BR$87:BR$94)+SUM(BT$87:BT$94)+SUM(BV$87:BV$94)</f>
        <v>356.71463851481269</v>
      </c>
      <c r="M114">
        <f>SUM(BX$87:BX$94)+SUM(BZ$87:BZ$94)+SUM(CB$87:CB$94)+SUM(CD$87:CD$94)</f>
        <v>303.14505557024961</v>
      </c>
      <c r="N114">
        <f>SUM(CF$87:CF$94)+SUM(CH$87:CH$94)+SUM(CJ$87:CJ$94)+SUM(CL$87:CL$94)</f>
        <v>341.01301739631504</v>
      </c>
      <c r="O114">
        <f>SUM(CN$87:CN$94)+SUM(CP$87:CP$94)+SUM(CR$87:CR$94)+SUM(CT$87:CT$94)</f>
        <v>301.95234824952564</v>
      </c>
    </row>
    <row r="115" spans="2:15" x14ac:dyDescent="0.2">
      <c r="C115" s="119" t="s">
        <v>132</v>
      </c>
      <c r="D115">
        <f>SUM(D$95:D$105)+SUM(F$95:F$105)+SUM(H$95:H$105)+SUM(J$95:J$105)</f>
        <v>1073.2404884524747</v>
      </c>
      <c r="E115">
        <f>SUM(L$95:L$105)+SUM(N$95:N$105)+SUM(P$95:P$105)+SUM(R$95:R$105)</f>
        <v>844.37270742017006</v>
      </c>
      <c r="F115">
        <f>SUM(T$95:T$105)+SUM(V$95:V$105)+SUM(X$95:X$105)+SUM(Z$95:Z$105)</f>
        <v>817.97865763485629</v>
      </c>
      <c r="G115">
        <f>SUM(AB$95:AB$105)+SUM(AD$95:AD$105)+SUM(AF$95:AF$105)+SUM(AH$95:AH$105)</f>
        <v>867.10633257393283</v>
      </c>
      <c r="H115">
        <f>SUM(AJ$95:AJ$105)+SUM(AL$95:AL$105)+SUM(AN$95:AN$105)+SUM(AP$95:AP$105)</f>
        <v>766.49126638421512</v>
      </c>
      <c r="I115">
        <f>SUM(AR$95:AR$105)+SUM(AT$95:AT$105)+SUM(AV$95:AV$105)+SUM(AX$95:AX$105)</f>
        <v>1016.8300254141753</v>
      </c>
      <c r="J115">
        <f>SUM(AZ$95:AZ$105)+SUM(BB$95:BB$105)+SUM(BD$95:BD$105)+SUM(BF$95:BF$105)</f>
        <v>978.38491598247651</v>
      </c>
      <c r="K115">
        <f>SUM(BH$95:BH$105)+SUM(BJ$95:BJ$105)+SUM(BL$95:BL$105)+SUM(BN$95:BN$105)</f>
        <v>941.25214628997742</v>
      </c>
      <c r="L115">
        <f>SUM(BP$95:BP$105)+SUM(BR$95:BR$105)+SUM(BT$95:BT$105)+SUM(BV$95:BV$105)</f>
        <v>727.01974428579126</v>
      </c>
      <c r="M115">
        <f>SUM(BX$95:BX$105)+SUM(BZ$95:BZ$105)+SUM(CB$95:CB$105)+SUM(CD$95:CD$105)</f>
        <v>884.18296898247786</v>
      </c>
      <c r="N115">
        <f>SUM(CF$95:CF$105)+SUM(CH$95:CH$105)+SUM(CJ$95:CJ$105)+SUM(CL$95:CL$105)</f>
        <v>832.39037128038103</v>
      </c>
      <c r="O115">
        <f>SUM(CN$95:CN$105)+SUM(CP$95:CP$105)+SUM(CR$95:CR$105)+SUM(CT$95:CT$105)</f>
        <v>854.38584256475178</v>
      </c>
    </row>
    <row r="116" spans="2:15" x14ac:dyDescent="0.2">
      <c r="C116" s="119" t="s">
        <v>278</v>
      </c>
      <c r="D116">
        <f t="shared" ref="D116:O116" si="0">SUM(D$109:D$115)</f>
        <v>8782.3641772449992</v>
      </c>
      <c r="E116">
        <f t="shared" si="0"/>
        <v>7892.6121753913603</v>
      </c>
      <c r="F116">
        <f t="shared" si="0"/>
        <v>8249.7930317845203</v>
      </c>
      <c r="G116">
        <f t="shared" si="0"/>
        <v>8016.5480785960244</v>
      </c>
      <c r="H116">
        <f t="shared" si="0"/>
        <v>8172.6410868086314</v>
      </c>
      <c r="I116">
        <f t="shared" si="0"/>
        <v>8637.2898851070277</v>
      </c>
      <c r="J116">
        <f t="shared" si="0"/>
        <v>8761.5304189376329</v>
      </c>
      <c r="K116">
        <f t="shared" si="0"/>
        <v>9109.3836395843628</v>
      </c>
      <c r="L116">
        <f t="shared" si="0"/>
        <v>8833.9057342421602</v>
      </c>
      <c r="M116">
        <f t="shared" si="0"/>
        <v>8493.8904495865427</v>
      </c>
      <c r="N116">
        <f t="shared" si="0"/>
        <v>8415.5286126371066</v>
      </c>
      <c r="O116">
        <f t="shared" si="0"/>
        <v>8113.7008608609485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D109*pricing!D24*2000</f>
        <v>5688730.6142863957</v>
      </c>
      <c r="E120">
        <f>E109*pricing!E24*2000</f>
        <v>4880720</v>
      </c>
      <c r="F120">
        <f>F109*pricing!F24*2000</f>
        <v>4819349.9999999991</v>
      </c>
      <c r="G120">
        <f>G109*pricing!G24*2000</f>
        <v>5079269.9999999991</v>
      </c>
      <c r="H120">
        <f>H109*pricing!H24*2000</f>
        <v>6017870</v>
      </c>
      <c r="I120">
        <f>I109*pricing!I24*2000</f>
        <v>5584670</v>
      </c>
      <c r="J120">
        <f>J109*pricing!J24*2000</f>
        <v>4952920</v>
      </c>
      <c r="K120">
        <f>K109*pricing!K24*2000</f>
        <v>5902349.9999999991</v>
      </c>
      <c r="L120">
        <f>L109*pricing!L24*2000</f>
        <v>5711019.9999999991</v>
      </c>
      <c r="M120">
        <f>M109*pricing!M24*2000</f>
        <v>5700190</v>
      </c>
      <c r="N120">
        <f>N109*pricing!N24*2000</f>
        <v>6469120</v>
      </c>
      <c r="O120">
        <f>O109*pricing!O24*2000</f>
        <v>6209200</v>
      </c>
    </row>
    <row r="121" spans="2:15" x14ac:dyDescent="0.2">
      <c r="C121" s="119" t="s">
        <v>127</v>
      </c>
      <c r="D121">
        <f>D110*pricing!D25*2000</f>
        <v>10754845.182939736</v>
      </c>
      <c r="E121">
        <f>E110*pricing!E25*2000</f>
        <v>9313800</v>
      </c>
      <c r="F121">
        <f>F110*pricing!F25*2000</f>
        <v>10562859.999999998</v>
      </c>
      <c r="G121">
        <f>G110*pricing!G25*2000</f>
        <v>8974460</v>
      </c>
      <c r="H121">
        <f>H110*pricing!H25*2000</f>
        <v>9212720</v>
      </c>
      <c r="I121">
        <f>I110*pricing!I25*2000</f>
        <v>9620650</v>
      </c>
      <c r="J121">
        <f>J110*pricing!J25*2000</f>
        <v>11115190</v>
      </c>
      <c r="K121">
        <f>K110*pricing!K25*2000</f>
        <v>10725310</v>
      </c>
      <c r="L121">
        <f>L110*pricing!L25*2000</f>
        <v>11104359.999999998</v>
      </c>
      <c r="M121">
        <f>M110*pricing!M25*2000</f>
        <v>10653109.999999998</v>
      </c>
      <c r="N121">
        <f>N110*pricing!N25*2000</f>
        <v>8927529.9999999981</v>
      </c>
      <c r="O121">
        <f>O110*pricing!O25*2000</f>
        <v>9674800</v>
      </c>
    </row>
    <row r="122" spans="2:15" x14ac:dyDescent="0.2">
      <c r="C122" s="119" t="s">
        <v>128</v>
      </c>
      <c r="D122">
        <f>D111*pricing!D26*2000</f>
        <v>3787077.5917121144</v>
      </c>
      <c r="E122">
        <f>E111*pricing!E26*2000</f>
        <v>3962450</v>
      </c>
      <c r="F122">
        <f>F111*pricing!F26*2000</f>
        <v>3243490</v>
      </c>
      <c r="G122">
        <f>G111*pricing!G26*2000</f>
        <v>3741860</v>
      </c>
      <c r="H122">
        <f>H111*pricing!H26*2000</f>
        <v>3999215</v>
      </c>
      <c r="I122">
        <f>I111*pricing!I26*2000</f>
        <v>3835815</v>
      </c>
      <c r="J122">
        <f>J111*pricing!J26*2000</f>
        <v>3218980</v>
      </c>
      <c r="K122">
        <f>K111*pricing!K26*2000</f>
        <v>3954279.9999999995</v>
      </c>
      <c r="L122">
        <f>L111*pricing!L26*2000</f>
        <v>3402805</v>
      </c>
      <c r="M122">
        <f>M111*pricing!M26*2000</f>
        <v>3455910</v>
      </c>
      <c r="N122">
        <f>N111*pricing!N26*2000</f>
        <v>3937940</v>
      </c>
      <c r="O122">
        <f>O111*pricing!O26*2000</f>
        <v>3439570</v>
      </c>
    </row>
    <row r="123" spans="2:15" x14ac:dyDescent="0.2">
      <c r="C123" s="119" t="s">
        <v>129</v>
      </c>
      <c r="D123">
        <f>D112*pricing!D27*2000</f>
        <v>4836889.3293264126</v>
      </c>
      <c r="E123">
        <f>E112*pricing!E27*2000</f>
        <v>4556508.4479764346</v>
      </c>
      <c r="F123">
        <f>F112*pricing!F27*2000</f>
        <v>5432588.0825572442</v>
      </c>
      <c r="G123">
        <f>G112*pricing!G27*2000</f>
        <v>4741641.8344881106</v>
      </c>
      <c r="H123">
        <f>H112*pricing!H27*2000</f>
        <v>4614020.20746578</v>
      </c>
      <c r="I123">
        <f>I112*pricing!I27*2000</f>
        <v>5617579.6074091336</v>
      </c>
      <c r="J123">
        <f>J112*pricing!J27*2000</f>
        <v>5610686.4364056578</v>
      </c>
      <c r="K123">
        <f>K112*pricing!K27*2000</f>
        <v>5664272.4418510115</v>
      </c>
      <c r="L123">
        <f>L112*pricing!L27*2000</f>
        <v>6284097.5223982036</v>
      </c>
      <c r="M123">
        <f>M112*pricing!M27*2000</f>
        <v>4453739.7481451286</v>
      </c>
      <c r="N123">
        <f>N112*pricing!N27*2000</f>
        <v>5070627.1585079571</v>
      </c>
      <c r="O123">
        <f>O112*pricing!O27*2000</f>
        <v>4358217.4841530062</v>
      </c>
    </row>
    <row r="124" spans="2:15" x14ac:dyDescent="0.2">
      <c r="C124" s="119" t="s">
        <v>130</v>
      </c>
      <c r="D124">
        <f>D113*pricing!D28*2000</f>
        <v>3274622.1297301762</v>
      </c>
      <c r="E124">
        <f>E113*pricing!E28*2000</f>
        <v>3145907.6877741627</v>
      </c>
      <c r="F124">
        <f>F113*pricing!F28*2000</f>
        <v>3065449.8158724932</v>
      </c>
      <c r="G124">
        <f>G113*pricing!G28*2000</f>
        <v>3923536.9561949037</v>
      </c>
      <c r="H124">
        <f>H113*pricing!H28*2000</f>
        <v>3175592.1456271159</v>
      </c>
      <c r="I124">
        <f>I113*pricing!I28*2000</f>
        <v>3297845.5821036524</v>
      </c>
      <c r="J124">
        <f>J113*pricing!J28*2000</f>
        <v>3776704.0660610739</v>
      </c>
      <c r="K124">
        <f>K113*pricing!K28*2000</f>
        <v>3946528.8706652084</v>
      </c>
      <c r="L124">
        <f>L113*pricing!L28*2000</f>
        <v>3159238.7266275026</v>
      </c>
      <c r="M124">
        <f>M113*pricing!M28*2000</f>
        <v>3616011.1884962176</v>
      </c>
      <c r="N124">
        <f>N113*pricing!N28*2000</f>
        <v>3344236.2776465626</v>
      </c>
      <c r="O124">
        <f>O113*pricing!O28*2000</f>
        <v>2811998.4766420759</v>
      </c>
    </row>
    <row r="125" spans="2:15" x14ac:dyDescent="0.2">
      <c r="C125" s="119" t="s">
        <v>131</v>
      </c>
      <c r="D125">
        <f>D114*pricing!D29*2000</f>
        <v>1367228.5042824326</v>
      </c>
      <c r="E125">
        <f>E114*pricing!E29*2000</f>
        <v>1448652.0065423513</v>
      </c>
      <c r="F125">
        <f>F114*pricing!F29*2000</f>
        <v>1640663.1927291905</v>
      </c>
      <c r="G125">
        <f>G114*pricing!G29*2000</f>
        <v>1276259.8870042984</v>
      </c>
      <c r="H125">
        <f>H114*pricing!H29*2000</f>
        <v>1644553.7466170508</v>
      </c>
      <c r="I125">
        <f>I114*pricing!I29*2000</f>
        <v>1606264.9897906771</v>
      </c>
      <c r="J125">
        <f>J114*pricing!J29*2000</f>
        <v>1423846.3182956816</v>
      </c>
      <c r="K125">
        <f>K114*pricing!K29*2000</f>
        <v>1407326.7633027954</v>
      </c>
      <c r="L125">
        <f>L114*pricing!L29*2000</f>
        <v>1702338.5048595683</v>
      </c>
      <c r="M125">
        <f>M114*pricing!M29*2000</f>
        <v>1446690.0007345788</v>
      </c>
      <c r="N125">
        <f>N114*pricing!N29*2000</f>
        <v>1627406.1322212506</v>
      </c>
      <c r="O125">
        <f>O114*pricing!O29*2000</f>
        <v>1440998.0795800397</v>
      </c>
    </row>
    <row r="126" spans="2:15" x14ac:dyDescent="0.2">
      <c r="C126" s="119" t="s">
        <v>132</v>
      </c>
      <c r="D126">
        <f>D115*pricing!D30*2000</f>
        <v>4078313.8561194036</v>
      </c>
      <c r="E126">
        <f>E115*pricing!E30*2000</f>
        <v>3529477.9170163106</v>
      </c>
      <c r="F126">
        <f>F115*pricing!F30*2000</f>
        <v>3419150.7889136993</v>
      </c>
      <c r="G126">
        <f>G115*pricing!G30*2000</f>
        <v>3624504.4701590389</v>
      </c>
      <c r="H126">
        <f>H115*pricing!H30*2000</f>
        <v>3203933.4934860189</v>
      </c>
      <c r="I126">
        <f>I115*pricing!I30*2000</f>
        <v>4250349.5062312521</v>
      </c>
      <c r="J126">
        <f>J115*pricing!J30*2000</f>
        <v>4089648.9488067515</v>
      </c>
      <c r="K126">
        <f>K115*pricing!K30*2000</f>
        <v>3934433.9714921052</v>
      </c>
      <c r="L126">
        <f>L115*pricing!L30*2000</f>
        <v>3038942.5311146076</v>
      </c>
      <c r="M126">
        <f>M115*pricing!M30*2000</f>
        <v>3695884.8103467571</v>
      </c>
      <c r="N126">
        <f>N115*pricing!N30*2000</f>
        <v>3479391.7519519925</v>
      </c>
      <c r="O126">
        <f>O115*pricing!O30*2000</f>
        <v>3571332.8219206622</v>
      </c>
    </row>
    <row r="127" spans="2:15" x14ac:dyDescent="0.2">
      <c r="C127" s="119" t="s">
        <v>278</v>
      </c>
      <c r="D127">
        <f t="shared" ref="D127:O127" si="1">SUM(D$120:D$126)</f>
        <v>33787707.208396673</v>
      </c>
      <c r="E127">
        <f t="shared" si="1"/>
        <v>30837516.059309259</v>
      </c>
      <c r="F127">
        <f t="shared" si="1"/>
        <v>32183551.880072623</v>
      </c>
      <c r="G127">
        <f t="shared" si="1"/>
        <v>31361533.147846349</v>
      </c>
      <c r="H127">
        <f t="shared" si="1"/>
        <v>31867904.59319596</v>
      </c>
      <c r="I127">
        <f t="shared" si="1"/>
        <v>33813174.685534716</v>
      </c>
      <c r="J127">
        <f t="shared" si="1"/>
        <v>34187975.769569159</v>
      </c>
      <c r="K127">
        <f t="shared" si="1"/>
        <v>35534502.04731112</v>
      </c>
      <c r="L127">
        <f t="shared" si="1"/>
        <v>34402802.284999877</v>
      </c>
      <c r="M127">
        <f t="shared" si="1"/>
        <v>33021535.747722682</v>
      </c>
      <c r="N127">
        <f t="shared" si="1"/>
        <v>32856251.320327766</v>
      </c>
      <c r="O127">
        <f t="shared" si="1"/>
        <v>31506116.862295784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794105.98513422604</v>
      </c>
      <c r="E131" s="124">
        <f>SUM(M$6:M$19)+SUM(O$6:O$19)+SUM(Q$6:Q$19)+SUM(S$6:S$19)</f>
        <v>674949.6</v>
      </c>
      <c r="F131" s="124">
        <f>SUM(U$6:U$19)+SUM(W$6:W$19)+SUM(Y$6:Y$19)+SUM(AA$6:AA$19)</f>
        <v>672861.6</v>
      </c>
      <c r="G131" s="124">
        <f>SUM(AC$6:AC$19)+SUM(AE$6:AE$19)+SUM(AG$6:AG$19)+SUM(AI$6:AI$19)</f>
        <v>708708</v>
      </c>
      <c r="H131" s="124">
        <f>SUM(AK$6:AK$19)+SUM(AM$6:AM$19)+SUM(AO$6:AO$19)+SUM(AQ$6:AQ$19)</f>
        <v>838959.6</v>
      </c>
      <c r="I131" s="124">
        <f>SUM(AS$6:AS$19)+SUM(AU$6:AU$19)+SUM(AW$6:AW$19)+SUM(AY$6:AY$19)</f>
        <v>779144.39999999991</v>
      </c>
      <c r="J131" s="124">
        <f>SUM(BA$6:BA$19)+SUM(BC$6:BC$19)+SUM(BE$6:BE$19)+SUM(BG$6:BG$19)</f>
        <v>689704.79999999993</v>
      </c>
      <c r="K131" s="124">
        <f>SUM(BI$6:BI$19)+SUM(BK$6:BK$19)+SUM(BM$6:BM$19)+SUM(BO$6:BO$19)</f>
        <v>824301.59999999986</v>
      </c>
      <c r="L131" s="124">
        <f>SUM(BQ$6:BQ$19)+SUM(BS$6:BS$19)+SUM(BU$6:BU$19)+SUM(BW$6:BW$19)</f>
        <v>794697.59999999986</v>
      </c>
      <c r="M131" s="124">
        <f>SUM(BY$6:BY$19)+SUM(CA$6:CA$19)+SUM(CC$6:CC$19)+SUM(CE$6:CE$19)</f>
        <v>794263.2</v>
      </c>
      <c r="N131" s="124">
        <f>SUM(CG$6:CG$19)+SUM(CI$6:CI$19)+SUM(CK$6:CK$19)+SUM(CM$6:CM$19)</f>
        <v>896908.79999999993</v>
      </c>
      <c r="O131" s="124">
        <f>SUM(CO$6:CO$19)+SUM(CQ$6:CQ$19)+SUM(CS$6:CS$19)+SUM(CU$6:CU$19)</f>
        <v>861602.4</v>
      </c>
    </row>
    <row r="132" spans="2:15" x14ac:dyDescent="0.2">
      <c r="C132" s="123" t="s">
        <v>127</v>
      </c>
      <c r="D132" s="124">
        <f>SUM(E$20:E$36)+SUM(G$20:G$36)+SUM(I$20:I$36)+SUM(K$20:K$36)</f>
        <v>1263914.6073784397</v>
      </c>
      <c r="E132" s="124">
        <f>SUM(M$20:M$36)+SUM(O$20:O$36)+SUM(Q$20:Q$36)+SUM(S$20:S$36)</f>
        <v>1101004.8</v>
      </c>
      <c r="F132" s="124">
        <f>SUM(U$20:U$36)+SUM(W$20:W$36)+SUM(Y$20:Y$36)+SUM(AA$20:AA$36)</f>
        <v>1242200.3999999999</v>
      </c>
      <c r="G132" s="124">
        <f>SUM(AC$20:AC$36)+SUM(AE$20:AE$36)+SUM(AG$20:AG$36)+SUM(AI$20:AI$36)</f>
        <v>1053915.6000000001</v>
      </c>
      <c r="H132" s="124">
        <f>SUM(AK$20:AK$36)+SUM(AM$20:AM$36)+SUM(AO$20:AO$36)+SUM(AQ$20:AQ$36)</f>
        <v>1077610.8</v>
      </c>
      <c r="I132" s="124">
        <f>SUM(AS$20:AS$36)+SUM(AU$20:AU$36)+SUM(AW$20:AW$36)+SUM(AY$20:AY$36)</f>
        <v>1135176</v>
      </c>
      <c r="J132" s="124">
        <f>SUM(BA$20:BA$36)+SUM(BC$20:BC$36)+SUM(BE$20:BE$36)+SUM(BG$20:BG$36)</f>
        <v>1305099.6000000001</v>
      </c>
      <c r="K132" s="124">
        <f>SUM(BI$20:BI$36)+SUM(BK$20:BK$36)+SUM(BM$20:BM$36)+SUM(BO$20:BO$36)</f>
        <v>1251819.6000000001</v>
      </c>
      <c r="L132" s="124">
        <f>SUM(BQ$20:BQ$36)+SUM(BS$20:BS$36)+SUM(BU$20:BU$36)+SUM(BW$20:BW$36)</f>
        <v>1309141.2</v>
      </c>
      <c r="M132" s="124">
        <f>SUM(BY$20:BY$36)+SUM(CA$20:CA$36)+SUM(CC$20:CC$36)+SUM(CE$20:CE$36)</f>
        <v>1262032.7999999998</v>
      </c>
      <c r="N132" s="124">
        <f>SUM(CG$20:CG$36)+SUM(CI$20:CI$36)+SUM(CK$20:CK$36)+SUM(CM$20:CM$36)</f>
        <v>1047330</v>
      </c>
      <c r="O132" s="124">
        <f>SUM(CO$20:CO$36)+SUM(CQ$20:CQ$36)+SUM(CS$20:CS$36)+SUM(CU$20:CU$36)</f>
        <v>1136098.8</v>
      </c>
    </row>
    <row r="133" spans="2:15" x14ac:dyDescent="0.2">
      <c r="C133" s="123" t="s">
        <v>128</v>
      </c>
      <c r="D133" s="124">
        <f>SUM(E$37:E$48)+SUM(G$37:G$48)+SUM(I$37:I$48)+SUM(K$37:K$48)</f>
        <v>971437.711349549</v>
      </c>
      <c r="E133" s="124">
        <f>SUM(M$37:M$48)+SUM(O$37:O$48)+SUM(Q$37:Q$48)+SUM(S$37:S$48)</f>
        <v>1013402.4</v>
      </c>
      <c r="F133" s="124">
        <f>SUM(U$37:U$48)+SUM(W$37:W$48)+SUM(Y$37:Y$48)+SUM(AA$37:AA$48)</f>
        <v>833474.4</v>
      </c>
      <c r="G133" s="124">
        <f>SUM(AC$37:AC$48)+SUM(AE$37:AE$48)+SUM(AG$37:AG$48)+SUM(AI$37:AI$48)</f>
        <v>959377.2</v>
      </c>
      <c r="H133" s="124">
        <f>SUM(AK$37:AK$48)+SUM(AM$37:AM$48)+SUM(AO$37:AO$48)+SUM(AQ$37:AQ$48)</f>
        <v>1025811.6000000001</v>
      </c>
      <c r="I133" s="124">
        <f>SUM(AS$37:AS$48)+SUM(AU$37:AU$48)+SUM(AW$37:AW$48)+SUM(AY$37:AY$48)</f>
        <v>980277.6</v>
      </c>
      <c r="J133" s="124">
        <f>SUM(BA$37:BA$48)+SUM(BC$37:BC$48)+SUM(BE$37:BE$48)+SUM(BG$37:BG$48)</f>
        <v>827565.60000000009</v>
      </c>
      <c r="K133" s="124">
        <f>SUM(BI$37:BI$48)+SUM(BK$37:BK$48)+SUM(BM$37:BM$48)+SUM(BO$37:BO$48)</f>
        <v>1015941.5999999999</v>
      </c>
      <c r="L133" s="124">
        <f>SUM(BQ$37:BQ$48)+SUM(BS$37:BS$48)+SUM(BU$37:BU$48)+SUM(BW$37:BW$48)</f>
        <v>869966.4</v>
      </c>
      <c r="M133" s="124">
        <f>SUM(BY$37:BY$48)+SUM(CA$37:CA$48)+SUM(CC$37:CC$48)+SUM(CE$37:CE$48)</f>
        <v>884275.20000000007</v>
      </c>
      <c r="N133" s="124">
        <f>SUM(CG$37:CG$48)+SUM(CI$37:CI$48)+SUM(CK$37:CK$48)+SUM(CM$37:CM$48)</f>
        <v>1006298.3999999999</v>
      </c>
      <c r="O133" s="124">
        <f>SUM(CO$37:CO$48)+SUM(CQ$37:CQ$48)+SUM(CS$37:CS$48)+SUM(CU$37:CU$48)</f>
        <v>880642.8</v>
      </c>
    </row>
    <row r="134" spans="2:15" x14ac:dyDescent="0.2">
      <c r="C134" s="123" t="s">
        <v>129</v>
      </c>
      <c r="D134" s="124">
        <f>SUM(E$49:E$70)+SUM(G$49:G$70)+SUM(I$49:I$70)+SUM(K$49:K$70)</f>
        <v>975147.51717750845</v>
      </c>
      <c r="E134" s="124">
        <f>SUM(M$49:M$70)+SUM(O$49:O$70)+SUM(Q$49:Q$70)+SUM(S$49:S$70)</f>
        <v>923815.84717022721</v>
      </c>
      <c r="F134" s="124">
        <f>SUM(U$49:U$70)+SUM(W$49:W$70)+SUM(Y$49:Y$70)+SUM(AA$49:AA$70)</f>
        <v>1096622.4530679928</v>
      </c>
      <c r="G134" s="124">
        <f>SUM(AC$49:AC$70)+SUM(AE$49:AE$70)+SUM(AG$49:AG$70)+SUM(AI$49:AI$70)</f>
        <v>958348.5123240666</v>
      </c>
      <c r="H134" s="124">
        <f>SUM(AK$49:AK$70)+SUM(AM$49:AM$70)+SUM(AO$49:AO$70)+SUM(AQ$49:AQ$70)</f>
        <v>935491.62380128913</v>
      </c>
      <c r="I134" s="124">
        <f>SUM(AS$49:AS$70)+SUM(AU$49:AU$70)+SUM(AW$49:AW$70)+SUM(AY$49:AY$70)</f>
        <v>1133227.9194567788</v>
      </c>
      <c r="J134" s="124">
        <f>SUM(BA$49:BA$70)+SUM(BC$49:BC$70)+SUM(BE$49:BE$70)+SUM(BG$49:BG$70)</f>
        <v>1134085.5407758439</v>
      </c>
      <c r="K134" s="124">
        <f>SUM(BI$49:BI$70)+SUM(BK$49:BK$70)+SUM(BM$49:BM$70)+SUM(BO$49:BO$70)</f>
        <v>1148218.7000724555</v>
      </c>
      <c r="L134" s="124">
        <f>SUM(BQ$49:BQ$70)+SUM(BS$49:BS$70)+SUM(BU$49:BU$70)+SUM(BW$49:BW$70)</f>
        <v>1274381.532390717</v>
      </c>
      <c r="M134" s="124">
        <f>SUM(BY$49:BY$70)+SUM(CA$49:CA$70)+SUM(CC$49:CC$70)+SUM(CE$49:CE$70)</f>
        <v>901069.63496681571</v>
      </c>
      <c r="N134" s="124">
        <f>SUM(CG$49:CG$70)+SUM(CI$49:CI$70)+SUM(CK$49:CK$70)+SUM(CM$49:CM$70)</f>
        <v>1025582.2000482318</v>
      </c>
      <c r="O134" s="124">
        <f>SUM(CO$49:CO$70)+SUM(CQ$49:CQ$70)+SUM(CS$49:CS$70)+SUM(CU$49:CU$70)</f>
        <v>882465.76025132101</v>
      </c>
    </row>
    <row r="135" spans="2:15" x14ac:dyDescent="0.2">
      <c r="C135" s="123" t="s">
        <v>130</v>
      </c>
      <c r="D135" s="124">
        <f>SUM(E$71:E$86)+SUM(G$71:G$86)+SUM(I$71:I$86)+SUM(K$71:K$86)</f>
        <v>438841.14911502553</v>
      </c>
      <c r="E135" s="124">
        <f>SUM(M$71:M$86)+SUM(O$71:O$86)+SUM(Q$71:Q$86)+SUM(S$71:S$86)</f>
        <v>420402.01220857364</v>
      </c>
      <c r="F135" s="124">
        <f>SUM(U$71:U$86)+SUM(W$71:W$86)+SUM(Y$71:Y$86)+SUM(AA$71:AA$86)</f>
        <v>410104.28183382261</v>
      </c>
      <c r="G135" s="124">
        <f>SUM(AC$71:AC$86)+SUM(AE$71:AE$86)+SUM(AG$71:AG$86)+SUM(AI$71:AI$86)</f>
        <v>520480.49902933958</v>
      </c>
      <c r="H135" s="124">
        <f>SUM(AK$71:AK$86)+SUM(AM$71:AM$86)+SUM(AO$71:AO$86)+SUM(AQ$71:AQ$86)</f>
        <v>424326.97776136443</v>
      </c>
      <c r="I135" s="124">
        <f>SUM(AS$71:AS$86)+SUM(AU$71:AU$86)+SUM(AW$71:AW$86)+SUM(AY$71:AY$86)</f>
        <v>440299.85958981985</v>
      </c>
      <c r="J135" s="124">
        <f>SUM(BA$71:BA$86)+SUM(BC$71:BC$86)+SUM(BE$71:BE$86)+SUM(BG$71:BG$86)</f>
        <v>506082.45555382757</v>
      </c>
      <c r="K135" s="124">
        <f>SUM(BI$71:BI$86)+SUM(BK$71:BK$86)+SUM(BM$71:BM$86)+SUM(BO$71:BO$86)</f>
        <v>528997.42066225479</v>
      </c>
      <c r="L135" s="124">
        <f>SUM(BQ$71:BQ$86)+SUM(BS$71:BS$86)+SUM(BU$71:BU$86)+SUM(BW$71:BW$86)</f>
        <v>421320.80707220075</v>
      </c>
      <c r="M135" s="124">
        <f>SUM(BY$71:BY$86)+SUM(CA$71:CA$86)+SUM(CC$71:CC$86)+SUM(CE$71:CE$86)</f>
        <v>482906.14603003924</v>
      </c>
      <c r="N135" s="124">
        <f>SUM(CG$71:CG$86)+SUM(CI$71:CI$86)+SUM(CK$71:CK$86)+SUM(CM$71:CM$86)</f>
        <v>446558.74743938999</v>
      </c>
      <c r="O135" s="124">
        <f>SUM(CO$71:CO$86)+SUM(CQ$71:CQ$86)+SUM(CS$71:CS$86)+SUM(CU$71:CU$86)</f>
        <v>374110.08669652633</v>
      </c>
    </row>
    <row r="136" spans="2:15" x14ac:dyDescent="0.2">
      <c r="C136" s="123" t="s">
        <v>131</v>
      </c>
      <c r="D136" s="124">
        <f>SUM(E$87:E$94)+SUM(G$87:G$94)+SUM(I$87:I$94)+SUM(K$87:K$94)</f>
        <v>581413.55760090286</v>
      </c>
      <c r="E136" s="124">
        <f>SUM(M$87:M$94)+SUM(O$87:O$94)+SUM(Q$87:Q$94)+SUM(S$87:S$94)</f>
        <v>616133.13275617047</v>
      </c>
      <c r="F136" s="124">
        <f>SUM(U$87:U$94)+SUM(W$87:W$94)+SUM(Y$87:Y$94)+SUM(AA$87:AA$94)</f>
        <v>698652.03141579777</v>
      </c>
      <c r="G136" s="124">
        <f>SUM(AC$87:AC$94)+SUM(AE$87:AE$94)+SUM(AG$87:AG$94)+SUM(AI$87:AI$94)</f>
        <v>543918.9700180972</v>
      </c>
      <c r="H136" s="124">
        <f>SUM(AK$87:AK$94)+SUM(AM$87:AM$94)+SUM(AO$87:AO$94)+SUM(AQ$87:AQ$94)</f>
        <v>700045.63464185654</v>
      </c>
      <c r="I136" s="124">
        <f>SUM(AS$87:AS$94)+SUM(AU$87:AU$94)+SUM(AW$87:AW$94)+SUM(AY$87:AY$94)</f>
        <v>684368.42113487038</v>
      </c>
      <c r="J136" s="124">
        <f>SUM(BA$87:BA$94)+SUM(BC$87:BC$94)+SUM(BE$87:BE$94)+SUM(BG$87:BG$94)</f>
        <v>606312.96319888753</v>
      </c>
      <c r="K136" s="124">
        <f>SUM(BI$87:BI$94)+SUM(BK$87:BK$94)+SUM(BM$87:BM$94)+SUM(BO$87:BO$94)</f>
        <v>598687.4147863239</v>
      </c>
      <c r="L136" s="124">
        <f>SUM(BQ$87:BQ$94)+SUM(BS$87:BS$94)+SUM(BU$87:BU$94)+SUM(BW$87:BW$94)</f>
        <v>724263.15620142629</v>
      </c>
      <c r="M136" s="124">
        <f>SUM(BY$87:BY$94)+SUM(CA$87:CA$94)+SUM(CC$87:CC$94)+SUM(CE$87:CE$94)</f>
        <v>614179.96582710498</v>
      </c>
      <c r="N136" s="124">
        <f>SUM(CG$87:CG$94)+SUM(CI$87:CI$94)+SUM(CK$87:CK$94)+SUM(CM$87:CM$94)</f>
        <v>690414.54036302562</v>
      </c>
      <c r="O136" s="124">
        <f>SUM(CO$87:CO$94)+SUM(CQ$87:CQ$94)+SUM(CS$87:CS$94)+SUM(CU$87:CU$94)</f>
        <v>611458.36735245748</v>
      </c>
    </row>
    <row r="137" spans="2:15" x14ac:dyDescent="0.2">
      <c r="C137" s="123" t="s">
        <v>132</v>
      </c>
      <c r="D137" s="124">
        <f>SUM(E$95:E$105)+SUM(G$95:G$105)+SUM(I$95:I$105)+SUM(K$95:K$105)</f>
        <v>2012720.9139213047</v>
      </c>
      <c r="E137" s="124">
        <f>SUM(M$95:M$105)+SUM(O$95:O$105)+SUM(Q$95:Q$105)+SUM(S$95:S$105)</f>
        <v>1613359.129840892</v>
      </c>
      <c r="F137" s="124">
        <f>SUM(U$95:U$105)+SUM(W$95:W$105)+SUM(Y$95:Y$105)+SUM(AA$95:AA$105)</f>
        <v>1547749.7527610178</v>
      </c>
      <c r="G137" s="124">
        <f>SUM(AC$95:AC$105)+SUM(AE$95:AE$105)+SUM(AG$95:AG$105)+SUM(AI$95:AI$105)</f>
        <v>1650899.9858632875</v>
      </c>
      <c r="H137" s="124">
        <f>SUM(AK$95:AK$105)+SUM(AM$95:AM$105)+SUM(AO$95:AO$105)+SUM(AQ$95:AQ$105)</f>
        <v>1446250.8444478703</v>
      </c>
      <c r="I137" s="124">
        <f>SUM(AS$95:AS$105)+SUM(AU$95:AU$105)+SUM(AW$95:AW$105)+SUM(AY$95:AY$105)</f>
        <v>1907078.0807542279</v>
      </c>
      <c r="J137" s="124">
        <f>SUM(BA$95:BA$105)+SUM(BC$95:BC$105)+SUM(BE$95:BE$105)+SUM(BG$95:BG$105)</f>
        <v>1836909.1542426271</v>
      </c>
      <c r="K137" s="124">
        <f>SUM(BI$95:BI$105)+SUM(BK$95:BK$105)+SUM(BM$95:BM$105)+SUM(BO$95:BO$105)</f>
        <v>1773698.6528012247</v>
      </c>
      <c r="L137" s="124">
        <f>SUM(BQ$95:BQ$105)+SUM(BS$95:BS$105)+SUM(BU$95:BU$105)+SUM(BW$95:BW$105)</f>
        <v>1372138.7205442989</v>
      </c>
      <c r="M137" s="124">
        <f>SUM(BY$95:BY$105)+SUM(CA$95:CA$105)+SUM(CC$95:CC$105)+SUM(CE$95:CE$105)</f>
        <v>1667326.2638841551</v>
      </c>
      <c r="N137" s="124">
        <f>SUM(CG$95:CG$105)+SUM(CI$95:CI$105)+SUM(CK$95:CK$105)+SUM(CM$95:CM$105)</f>
        <v>1567053.0522831127</v>
      </c>
      <c r="O137" s="124">
        <f>SUM(CO$95:CO$105)+SUM(CQ$95:CQ$105)+SUM(CS$95:CS$105)+SUM(CU$95:CU$105)</f>
        <v>1604230.0372669729</v>
      </c>
    </row>
    <row r="138" spans="2:15" x14ac:dyDescent="0.2">
      <c r="C138" s="123" t="s">
        <v>278</v>
      </c>
      <c r="D138">
        <f t="shared" ref="D138:O138" si="2">SUM(D$131:D$137)</f>
        <v>7037581.4416769566</v>
      </c>
      <c r="E138">
        <f t="shared" si="2"/>
        <v>6363066.9219758632</v>
      </c>
      <c r="F138">
        <f t="shared" si="2"/>
        <v>6501664.9190786304</v>
      </c>
      <c r="G138">
        <f t="shared" si="2"/>
        <v>6395648.7672347911</v>
      </c>
      <c r="H138">
        <f t="shared" si="2"/>
        <v>6448497.0806523804</v>
      </c>
      <c r="I138">
        <f t="shared" si="2"/>
        <v>7059572.2809356973</v>
      </c>
      <c r="J138">
        <f t="shared" si="2"/>
        <v>6905760.1137711862</v>
      </c>
      <c r="K138">
        <f t="shared" si="2"/>
        <v>7141664.9883222589</v>
      </c>
      <c r="L138">
        <f t="shared" si="2"/>
        <v>6765909.4162086425</v>
      </c>
      <c r="M138">
        <f t="shared" si="2"/>
        <v>6606053.2107081143</v>
      </c>
      <c r="N138">
        <f t="shared" si="2"/>
        <v>6680145.7401337605</v>
      </c>
      <c r="O138">
        <f t="shared" si="2"/>
        <v>6350608.2515672781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20"/>
    </row>
    <row r="2" spans="1:99" x14ac:dyDescent="0.2">
      <c r="B2" s="1" t="s">
        <v>272</v>
      </c>
    </row>
    <row r="3" spans="1:99" x14ac:dyDescent="0.2">
      <c r="B3" s="121" t="s">
        <v>273</v>
      </c>
    </row>
    <row r="4" spans="1:99" x14ac:dyDescent="0.2">
      <c r="A4" s="120"/>
      <c r="B4" s="120"/>
      <c r="C4" s="119" t="s">
        <v>274</v>
      </c>
      <c r="D4" s="119" t="s">
        <v>92</v>
      </c>
      <c r="E4" s="120"/>
      <c r="F4" s="120"/>
      <c r="G4" s="120"/>
      <c r="H4" s="120"/>
      <c r="I4" s="120"/>
      <c r="J4" s="120"/>
      <c r="K4" s="120"/>
      <c r="L4" s="119" t="s">
        <v>93</v>
      </c>
      <c r="M4" s="120"/>
      <c r="N4" s="120"/>
      <c r="O4" s="120"/>
      <c r="P4" s="120"/>
      <c r="Q4" s="120"/>
      <c r="R4" s="120"/>
      <c r="S4" s="120"/>
      <c r="T4" s="119" t="s">
        <v>94</v>
      </c>
      <c r="U4" s="120"/>
      <c r="V4" s="120"/>
      <c r="W4" s="120"/>
      <c r="X4" s="120"/>
      <c r="Y4" s="120"/>
      <c r="Z4" s="120"/>
      <c r="AA4" s="120"/>
      <c r="AB4" s="119" t="s">
        <v>95</v>
      </c>
      <c r="AC4" s="120"/>
      <c r="AD4" s="120"/>
      <c r="AE4" s="120"/>
      <c r="AF4" s="120"/>
      <c r="AG4" s="120"/>
      <c r="AH4" s="120"/>
      <c r="AI4" s="120"/>
      <c r="AJ4" s="119" t="s">
        <v>96</v>
      </c>
      <c r="AK4" s="120"/>
      <c r="AL4" s="120"/>
      <c r="AM4" s="120"/>
      <c r="AN4" s="120"/>
      <c r="AO4" s="120"/>
      <c r="AP4" s="120"/>
      <c r="AQ4" s="120"/>
      <c r="AR4" s="119" t="s">
        <v>97</v>
      </c>
      <c r="AS4" s="120"/>
      <c r="AT4" s="120"/>
      <c r="AU4" s="120"/>
      <c r="AV4" s="120"/>
      <c r="AW4" s="120"/>
      <c r="AX4" s="120"/>
      <c r="AY4" s="120"/>
      <c r="AZ4" s="119" t="s">
        <v>98</v>
      </c>
      <c r="BA4" s="120"/>
      <c r="BB4" s="120"/>
      <c r="BC4" s="120"/>
      <c r="BD4" s="120"/>
      <c r="BE4" s="120"/>
      <c r="BF4" s="120"/>
      <c r="BG4" s="120"/>
      <c r="BH4" s="119" t="s">
        <v>99</v>
      </c>
      <c r="BI4" s="120"/>
      <c r="BJ4" s="120"/>
      <c r="BK4" s="120"/>
      <c r="BL4" s="120"/>
      <c r="BM4" s="120"/>
      <c r="BN4" s="120"/>
      <c r="BO4" s="120"/>
      <c r="BP4" s="119" t="s">
        <v>100</v>
      </c>
      <c r="BQ4" s="120"/>
      <c r="BR4" s="120"/>
      <c r="BS4" s="120"/>
      <c r="BT4" s="120"/>
      <c r="BU4" s="120"/>
      <c r="BV4" s="120"/>
      <c r="BW4" s="120"/>
      <c r="BX4" s="119" t="s">
        <v>101</v>
      </c>
      <c r="BY4" s="120"/>
      <c r="BZ4" s="120"/>
      <c r="CA4" s="120"/>
      <c r="CB4" s="120"/>
      <c r="CC4" s="120"/>
      <c r="CD4" s="120"/>
      <c r="CE4" s="120"/>
      <c r="CF4" s="119" t="s">
        <v>102</v>
      </c>
      <c r="CG4" s="120"/>
      <c r="CH4" s="120"/>
      <c r="CI4" s="120"/>
      <c r="CJ4" s="120"/>
      <c r="CK4" s="120"/>
      <c r="CL4" s="120"/>
      <c r="CM4" s="120"/>
      <c r="CN4" s="119" t="s">
        <v>103</v>
      </c>
      <c r="CO4" s="120"/>
      <c r="CP4" s="120"/>
      <c r="CQ4" s="120"/>
      <c r="CR4" s="120"/>
      <c r="CS4" s="120"/>
      <c r="CT4" s="120"/>
      <c r="CU4" s="120"/>
    </row>
    <row r="5" spans="1:99" x14ac:dyDescent="0.2">
      <c r="B5" s="119" t="s">
        <v>167</v>
      </c>
      <c r="C5" s="119" t="s">
        <v>275</v>
      </c>
      <c r="D5" s="119">
        <v>1</v>
      </c>
      <c r="E5" s="119"/>
      <c r="F5" s="119">
        <v>2</v>
      </c>
      <c r="G5" s="119"/>
      <c r="H5" s="119">
        <v>3</v>
      </c>
      <c r="I5" s="119"/>
      <c r="J5" s="119">
        <v>4</v>
      </c>
      <c r="K5" s="119"/>
      <c r="L5" s="119">
        <v>1</v>
      </c>
      <c r="M5" s="119"/>
      <c r="N5" s="119">
        <v>2</v>
      </c>
      <c r="O5" s="119"/>
      <c r="P5" s="119">
        <v>3</v>
      </c>
      <c r="Q5" s="119"/>
      <c r="R5" s="119">
        <v>4</v>
      </c>
      <c r="S5" s="119"/>
      <c r="T5" s="119">
        <v>1</v>
      </c>
      <c r="U5" s="119"/>
      <c r="V5" s="119">
        <v>2</v>
      </c>
      <c r="W5" s="119"/>
      <c r="X5" s="119">
        <v>3</v>
      </c>
      <c r="Y5" s="119"/>
      <c r="Z5" s="119">
        <v>4</v>
      </c>
      <c r="AA5" s="119"/>
      <c r="AB5" s="119">
        <v>1</v>
      </c>
      <c r="AC5" s="119"/>
      <c r="AD5" s="119">
        <v>2</v>
      </c>
      <c r="AE5" s="119"/>
      <c r="AF5" s="119">
        <v>3</v>
      </c>
      <c r="AG5" s="119"/>
      <c r="AH5" s="119">
        <v>4</v>
      </c>
      <c r="AI5" s="119"/>
      <c r="AJ5" s="119">
        <v>1</v>
      </c>
      <c r="AK5" s="119"/>
      <c r="AL5" s="119">
        <v>2</v>
      </c>
      <c r="AM5" s="119"/>
      <c r="AN5" s="119">
        <v>3</v>
      </c>
      <c r="AO5" s="119"/>
      <c r="AP5" s="119">
        <v>4</v>
      </c>
      <c r="AQ5" s="119"/>
      <c r="AR5" s="119">
        <v>1</v>
      </c>
      <c r="AS5" s="119"/>
      <c r="AT5" s="119">
        <v>2</v>
      </c>
      <c r="AU5" s="119"/>
      <c r="AV5" s="119">
        <v>3</v>
      </c>
      <c r="AW5" s="119"/>
      <c r="AX5" s="119">
        <v>4</v>
      </c>
      <c r="AY5" s="119"/>
      <c r="AZ5" s="119">
        <v>1</v>
      </c>
      <c r="BA5" s="119"/>
      <c r="BB5" s="119">
        <v>2</v>
      </c>
      <c r="BC5" s="119"/>
      <c r="BD5" s="119">
        <v>3</v>
      </c>
      <c r="BE5" s="119"/>
      <c r="BF5" s="119">
        <v>4</v>
      </c>
      <c r="BG5" s="119"/>
      <c r="BH5" s="119">
        <v>1</v>
      </c>
      <c r="BI5" s="119"/>
      <c r="BJ5" s="119">
        <v>2</v>
      </c>
      <c r="BK5" s="119"/>
      <c r="BL5" s="119">
        <v>3</v>
      </c>
      <c r="BM5" s="119"/>
      <c r="BN5" s="119">
        <v>4</v>
      </c>
      <c r="BO5" s="119"/>
      <c r="BP5" s="119">
        <v>1</v>
      </c>
      <c r="BQ5" s="119"/>
      <c r="BR5" s="119">
        <v>2</v>
      </c>
      <c r="BS5" s="119"/>
      <c r="BT5" s="119">
        <v>3</v>
      </c>
      <c r="BU5" s="119"/>
      <c r="BV5" s="119">
        <v>4</v>
      </c>
      <c r="BW5" s="119"/>
      <c r="BX5" s="119">
        <v>1</v>
      </c>
      <c r="BY5" s="119"/>
      <c r="BZ5" s="119">
        <v>2</v>
      </c>
      <c r="CA5" s="119"/>
      <c r="CB5" s="119">
        <v>3</v>
      </c>
      <c r="CC5" s="119"/>
      <c r="CD5" s="119">
        <v>4</v>
      </c>
      <c r="CE5" s="119"/>
      <c r="CF5" s="119">
        <v>1</v>
      </c>
      <c r="CG5" s="119"/>
      <c r="CH5" s="119">
        <v>2</v>
      </c>
      <c r="CI5" s="119"/>
      <c r="CJ5" s="119">
        <v>3</v>
      </c>
      <c r="CK5" s="119"/>
      <c r="CL5" s="119">
        <v>4</v>
      </c>
      <c r="CM5" s="119"/>
      <c r="CN5" s="119">
        <v>1</v>
      </c>
      <c r="CO5" s="119"/>
      <c r="CP5" s="119">
        <v>2</v>
      </c>
      <c r="CQ5" s="119"/>
      <c r="CR5" s="119">
        <v>3</v>
      </c>
      <c r="CS5" s="119"/>
      <c r="CT5" s="119">
        <v>4</v>
      </c>
      <c r="CU5" s="119"/>
    </row>
    <row r="6" spans="1:99" x14ac:dyDescent="0.2">
      <c r="B6" s="119" t="s">
        <v>126</v>
      </c>
      <c r="C6" s="119" t="s">
        <v>172</v>
      </c>
      <c r="D6">
        <v>24.448923853998174</v>
      </c>
      <c r="E6">
        <v>14141.257557152543</v>
      </c>
      <c r="F6">
        <v>22</v>
      </c>
      <c r="G6">
        <v>12724.8</v>
      </c>
      <c r="H6">
        <v>21.413729253979319</v>
      </c>
      <c r="I6">
        <v>12385.701000501638</v>
      </c>
      <c r="J6">
        <v>16</v>
      </c>
      <c r="K6">
        <v>9254.4</v>
      </c>
      <c r="L6">
        <v>19</v>
      </c>
      <c r="M6">
        <v>10989.6</v>
      </c>
      <c r="N6">
        <v>19</v>
      </c>
      <c r="O6">
        <v>10989.6</v>
      </c>
      <c r="P6">
        <v>24</v>
      </c>
      <c r="Q6">
        <v>13881.599999999999</v>
      </c>
      <c r="R6">
        <v>14</v>
      </c>
      <c r="S6">
        <v>8097.5999999999995</v>
      </c>
      <c r="T6">
        <v>21</v>
      </c>
      <c r="U6">
        <v>12146.4</v>
      </c>
      <c r="V6">
        <v>26</v>
      </c>
      <c r="W6">
        <v>15038.4</v>
      </c>
      <c r="X6">
        <v>26</v>
      </c>
      <c r="Y6">
        <v>15038.4</v>
      </c>
      <c r="Z6">
        <v>28</v>
      </c>
      <c r="AA6">
        <v>16195.199999999999</v>
      </c>
      <c r="AB6">
        <v>21</v>
      </c>
      <c r="AC6">
        <v>12146.4</v>
      </c>
      <c r="AD6">
        <v>15</v>
      </c>
      <c r="AE6">
        <v>8676</v>
      </c>
      <c r="AF6">
        <v>23</v>
      </c>
      <c r="AG6">
        <v>13303.199999999999</v>
      </c>
      <c r="AH6">
        <v>18</v>
      </c>
      <c r="AI6">
        <v>10411.199999999999</v>
      </c>
      <c r="AJ6">
        <v>16</v>
      </c>
      <c r="AK6">
        <v>9254.4</v>
      </c>
      <c r="AL6">
        <v>23</v>
      </c>
      <c r="AM6">
        <v>13303.199999999999</v>
      </c>
      <c r="AN6">
        <v>28</v>
      </c>
      <c r="AO6">
        <v>16195.199999999999</v>
      </c>
      <c r="AP6">
        <v>22</v>
      </c>
      <c r="AQ6">
        <v>12724.8</v>
      </c>
      <c r="AR6">
        <v>17</v>
      </c>
      <c r="AS6">
        <v>9832.7999999999993</v>
      </c>
      <c r="AT6">
        <v>23</v>
      </c>
      <c r="AU6">
        <v>13303.199999999999</v>
      </c>
      <c r="AV6">
        <v>27</v>
      </c>
      <c r="AW6">
        <v>15616.8</v>
      </c>
      <c r="AX6">
        <v>27</v>
      </c>
      <c r="AY6">
        <v>15616.8</v>
      </c>
      <c r="AZ6">
        <v>27</v>
      </c>
      <c r="BA6">
        <v>15616.8</v>
      </c>
      <c r="BB6">
        <v>19</v>
      </c>
      <c r="BC6">
        <v>10989.6</v>
      </c>
      <c r="BD6">
        <v>29</v>
      </c>
      <c r="BE6">
        <v>16773.599999999999</v>
      </c>
      <c r="BF6">
        <v>19</v>
      </c>
      <c r="BG6">
        <v>10989.6</v>
      </c>
      <c r="BH6">
        <v>29</v>
      </c>
      <c r="BI6">
        <v>16773.599999999999</v>
      </c>
      <c r="BJ6">
        <v>30</v>
      </c>
      <c r="BK6">
        <v>17352</v>
      </c>
      <c r="BL6">
        <v>29</v>
      </c>
      <c r="BM6">
        <v>16773.599999999999</v>
      </c>
      <c r="BN6">
        <v>25</v>
      </c>
      <c r="BO6">
        <v>14460</v>
      </c>
      <c r="BP6">
        <v>17</v>
      </c>
      <c r="BQ6">
        <v>9832.7999999999993</v>
      </c>
      <c r="BR6">
        <v>23</v>
      </c>
      <c r="BS6">
        <v>13303.199999999999</v>
      </c>
      <c r="BT6">
        <v>20</v>
      </c>
      <c r="BU6">
        <v>11568</v>
      </c>
      <c r="BV6">
        <v>24</v>
      </c>
      <c r="BW6">
        <v>13881.599999999999</v>
      </c>
      <c r="BX6">
        <v>29</v>
      </c>
      <c r="BY6">
        <v>16773.599999999999</v>
      </c>
      <c r="BZ6">
        <v>33</v>
      </c>
      <c r="CA6">
        <v>19087.2</v>
      </c>
      <c r="CB6">
        <v>20</v>
      </c>
      <c r="CC6">
        <v>11568</v>
      </c>
      <c r="CD6">
        <v>28</v>
      </c>
      <c r="CE6">
        <v>16195.199999999999</v>
      </c>
      <c r="CF6">
        <v>16</v>
      </c>
      <c r="CG6">
        <v>9254.4</v>
      </c>
      <c r="CH6">
        <v>21</v>
      </c>
      <c r="CI6">
        <v>12146.4</v>
      </c>
      <c r="CJ6">
        <v>20</v>
      </c>
      <c r="CK6">
        <v>11568</v>
      </c>
      <c r="CL6">
        <v>18</v>
      </c>
      <c r="CM6">
        <v>10411.199999999999</v>
      </c>
      <c r="CN6">
        <v>18</v>
      </c>
      <c r="CO6">
        <v>10411.199999999999</v>
      </c>
      <c r="CP6">
        <v>17</v>
      </c>
      <c r="CQ6">
        <v>9832.7999999999993</v>
      </c>
      <c r="CR6">
        <v>30</v>
      </c>
      <c r="CS6">
        <v>17352</v>
      </c>
      <c r="CT6">
        <v>30</v>
      </c>
      <c r="CU6">
        <v>17352</v>
      </c>
    </row>
    <row r="7" spans="1:99" x14ac:dyDescent="0.2">
      <c r="C7" s="119" t="s">
        <v>173</v>
      </c>
      <c r="D7">
        <v>27.448923853998174</v>
      </c>
      <c r="E7">
        <v>21640.731566492159</v>
      </c>
      <c r="F7">
        <v>22</v>
      </c>
      <c r="G7">
        <v>17344.8</v>
      </c>
      <c r="H7">
        <v>21.459699171088133</v>
      </c>
      <c r="I7">
        <v>16918.826826485882</v>
      </c>
      <c r="J7">
        <v>14</v>
      </c>
      <c r="K7">
        <v>11037.6</v>
      </c>
      <c r="L7">
        <v>21</v>
      </c>
      <c r="M7">
        <v>16556.399999999998</v>
      </c>
      <c r="N7">
        <v>18</v>
      </c>
      <c r="O7">
        <v>14191.199999999999</v>
      </c>
      <c r="P7">
        <v>20</v>
      </c>
      <c r="Q7">
        <v>15768</v>
      </c>
      <c r="R7">
        <v>14</v>
      </c>
      <c r="S7">
        <v>11037.6</v>
      </c>
      <c r="T7">
        <v>20</v>
      </c>
      <c r="U7">
        <v>15768</v>
      </c>
      <c r="V7">
        <v>27</v>
      </c>
      <c r="W7">
        <v>21286.799999999999</v>
      </c>
      <c r="X7">
        <v>27</v>
      </c>
      <c r="Y7">
        <v>21286.799999999999</v>
      </c>
      <c r="Z7">
        <v>27</v>
      </c>
      <c r="AA7">
        <v>21286.799999999999</v>
      </c>
      <c r="AB7">
        <v>21</v>
      </c>
      <c r="AC7">
        <v>16556.399999999998</v>
      </c>
      <c r="AD7">
        <v>14</v>
      </c>
      <c r="AE7">
        <v>11037.6</v>
      </c>
      <c r="AF7">
        <v>22</v>
      </c>
      <c r="AG7">
        <v>17344.8</v>
      </c>
      <c r="AH7">
        <v>19</v>
      </c>
      <c r="AI7">
        <v>14979.6</v>
      </c>
      <c r="AJ7">
        <v>17</v>
      </c>
      <c r="AK7">
        <v>13402.8</v>
      </c>
      <c r="AL7">
        <v>24</v>
      </c>
      <c r="AM7">
        <v>18921.599999999999</v>
      </c>
      <c r="AN7">
        <v>27</v>
      </c>
      <c r="AO7">
        <v>21286.799999999999</v>
      </c>
      <c r="AP7">
        <v>23</v>
      </c>
      <c r="AQ7">
        <v>18133.2</v>
      </c>
      <c r="AR7">
        <v>15</v>
      </c>
      <c r="AS7">
        <v>11826</v>
      </c>
      <c r="AT7">
        <v>22</v>
      </c>
      <c r="AU7">
        <v>17344.8</v>
      </c>
      <c r="AV7">
        <v>26</v>
      </c>
      <c r="AW7">
        <v>20498.399999999998</v>
      </c>
      <c r="AX7">
        <v>27</v>
      </c>
      <c r="AY7">
        <v>21286.799999999999</v>
      </c>
      <c r="AZ7">
        <v>26</v>
      </c>
      <c r="BA7">
        <v>20498.399999999998</v>
      </c>
      <c r="BB7">
        <v>22</v>
      </c>
      <c r="BC7">
        <v>17344.8</v>
      </c>
      <c r="BD7">
        <v>28</v>
      </c>
      <c r="BE7">
        <v>22075.200000000001</v>
      </c>
      <c r="BF7">
        <v>17</v>
      </c>
      <c r="BG7">
        <v>13402.8</v>
      </c>
      <c r="BH7">
        <v>25</v>
      </c>
      <c r="BI7">
        <v>19710</v>
      </c>
      <c r="BJ7">
        <v>28</v>
      </c>
      <c r="BK7">
        <v>22075.200000000001</v>
      </c>
      <c r="BL7">
        <v>28</v>
      </c>
      <c r="BM7">
        <v>22075.200000000001</v>
      </c>
      <c r="BN7">
        <v>26</v>
      </c>
      <c r="BO7">
        <v>20498.399999999998</v>
      </c>
      <c r="BP7">
        <v>17</v>
      </c>
      <c r="BQ7">
        <v>13402.8</v>
      </c>
      <c r="BR7">
        <v>24</v>
      </c>
      <c r="BS7">
        <v>18921.599999999999</v>
      </c>
      <c r="BT7">
        <v>17</v>
      </c>
      <c r="BU7">
        <v>13402.8</v>
      </c>
      <c r="BV7">
        <v>24</v>
      </c>
      <c r="BW7">
        <v>18921.599999999999</v>
      </c>
      <c r="BX7">
        <v>27</v>
      </c>
      <c r="BY7">
        <v>21286.799999999999</v>
      </c>
      <c r="BZ7">
        <v>31</v>
      </c>
      <c r="CA7">
        <v>24440.399999999998</v>
      </c>
      <c r="CB7">
        <v>19</v>
      </c>
      <c r="CC7">
        <v>14979.6</v>
      </c>
      <c r="CD7">
        <v>30</v>
      </c>
      <c r="CE7">
        <v>23652</v>
      </c>
      <c r="CF7">
        <v>15</v>
      </c>
      <c r="CG7">
        <v>11826</v>
      </c>
      <c r="CH7">
        <v>21</v>
      </c>
      <c r="CI7">
        <v>16556.399999999998</v>
      </c>
      <c r="CJ7">
        <v>17</v>
      </c>
      <c r="CK7">
        <v>13402.8</v>
      </c>
      <c r="CL7">
        <v>17</v>
      </c>
      <c r="CM7">
        <v>13402.8</v>
      </c>
      <c r="CN7">
        <v>16</v>
      </c>
      <c r="CO7">
        <v>12614.4</v>
      </c>
      <c r="CP7">
        <v>16</v>
      </c>
      <c r="CQ7">
        <v>12614.4</v>
      </c>
      <c r="CR7">
        <v>28</v>
      </c>
      <c r="CS7">
        <v>22075.200000000001</v>
      </c>
      <c r="CT7">
        <v>29</v>
      </c>
      <c r="CU7">
        <v>22863.599999999999</v>
      </c>
    </row>
    <row r="8" spans="1:99" x14ac:dyDescent="0.2">
      <c r="C8" s="119" t="s">
        <v>174</v>
      </c>
      <c r="D8">
        <v>27.448923853998174</v>
      </c>
      <c r="E8">
        <v>8498.186825197834</v>
      </c>
      <c r="F8">
        <v>24</v>
      </c>
      <c r="G8">
        <v>7430.4</v>
      </c>
      <c r="H8">
        <v>23.459699171088133</v>
      </c>
      <c r="I8">
        <v>7263.1228633688852</v>
      </c>
      <c r="J8">
        <v>15</v>
      </c>
      <c r="K8">
        <v>4643.9999999999991</v>
      </c>
      <c r="L8">
        <v>21</v>
      </c>
      <c r="M8">
        <v>6501.5999999999995</v>
      </c>
      <c r="N8">
        <v>20</v>
      </c>
      <c r="O8">
        <v>6191.9999999999991</v>
      </c>
      <c r="P8">
        <v>23</v>
      </c>
      <c r="Q8">
        <v>7120.7999999999993</v>
      </c>
      <c r="R8">
        <v>16</v>
      </c>
      <c r="S8">
        <v>4953.5999999999995</v>
      </c>
      <c r="T8">
        <v>24</v>
      </c>
      <c r="U8">
        <v>7430.4</v>
      </c>
      <c r="V8">
        <v>27</v>
      </c>
      <c r="W8">
        <v>8359.1999999999989</v>
      </c>
      <c r="X8">
        <v>28</v>
      </c>
      <c r="Y8">
        <v>8668.7999999999993</v>
      </c>
      <c r="Z8">
        <v>28</v>
      </c>
      <c r="AA8">
        <v>8668.7999999999993</v>
      </c>
      <c r="AB8">
        <v>21</v>
      </c>
      <c r="AC8">
        <v>6501.5999999999995</v>
      </c>
      <c r="AD8">
        <v>17</v>
      </c>
      <c r="AE8">
        <v>5263.2</v>
      </c>
      <c r="AF8">
        <v>23</v>
      </c>
      <c r="AG8">
        <v>7120.7999999999993</v>
      </c>
      <c r="AH8">
        <v>20</v>
      </c>
      <c r="AI8">
        <v>6191.9999999999991</v>
      </c>
      <c r="AJ8">
        <v>17</v>
      </c>
      <c r="AK8">
        <v>5263.2</v>
      </c>
      <c r="AL8">
        <v>25</v>
      </c>
      <c r="AM8">
        <v>7739.9999999999991</v>
      </c>
      <c r="AN8">
        <v>25</v>
      </c>
      <c r="AO8">
        <v>7739.9999999999991</v>
      </c>
      <c r="AP8">
        <v>21</v>
      </c>
      <c r="AQ8">
        <v>6501.5999999999995</v>
      </c>
      <c r="AR8">
        <v>17</v>
      </c>
      <c r="AS8">
        <v>5263.2</v>
      </c>
      <c r="AT8">
        <v>24</v>
      </c>
      <c r="AU8">
        <v>7430.4</v>
      </c>
      <c r="AV8">
        <v>30</v>
      </c>
      <c r="AW8">
        <v>9287.9999999999982</v>
      </c>
      <c r="AX8">
        <v>25</v>
      </c>
      <c r="AY8">
        <v>7739.9999999999991</v>
      </c>
      <c r="AZ8">
        <v>25</v>
      </c>
      <c r="BA8">
        <v>7739.9999999999991</v>
      </c>
      <c r="BB8">
        <v>22</v>
      </c>
      <c r="BC8">
        <v>6811.1999999999989</v>
      </c>
      <c r="BD8">
        <v>29</v>
      </c>
      <c r="BE8">
        <v>8978.4</v>
      </c>
      <c r="BF8">
        <v>17</v>
      </c>
      <c r="BG8">
        <v>5263.2</v>
      </c>
      <c r="BH8">
        <v>27</v>
      </c>
      <c r="BI8">
        <v>8359.1999999999989</v>
      </c>
      <c r="BJ8">
        <v>31</v>
      </c>
      <c r="BK8">
        <v>9597.5999999999985</v>
      </c>
      <c r="BL8">
        <v>30</v>
      </c>
      <c r="BM8">
        <v>9287.9999999999982</v>
      </c>
      <c r="BN8">
        <v>26</v>
      </c>
      <c r="BO8">
        <v>8049.5999999999995</v>
      </c>
      <c r="BP8">
        <v>16</v>
      </c>
      <c r="BQ8">
        <v>4953.5999999999995</v>
      </c>
      <c r="BR8">
        <v>24</v>
      </c>
      <c r="BS8">
        <v>7430.4</v>
      </c>
      <c r="BT8">
        <v>20</v>
      </c>
      <c r="BU8">
        <v>6191.9999999999991</v>
      </c>
      <c r="BV8">
        <v>28</v>
      </c>
      <c r="BW8">
        <v>8668.7999999999993</v>
      </c>
      <c r="BX8">
        <v>29</v>
      </c>
      <c r="BY8">
        <v>8978.4</v>
      </c>
      <c r="BZ8">
        <v>29</v>
      </c>
      <c r="CA8">
        <v>8978.4</v>
      </c>
      <c r="CB8">
        <v>22</v>
      </c>
      <c r="CC8">
        <v>6811.1999999999989</v>
      </c>
      <c r="CD8">
        <v>30</v>
      </c>
      <c r="CE8">
        <v>9287.9999999999982</v>
      </c>
      <c r="CF8">
        <v>18</v>
      </c>
      <c r="CG8">
        <v>5572.7999999999993</v>
      </c>
      <c r="CH8">
        <v>22</v>
      </c>
      <c r="CI8">
        <v>6811.1999999999989</v>
      </c>
      <c r="CJ8">
        <v>20</v>
      </c>
      <c r="CK8">
        <v>6191.9999999999991</v>
      </c>
      <c r="CL8">
        <v>18</v>
      </c>
      <c r="CM8">
        <v>5572.7999999999993</v>
      </c>
      <c r="CN8">
        <v>19</v>
      </c>
      <c r="CO8">
        <v>5882.4</v>
      </c>
      <c r="CP8">
        <v>17</v>
      </c>
      <c r="CQ8">
        <v>5263.2</v>
      </c>
      <c r="CR8">
        <v>31</v>
      </c>
      <c r="CS8">
        <v>9597.5999999999985</v>
      </c>
      <c r="CT8">
        <v>36</v>
      </c>
      <c r="CU8">
        <v>11145.599999999999</v>
      </c>
    </row>
    <row r="9" spans="1:99" x14ac:dyDescent="0.2">
      <c r="C9" s="119" t="s">
        <v>175</v>
      </c>
      <c r="D9">
        <v>24.448923853998174</v>
      </c>
      <c r="E9">
        <v>17163.144545506719</v>
      </c>
      <c r="F9">
        <v>22</v>
      </c>
      <c r="G9">
        <v>15444</v>
      </c>
      <c r="H9">
        <v>22.459699171088133</v>
      </c>
      <c r="I9">
        <v>15766.708818103869</v>
      </c>
      <c r="J9">
        <v>14.441877377042527</v>
      </c>
      <c r="K9">
        <v>10138.197918683854</v>
      </c>
      <c r="L9">
        <v>18</v>
      </c>
      <c r="M9">
        <v>12636</v>
      </c>
      <c r="N9">
        <v>20</v>
      </c>
      <c r="O9">
        <v>14040</v>
      </c>
      <c r="P9">
        <v>21</v>
      </c>
      <c r="Q9">
        <v>14742</v>
      </c>
      <c r="R9">
        <v>15</v>
      </c>
      <c r="S9">
        <v>10530</v>
      </c>
      <c r="T9">
        <v>23</v>
      </c>
      <c r="U9">
        <v>16146</v>
      </c>
      <c r="V9">
        <v>29</v>
      </c>
      <c r="W9">
        <v>20358</v>
      </c>
      <c r="X9">
        <v>25</v>
      </c>
      <c r="Y9">
        <v>17550</v>
      </c>
      <c r="Z9">
        <v>25</v>
      </c>
      <c r="AA9">
        <v>17550</v>
      </c>
      <c r="AB9">
        <v>23</v>
      </c>
      <c r="AC9">
        <v>16146</v>
      </c>
      <c r="AD9">
        <v>17</v>
      </c>
      <c r="AE9">
        <v>11934</v>
      </c>
      <c r="AF9">
        <v>24</v>
      </c>
      <c r="AG9">
        <v>16848</v>
      </c>
      <c r="AH9">
        <v>18</v>
      </c>
      <c r="AI9">
        <v>12636</v>
      </c>
      <c r="AJ9">
        <v>15</v>
      </c>
      <c r="AK9">
        <v>10530</v>
      </c>
      <c r="AL9">
        <v>24</v>
      </c>
      <c r="AM9">
        <v>16848</v>
      </c>
      <c r="AN9">
        <v>26</v>
      </c>
      <c r="AO9">
        <v>18252</v>
      </c>
      <c r="AP9">
        <v>22</v>
      </c>
      <c r="AQ9">
        <v>15444</v>
      </c>
      <c r="AR9">
        <v>16</v>
      </c>
      <c r="AS9">
        <v>11232</v>
      </c>
      <c r="AT9">
        <v>24</v>
      </c>
      <c r="AU9">
        <v>16848</v>
      </c>
      <c r="AV9">
        <v>27</v>
      </c>
      <c r="AW9">
        <v>18954</v>
      </c>
      <c r="AX9">
        <v>23</v>
      </c>
      <c r="AY9">
        <v>16146</v>
      </c>
      <c r="AZ9">
        <v>25</v>
      </c>
      <c r="BA9">
        <v>17550</v>
      </c>
      <c r="BB9">
        <v>21</v>
      </c>
      <c r="BC9">
        <v>14742</v>
      </c>
      <c r="BD9">
        <v>27</v>
      </c>
      <c r="BE9">
        <v>18954</v>
      </c>
      <c r="BF9">
        <v>18</v>
      </c>
      <c r="BG9">
        <v>12636</v>
      </c>
      <c r="BH9">
        <v>25</v>
      </c>
      <c r="BI9">
        <v>17550</v>
      </c>
      <c r="BJ9">
        <v>27</v>
      </c>
      <c r="BK9">
        <v>18954</v>
      </c>
      <c r="BL9">
        <v>28</v>
      </c>
      <c r="BM9">
        <v>19656</v>
      </c>
      <c r="BN9">
        <v>25</v>
      </c>
      <c r="BO9">
        <v>17550</v>
      </c>
      <c r="BP9">
        <v>17</v>
      </c>
      <c r="BQ9">
        <v>11934</v>
      </c>
      <c r="BR9">
        <v>22</v>
      </c>
      <c r="BS9">
        <v>15444</v>
      </c>
      <c r="BT9">
        <v>19</v>
      </c>
      <c r="BU9">
        <v>13338</v>
      </c>
      <c r="BV9">
        <v>26</v>
      </c>
      <c r="BW9">
        <v>18252</v>
      </c>
      <c r="BX9">
        <v>26</v>
      </c>
      <c r="BY9">
        <v>18252</v>
      </c>
      <c r="BZ9">
        <v>29</v>
      </c>
      <c r="CA9">
        <v>20358</v>
      </c>
      <c r="CB9">
        <v>19</v>
      </c>
      <c r="CC9">
        <v>13338</v>
      </c>
      <c r="CD9">
        <v>29</v>
      </c>
      <c r="CE9">
        <v>20358</v>
      </c>
      <c r="CF9">
        <v>16</v>
      </c>
      <c r="CG9">
        <v>11232</v>
      </c>
      <c r="CH9">
        <v>21</v>
      </c>
      <c r="CI9">
        <v>14742</v>
      </c>
      <c r="CJ9">
        <v>17</v>
      </c>
      <c r="CK9">
        <v>11934</v>
      </c>
      <c r="CL9">
        <v>16</v>
      </c>
      <c r="CM9">
        <v>11232</v>
      </c>
      <c r="CN9">
        <v>18</v>
      </c>
      <c r="CO9">
        <v>12636</v>
      </c>
      <c r="CP9">
        <v>17</v>
      </c>
      <c r="CQ9">
        <v>11934</v>
      </c>
      <c r="CR9">
        <v>29</v>
      </c>
      <c r="CS9">
        <v>20358</v>
      </c>
      <c r="CT9">
        <v>35</v>
      </c>
      <c r="CU9">
        <v>24570</v>
      </c>
    </row>
    <row r="10" spans="1:99" x14ac:dyDescent="0.2">
      <c r="C10" s="119" t="s">
        <v>176</v>
      </c>
      <c r="D10">
        <v>26.448923853998174</v>
      </c>
      <c r="E10">
        <v>14409.373715658205</v>
      </c>
      <c r="F10">
        <v>22</v>
      </c>
      <c r="G10">
        <v>11985.599999999999</v>
      </c>
      <c r="H10">
        <v>22.505669088196946</v>
      </c>
      <c r="I10">
        <v>12261.088519249695</v>
      </c>
      <c r="J10">
        <v>15.441877377042527</v>
      </c>
      <c r="K10">
        <v>8412.7347950127678</v>
      </c>
      <c r="L10">
        <v>20</v>
      </c>
      <c r="M10">
        <v>10896</v>
      </c>
      <c r="N10">
        <v>20</v>
      </c>
      <c r="O10">
        <v>10896</v>
      </c>
      <c r="P10">
        <v>23</v>
      </c>
      <c r="Q10">
        <v>12530.4</v>
      </c>
      <c r="R10">
        <v>15</v>
      </c>
      <c r="S10">
        <v>8171.9999999999991</v>
      </c>
      <c r="T10">
        <v>22</v>
      </c>
      <c r="U10">
        <v>11985.599999999999</v>
      </c>
      <c r="V10">
        <v>26</v>
      </c>
      <c r="W10">
        <v>14164.8</v>
      </c>
      <c r="X10">
        <v>27</v>
      </c>
      <c r="Y10">
        <v>14709.599999999999</v>
      </c>
      <c r="Z10">
        <v>26</v>
      </c>
      <c r="AA10">
        <v>14164.8</v>
      </c>
      <c r="AB10">
        <v>22</v>
      </c>
      <c r="AC10">
        <v>11985.599999999999</v>
      </c>
      <c r="AD10">
        <v>14</v>
      </c>
      <c r="AE10">
        <v>7627.1999999999989</v>
      </c>
      <c r="AF10">
        <v>24</v>
      </c>
      <c r="AG10">
        <v>13075.199999999999</v>
      </c>
      <c r="AH10">
        <v>19</v>
      </c>
      <c r="AI10">
        <v>10351.199999999999</v>
      </c>
      <c r="AJ10">
        <v>17</v>
      </c>
      <c r="AK10">
        <v>9261.5999999999985</v>
      </c>
      <c r="AL10">
        <v>25</v>
      </c>
      <c r="AM10">
        <v>13619.999999999998</v>
      </c>
      <c r="AN10">
        <v>26</v>
      </c>
      <c r="AO10">
        <v>14164.8</v>
      </c>
      <c r="AP10">
        <v>25</v>
      </c>
      <c r="AQ10">
        <v>13619.999999999998</v>
      </c>
      <c r="AR10">
        <v>15</v>
      </c>
      <c r="AS10">
        <v>8171.9999999999991</v>
      </c>
      <c r="AT10">
        <v>26</v>
      </c>
      <c r="AU10">
        <v>14164.8</v>
      </c>
      <c r="AV10">
        <v>31</v>
      </c>
      <c r="AW10">
        <v>16888.8</v>
      </c>
      <c r="AX10">
        <v>24</v>
      </c>
      <c r="AY10">
        <v>13075.199999999999</v>
      </c>
      <c r="AZ10">
        <v>25</v>
      </c>
      <c r="BA10">
        <v>13619.999999999998</v>
      </c>
      <c r="BB10">
        <v>22</v>
      </c>
      <c r="BC10">
        <v>11985.599999999999</v>
      </c>
      <c r="BD10">
        <v>28</v>
      </c>
      <c r="BE10">
        <v>15254.399999999998</v>
      </c>
      <c r="BF10">
        <v>19</v>
      </c>
      <c r="BG10">
        <v>10351.199999999999</v>
      </c>
      <c r="BH10">
        <v>30</v>
      </c>
      <c r="BI10">
        <v>16343.999999999998</v>
      </c>
      <c r="BJ10">
        <v>26</v>
      </c>
      <c r="BK10">
        <v>14164.8</v>
      </c>
      <c r="BL10">
        <v>26</v>
      </c>
      <c r="BM10">
        <v>14164.8</v>
      </c>
      <c r="BN10">
        <v>25</v>
      </c>
      <c r="BO10">
        <v>13619.999999999998</v>
      </c>
      <c r="BP10">
        <v>18</v>
      </c>
      <c r="BQ10">
        <v>9806.4</v>
      </c>
      <c r="BR10">
        <v>24</v>
      </c>
      <c r="BS10">
        <v>13075.199999999999</v>
      </c>
      <c r="BT10">
        <v>17</v>
      </c>
      <c r="BU10">
        <v>9261.5999999999985</v>
      </c>
      <c r="BV10">
        <v>29</v>
      </c>
      <c r="BW10">
        <v>15799.199999999999</v>
      </c>
      <c r="BX10">
        <v>26</v>
      </c>
      <c r="BY10">
        <v>14164.8</v>
      </c>
      <c r="BZ10">
        <v>29</v>
      </c>
      <c r="CA10">
        <v>15799.199999999999</v>
      </c>
      <c r="CB10">
        <v>22</v>
      </c>
      <c r="CC10">
        <v>11985.599999999999</v>
      </c>
      <c r="CD10">
        <v>28</v>
      </c>
      <c r="CE10">
        <v>15254.399999999998</v>
      </c>
      <c r="CF10">
        <v>17</v>
      </c>
      <c r="CG10">
        <v>9261.5999999999985</v>
      </c>
      <c r="CH10">
        <v>21</v>
      </c>
      <c r="CI10">
        <v>11440.8</v>
      </c>
      <c r="CJ10">
        <v>19</v>
      </c>
      <c r="CK10">
        <v>10351.199999999999</v>
      </c>
      <c r="CL10">
        <v>19</v>
      </c>
      <c r="CM10">
        <v>10351.199999999999</v>
      </c>
      <c r="CN10">
        <v>18</v>
      </c>
      <c r="CO10">
        <v>9806.4</v>
      </c>
      <c r="CP10">
        <v>16</v>
      </c>
      <c r="CQ10">
        <v>8716.7999999999993</v>
      </c>
      <c r="CR10">
        <v>32</v>
      </c>
      <c r="CS10">
        <v>17433.599999999999</v>
      </c>
      <c r="CT10">
        <v>34</v>
      </c>
      <c r="CU10">
        <v>18523.199999999997</v>
      </c>
    </row>
    <row r="11" spans="1:99" x14ac:dyDescent="0.2">
      <c r="C11" s="119" t="s">
        <v>177</v>
      </c>
      <c r="D11">
        <v>27.399043425776153</v>
      </c>
      <c r="E11">
        <v>14598.210337253533</v>
      </c>
      <c r="F11">
        <v>24</v>
      </c>
      <c r="G11">
        <v>12787.199999999999</v>
      </c>
      <c r="H11">
        <v>22.459699171088133</v>
      </c>
      <c r="I11">
        <v>11966.527718355755</v>
      </c>
      <c r="J11">
        <v>15</v>
      </c>
      <c r="K11">
        <v>7991.9999999999991</v>
      </c>
      <c r="L11">
        <v>20</v>
      </c>
      <c r="M11">
        <v>10656</v>
      </c>
      <c r="N11">
        <v>20</v>
      </c>
      <c r="O11">
        <v>10656</v>
      </c>
      <c r="P11">
        <v>22</v>
      </c>
      <c r="Q11">
        <v>11721.599999999999</v>
      </c>
      <c r="R11">
        <v>14</v>
      </c>
      <c r="S11">
        <v>7459.1999999999989</v>
      </c>
      <c r="T11">
        <v>20</v>
      </c>
      <c r="U11">
        <v>10656</v>
      </c>
      <c r="V11">
        <v>28</v>
      </c>
      <c r="W11">
        <v>14918.399999999998</v>
      </c>
      <c r="X11">
        <v>25</v>
      </c>
      <c r="Y11">
        <v>13319.999999999998</v>
      </c>
      <c r="Z11">
        <v>30</v>
      </c>
      <c r="AA11">
        <v>15983.999999999998</v>
      </c>
      <c r="AB11">
        <v>22</v>
      </c>
      <c r="AC11">
        <v>11721.599999999999</v>
      </c>
      <c r="AD11">
        <v>15</v>
      </c>
      <c r="AE11">
        <v>7991.9999999999991</v>
      </c>
      <c r="AF11">
        <v>22</v>
      </c>
      <c r="AG11">
        <v>11721.599999999999</v>
      </c>
      <c r="AH11">
        <v>20</v>
      </c>
      <c r="AI11">
        <v>10656</v>
      </c>
      <c r="AJ11">
        <v>17</v>
      </c>
      <c r="AK11">
        <v>9057.5999999999985</v>
      </c>
      <c r="AL11">
        <v>23</v>
      </c>
      <c r="AM11">
        <v>12254.4</v>
      </c>
      <c r="AN11">
        <v>27</v>
      </c>
      <c r="AO11">
        <v>14385.599999999999</v>
      </c>
      <c r="AP11">
        <v>22</v>
      </c>
      <c r="AQ11">
        <v>11721.599999999999</v>
      </c>
      <c r="AR11">
        <v>18</v>
      </c>
      <c r="AS11">
        <v>9590.4</v>
      </c>
      <c r="AT11">
        <v>27</v>
      </c>
      <c r="AU11">
        <v>14385.599999999999</v>
      </c>
      <c r="AV11">
        <v>28</v>
      </c>
      <c r="AW11">
        <v>14918.399999999998</v>
      </c>
      <c r="AX11">
        <v>25</v>
      </c>
      <c r="AY11">
        <v>13319.999999999998</v>
      </c>
      <c r="AZ11">
        <v>25</v>
      </c>
      <c r="BA11">
        <v>13319.999999999998</v>
      </c>
      <c r="BB11">
        <v>23</v>
      </c>
      <c r="BC11">
        <v>12254.4</v>
      </c>
      <c r="BD11">
        <v>30</v>
      </c>
      <c r="BE11">
        <v>15983.999999999998</v>
      </c>
      <c r="BF11">
        <v>18</v>
      </c>
      <c r="BG11">
        <v>9590.4</v>
      </c>
      <c r="BH11">
        <v>28</v>
      </c>
      <c r="BI11">
        <v>14918.399999999998</v>
      </c>
      <c r="BJ11">
        <v>29</v>
      </c>
      <c r="BK11">
        <v>15451.199999999999</v>
      </c>
      <c r="BL11">
        <v>31</v>
      </c>
      <c r="BM11">
        <v>16516.8</v>
      </c>
      <c r="BN11">
        <v>26</v>
      </c>
      <c r="BO11">
        <v>13852.8</v>
      </c>
      <c r="BP11">
        <v>17</v>
      </c>
      <c r="BQ11">
        <v>9057.5999999999985</v>
      </c>
      <c r="BR11">
        <v>23</v>
      </c>
      <c r="BS11">
        <v>12254.4</v>
      </c>
      <c r="BT11">
        <v>18</v>
      </c>
      <c r="BU11">
        <v>9590.4</v>
      </c>
      <c r="BV11">
        <v>29</v>
      </c>
      <c r="BW11">
        <v>15451.199999999999</v>
      </c>
      <c r="BX11">
        <v>29</v>
      </c>
      <c r="BY11">
        <v>15451.199999999999</v>
      </c>
      <c r="BZ11">
        <v>29</v>
      </c>
      <c r="CA11">
        <v>15451.199999999999</v>
      </c>
      <c r="CB11">
        <v>23</v>
      </c>
      <c r="CC11">
        <v>12254.4</v>
      </c>
      <c r="CD11">
        <v>31</v>
      </c>
      <c r="CE11">
        <v>16516.8</v>
      </c>
      <c r="CF11">
        <v>16</v>
      </c>
      <c r="CG11">
        <v>8524.7999999999993</v>
      </c>
      <c r="CH11">
        <v>21</v>
      </c>
      <c r="CI11">
        <v>11188.8</v>
      </c>
      <c r="CJ11">
        <v>19</v>
      </c>
      <c r="CK11">
        <v>10123.199999999999</v>
      </c>
      <c r="CL11">
        <v>18</v>
      </c>
      <c r="CM11">
        <v>9590.4</v>
      </c>
      <c r="CN11">
        <v>19</v>
      </c>
      <c r="CO11">
        <v>10123.199999999999</v>
      </c>
      <c r="CP11">
        <v>16</v>
      </c>
      <c r="CQ11">
        <v>8524.7999999999993</v>
      </c>
      <c r="CR11">
        <v>31</v>
      </c>
      <c r="CS11">
        <v>16516.8</v>
      </c>
      <c r="CT11">
        <v>31</v>
      </c>
      <c r="CU11">
        <v>16516.8</v>
      </c>
    </row>
    <row r="12" spans="1:99" x14ac:dyDescent="0.2">
      <c r="C12" s="119" t="s">
        <v>178</v>
      </c>
      <c r="D12">
        <v>26.448923853998174</v>
      </c>
      <c r="E12">
        <v>14885.454345030172</v>
      </c>
      <c r="F12">
        <v>23</v>
      </c>
      <c r="G12">
        <v>12944.4</v>
      </c>
      <c r="H12">
        <v>23.459699171088133</v>
      </c>
      <c r="I12">
        <v>13203.118693488401</v>
      </c>
      <c r="J12">
        <v>14</v>
      </c>
      <c r="K12">
        <v>7879.1999999999989</v>
      </c>
      <c r="L12">
        <v>19</v>
      </c>
      <c r="M12">
        <v>10693.199999999999</v>
      </c>
      <c r="N12">
        <v>17</v>
      </c>
      <c r="O12">
        <v>9567.5999999999985</v>
      </c>
      <c r="P12">
        <v>21</v>
      </c>
      <c r="Q12">
        <v>11818.8</v>
      </c>
      <c r="R12">
        <v>15</v>
      </c>
      <c r="S12">
        <v>8442</v>
      </c>
      <c r="T12">
        <v>21</v>
      </c>
      <c r="U12">
        <v>11818.8</v>
      </c>
      <c r="V12">
        <v>25</v>
      </c>
      <c r="W12">
        <v>14069.999999999998</v>
      </c>
      <c r="X12">
        <v>30</v>
      </c>
      <c r="Y12">
        <v>16884</v>
      </c>
      <c r="Z12">
        <v>26</v>
      </c>
      <c r="AA12">
        <v>14632.8</v>
      </c>
      <c r="AB12">
        <v>23</v>
      </c>
      <c r="AC12">
        <v>12944.4</v>
      </c>
      <c r="AD12">
        <v>15</v>
      </c>
      <c r="AE12">
        <v>8442</v>
      </c>
      <c r="AF12">
        <v>22</v>
      </c>
      <c r="AG12">
        <v>12381.599999999999</v>
      </c>
      <c r="AH12">
        <v>19</v>
      </c>
      <c r="AI12">
        <v>10693.199999999999</v>
      </c>
      <c r="AJ12">
        <v>17</v>
      </c>
      <c r="AK12">
        <v>9567.5999999999985</v>
      </c>
      <c r="AL12">
        <v>27</v>
      </c>
      <c r="AM12">
        <v>15195.599999999999</v>
      </c>
      <c r="AN12">
        <v>29</v>
      </c>
      <c r="AO12">
        <v>16321.199999999999</v>
      </c>
      <c r="AP12">
        <v>21</v>
      </c>
      <c r="AQ12">
        <v>11818.8</v>
      </c>
      <c r="AR12">
        <v>17</v>
      </c>
      <c r="AS12">
        <v>9567.5999999999985</v>
      </c>
      <c r="AT12">
        <v>26</v>
      </c>
      <c r="AU12">
        <v>14632.8</v>
      </c>
      <c r="AV12">
        <v>27</v>
      </c>
      <c r="AW12">
        <v>15195.599999999999</v>
      </c>
      <c r="AX12">
        <v>26</v>
      </c>
      <c r="AY12">
        <v>14632.8</v>
      </c>
      <c r="AZ12">
        <v>24</v>
      </c>
      <c r="BA12">
        <v>13507.199999999999</v>
      </c>
      <c r="BB12">
        <v>21</v>
      </c>
      <c r="BC12">
        <v>11818.8</v>
      </c>
      <c r="BD12">
        <v>30</v>
      </c>
      <c r="BE12">
        <v>16884</v>
      </c>
      <c r="BF12">
        <v>17</v>
      </c>
      <c r="BG12">
        <v>9567.5999999999985</v>
      </c>
      <c r="BH12">
        <v>26</v>
      </c>
      <c r="BI12">
        <v>14632.8</v>
      </c>
      <c r="BJ12">
        <v>28</v>
      </c>
      <c r="BK12">
        <v>15758.399999999998</v>
      </c>
      <c r="BL12">
        <v>29</v>
      </c>
      <c r="BM12">
        <v>16321.199999999999</v>
      </c>
      <c r="BN12">
        <v>28</v>
      </c>
      <c r="BO12">
        <v>15758.399999999998</v>
      </c>
      <c r="BP12">
        <v>18</v>
      </c>
      <c r="BQ12">
        <v>10130.4</v>
      </c>
      <c r="BR12">
        <v>24</v>
      </c>
      <c r="BS12">
        <v>13507.199999999999</v>
      </c>
      <c r="BT12">
        <v>17</v>
      </c>
      <c r="BU12">
        <v>9567.5999999999985</v>
      </c>
      <c r="BV12">
        <v>25</v>
      </c>
      <c r="BW12">
        <v>14069.999999999998</v>
      </c>
      <c r="BX12">
        <v>31</v>
      </c>
      <c r="BY12">
        <v>17446.8</v>
      </c>
      <c r="BZ12">
        <v>32</v>
      </c>
      <c r="CA12">
        <v>18009.599999999999</v>
      </c>
      <c r="CB12">
        <v>19</v>
      </c>
      <c r="CC12">
        <v>10693.199999999999</v>
      </c>
      <c r="CD12">
        <v>30</v>
      </c>
      <c r="CE12">
        <v>16884</v>
      </c>
      <c r="CF12">
        <v>18</v>
      </c>
      <c r="CG12">
        <v>10130.4</v>
      </c>
      <c r="CH12">
        <v>24</v>
      </c>
      <c r="CI12">
        <v>13507.199999999999</v>
      </c>
      <c r="CJ12">
        <v>18</v>
      </c>
      <c r="CK12">
        <v>10130.4</v>
      </c>
      <c r="CL12">
        <v>17</v>
      </c>
      <c r="CM12">
        <v>9567.5999999999985</v>
      </c>
      <c r="CN12">
        <v>18</v>
      </c>
      <c r="CO12">
        <v>10130.4</v>
      </c>
      <c r="CP12">
        <v>18</v>
      </c>
      <c r="CQ12">
        <v>10130.4</v>
      </c>
      <c r="CR12">
        <v>28</v>
      </c>
      <c r="CS12">
        <v>15758.399999999998</v>
      </c>
      <c r="CT12">
        <v>31</v>
      </c>
      <c r="CU12">
        <v>17446.8</v>
      </c>
    </row>
    <row r="13" spans="1:99" x14ac:dyDescent="0.2">
      <c r="C13" s="119" t="s">
        <v>179</v>
      </c>
      <c r="D13">
        <v>27.498804282220192</v>
      </c>
      <c r="E13">
        <v>2342.8981248451605</v>
      </c>
      <c r="F13">
        <v>23</v>
      </c>
      <c r="G13">
        <v>1959.6000000000001</v>
      </c>
      <c r="H13">
        <v>24.505669088196946</v>
      </c>
      <c r="I13">
        <v>2087.8830063143801</v>
      </c>
      <c r="J13">
        <v>18.490974863380586</v>
      </c>
      <c r="K13">
        <v>1575.4310583600261</v>
      </c>
      <c r="L13">
        <v>21</v>
      </c>
      <c r="M13">
        <v>1789.2</v>
      </c>
      <c r="N13">
        <v>21</v>
      </c>
      <c r="O13">
        <v>1789.2</v>
      </c>
      <c r="P13">
        <v>22</v>
      </c>
      <c r="Q13">
        <v>1874.4</v>
      </c>
      <c r="R13">
        <v>16</v>
      </c>
      <c r="S13">
        <v>1363.2</v>
      </c>
      <c r="T13">
        <v>21</v>
      </c>
      <c r="U13">
        <v>1789.2</v>
      </c>
      <c r="V13">
        <v>30</v>
      </c>
      <c r="W13">
        <v>2556</v>
      </c>
      <c r="X13">
        <v>29</v>
      </c>
      <c r="Y13">
        <v>2470.8000000000002</v>
      </c>
      <c r="Z13">
        <v>30</v>
      </c>
      <c r="AA13">
        <v>2556</v>
      </c>
      <c r="AB13">
        <v>24</v>
      </c>
      <c r="AC13">
        <v>2044.8000000000002</v>
      </c>
      <c r="AD13">
        <v>15</v>
      </c>
      <c r="AE13">
        <v>1278</v>
      </c>
      <c r="AF13">
        <v>25</v>
      </c>
      <c r="AG13">
        <v>2130</v>
      </c>
      <c r="AH13">
        <v>18</v>
      </c>
      <c r="AI13">
        <v>1533.6000000000001</v>
      </c>
      <c r="AJ13">
        <v>18</v>
      </c>
      <c r="AK13">
        <v>1533.6000000000001</v>
      </c>
      <c r="AL13">
        <v>28</v>
      </c>
      <c r="AM13">
        <v>2385.6</v>
      </c>
      <c r="AN13">
        <v>27</v>
      </c>
      <c r="AO13">
        <v>2300.4</v>
      </c>
      <c r="AP13">
        <v>24</v>
      </c>
      <c r="AQ13">
        <v>2044.8000000000002</v>
      </c>
      <c r="AR13">
        <v>16</v>
      </c>
      <c r="AS13">
        <v>1363.2</v>
      </c>
      <c r="AT13">
        <v>28</v>
      </c>
      <c r="AU13">
        <v>2385.6</v>
      </c>
      <c r="AV13">
        <v>32</v>
      </c>
      <c r="AW13">
        <v>2726.4</v>
      </c>
      <c r="AX13">
        <v>25</v>
      </c>
      <c r="AY13">
        <v>2130</v>
      </c>
      <c r="AZ13">
        <v>28</v>
      </c>
      <c r="BA13">
        <v>2385.6</v>
      </c>
      <c r="BB13">
        <v>23</v>
      </c>
      <c r="BC13">
        <v>1959.6000000000001</v>
      </c>
      <c r="BD13">
        <v>31</v>
      </c>
      <c r="BE13">
        <v>2641.2000000000003</v>
      </c>
      <c r="BF13">
        <v>21</v>
      </c>
      <c r="BG13">
        <v>1789.2</v>
      </c>
      <c r="BH13">
        <v>31</v>
      </c>
      <c r="BI13">
        <v>2641.2000000000003</v>
      </c>
      <c r="BJ13">
        <v>29</v>
      </c>
      <c r="BK13">
        <v>2470.8000000000002</v>
      </c>
      <c r="BL13">
        <v>28</v>
      </c>
      <c r="BM13">
        <v>2385.6</v>
      </c>
      <c r="BN13">
        <v>29</v>
      </c>
      <c r="BO13">
        <v>2470.8000000000002</v>
      </c>
      <c r="BP13">
        <v>19</v>
      </c>
      <c r="BQ13">
        <v>1618.8</v>
      </c>
      <c r="BR13">
        <v>26</v>
      </c>
      <c r="BS13">
        <v>2215.2000000000003</v>
      </c>
      <c r="BT13">
        <v>21</v>
      </c>
      <c r="BU13">
        <v>1789.2</v>
      </c>
      <c r="BV13">
        <v>30</v>
      </c>
      <c r="BW13">
        <v>2556</v>
      </c>
      <c r="BX13">
        <v>30</v>
      </c>
      <c r="BY13">
        <v>2556</v>
      </c>
      <c r="BZ13">
        <v>32</v>
      </c>
      <c r="CA13">
        <v>2726.4</v>
      </c>
      <c r="CB13">
        <v>23</v>
      </c>
      <c r="CC13">
        <v>1959.6000000000001</v>
      </c>
      <c r="CD13">
        <v>33</v>
      </c>
      <c r="CE13">
        <v>2811.6</v>
      </c>
      <c r="CF13">
        <v>17</v>
      </c>
      <c r="CG13">
        <v>1448.4</v>
      </c>
      <c r="CH13">
        <v>26</v>
      </c>
      <c r="CI13">
        <v>2215.2000000000003</v>
      </c>
      <c r="CJ13">
        <v>20</v>
      </c>
      <c r="CK13">
        <v>1704</v>
      </c>
      <c r="CL13">
        <v>17</v>
      </c>
      <c r="CM13">
        <v>1448.4</v>
      </c>
      <c r="CN13">
        <v>19</v>
      </c>
      <c r="CO13">
        <v>1618.8</v>
      </c>
      <c r="CP13">
        <v>18</v>
      </c>
      <c r="CQ13">
        <v>1533.6000000000001</v>
      </c>
      <c r="CR13">
        <v>32</v>
      </c>
      <c r="CS13">
        <v>2726.4</v>
      </c>
      <c r="CT13">
        <v>35</v>
      </c>
      <c r="CU13">
        <v>2982</v>
      </c>
    </row>
    <row r="14" spans="1:99" x14ac:dyDescent="0.2">
      <c r="C14" s="119" t="s">
        <v>180</v>
      </c>
      <c r="D14">
        <v>29.448923853998174</v>
      </c>
      <c r="E14">
        <v>14382.854410292708</v>
      </c>
      <c r="F14">
        <v>21</v>
      </c>
      <c r="G14">
        <v>10256.4</v>
      </c>
      <c r="H14">
        <v>23.505669088196946</v>
      </c>
      <c r="I14">
        <v>11480.168782675388</v>
      </c>
      <c r="J14">
        <v>15</v>
      </c>
      <c r="K14">
        <v>7326</v>
      </c>
      <c r="L14">
        <v>21</v>
      </c>
      <c r="M14">
        <v>10256.4</v>
      </c>
      <c r="N14">
        <v>17</v>
      </c>
      <c r="O14">
        <v>8302.7999999999993</v>
      </c>
      <c r="P14">
        <v>22</v>
      </c>
      <c r="Q14">
        <v>10744.8</v>
      </c>
      <c r="R14">
        <v>15</v>
      </c>
      <c r="S14">
        <v>7326</v>
      </c>
      <c r="T14">
        <v>22</v>
      </c>
      <c r="U14">
        <v>10744.8</v>
      </c>
      <c r="V14">
        <v>28</v>
      </c>
      <c r="W14">
        <v>13675.199999999999</v>
      </c>
      <c r="X14">
        <v>31</v>
      </c>
      <c r="Y14">
        <v>15140.4</v>
      </c>
      <c r="Z14">
        <v>26</v>
      </c>
      <c r="AA14">
        <v>12698.4</v>
      </c>
      <c r="AB14">
        <v>21</v>
      </c>
      <c r="AC14">
        <v>10256.4</v>
      </c>
      <c r="AD14">
        <v>16</v>
      </c>
      <c r="AE14">
        <v>7814.4</v>
      </c>
      <c r="AF14">
        <v>23</v>
      </c>
      <c r="AG14">
        <v>11233.199999999999</v>
      </c>
      <c r="AH14">
        <v>21</v>
      </c>
      <c r="AI14">
        <v>10256.4</v>
      </c>
      <c r="AJ14">
        <v>17</v>
      </c>
      <c r="AK14">
        <v>8302.7999999999993</v>
      </c>
      <c r="AL14">
        <v>27</v>
      </c>
      <c r="AM14">
        <v>13186.8</v>
      </c>
      <c r="AN14">
        <v>28</v>
      </c>
      <c r="AO14">
        <v>13675.199999999999</v>
      </c>
      <c r="AP14">
        <v>22</v>
      </c>
      <c r="AQ14">
        <v>10744.8</v>
      </c>
      <c r="AR14">
        <v>16</v>
      </c>
      <c r="AS14">
        <v>7814.4</v>
      </c>
      <c r="AT14">
        <v>26</v>
      </c>
      <c r="AU14">
        <v>12698.4</v>
      </c>
      <c r="AV14">
        <v>30</v>
      </c>
      <c r="AW14">
        <v>14652</v>
      </c>
      <c r="AX14">
        <v>28</v>
      </c>
      <c r="AY14">
        <v>13675.199999999999</v>
      </c>
      <c r="AZ14">
        <v>25</v>
      </c>
      <c r="BA14">
        <v>12210</v>
      </c>
      <c r="BB14">
        <v>20</v>
      </c>
      <c r="BC14">
        <v>9768</v>
      </c>
      <c r="BD14">
        <v>27</v>
      </c>
      <c r="BE14">
        <v>13186.8</v>
      </c>
      <c r="BF14">
        <v>18</v>
      </c>
      <c r="BG14">
        <v>8791.1999999999989</v>
      </c>
      <c r="BH14">
        <v>30</v>
      </c>
      <c r="BI14">
        <v>14652</v>
      </c>
      <c r="BJ14">
        <v>26</v>
      </c>
      <c r="BK14">
        <v>12698.4</v>
      </c>
      <c r="BL14">
        <v>30</v>
      </c>
      <c r="BM14">
        <v>14652</v>
      </c>
      <c r="BN14">
        <v>25</v>
      </c>
      <c r="BO14">
        <v>12210</v>
      </c>
      <c r="BP14">
        <v>19</v>
      </c>
      <c r="BQ14">
        <v>9279.6</v>
      </c>
      <c r="BR14">
        <v>23</v>
      </c>
      <c r="BS14">
        <v>11233.199999999999</v>
      </c>
      <c r="BT14">
        <v>21</v>
      </c>
      <c r="BU14">
        <v>10256.4</v>
      </c>
      <c r="BV14">
        <v>29</v>
      </c>
      <c r="BW14">
        <v>14163.599999999999</v>
      </c>
      <c r="BX14">
        <v>26</v>
      </c>
      <c r="BY14">
        <v>12698.4</v>
      </c>
      <c r="BZ14">
        <v>31</v>
      </c>
      <c r="CA14">
        <v>15140.4</v>
      </c>
      <c r="CB14">
        <v>23</v>
      </c>
      <c r="CC14">
        <v>11233.199999999999</v>
      </c>
      <c r="CD14">
        <v>32</v>
      </c>
      <c r="CE14">
        <v>15628.8</v>
      </c>
      <c r="CF14">
        <v>18</v>
      </c>
      <c r="CG14">
        <v>8791.1999999999989</v>
      </c>
      <c r="CH14">
        <v>24</v>
      </c>
      <c r="CI14">
        <v>11721.599999999999</v>
      </c>
      <c r="CJ14">
        <v>19</v>
      </c>
      <c r="CK14">
        <v>9279.6</v>
      </c>
      <c r="CL14">
        <v>19</v>
      </c>
      <c r="CM14">
        <v>9279.6</v>
      </c>
      <c r="CN14">
        <v>19</v>
      </c>
      <c r="CO14">
        <v>9279.6</v>
      </c>
      <c r="CP14">
        <v>16</v>
      </c>
      <c r="CQ14">
        <v>7814.4</v>
      </c>
      <c r="CR14">
        <v>30</v>
      </c>
      <c r="CS14">
        <v>14652</v>
      </c>
      <c r="CT14">
        <v>31</v>
      </c>
      <c r="CU14">
        <v>15140.4</v>
      </c>
    </row>
    <row r="15" spans="1:99" x14ac:dyDescent="0.2">
      <c r="C15" s="119" t="s">
        <v>181</v>
      </c>
      <c r="D15">
        <v>25.399043425776153</v>
      </c>
      <c r="E15">
        <v>19384.549942552359</v>
      </c>
      <c r="F15">
        <v>21</v>
      </c>
      <c r="G15">
        <v>16027.199999999999</v>
      </c>
      <c r="H15">
        <v>19.505669088196946</v>
      </c>
      <c r="I15">
        <v>14886.726648111908</v>
      </c>
      <c r="J15">
        <v>15</v>
      </c>
      <c r="K15">
        <v>11447.999999999998</v>
      </c>
      <c r="L15">
        <v>20</v>
      </c>
      <c r="M15">
        <v>15263.999999999998</v>
      </c>
      <c r="N15">
        <v>19</v>
      </c>
      <c r="O15">
        <v>14500.8</v>
      </c>
      <c r="P15">
        <v>24</v>
      </c>
      <c r="Q15">
        <v>18316.8</v>
      </c>
      <c r="R15">
        <v>15</v>
      </c>
      <c r="S15">
        <v>11447.999999999998</v>
      </c>
      <c r="T15">
        <v>22</v>
      </c>
      <c r="U15">
        <v>16790.399999999998</v>
      </c>
      <c r="V15">
        <v>29</v>
      </c>
      <c r="W15">
        <v>22132.799999999999</v>
      </c>
      <c r="X15">
        <v>29</v>
      </c>
      <c r="Y15">
        <v>22132.799999999999</v>
      </c>
      <c r="Z15">
        <v>26</v>
      </c>
      <c r="AA15">
        <v>19843.199999999997</v>
      </c>
      <c r="AB15">
        <v>23</v>
      </c>
      <c r="AC15">
        <v>17553.599999999999</v>
      </c>
      <c r="AD15">
        <v>16</v>
      </c>
      <c r="AE15">
        <v>12211.199999999999</v>
      </c>
      <c r="AF15">
        <v>22</v>
      </c>
      <c r="AG15">
        <v>16790.399999999998</v>
      </c>
      <c r="AH15">
        <v>20</v>
      </c>
      <c r="AI15">
        <v>15263.999999999998</v>
      </c>
      <c r="AJ15">
        <v>17</v>
      </c>
      <c r="AK15">
        <v>12974.4</v>
      </c>
      <c r="AL15">
        <v>24</v>
      </c>
      <c r="AM15">
        <v>18316.8</v>
      </c>
      <c r="AN15">
        <v>25</v>
      </c>
      <c r="AO15">
        <v>19080</v>
      </c>
      <c r="AP15">
        <v>23</v>
      </c>
      <c r="AQ15">
        <v>17553.599999999999</v>
      </c>
      <c r="AR15">
        <v>17</v>
      </c>
      <c r="AS15">
        <v>12974.4</v>
      </c>
      <c r="AT15">
        <v>25</v>
      </c>
      <c r="AU15">
        <v>19080</v>
      </c>
      <c r="AV15">
        <v>27</v>
      </c>
      <c r="AW15">
        <v>20606.399999999998</v>
      </c>
      <c r="AX15">
        <v>25</v>
      </c>
      <c r="AY15">
        <v>19080</v>
      </c>
      <c r="AZ15">
        <v>27</v>
      </c>
      <c r="BA15">
        <v>20606.399999999998</v>
      </c>
      <c r="BB15">
        <v>21</v>
      </c>
      <c r="BC15">
        <v>16027.199999999999</v>
      </c>
      <c r="BD15">
        <v>26</v>
      </c>
      <c r="BE15">
        <v>19843.199999999997</v>
      </c>
      <c r="BF15">
        <v>17</v>
      </c>
      <c r="BG15">
        <v>12974.4</v>
      </c>
      <c r="BH15">
        <v>29</v>
      </c>
      <c r="BI15">
        <v>22132.799999999999</v>
      </c>
      <c r="BJ15">
        <v>26</v>
      </c>
      <c r="BK15">
        <v>19843.199999999997</v>
      </c>
      <c r="BL15">
        <v>26</v>
      </c>
      <c r="BM15">
        <v>19843.199999999997</v>
      </c>
      <c r="BN15">
        <v>25</v>
      </c>
      <c r="BO15">
        <v>19080</v>
      </c>
      <c r="BP15">
        <v>17</v>
      </c>
      <c r="BQ15">
        <v>12974.4</v>
      </c>
      <c r="BR15">
        <v>23</v>
      </c>
      <c r="BS15">
        <v>17553.599999999999</v>
      </c>
      <c r="BT15">
        <v>19</v>
      </c>
      <c r="BU15">
        <v>14500.8</v>
      </c>
      <c r="BV15">
        <v>24</v>
      </c>
      <c r="BW15">
        <v>18316.8</v>
      </c>
      <c r="BX15">
        <v>26</v>
      </c>
      <c r="BY15">
        <v>19843.199999999997</v>
      </c>
      <c r="BZ15">
        <v>31</v>
      </c>
      <c r="CA15">
        <v>23659.199999999997</v>
      </c>
      <c r="CB15">
        <v>19</v>
      </c>
      <c r="CC15">
        <v>14500.8</v>
      </c>
      <c r="CD15">
        <v>32</v>
      </c>
      <c r="CE15">
        <v>24422.399999999998</v>
      </c>
      <c r="CF15">
        <v>18</v>
      </c>
      <c r="CG15">
        <v>13737.599999999999</v>
      </c>
      <c r="CH15">
        <v>22</v>
      </c>
      <c r="CI15">
        <v>16790.399999999998</v>
      </c>
      <c r="CJ15">
        <v>19</v>
      </c>
      <c r="CK15">
        <v>14500.8</v>
      </c>
      <c r="CL15">
        <v>16</v>
      </c>
      <c r="CM15">
        <v>12211.199999999999</v>
      </c>
      <c r="CN15">
        <v>17</v>
      </c>
      <c r="CO15">
        <v>12974.4</v>
      </c>
      <c r="CP15">
        <v>15</v>
      </c>
      <c r="CQ15">
        <v>11447.999999999998</v>
      </c>
      <c r="CR15">
        <v>29</v>
      </c>
      <c r="CS15">
        <v>22132.799999999999</v>
      </c>
      <c r="CT15">
        <v>30</v>
      </c>
      <c r="CU15">
        <v>22895.999999999996</v>
      </c>
    </row>
    <row r="16" spans="1:99" x14ac:dyDescent="0.2">
      <c r="C16" s="119" t="s">
        <v>182</v>
      </c>
      <c r="D16">
        <v>26.399043425776153</v>
      </c>
      <c r="E16">
        <v>8996.7939995045126</v>
      </c>
      <c r="F16">
        <v>26</v>
      </c>
      <c r="G16">
        <v>8860.8000000000011</v>
      </c>
      <c r="H16">
        <v>22.459699171088133</v>
      </c>
      <c r="I16">
        <v>7654.2654775068359</v>
      </c>
      <c r="J16">
        <v>16.441877377042527</v>
      </c>
      <c r="K16">
        <v>5603.3918100960936</v>
      </c>
      <c r="L16">
        <v>21</v>
      </c>
      <c r="M16">
        <v>7156.8</v>
      </c>
      <c r="N16">
        <v>20</v>
      </c>
      <c r="O16">
        <v>6816</v>
      </c>
      <c r="P16">
        <v>21</v>
      </c>
      <c r="Q16">
        <v>7156.8</v>
      </c>
      <c r="R16">
        <v>14</v>
      </c>
      <c r="S16">
        <v>4771.2</v>
      </c>
      <c r="T16">
        <v>24</v>
      </c>
      <c r="U16">
        <v>8179.2000000000007</v>
      </c>
      <c r="V16">
        <v>31</v>
      </c>
      <c r="W16">
        <v>10564.800000000001</v>
      </c>
      <c r="X16">
        <v>28</v>
      </c>
      <c r="Y16">
        <v>9542.4</v>
      </c>
      <c r="Z16">
        <v>28</v>
      </c>
      <c r="AA16">
        <v>9542.4</v>
      </c>
      <c r="AB16">
        <v>23</v>
      </c>
      <c r="AC16">
        <v>7838.4000000000005</v>
      </c>
      <c r="AD16">
        <v>15</v>
      </c>
      <c r="AE16">
        <v>5112</v>
      </c>
      <c r="AF16">
        <v>24</v>
      </c>
      <c r="AG16">
        <v>8179.2000000000007</v>
      </c>
      <c r="AH16">
        <v>18</v>
      </c>
      <c r="AI16">
        <v>6134.4000000000005</v>
      </c>
      <c r="AJ16">
        <v>16</v>
      </c>
      <c r="AK16">
        <v>5452.8</v>
      </c>
      <c r="AL16">
        <v>28</v>
      </c>
      <c r="AM16">
        <v>9542.4</v>
      </c>
      <c r="AN16">
        <v>28</v>
      </c>
      <c r="AO16">
        <v>9542.4</v>
      </c>
      <c r="AP16">
        <v>23</v>
      </c>
      <c r="AQ16">
        <v>7838.4000000000005</v>
      </c>
      <c r="AR16">
        <v>18</v>
      </c>
      <c r="AS16">
        <v>6134.4000000000005</v>
      </c>
      <c r="AT16">
        <v>26</v>
      </c>
      <c r="AU16">
        <v>8860.8000000000011</v>
      </c>
      <c r="AV16">
        <v>28</v>
      </c>
      <c r="AW16">
        <v>9542.4</v>
      </c>
      <c r="AX16">
        <v>28</v>
      </c>
      <c r="AY16">
        <v>9542.4</v>
      </c>
      <c r="AZ16">
        <v>28</v>
      </c>
      <c r="BA16">
        <v>9542.4</v>
      </c>
      <c r="BB16">
        <v>22</v>
      </c>
      <c r="BC16">
        <v>7497.6</v>
      </c>
      <c r="BD16">
        <v>28</v>
      </c>
      <c r="BE16">
        <v>9542.4</v>
      </c>
      <c r="BF16">
        <v>17</v>
      </c>
      <c r="BG16">
        <v>5793.6</v>
      </c>
      <c r="BH16">
        <v>26</v>
      </c>
      <c r="BI16">
        <v>8860.8000000000011</v>
      </c>
      <c r="BJ16">
        <v>32</v>
      </c>
      <c r="BK16">
        <v>10905.6</v>
      </c>
      <c r="BL16">
        <v>29</v>
      </c>
      <c r="BM16">
        <v>9883.2000000000007</v>
      </c>
      <c r="BN16">
        <v>26</v>
      </c>
      <c r="BO16">
        <v>8860.8000000000011</v>
      </c>
      <c r="BP16">
        <v>19</v>
      </c>
      <c r="BQ16">
        <v>6475.2</v>
      </c>
      <c r="BR16">
        <v>26</v>
      </c>
      <c r="BS16">
        <v>8860.8000000000011</v>
      </c>
      <c r="BT16">
        <v>18</v>
      </c>
      <c r="BU16">
        <v>6134.4000000000005</v>
      </c>
      <c r="BV16">
        <v>30</v>
      </c>
      <c r="BW16">
        <v>10224</v>
      </c>
      <c r="BX16">
        <v>28</v>
      </c>
      <c r="BY16">
        <v>9542.4</v>
      </c>
      <c r="BZ16">
        <v>30</v>
      </c>
      <c r="CA16">
        <v>10224</v>
      </c>
      <c r="CB16">
        <v>22</v>
      </c>
      <c r="CC16">
        <v>7497.6</v>
      </c>
      <c r="CD16">
        <v>30</v>
      </c>
      <c r="CE16">
        <v>10224</v>
      </c>
      <c r="CF16">
        <v>18</v>
      </c>
      <c r="CG16">
        <v>6134.4000000000005</v>
      </c>
      <c r="CH16">
        <v>22</v>
      </c>
      <c r="CI16">
        <v>7497.6</v>
      </c>
      <c r="CJ16">
        <v>17</v>
      </c>
      <c r="CK16">
        <v>5793.6</v>
      </c>
      <c r="CL16">
        <v>17</v>
      </c>
      <c r="CM16">
        <v>5793.6</v>
      </c>
      <c r="CN16">
        <v>18</v>
      </c>
      <c r="CO16">
        <v>6134.4000000000005</v>
      </c>
      <c r="CP16">
        <v>19</v>
      </c>
      <c r="CQ16">
        <v>6475.2</v>
      </c>
      <c r="CR16">
        <v>31</v>
      </c>
      <c r="CS16">
        <v>10564.800000000001</v>
      </c>
      <c r="CT16">
        <v>32</v>
      </c>
      <c r="CU16">
        <v>10905.6</v>
      </c>
    </row>
    <row r="17" spans="2:99" x14ac:dyDescent="0.2">
      <c r="C17" s="119" t="s">
        <v>183</v>
      </c>
      <c r="D17">
        <v>25.448923853998174</v>
      </c>
      <c r="E17">
        <v>10749.625435928829</v>
      </c>
      <c r="F17">
        <v>24</v>
      </c>
      <c r="G17">
        <v>10137.599999999999</v>
      </c>
      <c r="H17">
        <v>20.413729253979319</v>
      </c>
      <c r="I17">
        <v>8622.7592368808637</v>
      </c>
      <c r="J17">
        <v>15.441877377042527</v>
      </c>
      <c r="K17">
        <v>6522.6490040627632</v>
      </c>
      <c r="L17">
        <v>19</v>
      </c>
      <c r="M17">
        <v>8025.5999999999995</v>
      </c>
      <c r="N17">
        <v>19</v>
      </c>
      <c r="O17">
        <v>8025.5999999999995</v>
      </c>
      <c r="P17">
        <v>23</v>
      </c>
      <c r="Q17">
        <v>9715.1999999999989</v>
      </c>
      <c r="R17">
        <v>16</v>
      </c>
      <c r="S17">
        <v>6758.4</v>
      </c>
      <c r="T17">
        <v>21</v>
      </c>
      <c r="U17">
        <v>8870.4</v>
      </c>
      <c r="V17">
        <v>26</v>
      </c>
      <c r="W17">
        <v>10982.4</v>
      </c>
      <c r="X17">
        <v>27</v>
      </c>
      <c r="Y17">
        <v>11404.8</v>
      </c>
      <c r="Z17">
        <v>26</v>
      </c>
      <c r="AA17">
        <v>10982.4</v>
      </c>
      <c r="AB17">
        <v>24</v>
      </c>
      <c r="AC17">
        <v>10137.599999999999</v>
      </c>
      <c r="AD17">
        <v>17</v>
      </c>
      <c r="AE17">
        <v>7180.7999999999993</v>
      </c>
      <c r="AF17">
        <v>24</v>
      </c>
      <c r="AG17">
        <v>10137.599999999999</v>
      </c>
      <c r="AH17">
        <v>20</v>
      </c>
      <c r="AI17">
        <v>8448</v>
      </c>
      <c r="AJ17">
        <v>19</v>
      </c>
      <c r="AK17">
        <v>8025.5999999999995</v>
      </c>
      <c r="AL17">
        <v>24</v>
      </c>
      <c r="AM17">
        <v>10137.599999999999</v>
      </c>
      <c r="AN17">
        <v>29</v>
      </c>
      <c r="AO17">
        <v>12249.599999999999</v>
      </c>
      <c r="AP17">
        <v>25</v>
      </c>
      <c r="AQ17">
        <v>10560</v>
      </c>
      <c r="AR17">
        <v>18</v>
      </c>
      <c r="AS17">
        <v>7603.2</v>
      </c>
      <c r="AT17">
        <v>25</v>
      </c>
      <c r="AU17">
        <v>10560</v>
      </c>
      <c r="AV17">
        <v>30</v>
      </c>
      <c r="AW17">
        <v>12672</v>
      </c>
      <c r="AX17">
        <v>25</v>
      </c>
      <c r="AY17">
        <v>10560</v>
      </c>
      <c r="AZ17">
        <v>26</v>
      </c>
      <c r="BA17">
        <v>10982.4</v>
      </c>
      <c r="BB17">
        <v>21</v>
      </c>
      <c r="BC17">
        <v>8870.4</v>
      </c>
      <c r="BD17">
        <v>29</v>
      </c>
      <c r="BE17">
        <v>12249.599999999999</v>
      </c>
      <c r="BF17">
        <v>19</v>
      </c>
      <c r="BG17">
        <v>8025.5999999999995</v>
      </c>
      <c r="BH17">
        <v>28</v>
      </c>
      <c r="BI17">
        <v>11827.199999999999</v>
      </c>
      <c r="BJ17">
        <v>27</v>
      </c>
      <c r="BK17">
        <v>11404.8</v>
      </c>
      <c r="BL17">
        <v>32</v>
      </c>
      <c r="BM17">
        <v>13516.8</v>
      </c>
      <c r="BN17">
        <v>27</v>
      </c>
      <c r="BO17">
        <v>11404.8</v>
      </c>
      <c r="BP17">
        <v>17</v>
      </c>
      <c r="BQ17">
        <v>7180.7999999999993</v>
      </c>
      <c r="BR17">
        <v>23</v>
      </c>
      <c r="BS17">
        <v>9715.1999999999989</v>
      </c>
      <c r="BT17">
        <v>18</v>
      </c>
      <c r="BU17">
        <v>7603.2</v>
      </c>
      <c r="BV17">
        <v>27</v>
      </c>
      <c r="BW17">
        <v>11404.8</v>
      </c>
      <c r="BX17">
        <v>29</v>
      </c>
      <c r="BY17">
        <v>12249.599999999999</v>
      </c>
      <c r="BZ17">
        <v>31</v>
      </c>
      <c r="CA17">
        <v>13094.4</v>
      </c>
      <c r="CB17">
        <v>19</v>
      </c>
      <c r="CC17">
        <v>8025.5999999999995</v>
      </c>
      <c r="CD17">
        <v>30</v>
      </c>
      <c r="CE17">
        <v>12672</v>
      </c>
      <c r="CF17">
        <v>18</v>
      </c>
      <c r="CG17">
        <v>7603.2</v>
      </c>
      <c r="CH17">
        <v>24</v>
      </c>
      <c r="CI17">
        <v>10137.599999999999</v>
      </c>
      <c r="CJ17">
        <v>19</v>
      </c>
      <c r="CK17">
        <v>8025.5999999999995</v>
      </c>
      <c r="CL17">
        <v>16</v>
      </c>
      <c r="CM17">
        <v>6758.4</v>
      </c>
      <c r="CN17">
        <v>19</v>
      </c>
      <c r="CO17">
        <v>8025.5999999999995</v>
      </c>
      <c r="CP17">
        <v>16</v>
      </c>
      <c r="CQ17">
        <v>6758.4</v>
      </c>
      <c r="CR17">
        <v>29</v>
      </c>
      <c r="CS17">
        <v>12249.599999999999</v>
      </c>
      <c r="CT17">
        <v>35</v>
      </c>
      <c r="CU17">
        <v>14784</v>
      </c>
    </row>
    <row r="18" spans="2:99" x14ac:dyDescent="0.2">
      <c r="C18" s="119" t="s">
        <v>184</v>
      </c>
      <c r="D18">
        <v>27.399043425776153</v>
      </c>
      <c r="E18">
        <v>17886.095548346671</v>
      </c>
      <c r="F18">
        <v>23</v>
      </c>
      <c r="G18">
        <v>15014.4</v>
      </c>
      <c r="H18">
        <v>22.459699171088133</v>
      </c>
      <c r="I18">
        <v>14661.691618886332</v>
      </c>
      <c r="J18">
        <v>16</v>
      </c>
      <c r="K18">
        <v>10444.799999999999</v>
      </c>
      <c r="L18">
        <v>19</v>
      </c>
      <c r="M18">
        <v>12403.199999999999</v>
      </c>
      <c r="N18">
        <v>20</v>
      </c>
      <c r="O18">
        <v>13056</v>
      </c>
      <c r="P18">
        <v>23</v>
      </c>
      <c r="Q18">
        <v>15014.4</v>
      </c>
      <c r="R18">
        <v>15</v>
      </c>
      <c r="S18">
        <v>9792</v>
      </c>
      <c r="T18">
        <v>23</v>
      </c>
      <c r="U18">
        <v>15014.4</v>
      </c>
      <c r="V18">
        <v>26</v>
      </c>
      <c r="W18">
        <v>16972.8</v>
      </c>
      <c r="X18">
        <v>28</v>
      </c>
      <c r="Y18">
        <v>18278.399999999998</v>
      </c>
      <c r="Z18">
        <v>29</v>
      </c>
      <c r="AA18">
        <v>18931.199999999997</v>
      </c>
      <c r="AB18">
        <v>23</v>
      </c>
      <c r="AC18">
        <v>15014.4</v>
      </c>
      <c r="AD18">
        <v>15</v>
      </c>
      <c r="AE18">
        <v>9792</v>
      </c>
      <c r="AF18">
        <v>24</v>
      </c>
      <c r="AG18">
        <v>15667.199999999999</v>
      </c>
      <c r="AH18">
        <v>20</v>
      </c>
      <c r="AI18">
        <v>13056</v>
      </c>
      <c r="AJ18">
        <v>16</v>
      </c>
      <c r="AK18">
        <v>10444.799999999999</v>
      </c>
      <c r="AL18">
        <v>23</v>
      </c>
      <c r="AM18">
        <v>15014.4</v>
      </c>
      <c r="AN18">
        <v>26</v>
      </c>
      <c r="AO18">
        <v>16972.8</v>
      </c>
      <c r="AP18">
        <v>21</v>
      </c>
      <c r="AQ18">
        <v>13708.8</v>
      </c>
      <c r="AR18">
        <v>17</v>
      </c>
      <c r="AS18">
        <v>11097.599999999999</v>
      </c>
      <c r="AT18">
        <v>25</v>
      </c>
      <c r="AU18">
        <v>16319.999999999998</v>
      </c>
      <c r="AV18">
        <v>28</v>
      </c>
      <c r="AW18">
        <v>18278.399999999998</v>
      </c>
      <c r="AX18">
        <v>24</v>
      </c>
      <c r="AY18">
        <v>15667.199999999999</v>
      </c>
      <c r="AZ18">
        <v>26</v>
      </c>
      <c r="BA18">
        <v>16972.8</v>
      </c>
      <c r="BB18">
        <v>23</v>
      </c>
      <c r="BC18">
        <v>15014.4</v>
      </c>
      <c r="BD18">
        <v>29</v>
      </c>
      <c r="BE18">
        <v>18931.199999999997</v>
      </c>
      <c r="BF18">
        <v>19</v>
      </c>
      <c r="BG18">
        <v>12403.199999999999</v>
      </c>
      <c r="BH18">
        <v>28</v>
      </c>
      <c r="BI18">
        <v>18278.399999999998</v>
      </c>
      <c r="BJ18">
        <v>29</v>
      </c>
      <c r="BK18">
        <v>18931.199999999997</v>
      </c>
      <c r="BL18">
        <v>28</v>
      </c>
      <c r="BM18">
        <v>18278.399999999998</v>
      </c>
      <c r="BN18">
        <v>28</v>
      </c>
      <c r="BO18">
        <v>18278.399999999998</v>
      </c>
      <c r="BP18">
        <v>17</v>
      </c>
      <c r="BQ18">
        <v>11097.599999999999</v>
      </c>
      <c r="BR18">
        <v>25</v>
      </c>
      <c r="BS18">
        <v>16319.999999999998</v>
      </c>
      <c r="BT18">
        <v>20</v>
      </c>
      <c r="BU18">
        <v>13056</v>
      </c>
      <c r="BV18">
        <v>26</v>
      </c>
      <c r="BW18">
        <v>16972.8</v>
      </c>
      <c r="BX18">
        <v>30</v>
      </c>
      <c r="BY18">
        <v>19584</v>
      </c>
      <c r="BZ18">
        <v>30</v>
      </c>
      <c r="CA18">
        <v>19584</v>
      </c>
      <c r="CB18">
        <v>21</v>
      </c>
      <c r="CC18">
        <v>13708.8</v>
      </c>
      <c r="CD18">
        <v>28</v>
      </c>
      <c r="CE18">
        <v>18278.399999999998</v>
      </c>
      <c r="CF18">
        <v>17</v>
      </c>
      <c r="CG18">
        <v>11097.599999999999</v>
      </c>
      <c r="CH18">
        <v>22</v>
      </c>
      <c r="CI18">
        <v>14361.599999999999</v>
      </c>
      <c r="CJ18">
        <v>19</v>
      </c>
      <c r="CK18">
        <v>12403.199999999999</v>
      </c>
      <c r="CL18">
        <v>17</v>
      </c>
      <c r="CM18">
        <v>11097.599999999999</v>
      </c>
      <c r="CN18">
        <v>17</v>
      </c>
      <c r="CO18">
        <v>11097.599999999999</v>
      </c>
      <c r="CP18">
        <v>16</v>
      </c>
      <c r="CQ18">
        <v>10444.799999999999</v>
      </c>
      <c r="CR18">
        <v>30</v>
      </c>
      <c r="CS18">
        <v>19584</v>
      </c>
      <c r="CT18">
        <v>32</v>
      </c>
      <c r="CU18">
        <v>20889.599999999999</v>
      </c>
    </row>
    <row r="19" spans="2:99" x14ac:dyDescent="0.2">
      <c r="C19" s="119" t="s">
        <v>185</v>
      </c>
      <c r="D19">
        <v>30.399043425776153</v>
      </c>
      <c r="E19">
        <v>10031.68433050613</v>
      </c>
      <c r="F19">
        <v>22</v>
      </c>
      <c r="G19">
        <v>7260</v>
      </c>
      <c r="H19">
        <v>22.413729253979319</v>
      </c>
      <c r="I19">
        <v>7396.5306538131754</v>
      </c>
      <c r="J19">
        <v>17</v>
      </c>
      <c r="K19">
        <v>5610</v>
      </c>
      <c r="L19">
        <v>21</v>
      </c>
      <c r="M19">
        <v>6930</v>
      </c>
      <c r="N19">
        <v>21</v>
      </c>
      <c r="O19">
        <v>6930</v>
      </c>
      <c r="P19">
        <v>22</v>
      </c>
      <c r="Q19">
        <v>7260</v>
      </c>
      <c r="R19">
        <v>14</v>
      </c>
      <c r="S19">
        <v>4620</v>
      </c>
      <c r="T19">
        <v>24</v>
      </c>
      <c r="U19">
        <v>7920</v>
      </c>
      <c r="V19">
        <v>31</v>
      </c>
      <c r="W19">
        <v>10230</v>
      </c>
      <c r="X19">
        <v>27</v>
      </c>
      <c r="Y19">
        <v>8910</v>
      </c>
      <c r="Z19">
        <v>26</v>
      </c>
      <c r="AA19">
        <v>8580</v>
      </c>
      <c r="AB19">
        <v>24</v>
      </c>
      <c r="AC19">
        <v>7920</v>
      </c>
      <c r="AD19">
        <v>17</v>
      </c>
      <c r="AE19">
        <v>5610</v>
      </c>
      <c r="AF19">
        <v>26</v>
      </c>
      <c r="AG19">
        <v>8580</v>
      </c>
      <c r="AH19">
        <v>18</v>
      </c>
      <c r="AI19">
        <v>5940</v>
      </c>
      <c r="AJ19">
        <v>16</v>
      </c>
      <c r="AK19">
        <v>5280</v>
      </c>
      <c r="AL19">
        <v>23</v>
      </c>
      <c r="AM19">
        <v>7590</v>
      </c>
      <c r="AN19">
        <v>28</v>
      </c>
      <c r="AO19">
        <v>9240</v>
      </c>
      <c r="AP19">
        <v>23</v>
      </c>
      <c r="AQ19">
        <v>7590</v>
      </c>
      <c r="AR19">
        <v>18</v>
      </c>
      <c r="AS19">
        <v>5940</v>
      </c>
      <c r="AT19">
        <v>26</v>
      </c>
      <c r="AU19">
        <v>8580</v>
      </c>
      <c r="AV19">
        <v>28</v>
      </c>
      <c r="AW19">
        <v>9240</v>
      </c>
      <c r="AX19">
        <v>25</v>
      </c>
      <c r="AY19">
        <v>8250</v>
      </c>
      <c r="AZ19">
        <v>25</v>
      </c>
      <c r="BA19">
        <v>8250</v>
      </c>
      <c r="BB19">
        <v>21</v>
      </c>
      <c r="BC19">
        <v>6930</v>
      </c>
      <c r="BD19">
        <v>28</v>
      </c>
      <c r="BE19">
        <v>9240</v>
      </c>
      <c r="BF19">
        <v>19</v>
      </c>
      <c r="BG19">
        <v>6270</v>
      </c>
      <c r="BH19">
        <v>27</v>
      </c>
      <c r="BI19">
        <v>8910</v>
      </c>
      <c r="BJ19">
        <v>30</v>
      </c>
      <c r="BK19">
        <v>9900</v>
      </c>
      <c r="BL19">
        <v>30</v>
      </c>
      <c r="BM19">
        <v>9900</v>
      </c>
      <c r="BN19">
        <v>25</v>
      </c>
      <c r="BO19">
        <v>8250</v>
      </c>
      <c r="BP19">
        <v>19</v>
      </c>
      <c r="BQ19">
        <v>6270</v>
      </c>
      <c r="BR19">
        <v>21</v>
      </c>
      <c r="BS19">
        <v>6930</v>
      </c>
      <c r="BT19">
        <v>19</v>
      </c>
      <c r="BU19">
        <v>6270</v>
      </c>
      <c r="BV19">
        <v>29</v>
      </c>
      <c r="BW19">
        <v>9570</v>
      </c>
      <c r="BX19">
        <v>28</v>
      </c>
      <c r="BY19">
        <v>9240</v>
      </c>
      <c r="BZ19">
        <v>28</v>
      </c>
      <c r="CA19">
        <v>9240</v>
      </c>
      <c r="CB19">
        <v>19</v>
      </c>
      <c r="CC19">
        <v>6270</v>
      </c>
      <c r="CD19">
        <v>33</v>
      </c>
      <c r="CE19">
        <v>10890</v>
      </c>
      <c r="CF19">
        <v>19</v>
      </c>
      <c r="CG19">
        <v>6270</v>
      </c>
      <c r="CH19">
        <v>24</v>
      </c>
      <c r="CI19">
        <v>7920</v>
      </c>
      <c r="CJ19">
        <v>18</v>
      </c>
      <c r="CK19">
        <v>5940</v>
      </c>
      <c r="CL19">
        <v>18</v>
      </c>
      <c r="CM19">
        <v>5940</v>
      </c>
      <c r="CN19">
        <v>17</v>
      </c>
      <c r="CO19">
        <v>5610</v>
      </c>
      <c r="CP19">
        <v>19</v>
      </c>
      <c r="CQ19">
        <v>6270</v>
      </c>
      <c r="CR19">
        <v>28</v>
      </c>
      <c r="CS19">
        <v>9240</v>
      </c>
      <c r="CT19">
        <v>32</v>
      </c>
      <c r="CU19">
        <v>10560</v>
      </c>
    </row>
    <row r="20" spans="2:99" x14ac:dyDescent="0.2">
      <c r="B20" s="119" t="s">
        <v>127</v>
      </c>
      <c r="C20" s="119" t="s">
        <v>186</v>
      </c>
      <c r="D20">
        <v>12</v>
      </c>
      <c r="E20">
        <v>3441.6000000000004</v>
      </c>
      <c r="F20">
        <v>11</v>
      </c>
      <c r="G20">
        <v>3154.8</v>
      </c>
      <c r="H20">
        <v>12.149247927720332</v>
      </c>
      <c r="I20">
        <v>3484.4043056701912</v>
      </c>
      <c r="J20">
        <v>14</v>
      </c>
      <c r="K20">
        <v>4015.2000000000003</v>
      </c>
      <c r="L20">
        <v>11</v>
      </c>
      <c r="M20">
        <v>3154.8</v>
      </c>
      <c r="N20">
        <v>15</v>
      </c>
      <c r="O20">
        <v>4302</v>
      </c>
      <c r="P20">
        <v>14</v>
      </c>
      <c r="Q20">
        <v>4015.2000000000003</v>
      </c>
      <c r="R20">
        <v>16</v>
      </c>
      <c r="S20">
        <v>4588.8</v>
      </c>
      <c r="T20">
        <v>15</v>
      </c>
      <c r="U20">
        <v>4302</v>
      </c>
      <c r="V20">
        <v>13</v>
      </c>
      <c r="W20">
        <v>3728.4</v>
      </c>
      <c r="X20">
        <v>13</v>
      </c>
      <c r="Y20">
        <v>3728.4</v>
      </c>
      <c r="Z20">
        <v>16</v>
      </c>
      <c r="AA20">
        <v>4588.8</v>
      </c>
      <c r="AB20">
        <v>15</v>
      </c>
      <c r="AC20">
        <v>4302</v>
      </c>
      <c r="AD20">
        <v>18</v>
      </c>
      <c r="AE20">
        <v>5162.4000000000005</v>
      </c>
      <c r="AF20">
        <v>15</v>
      </c>
      <c r="AG20">
        <v>4302</v>
      </c>
      <c r="AH20">
        <v>19</v>
      </c>
      <c r="AI20">
        <v>5449.2</v>
      </c>
      <c r="AJ20">
        <v>20</v>
      </c>
      <c r="AK20">
        <v>5736</v>
      </c>
      <c r="AL20">
        <v>17</v>
      </c>
      <c r="AM20">
        <v>4875.6000000000004</v>
      </c>
      <c r="AN20">
        <v>17</v>
      </c>
      <c r="AO20">
        <v>4875.6000000000004</v>
      </c>
      <c r="AP20">
        <v>12</v>
      </c>
      <c r="AQ20">
        <v>3441.6000000000004</v>
      </c>
      <c r="AR20">
        <v>14</v>
      </c>
      <c r="AS20">
        <v>4015.2000000000003</v>
      </c>
      <c r="AT20">
        <v>12</v>
      </c>
      <c r="AU20">
        <v>3441.6000000000004</v>
      </c>
      <c r="AV20">
        <v>13</v>
      </c>
      <c r="AW20">
        <v>3728.4</v>
      </c>
      <c r="AX20">
        <v>10</v>
      </c>
      <c r="AY20">
        <v>2868</v>
      </c>
      <c r="AZ20">
        <v>12</v>
      </c>
      <c r="BA20">
        <v>3441.6000000000004</v>
      </c>
      <c r="BB20">
        <v>14</v>
      </c>
      <c r="BC20">
        <v>4015.2000000000003</v>
      </c>
      <c r="BD20">
        <v>18</v>
      </c>
      <c r="BE20">
        <v>5162.4000000000005</v>
      </c>
      <c r="BF20">
        <v>11</v>
      </c>
      <c r="BG20">
        <v>3154.8</v>
      </c>
      <c r="BH20">
        <v>13</v>
      </c>
      <c r="BI20">
        <v>3728.4</v>
      </c>
      <c r="BJ20">
        <v>23</v>
      </c>
      <c r="BK20">
        <v>6596.4000000000005</v>
      </c>
      <c r="BL20">
        <v>22</v>
      </c>
      <c r="BM20">
        <v>6309.6</v>
      </c>
      <c r="BN20">
        <v>15</v>
      </c>
      <c r="BO20">
        <v>4302</v>
      </c>
      <c r="BP20">
        <v>16</v>
      </c>
      <c r="BQ20">
        <v>4588.8</v>
      </c>
      <c r="BR20">
        <v>10</v>
      </c>
      <c r="BS20">
        <v>2868</v>
      </c>
      <c r="BT20">
        <v>13</v>
      </c>
      <c r="BU20">
        <v>3728.4</v>
      </c>
      <c r="BV20">
        <v>22</v>
      </c>
      <c r="BW20">
        <v>6309.6</v>
      </c>
      <c r="BX20">
        <v>18</v>
      </c>
      <c r="BY20">
        <v>5162.4000000000005</v>
      </c>
      <c r="BZ20">
        <v>20</v>
      </c>
      <c r="CA20">
        <v>5736</v>
      </c>
      <c r="CB20">
        <v>14</v>
      </c>
      <c r="CC20">
        <v>4015.2000000000003</v>
      </c>
      <c r="CD20">
        <v>19</v>
      </c>
      <c r="CE20">
        <v>5449.2</v>
      </c>
      <c r="CF20">
        <v>22</v>
      </c>
      <c r="CG20">
        <v>6309.6</v>
      </c>
      <c r="CH20">
        <v>19</v>
      </c>
      <c r="CI20">
        <v>5449.2</v>
      </c>
      <c r="CJ20">
        <v>21</v>
      </c>
      <c r="CK20">
        <v>6022.8</v>
      </c>
      <c r="CL20">
        <v>23</v>
      </c>
      <c r="CM20">
        <v>6596.4000000000005</v>
      </c>
      <c r="CN20">
        <v>12</v>
      </c>
      <c r="CO20">
        <v>3441.6000000000004</v>
      </c>
      <c r="CP20">
        <v>20</v>
      </c>
      <c r="CQ20">
        <v>5736</v>
      </c>
      <c r="CR20">
        <v>23</v>
      </c>
      <c r="CS20">
        <v>6596.4000000000005</v>
      </c>
      <c r="CT20">
        <v>20</v>
      </c>
      <c r="CU20">
        <v>5736</v>
      </c>
    </row>
    <row r="21" spans="2:99" x14ac:dyDescent="0.2">
      <c r="C21" s="119" t="s">
        <v>187</v>
      </c>
      <c r="D21">
        <v>12</v>
      </c>
      <c r="E21">
        <v>748.8</v>
      </c>
      <c r="F21">
        <v>11</v>
      </c>
      <c r="G21">
        <v>686.4</v>
      </c>
      <c r="H21">
        <v>14.195217844829145</v>
      </c>
      <c r="I21">
        <v>885.78159351733859</v>
      </c>
      <c r="J21">
        <v>14.522022076479816</v>
      </c>
      <c r="K21">
        <v>906.17417757234045</v>
      </c>
      <c r="L21">
        <v>11</v>
      </c>
      <c r="M21">
        <v>686.4</v>
      </c>
      <c r="N21">
        <v>16</v>
      </c>
      <c r="O21">
        <v>998.4</v>
      </c>
      <c r="P21">
        <v>17</v>
      </c>
      <c r="Q21">
        <v>1060.8</v>
      </c>
      <c r="R21">
        <v>16</v>
      </c>
      <c r="S21">
        <v>998.4</v>
      </c>
      <c r="T21">
        <v>16</v>
      </c>
      <c r="U21">
        <v>998.4</v>
      </c>
      <c r="V21">
        <v>15</v>
      </c>
      <c r="W21">
        <v>936</v>
      </c>
      <c r="X21">
        <v>15</v>
      </c>
      <c r="Y21">
        <v>936</v>
      </c>
      <c r="Z21">
        <v>18</v>
      </c>
      <c r="AA21">
        <v>1123.2</v>
      </c>
      <c r="AB21">
        <v>17</v>
      </c>
      <c r="AC21">
        <v>1060.8</v>
      </c>
      <c r="AD21">
        <v>16</v>
      </c>
      <c r="AE21">
        <v>998.4</v>
      </c>
      <c r="AF21">
        <v>15</v>
      </c>
      <c r="AG21">
        <v>936</v>
      </c>
      <c r="AH21">
        <v>22</v>
      </c>
      <c r="AI21">
        <v>1372.8</v>
      </c>
      <c r="AJ21">
        <v>22</v>
      </c>
      <c r="AK21">
        <v>1372.8</v>
      </c>
      <c r="AL21">
        <v>15</v>
      </c>
      <c r="AM21">
        <v>936</v>
      </c>
      <c r="AN21">
        <v>18</v>
      </c>
      <c r="AO21">
        <v>1123.2</v>
      </c>
      <c r="AP21">
        <v>13</v>
      </c>
      <c r="AQ21">
        <v>811.19999999999993</v>
      </c>
      <c r="AR21">
        <v>15</v>
      </c>
      <c r="AS21">
        <v>936</v>
      </c>
      <c r="AT21">
        <v>13</v>
      </c>
      <c r="AU21">
        <v>811.19999999999993</v>
      </c>
      <c r="AV21">
        <v>15</v>
      </c>
      <c r="AW21">
        <v>936</v>
      </c>
      <c r="AX21">
        <v>10</v>
      </c>
      <c r="AY21">
        <v>624</v>
      </c>
      <c r="AZ21">
        <v>12</v>
      </c>
      <c r="BA21">
        <v>748.8</v>
      </c>
      <c r="BB21">
        <v>14</v>
      </c>
      <c r="BC21">
        <v>873.6</v>
      </c>
      <c r="BD21">
        <v>16</v>
      </c>
      <c r="BE21">
        <v>998.4</v>
      </c>
      <c r="BF21">
        <v>14</v>
      </c>
      <c r="BG21">
        <v>873.6</v>
      </c>
      <c r="BH21">
        <v>12</v>
      </c>
      <c r="BI21">
        <v>748.8</v>
      </c>
      <c r="BJ21">
        <v>23</v>
      </c>
      <c r="BK21">
        <v>1435.2</v>
      </c>
      <c r="BL21">
        <v>22</v>
      </c>
      <c r="BM21">
        <v>1372.8</v>
      </c>
      <c r="BN21">
        <v>16</v>
      </c>
      <c r="BO21">
        <v>998.4</v>
      </c>
      <c r="BP21">
        <v>18</v>
      </c>
      <c r="BQ21">
        <v>1123.2</v>
      </c>
      <c r="BR21">
        <v>12</v>
      </c>
      <c r="BS21">
        <v>748.8</v>
      </c>
      <c r="BT21">
        <v>12</v>
      </c>
      <c r="BU21">
        <v>748.8</v>
      </c>
      <c r="BV21">
        <v>21</v>
      </c>
      <c r="BW21">
        <v>1310.3999999999999</v>
      </c>
      <c r="BX21">
        <v>18</v>
      </c>
      <c r="BY21">
        <v>1123.2</v>
      </c>
      <c r="BZ21">
        <v>23</v>
      </c>
      <c r="CA21">
        <v>1435.2</v>
      </c>
      <c r="CB21">
        <v>16</v>
      </c>
      <c r="CC21">
        <v>998.4</v>
      </c>
      <c r="CD21">
        <v>19</v>
      </c>
      <c r="CE21">
        <v>1185.5999999999999</v>
      </c>
      <c r="CF21">
        <v>22</v>
      </c>
      <c r="CG21">
        <v>1372.8</v>
      </c>
      <c r="CH21">
        <v>17</v>
      </c>
      <c r="CI21">
        <v>1060.8</v>
      </c>
      <c r="CJ21">
        <v>22</v>
      </c>
      <c r="CK21">
        <v>1372.8</v>
      </c>
      <c r="CL21">
        <v>24</v>
      </c>
      <c r="CM21">
        <v>1497.6</v>
      </c>
      <c r="CN21">
        <v>13</v>
      </c>
      <c r="CO21">
        <v>811.19999999999993</v>
      </c>
      <c r="CP21">
        <v>20</v>
      </c>
      <c r="CQ21">
        <v>1248</v>
      </c>
      <c r="CR21">
        <v>22</v>
      </c>
      <c r="CS21">
        <v>1372.8</v>
      </c>
      <c r="CT21">
        <v>22</v>
      </c>
      <c r="CU21">
        <v>1372.8</v>
      </c>
    </row>
    <row r="22" spans="2:99" x14ac:dyDescent="0.2">
      <c r="C22" s="119" t="s">
        <v>188</v>
      </c>
      <c r="D22">
        <v>13</v>
      </c>
      <c r="E22">
        <v>2433.6</v>
      </c>
      <c r="F22">
        <v>12</v>
      </c>
      <c r="G22">
        <v>2246.3999999999996</v>
      </c>
      <c r="H22">
        <v>13.149247927720332</v>
      </c>
      <c r="I22">
        <v>2461.5392120692459</v>
      </c>
      <c r="J22">
        <v>15.571119562817875</v>
      </c>
      <c r="K22">
        <v>2914.9135821595059</v>
      </c>
      <c r="L22">
        <v>12</v>
      </c>
      <c r="M22">
        <v>2246.3999999999996</v>
      </c>
      <c r="N22">
        <v>15</v>
      </c>
      <c r="O22">
        <v>2808</v>
      </c>
      <c r="P22">
        <v>16</v>
      </c>
      <c r="Q22">
        <v>2995.2</v>
      </c>
      <c r="R22">
        <v>16</v>
      </c>
      <c r="S22">
        <v>2995.2</v>
      </c>
      <c r="T22">
        <v>15</v>
      </c>
      <c r="U22">
        <v>2808</v>
      </c>
      <c r="V22">
        <v>13</v>
      </c>
      <c r="W22">
        <v>2433.6</v>
      </c>
      <c r="X22">
        <v>15</v>
      </c>
      <c r="Y22">
        <v>2808</v>
      </c>
      <c r="Z22">
        <v>16</v>
      </c>
      <c r="AA22">
        <v>2995.2</v>
      </c>
      <c r="AB22">
        <v>16</v>
      </c>
      <c r="AC22">
        <v>2995.2</v>
      </c>
      <c r="AD22">
        <v>19</v>
      </c>
      <c r="AE22">
        <v>3556.7999999999997</v>
      </c>
      <c r="AF22">
        <v>15</v>
      </c>
      <c r="AG22">
        <v>2808</v>
      </c>
      <c r="AH22">
        <v>20</v>
      </c>
      <c r="AI22">
        <v>3744</v>
      </c>
      <c r="AJ22">
        <v>20</v>
      </c>
      <c r="AK22">
        <v>3744</v>
      </c>
      <c r="AL22">
        <v>17</v>
      </c>
      <c r="AM22">
        <v>3182.3999999999996</v>
      </c>
      <c r="AN22">
        <v>19</v>
      </c>
      <c r="AO22">
        <v>3556.7999999999997</v>
      </c>
      <c r="AP22">
        <v>13</v>
      </c>
      <c r="AQ22">
        <v>2433.6</v>
      </c>
      <c r="AR22">
        <v>13</v>
      </c>
      <c r="AS22">
        <v>2433.6</v>
      </c>
      <c r="AT22">
        <v>12</v>
      </c>
      <c r="AU22">
        <v>2246.3999999999996</v>
      </c>
      <c r="AV22">
        <v>14</v>
      </c>
      <c r="AW22">
        <v>2620.7999999999997</v>
      </c>
      <c r="AX22">
        <v>12</v>
      </c>
      <c r="AY22">
        <v>2246.3999999999996</v>
      </c>
      <c r="AZ22">
        <v>12</v>
      </c>
      <c r="BA22">
        <v>2246.3999999999996</v>
      </c>
      <c r="BB22">
        <v>14</v>
      </c>
      <c r="BC22">
        <v>2620.7999999999997</v>
      </c>
      <c r="BD22">
        <v>17</v>
      </c>
      <c r="BE22">
        <v>3182.3999999999996</v>
      </c>
      <c r="BF22">
        <v>14</v>
      </c>
      <c r="BG22">
        <v>2620.7999999999997</v>
      </c>
      <c r="BH22">
        <v>12</v>
      </c>
      <c r="BI22">
        <v>2246.3999999999996</v>
      </c>
      <c r="BJ22">
        <v>20</v>
      </c>
      <c r="BK22">
        <v>3744</v>
      </c>
      <c r="BL22">
        <v>20</v>
      </c>
      <c r="BM22">
        <v>3744</v>
      </c>
      <c r="BN22">
        <v>16</v>
      </c>
      <c r="BO22">
        <v>2995.2</v>
      </c>
      <c r="BP22">
        <v>17</v>
      </c>
      <c r="BQ22">
        <v>3182.3999999999996</v>
      </c>
      <c r="BR22">
        <v>12</v>
      </c>
      <c r="BS22">
        <v>2246.3999999999996</v>
      </c>
      <c r="BT22">
        <v>14</v>
      </c>
      <c r="BU22">
        <v>2620.7999999999997</v>
      </c>
      <c r="BV22">
        <v>19</v>
      </c>
      <c r="BW22">
        <v>3556.7999999999997</v>
      </c>
      <c r="BX22">
        <v>16</v>
      </c>
      <c r="BY22">
        <v>2995.2</v>
      </c>
      <c r="BZ22">
        <v>23</v>
      </c>
      <c r="CA22">
        <v>4305.5999999999995</v>
      </c>
      <c r="CB22">
        <v>15</v>
      </c>
      <c r="CC22">
        <v>2808</v>
      </c>
      <c r="CD22">
        <v>22</v>
      </c>
      <c r="CE22">
        <v>4118.3999999999996</v>
      </c>
      <c r="CF22">
        <v>20</v>
      </c>
      <c r="CG22">
        <v>3744</v>
      </c>
      <c r="CH22">
        <v>20</v>
      </c>
      <c r="CI22">
        <v>3744</v>
      </c>
      <c r="CJ22">
        <v>24</v>
      </c>
      <c r="CK22">
        <v>4492.7999999999993</v>
      </c>
      <c r="CL22">
        <v>21</v>
      </c>
      <c r="CM22">
        <v>3931.2</v>
      </c>
      <c r="CN22">
        <v>13</v>
      </c>
      <c r="CO22">
        <v>2433.6</v>
      </c>
      <c r="CP22">
        <v>18</v>
      </c>
      <c r="CQ22">
        <v>3369.6</v>
      </c>
      <c r="CR22">
        <v>24</v>
      </c>
      <c r="CS22">
        <v>4492.7999999999993</v>
      </c>
      <c r="CT22">
        <v>20</v>
      </c>
      <c r="CU22">
        <v>3744</v>
      </c>
    </row>
    <row r="23" spans="2:99" x14ac:dyDescent="0.2">
      <c r="C23" s="119" t="s">
        <v>189</v>
      </c>
      <c r="D23">
        <v>13</v>
      </c>
      <c r="E23">
        <v>3822</v>
      </c>
      <c r="F23">
        <v>11</v>
      </c>
      <c r="G23">
        <v>3234</v>
      </c>
      <c r="H23">
        <v>14.241187761937958</v>
      </c>
      <c r="I23">
        <v>4186.9092020097596</v>
      </c>
      <c r="J23">
        <v>15.472924590141758</v>
      </c>
      <c r="K23">
        <v>4549.0398295016766</v>
      </c>
      <c r="L23">
        <v>10</v>
      </c>
      <c r="M23">
        <v>2940</v>
      </c>
      <c r="N23">
        <v>14</v>
      </c>
      <c r="O23">
        <v>4116</v>
      </c>
      <c r="P23">
        <v>15</v>
      </c>
      <c r="Q23">
        <v>4410</v>
      </c>
      <c r="R23">
        <v>15</v>
      </c>
      <c r="S23">
        <v>4410</v>
      </c>
      <c r="T23">
        <v>15</v>
      </c>
      <c r="U23">
        <v>4410</v>
      </c>
      <c r="V23">
        <v>14</v>
      </c>
      <c r="W23">
        <v>4116</v>
      </c>
      <c r="X23">
        <v>14</v>
      </c>
      <c r="Y23">
        <v>4116</v>
      </c>
      <c r="Z23">
        <v>17</v>
      </c>
      <c r="AA23">
        <v>4998</v>
      </c>
      <c r="AB23">
        <v>17</v>
      </c>
      <c r="AC23">
        <v>4998</v>
      </c>
      <c r="AD23">
        <v>18</v>
      </c>
      <c r="AE23">
        <v>5292</v>
      </c>
      <c r="AF23">
        <v>14</v>
      </c>
      <c r="AG23">
        <v>4116</v>
      </c>
      <c r="AH23">
        <v>18</v>
      </c>
      <c r="AI23">
        <v>5292</v>
      </c>
      <c r="AJ23">
        <v>20</v>
      </c>
      <c r="AK23">
        <v>5880</v>
      </c>
      <c r="AL23">
        <v>16</v>
      </c>
      <c r="AM23">
        <v>4704</v>
      </c>
      <c r="AN23">
        <v>18</v>
      </c>
      <c r="AO23">
        <v>5292</v>
      </c>
      <c r="AP23">
        <v>12</v>
      </c>
      <c r="AQ23">
        <v>3528</v>
      </c>
      <c r="AR23">
        <v>14</v>
      </c>
      <c r="AS23">
        <v>4116</v>
      </c>
      <c r="AT23">
        <v>12</v>
      </c>
      <c r="AU23">
        <v>3528</v>
      </c>
      <c r="AV23">
        <v>15</v>
      </c>
      <c r="AW23">
        <v>4410</v>
      </c>
      <c r="AX23">
        <v>10</v>
      </c>
      <c r="AY23">
        <v>2940</v>
      </c>
      <c r="AZ23">
        <v>12</v>
      </c>
      <c r="BA23">
        <v>3528</v>
      </c>
      <c r="BB23">
        <v>14</v>
      </c>
      <c r="BC23">
        <v>4116</v>
      </c>
      <c r="BD23">
        <v>16</v>
      </c>
      <c r="BE23">
        <v>4704</v>
      </c>
      <c r="BF23">
        <v>14</v>
      </c>
      <c r="BG23">
        <v>4116</v>
      </c>
      <c r="BH23">
        <v>14</v>
      </c>
      <c r="BI23">
        <v>4116</v>
      </c>
      <c r="BJ23">
        <v>21</v>
      </c>
      <c r="BK23">
        <v>6174</v>
      </c>
      <c r="BL23">
        <v>19</v>
      </c>
      <c r="BM23">
        <v>5586</v>
      </c>
      <c r="BN23">
        <v>15</v>
      </c>
      <c r="BO23">
        <v>4410</v>
      </c>
      <c r="BP23">
        <v>16</v>
      </c>
      <c r="BQ23">
        <v>4704</v>
      </c>
      <c r="BR23">
        <v>12</v>
      </c>
      <c r="BS23">
        <v>3528</v>
      </c>
      <c r="BT23">
        <v>13</v>
      </c>
      <c r="BU23">
        <v>3822</v>
      </c>
      <c r="BV23">
        <v>20</v>
      </c>
      <c r="BW23">
        <v>5880</v>
      </c>
      <c r="BX23">
        <v>17</v>
      </c>
      <c r="BY23">
        <v>4998</v>
      </c>
      <c r="BZ23">
        <v>21</v>
      </c>
      <c r="CA23">
        <v>6174</v>
      </c>
      <c r="CB23">
        <v>14</v>
      </c>
      <c r="CC23">
        <v>4116</v>
      </c>
      <c r="CD23">
        <v>19</v>
      </c>
      <c r="CE23">
        <v>5586</v>
      </c>
      <c r="CF23">
        <v>18</v>
      </c>
      <c r="CG23">
        <v>5292</v>
      </c>
      <c r="CH23">
        <v>19</v>
      </c>
      <c r="CI23">
        <v>5586</v>
      </c>
      <c r="CJ23">
        <v>24</v>
      </c>
      <c r="CK23">
        <v>7056</v>
      </c>
      <c r="CL23">
        <v>21</v>
      </c>
      <c r="CM23">
        <v>6174</v>
      </c>
      <c r="CN23">
        <v>13</v>
      </c>
      <c r="CO23">
        <v>3822</v>
      </c>
      <c r="CP23">
        <v>17</v>
      </c>
      <c r="CQ23">
        <v>4998</v>
      </c>
      <c r="CR23">
        <v>24</v>
      </c>
      <c r="CS23">
        <v>7056</v>
      </c>
      <c r="CT23">
        <v>20</v>
      </c>
      <c r="CU23">
        <v>5880</v>
      </c>
    </row>
    <row r="24" spans="2:99" x14ac:dyDescent="0.2">
      <c r="C24" s="119" t="s">
        <v>190</v>
      </c>
      <c r="D24">
        <v>11</v>
      </c>
      <c r="E24">
        <v>4039.2</v>
      </c>
      <c r="F24">
        <v>11</v>
      </c>
      <c r="G24">
        <v>4039.2</v>
      </c>
      <c r="H24">
        <v>12.057308093502705</v>
      </c>
      <c r="I24">
        <v>4427.4435319341928</v>
      </c>
      <c r="J24">
        <v>15.423827103803699</v>
      </c>
      <c r="K24">
        <v>5663.6293125167185</v>
      </c>
      <c r="L24">
        <v>10</v>
      </c>
      <c r="M24">
        <v>3672</v>
      </c>
      <c r="N24">
        <v>15</v>
      </c>
      <c r="O24">
        <v>5508</v>
      </c>
      <c r="P24">
        <v>15</v>
      </c>
      <c r="Q24">
        <v>5508</v>
      </c>
      <c r="R24">
        <v>16</v>
      </c>
      <c r="S24">
        <v>5875.2</v>
      </c>
      <c r="T24">
        <v>14</v>
      </c>
      <c r="U24">
        <v>5140.8</v>
      </c>
      <c r="V24">
        <v>13</v>
      </c>
      <c r="W24">
        <v>4773.5999999999995</v>
      </c>
      <c r="X24">
        <v>14</v>
      </c>
      <c r="Y24">
        <v>5140.8</v>
      </c>
      <c r="Z24">
        <v>17</v>
      </c>
      <c r="AA24">
        <v>6242.4</v>
      </c>
      <c r="AB24">
        <v>15</v>
      </c>
      <c r="AC24">
        <v>5508</v>
      </c>
      <c r="AD24">
        <v>18</v>
      </c>
      <c r="AE24">
        <v>6609.5999999999995</v>
      </c>
      <c r="AF24">
        <v>13</v>
      </c>
      <c r="AG24">
        <v>4773.5999999999995</v>
      </c>
      <c r="AH24">
        <v>19</v>
      </c>
      <c r="AI24">
        <v>6976.8</v>
      </c>
      <c r="AJ24">
        <v>20</v>
      </c>
      <c r="AK24">
        <v>7344</v>
      </c>
      <c r="AL24">
        <v>15</v>
      </c>
      <c r="AM24">
        <v>5508</v>
      </c>
      <c r="AN24">
        <v>19</v>
      </c>
      <c r="AO24">
        <v>6976.8</v>
      </c>
      <c r="AP24">
        <v>12</v>
      </c>
      <c r="AQ24">
        <v>4406.3999999999996</v>
      </c>
      <c r="AR24">
        <v>14</v>
      </c>
      <c r="AS24">
        <v>5140.8</v>
      </c>
      <c r="AT24">
        <v>11</v>
      </c>
      <c r="AU24">
        <v>4039.2</v>
      </c>
      <c r="AV24">
        <v>14</v>
      </c>
      <c r="AW24">
        <v>5140.8</v>
      </c>
      <c r="AX24">
        <v>10</v>
      </c>
      <c r="AY24">
        <v>3672</v>
      </c>
      <c r="AZ24">
        <v>12</v>
      </c>
      <c r="BA24">
        <v>4406.3999999999996</v>
      </c>
      <c r="BB24">
        <v>14</v>
      </c>
      <c r="BC24">
        <v>5140.8</v>
      </c>
      <c r="BD24">
        <v>18</v>
      </c>
      <c r="BE24">
        <v>6609.5999999999995</v>
      </c>
      <c r="BF24">
        <v>11</v>
      </c>
      <c r="BG24">
        <v>4039.2</v>
      </c>
      <c r="BH24">
        <v>12</v>
      </c>
      <c r="BI24">
        <v>4406.3999999999996</v>
      </c>
      <c r="BJ24">
        <v>22</v>
      </c>
      <c r="BK24">
        <v>8078.4</v>
      </c>
      <c r="BL24">
        <v>22</v>
      </c>
      <c r="BM24">
        <v>8078.4</v>
      </c>
      <c r="BN24">
        <v>13</v>
      </c>
      <c r="BO24">
        <v>4773.5999999999995</v>
      </c>
      <c r="BP24">
        <v>16</v>
      </c>
      <c r="BQ24">
        <v>5875.2</v>
      </c>
      <c r="BR24">
        <v>11</v>
      </c>
      <c r="BS24">
        <v>4039.2</v>
      </c>
      <c r="BT24">
        <v>13</v>
      </c>
      <c r="BU24">
        <v>4773.5999999999995</v>
      </c>
      <c r="BV24">
        <v>21</v>
      </c>
      <c r="BW24">
        <v>7711.2</v>
      </c>
      <c r="BX24">
        <v>19</v>
      </c>
      <c r="BY24">
        <v>6976.8</v>
      </c>
      <c r="BZ24">
        <v>22</v>
      </c>
      <c r="CA24">
        <v>8078.4</v>
      </c>
      <c r="CB24">
        <v>13</v>
      </c>
      <c r="CC24">
        <v>4773.5999999999995</v>
      </c>
      <c r="CD24">
        <v>21</v>
      </c>
      <c r="CE24">
        <v>7711.2</v>
      </c>
      <c r="CF24">
        <v>19</v>
      </c>
      <c r="CG24">
        <v>6976.8</v>
      </c>
      <c r="CH24">
        <v>17</v>
      </c>
      <c r="CI24">
        <v>6242.4</v>
      </c>
      <c r="CJ24">
        <v>20</v>
      </c>
      <c r="CK24">
        <v>7344</v>
      </c>
      <c r="CL24">
        <v>21</v>
      </c>
      <c r="CM24">
        <v>7711.2</v>
      </c>
      <c r="CN24">
        <v>14</v>
      </c>
      <c r="CO24">
        <v>5140.8</v>
      </c>
      <c r="CP24">
        <v>20</v>
      </c>
      <c r="CQ24">
        <v>7344</v>
      </c>
      <c r="CR24">
        <v>23</v>
      </c>
      <c r="CS24">
        <v>8445.6</v>
      </c>
      <c r="CT24">
        <v>23</v>
      </c>
      <c r="CU24">
        <v>8445.6</v>
      </c>
    </row>
    <row r="25" spans="2:99" x14ac:dyDescent="0.2">
      <c r="C25" s="119" t="s">
        <v>191</v>
      </c>
      <c r="D25">
        <v>13</v>
      </c>
      <c r="E25">
        <v>6895.2</v>
      </c>
      <c r="F25">
        <v>11</v>
      </c>
      <c r="G25">
        <v>5834.4</v>
      </c>
      <c r="H25">
        <v>13.011338176393892</v>
      </c>
      <c r="I25">
        <v>6901.2137687593195</v>
      </c>
      <c r="J25">
        <v>14.423827103803699</v>
      </c>
      <c r="K25">
        <v>7650.3978958574817</v>
      </c>
      <c r="L25">
        <v>10</v>
      </c>
      <c r="M25">
        <v>5304</v>
      </c>
      <c r="N25">
        <v>15</v>
      </c>
      <c r="O25">
        <v>7956</v>
      </c>
      <c r="P25">
        <v>14</v>
      </c>
      <c r="Q25">
        <v>7425.5999999999995</v>
      </c>
      <c r="R25">
        <v>13</v>
      </c>
      <c r="S25">
        <v>6895.2</v>
      </c>
      <c r="T25">
        <v>13</v>
      </c>
      <c r="U25">
        <v>6895.2</v>
      </c>
      <c r="V25">
        <v>15</v>
      </c>
      <c r="W25">
        <v>7956</v>
      </c>
      <c r="X25">
        <v>14</v>
      </c>
      <c r="Y25">
        <v>7425.5999999999995</v>
      </c>
      <c r="Z25">
        <v>15</v>
      </c>
      <c r="AA25">
        <v>7956</v>
      </c>
      <c r="AB25">
        <v>15</v>
      </c>
      <c r="AC25">
        <v>7956</v>
      </c>
      <c r="AD25">
        <v>17</v>
      </c>
      <c r="AE25">
        <v>9016.7999999999993</v>
      </c>
      <c r="AF25">
        <v>13</v>
      </c>
      <c r="AG25">
        <v>6895.2</v>
      </c>
      <c r="AH25">
        <v>20</v>
      </c>
      <c r="AI25">
        <v>10608</v>
      </c>
      <c r="AJ25">
        <v>18</v>
      </c>
      <c r="AK25">
        <v>9547.1999999999989</v>
      </c>
      <c r="AL25">
        <v>16</v>
      </c>
      <c r="AM25">
        <v>8486.4</v>
      </c>
      <c r="AN25">
        <v>16</v>
      </c>
      <c r="AO25">
        <v>8486.4</v>
      </c>
      <c r="AP25">
        <v>11</v>
      </c>
      <c r="AQ25">
        <v>5834.4</v>
      </c>
      <c r="AR25">
        <v>13</v>
      </c>
      <c r="AS25">
        <v>6895.2</v>
      </c>
      <c r="AT25">
        <v>12</v>
      </c>
      <c r="AU25">
        <v>6364.7999999999993</v>
      </c>
      <c r="AV25">
        <v>14</v>
      </c>
      <c r="AW25">
        <v>7425.5999999999995</v>
      </c>
      <c r="AX25">
        <v>11</v>
      </c>
      <c r="AY25">
        <v>5834.4</v>
      </c>
      <c r="AZ25">
        <v>12</v>
      </c>
      <c r="BA25">
        <v>6364.7999999999993</v>
      </c>
      <c r="BB25">
        <v>13</v>
      </c>
      <c r="BC25">
        <v>6895.2</v>
      </c>
      <c r="BD25">
        <v>15</v>
      </c>
      <c r="BE25">
        <v>7956</v>
      </c>
      <c r="BF25">
        <v>12</v>
      </c>
      <c r="BG25">
        <v>6364.7999999999993</v>
      </c>
      <c r="BH25">
        <v>11</v>
      </c>
      <c r="BI25">
        <v>5834.4</v>
      </c>
      <c r="BJ25">
        <v>20</v>
      </c>
      <c r="BK25">
        <v>10608</v>
      </c>
      <c r="BL25">
        <v>19</v>
      </c>
      <c r="BM25">
        <v>10077.6</v>
      </c>
      <c r="BN25">
        <v>15</v>
      </c>
      <c r="BO25">
        <v>7956</v>
      </c>
      <c r="BP25">
        <v>14</v>
      </c>
      <c r="BQ25">
        <v>7425.5999999999995</v>
      </c>
      <c r="BR25">
        <v>11</v>
      </c>
      <c r="BS25">
        <v>5834.4</v>
      </c>
      <c r="BT25">
        <v>13</v>
      </c>
      <c r="BU25">
        <v>6895.2</v>
      </c>
      <c r="BV25">
        <v>18</v>
      </c>
      <c r="BW25">
        <v>9547.1999999999989</v>
      </c>
      <c r="BX25">
        <v>18</v>
      </c>
      <c r="BY25">
        <v>9547.1999999999989</v>
      </c>
      <c r="BZ25">
        <v>22</v>
      </c>
      <c r="CA25">
        <v>11668.8</v>
      </c>
      <c r="CB25">
        <v>15</v>
      </c>
      <c r="CC25">
        <v>7956</v>
      </c>
      <c r="CD25">
        <v>20</v>
      </c>
      <c r="CE25">
        <v>10608</v>
      </c>
      <c r="CF25">
        <v>19</v>
      </c>
      <c r="CG25">
        <v>10077.6</v>
      </c>
      <c r="CH25">
        <v>19</v>
      </c>
      <c r="CI25">
        <v>10077.6</v>
      </c>
      <c r="CJ25">
        <v>21</v>
      </c>
      <c r="CK25">
        <v>11138.4</v>
      </c>
      <c r="CL25">
        <v>24</v>
      </c>
      <c r="CM25">
        <v>12729.599999999999</v>
      </c>
      <c r="CN25">
        <v>13</v>
      </c>
      <c r="CO25">
        <v>6895.2</v>
      </c>
      <c r="CP25">
        <v>19</v>
      </c>
      <c r="CQ25">
        <v>10077.6</v>
      </c>
      <c r="CR25">
        <v>19</v>
      </c>
      <c r="CS25">
        <v>10077.6</v>
      </c>
      <c r="CT25">
        <v>22</v>
      </c>
      <c r="CU25">
        <v>11668.8</v>
      </c>
    </row>
    <row r="26" spans="2:99" x14ac:dyDescent="0.2">
      <c r="C26" s="119" t="s">
        <v>192</v>
      </c>
      <c r="D26">
        <v>13</v>
      </c>
      <c r="E26">
        <v>6318</v>
      </c>
      <c r="F26">
        <v>11</v>
      </c>
      <c r="G26">
        <v>5346</v>
      </c>
      <c r="H26">
        <v>13.057308093502705</v>
      </c>
      <c r="I26">
        <v>6345.851733442315</v>
      </c>
      <c r="J26">
        <v>13</v>
      </c>
      <c r="K26">
        <v>6318</v>
      </c>
      <c r="L26">
        <v>11</v>
      </c>
      <c r="M26">
        <v>5346</v>
      </c>
      <c r="N26">
        <v>15</v>
      </c>
      <c r="O26">
        <v>7290</v>
      </c>
      <c r="P26">
        <v>16</v>
      </c>
      <c r="Q26">
        <v>7776</v>
      </c>
      <c r="R26">
        <v>13</v>
      </c>
      <c r="S26">
        <v>6318</v>
      </c>
      <c r="T26">
        <v>14</v>
      </c>
      <c r="U26">
        <v>6804</v>
      </c>
      <c r="V26">
        <v>14</v>
      </c>
      <c r="W26">
        <v>6804</v>
      </c>
      <c r="X26">
        <v>14</v>
      </c>
      <c r="Y26">
        <v>6804</v>
      </c>
      <c r="Z26">
        <v>15</v>
      </c>
      <c r="AA26">
        <v>7290</v>
      </c>
      <c r="AB26">
        <v>16</v>
      </c>
      <c r="AC26">
        <v>7776</v>
      </c>
      <c r="AD26">
        <v>18</v>
      </c>
      <c r="AE26">
        <v>8748</v>
      </c>
      <c r="AF26">
        <v>13</v>
      </c>
      <c r="AG26">
        <v>6318</v>
      </c>
      <c r="AH26">
        <v>17</v>
      </c>
      <c r="AI26">
        <v>8262</v>
      </c>
      <c r="AJ26">
        <v>18</v>
      </c>
      <c r="AK26">
        <v>8748</v>
      </c>
      <c r="AL26">
        <v>16</v>
      </c>
      <c r="AM26">
        <v>7776</v>
      </c>
      <c r="AN26">
        <v>17</v>
      </c>
      <c r="AO26">
        <v>8262</v>
      </c>
      <c r="AP26">
        <v>11</v>
      </c>
      <c r="AQ26">
        <v>5346</v>
      </c>
      <c r="AR26">
        <v>14</v>
      </c>
      <c r="AS26">
        <v>6804</v>
      </c>
      <c r="AT26">
        <v>12</v>
      </c>
      <c r="AU26">
        <v>5832</v>
      </c>
      <c r="AV26">
        <v>14</v>
      </c>
      <c r="AW26">
        <v>6804</v>
      </c>
      <c r="AX26">
        <v>12</v>
      </c>
      <c r="AY26">
        <v>5832</v>
      </c>
      <c r="AZ26">
        <v>13</v>
      </c>
      <c r="BA26">
        <v>6318</v>
      </c>
      <c r="BB26">
        <v>13</v>
      </c>
      <c r="BC26">
        <v>6318</v>
      </c>
      <c r="BD26">
        <v>17</v>
      </c>
      <c r="BE26">
        <v>8262</v>
      </c>
      <c r="BF26">
        <v>13</v>
      </c>
      <c r="BG26">
        <v>6318</v>
      </c>
      <c r="BH26">
        <v>12</v>
      </c>
      <c r="BI26">
        <v>5832</v>
      </c>
      <c r="BJ26">
        <v>23</v>
      </c>
      <c r="BK26">
        <v>11178</v>
      </c>
      <c r="BL26">
        <v>19</v>
      </c>
      <c r="BM26">
        <v>9234</v>
      </c>
      <c r="BN26">
        <v>14</v>
      </c>
      <c r="BO26">
        <v>6804</v>
      </c>
      <c r="BP26">
        <v>16</v>
      </c>
      <c r="BQ26">
        <v>7776</v>
      </c>
      <c r="BR26">
        <v>11</v>
      </c>
      <c r="BS26">
        <v>5346</v>
      </c>
      <c r="BT26">
        <v>13</v>
      </c>
      <c r="BU26">
        <v>6318</v>
      </c>
      <c r="BV26">
        <v>18</v>
      </c>
      <c r="BW26">
        <v>8748</v>
      </c>
      <c r="BX26">
        <v>19</v>
      </c>
      <c r="BY26">
        <v>9234</v>
      </c>
      <c r="BZ26">
        <v>22</v>
      </c>
      <c r="CA26">
        <v>10692</v>
      </c>
      <c r="CB26">
        <v>13</v>
      </c>
      <c r="CC26">
        <v>6318</v>
      </c>
      <c r="CD26">
        <v>19</v>
      </c>
      <c r="CE26">
        <v>9234</v>
      </c>
      <c r="CF26">
        <v>18</v>
      </c>
      <c r="CG26">
        <v>8748</v>
      </c>
      <c r="CH26">
        <v>17</v>
      </c>
      <c r="CI26">
        <v>8262</v>
      </c>
      <c r="CJ26">
        <v>21</v>
      </c>
      <c r="CK26">
        <v>10206</v>
      </c>
      <c r="CL26">
        <v>24</v>
      </c>
      <c r="CM26">
        <v>11664</v>
      </c>
      <c r="CN26">
        <v>13</v>
      </c>
      <c r="CO26">
        <v>6318</v>
      </c>
      <c r="CP26">
        <v>18</v>
      </c>
      <c r="CQ26">
        <v>8748</v>
      </c>
      <c r="CR26">
        <v>23</v>
      </c>
      <c r="CS26">
        <v>11178</v>
      </c>
      <c r="CT26">
        <v>20</v>
      </c>
      <c r="CU26">
        <v>9720</v>
      </c>
    </row>
    <row r="27" spans="2:99" x14ac:dyDescent="0.2">
      <c r="C27" s="119" t="s">
        <v>193</v>
      </c>
      <c r="D27">
        <v>13</v>
      </c>
      <c r="E27">
        <v>5553.5999999999995</v>
      </c>
      <c r="F27">
        <v>10</v>
      </c>
      <c r="G27">
        <v>4272</v>
      </c>
      <c r="H27">
        <v>14.057308093502705</v>
      </c>
      <c r="I27">
        <v>6005.2820175443558</v>
      </c>
      <c r="J27">
        <v>13</v>
      </c>
      <c r="K27">
        <v>5553.5999999999995</v>
      </c>
      <c r="L27">
        <v>11</v>
      </c>
      <c r="M27">
        <v>4699.2</v>
      </c>
      <c r="N27">
        <v>14</v>
      </c>
      <c r="O27">
        <v>5980.8</v>
      </c>
      <c r="P27">
        <v>14</v>
      </c>
      <c r="Q27">
        <v>5980.8</v>
      </c>
      <c r="R27">
        <v>13</v>
      </c>
      <c r="S27">
        <v>5553.5999999999995</v>
      </c>
      <c r="T27">
        <v>14</v>
      </c>
      <c r="U27">
        <v>5980.8</v>
      </c>
      <c r="V27">
        <v>15</v>
      </c>
      <c r="W27">
        <v>6408</v>
      </c>
      <c r="X27">
        <v>13</v>
      </c>
      <c r="Y27">
        <v>5553.5999999999995</v>
      </c>
      <c r="Z27">
        <v>18</v>
      </c>
      <c r="AA27">
        <v>7689.5999999999995</v>
      </c>
      <c r="AB27">
        <v>17</v>
      </c>
      <c r="AC27">
        <v>7262.4</v>
      </c>
      <c r="AD27">
        <v>18</v>
      </c>
      <c r="AE27">
        <v>7689.5999999999995</v>
      </c>
      <c r="AF27">
        <v>13</v>
      </c>
      <c r="AG27">
        <v>5553.5999999999995</v>
      </c>
      <c r="AH27">
        <v>18</v>
      </c>
      <c r="AI27">
        <v>7689.5999999999995</v>
      </c>
      <c r="AJ27">
        <v>21</v>
      </c>
      <c r="AK27">
        <v>8971.1999999999989</v>
      </c>
      <c r="AL27">
        <v>16</v>
      </c>
      <c r="AM27">
        <v>6835.2</v>
      </c>
      <c r="AN27">
        <v>18</v>
      </c>
      <c r="AO27">
        <v>7689.5999999999995</v>
      </c>
      <c r="AP27">
        <v>12</v>
      </c>
      <c r="AQ27">
        <v>5126.3999999999996</v>
      </c>
      <c r="AR27">
        <v>14</v>
      </c>
      <c r="AS27">
        <v>5980.8</v>
      </c>
      <c r="AT27">
        <v>11</v>
      </c>
      <c r="AU27">
        <v>4699.2</v>
      </c>
      <c r="AV27">
        <v>13</v>
      </c>
      <c r="AW27">
        <v>5553.5999999999995</v>
      </c>
      <c r="AX27">
        <v>10</v>
      </c>
      <c r="AY27">
        <v>4272</v>
      </c>
      <c r="AZ27">
        <v>12</v>
      </c>
      <c r="BA27">
        <v>5126.3999999999996</v>
      </c>
      <c r="BB27">
        <v>13</v>
      </c>
      <c r="BC27">
        <v>5553.5999999999995</v>
      </c>
      <c r="BD27">
        <v>16</v>
      </c>
      <c r="BE27">
        <v>6835.2</v>
      </c>
      <c r="BF27">
        <v>12</v>
      </c>
      <c r="BG27">
        <v>5126.3999999999996</v>
      </c>
      <c r="BH27">
        <v>11</v>
      </c>
      <c r="BI27">
        <v>4699.2</v>
      </c>
      <c r="BJ27">
        <v>21</v>
      </c>
      <c r="BK27">
        <v>8971.1999999999989</v>
      </c>
      <c r="BL27">
        <v>19</v>
      </c>
      <c r="BM27">
        <v>8116.8</v>
      </c>
      <c r="BN27">
        <v>15</v>
      </c>
      <c r="BO27">
        <v>6408</v>
      </c>
      <c r="BP27">
        <v>17</v>
      </c>
      <c r="BQ27">
        <v>7262.4</v>
      </c>
      <c r="BR27">
        <v>11</v>
      </c>
      <c r="BS27">
        <v>4699.2</v>
      </c>
      <c r="BT27">
        <v>12</v>
      </c>
      <c r="BU27">
        <v>5126.3999999999996</v>
      </c>
      <c r="BV27">
        <v>21</v>
      </c>
      <c r="BW27">
        <v>8971.1999999999989</v>
      </c>
      <c r="BX27">
        <v>17</v>
      </c>
      <c r="BY27">
        <v>7262.4</v>
      </c>
      <c r="BZ27">
        <v>19</v>
      </c>
      <c r="CA27">
        <v>8116.8</v>
      </c>
      <c r="CB27">
        <v>14</v>
      </c>
      <c r="CC27">
        <v>5980.8</v>
      </c>
      <c r="CD27">
        <v>20</v>
      </c>
      <c r="CE27">
        <v>8544</v>
      </c>
      <c r="CF27">
        <v>22</v>
      </c>
      <c r="CG27">
        <v>9398.4</v>
      </c>
      <c r="CH27">
        <v>17</v>
      </c>
      <c r="CI27">
        <v>7262.4</v>
      </c>
      <c r="CJ27">
        <v>20</v>
      </c>
      <c r="CK27">
        <v>8544</v>
      </c>
      <c r="CL27">
        <v>22</v>
      </c>
      <c r="CM27">
        <v>9398.4</v>
      </c>
      <c r="CN27">
        <v>12</v>
      </c>
      <c r="CO27">
        <v>5126.3999999999996</v>
      </c>
      <c r="CP27">
        <v>17</v>
      </c>
      <c r="CQ27">
        <v>7262.4</v>
      </c>
      <c r="CR27">
        <v>20</v>
      </c>
      <c r="CS27">
        <v>8544</v>
      </c>
      <c r="CT27">
        <v>23</v>
      </c>
      <c r="CU27">
        <v>9825.6</v>
      </c>
    </row>
    <row r="28" spans="2:99" x14ac:dyDescent="0.2">
      <c r="C28" s="119" t="s">
        <v>194</v>
      </c>
      <c r="D28">
        <v>12</v>
      </c>
      <c r="E28">
        <v>8856</v>
      </c>
      <c r="F28">
        <v>11</v>
      </c>
      <c r="G28">
        <v>8118</v>
      </c>
      <c r="H28">
        <v>14.149247927720332</v>
      </c>
      <c r="I28">
        <v>10442.144970657604</v>
      </c>
      <c r="J28">
        <v>13</v>
      </c>
      <c r="K28">
        <v>9594</v>
      </c>
      <c r="L28">
        <v>10</v>
      </c>
      <c r="M28">
        <v>7380</v>
      </c>
      <c r="N28">
        <v>14</v>
      </c>
      <c r="O28">
        <v>10332</v>
      </c>
      <c r="P28">
        <v>14</v>
      </c>
      <c r="Q28">
        <v>10332</v>
      </c>
      <c r="R28">
        <v>15</v>
      </c>
      <c r="S28">
        <v>11070</v>
      </c>
      <c r="T28">
        <v>13</v>
      </c>
      <c r="U28">
        <v>9594</v>
      </c>
      <c r="V28">
        <v>13</v>
      </c>
      <c r="W28">
        <v>9594</v>
      </c>
      <c r="X28">
        <v>13</v>
      </c>
      <c r="Y28">
        <v>9594</v>
      </c>
      <c r="Z28">
        <v>15</v>
      </c>
      <c r="AA28">
        <v>11070</v>
      </c>
      <c r="AB28">
        <v>16</v>
      </c>
      <c r="AC28">
        <v>11808</v>
      </c>
      <c r="AD28">
        <v>17</v>
      </c>
      <c r="AE28">
        <v>12546</v>
      </c>
      <c r="AF28">
        <v>14</v>
      </c>
      <c r="AG28">
        <v>10332</v>
      </c>
      <c r="AH28">
        <v>19</v>
      </c>
      <c r="AI28">
        <v>14022</v>
      </c>
      <c r="AJ28">
        <v>20</v>
      </c>
      <c r="AK28">
        <v>14760</v>
      </c>
      <c r="AL28">
        <v>14</v>
      </c>
      <c r="AM28">
        <v>10332</v>
      </c>
      <c r="AN28">
        <v>16</v>
      </c>
      <c r="AO28">
        <v>11808</v>
      </c>
      <c r="AP28">
        <v>11</v>
      </c>
      <c r="AQ28">
        <v>8118</v>
      </c>
      <c r="AR28">
        <v>14</v>
      </c>
      <c r="AS28">
        <v>10332</v>
      </c>
      <c r="AT28">
        <v>12</v>
      </c>
      <c r="AU28">
        <v>8856</v>
      </c>
      <c r="AV28">
        <v>14</v>
      </c>
      <c r="AW28">
        <v>10332</v>
      </c>
      <c r="AX28">
        <v>11</v>
      </c>
      <c r="AY28">
        <v>8118</v>
      </c>
      <c r="AZ28">
        <v>12</v>
      </c>
      <c r="BA28">
        <v>8856</v>
      </c>
      <c r="BB28">
        <v>12</v>
      </c>
      <c r="BC28">
        <v>8856</v>
      </c>
      <c r="BD28">
        <v>15</v>
      </c>
      <c r="BE28">
        <v>11070</v>
      </c>
      <c r="BF28">
        <v>11</v>
      </c>
      <c r="BG28">
        <v>8118</v>
      </c>
      <c r="BH28">
        <v>12</v>
      </c>
      <c r="BI28">
        <v>8856</v>
      </c>
      <c r="BJ28">
        <v>23</v>
      </c>
      <c r="BK28">
        <v>16974</v>
      </c>
      <c r="BL28">
        <v>19</v>
      </c>
      <c r="BM28">
        <v>14022</v>
      </c>
      <c r="BN28">
        <v>15</v>
      </c>
      <c r="BO28">
        <v>11070</v>
      </c>
      <c r="BP28">
        <v>14</v>
      </c>
      <c r="BQ28">
        <v>10332</v>
      </c>
      <c r="BR28">
        <v>11</v>
      </c>
      <c r="BS28">
        <v>8118</v>
      </c>
      <c r="BT28">
        <v>11</v>
      </c>
      <c r="BU28">
        <v>8118</v>
      </c>
      <c r="BV28">
        <v>18</v>
      </c>
      <c r="BW28">
        <v>13284</v>
      </c>
      <c r="BX28">
        <v>17</v>
      </c>
      <c r="BY28">
        <v>12546</v>
      </c>
      <c r="BZ28">
        <v>22</v>
      </c>
      <c r="CA28">
        <v>16236</v>
      </c>
      <c r="CB28">
        <v>15</v>
      </c>
      <c r="CC28">
        <v>11070</v>
      </c>
      <c r="CD28">
        <v>19</v>
      </c>
      <c r="CE28">
        <v>14022</v>
      </c>
      <c r="CF28">
        <v>21</v>
      </c>
      <c r="CG28">
        <v>15498</v>
      </c>
      <c r="CH28">
        <v>16</v>
      </c>
      <c r="CI28">
        <v>11808</v>
      </c>
      <c r="CJ28">
        <v>23</v>
      </c>
      <c r="CK28">
        <v>16974</v>
      </c>
      <c r="CL28">
        <v>22</v>
      </c>
      <c r="CM28">
        <v>16236</v>
      </c>
      <c r="CN28">
        <v>11</v>
      </c>
      <c r="CO28">
        <v>8118</v>
      </c>
      <c r="CP28">
        <v>18</v>
      </c>
      <c r="CQ28">
        <v>13284</v>
      </c>
      <c r="CR28">
        <v>23</v>
      </c>
      <c r="CS28">
        <v>16974</v>
      </c>
      <c r="CT28">
        <v>20</v>
      </c>
      <c r="CU28">
        <v>14760</v>
      </c>
    </row>
    <row r="29" spans="2:99" x14ac:dyDescent="0.2">
      <c r="C29" s="119" t="s">
        <v>195</v>
      </c>
      <c r="D29">
        <v>12</v>
      </c>
      <c r="E29">
        <v>4060.7999999999997</v>
      </c>
      <c r="F29">
        <v>10</v>
      </c>
      <c r="G29">
        <v>3384</v>
      </c>
      <c r="H29">
        <v>13.057308093502705</v>
      </c>
      <c r="I29">
        <v>4418.5930588413148</v>
      </c>
      <c r="J29">
        <v>14.472924590141758</v>
      </c>
      <c r="K29">
        <v>4897.6376813039706</v>
      </c>
      <c r="L29">
        <v>11</v>
      </c>
      <c r="M29">
        <v>3722.3999999999996</v>
      </c>
      <c r="N29">
        <v>15</v>
      </c>
      <c r="O29">
        <v>5076</v>
      </c>
      <c r="P29">
        <v>15</v>
      </c>
      <c r="Q29">
        <v>5076</v>
      </c>
      <c r="R29">
        <v>15</v>
      </c>
      <c r="S29">
        <v>5076</v>
      </c>
      <c r="T29">
        <v>15</v>
      </c>
      <c r="U29">
        <v>5076</v>
      </c>
      <c r="V29">
        <v>14</v>
      </c>
      <c r="W29">
        <v>4737.5999999999995</v>
      </c>
      <c r="X29">
        <v>14</v>
      </c>
      <c r="Y29">
        <v>4737.5999999999995</v>
      </c>
      <c r="Z29">
        <v>16</v>
      </c>
      <c r="AA29">
        <v>5414.4</v>
      </c>
      <c r="AB29">
        <v>17</v>
      </c>
      <c r="AC29">
        <v>5752.7999999999993</v>
      </c>
      <c r="AD29">
        <v>16</v>
      </c>
      <c r="AE29">
        <v>5414.4</v>
      </c>
      <c r="AF29">
        <v>13</v>
      </c>
      <c r="AG29">
        <v>4399.2</v>
      </c>
      <c r="AH29">
        <v>18</v>
      </c>
      <c r="AI29">
        <v>6091.2</v>
      </c>
      <c r="AJ29">
        <v>18</v>
      </c>
      <c r="AK29">
        <v>6091.2</v>
      </c>
      <c r="AL29">
        <v>15</v>
      </c>
      <c r="AM29">
        <v>5076</v>
      </c>
      <c r="AN29">
        <v>18</v>
      </c>
      <c r="AO29">
        <v>6091.2</v>
      </c>
      <c r="AP29">
        <v>13</v>
      </c>
      <c r="AQ29">
        <v>4399.2</v>
      </c>
      <c r="AR29">
        <v>14</v>
      </c>
      <c r="AS29">
        <v>4737.5999999999995</v>
      </c>
      <c r="AT29">
        <v>11</v>
      </c>
      <c r="AU29">
        <v>3722.3999999999996</v>
      </c>
      <c r="AV29">
        <v>14</v>
      </c>
      <c r="AW29">
        <v>4737.5999999999995</v>
      </c>
      <c r="AX29">
        <v>11</v>
      </c>
      <c r="AY29">
        <v>3722.3999999999996</v>
      </c>
      <c r="AZ29">
        <v>11</v>
      </c>
      <c r="BA29">
        <v>3722.3999999999996</v>
      </c>
      <c r="BB29">
        <v>13</v>
      </c>
      <c r="BC29">
        <v>4399.2</v>
      </c>
      <c r="BD29">
        <v>15</v>
      </c>
      <c r="BE29">
        <v>5076</v>
      </c>
      <c r="BF29">
        <v>14</v>
      </c>
      <c r="BG29">
        <v>4737.5999999999995</v>
      </c>
      <c r="BH29">
        <v>11</v>
      </c>
      <c r="BI29">
        <v>3722.3999999999996</v>
      </c>
      <c r="BJ29">
        <v>23</v>
      </c>
      <c r="BK29">
        <v>7783.2</v>
      </c>
      <c r="BL29">
        <v>19</v>
      </c>
      <c r="BM29">
        <v>6429.5999999999995</v>
      </c>
      <c r="BN29">
        <v>16</v>
      </c>
      <c r="BO29">
        <v>5414.4</v>
      </c>
      <c r="BP29">
        <v>16</v>
      </c>
      <c r="BQ29">
        <v>5414.4</v>
      </c>
      <c r="BR29">
        <v>11</v>
      </c>
      <c r="BS29">
        <v>3722.3999999999996</v>
      </c>
      <c r="BT29">
        <v>12</v>
      </c>
      <c r="BU29">
        <v>4060.7999999999997</v>
      </c>
      <c r="BV29">
        <v>18</v>
      </c>
      <c r="BW29">
        <v>6091.2</v>
      </c>
      <c r="BX29">
        <v>18</v>
      </c>
      <c r="BY29">
        <v>6091.2</v>
      </c>
      <c r="BZ29">
        <v>22</v>
      </c>
      <c r="CA29">
        <v>7444.7999999999993</v>
      </c>
      <c r="CB29">
        <v>16</v>
      </c>
      <c r="CC29">
        <v>5414.4</v>
      </c>
      <c r="CD29">
        <v>19</v>
      </c>
      <c r="CE29">
        <v>6429.5999999999995</v>
      </c>
      <c r="CF29">
        <v>22</v>
      </c>
      <c r="CG29">
        <v>7444.7999999999993</v>
      </c>
      <c r="CH29">
        <v>17</v>
      </c>
      <c r="CI29">
        <v>5752.7999999999993</v>
      </c>
      <c r="CJ29">
        <v>21</v>
      </c>
      <c r="CK29">
        <v>7106.4</v>
      </c>
      <c r="CL29">
        <v>22</v>
      </c>
      <c r="CM29">
        <v>7444.7999999999993</v>
      </c>
      <c r="CN29">
        <v>13</v>
      </c>
      <c r="CO29">
        <v>4399.2</v>
      </c>
      <c r="CP29">
        <v>20</v>
      </c>
      <c r="CQ29">
        <v>6768</v>
      </c>
      <c r="CR29">
        <v>24</v>
      </c>
      <c r="CS29">
        <v>8121.5999999999995</v>
      </c>
      <c r="CT29">
        <v>22</v>
      </c>
      <c r="CU29">
        <v>7444.7999999999993</v>
      </c>
    </row>
    <row r="30" spans="2:99" x14ac:dyDescent="0.2">
      <c r="C30" s="119" t="s">
        <v>196</v>
      </c>
      <c r="D30">
        <v>12</v>
      </c>
      <c r="E30">
        <v>1670.3999999999999</v>
      </c>
      <c r="F30">
        <v>11</v>
      </c>
      <c r="G30">
        <v>1531.1999999999998</v>
      </c>
      <c r="H30">
        <v>14.241187761937958</v>
      </c>
      <c r="I30">
        <v>1982.3733364617635</v>
      </c>
      <c r="J30">
        <v>14</v>
      </c>
      <c r="K30">
        <v>1948.7999999999997</v>
      </c>
      <c r="L30">
        <v>11</v>
      </c>
      <c r="M30">
        <v>1531.1999999999998</v>
      </c>
      <c r="N30">
        <v>15</v>
      </c>
      <c r="O30">
        <v>2088</v>
      </c>
      <c r="P30">
        <v>14</v>
      </c>
      <c r="Q30">
        <v>1948.7999999999997</v>
      </c>
      <c r="R30">
        <v>15</v>
      </c>
      <c r="S30">
        <v>2088</v>
      </c>
      <c r="T30">
        <v>16</v>
      </c>
      <c r="U30">
        <v>2227.1999999999998</v>
      </c>
      <c r="V30">
        <v>16</v>
      </c>
      <c r="W30">
        <v>2227.1999999999998</v>
      </c>
      <c r="X30">
        <v>16</v>
      </c>
      <c r="Y30">
        <v>2227.1999999999998</v>
      </c>
      <c r="Z30">
        <v>17</v>
      </c>
      <c r="AA30">
        <v>2366.3999999999996</v>
      </c>
      <c r="AB30">
        <v>16</v>
      </c>
      <c r="AC30">
        <v>2227.1999999999998</v>
      </c>
      <c r="AD30">
        <v>17</v>
      </c>
      <c r="AE30">
        <v>2366.3999999999996</v>
      </c>
      <c r="AF30">
        <v>14</v>
      </c>
      <c r="AG30">
        <v>1948.7999999999997</v>
      </c>
      <c r="AH30">
        <v>19</v>
      </c>
      <c r="AI30">
        <v>2644.7999999999997</v>
      </c>
      <c r="AJ30">
        <v>21</v>
      </c>
      <c r="AK30">
        <v>2923.2</v>
      </c>
      <c r="AL30">
        <v>16</v>
      </c>
      <c r="AM30">
        <v>2227.1999999999998</v>
      </c>
      <c r="AN30">
        <v>18</v>
      </c>
      <c r="AO30">
        <v>2505.6</v>
      </c>
      <c r="AP30">
        <v>14</v>
      </c>
      <c r="AQ30">
        <v>1948.7999999999997</v>
      </c>
      <c r="AR30">
        <v>14</v>
      </c>
      <c r="AS30">
        <v>1948.7999999999997</v>
      </c>
      <c r="AT30">
        <v>11</v>
      </c>
      <c r="AU30">
        <v>1531.1999999999998</v>
      </c>
      <c r="AV30">
        <v>13</v>
      </c>
      <c r="AW30">
        <v>1809.6</v>
      </c>
      <c r="AX30">
        <v>12</v>
      </c>
      <c r="AY30">
        <v>1670.3999999999999</v>
      </c>
      <c r="AZ30">
        <v>11</v>
      </c>
      <c r="BA30">
        <v>1531.1999999999998</v>
      </c>
      <c r="BB30">
        <v>14</v>
      </c>
      <c r="BC30">
        <v>1948.7999999999997</v>
      </c>
      <c r="BD30">
        <v>17</v>
      </c>
      <c r="BE30">
        <v>2366.3999999999996</v>
      </c>
      <c r="BF30">
        <v>13</v>
      </c>
      <c r="BG30">
        <v>1809.6</v>
      </c>
      <c r="BH30">
        <v>13</v>
      </c>
      <c r="BI30">
        <v>1809.6</v>
      </c>
      <c r="BJ30">
        <v>21</v>
      </c>
      <c r="BK30">
        <v>2923.2</v>
      </c>
      <c r="BL30">
        <v>21</v>
      </c>
      <c r="BM30">
        <v>2923.2</v>
      </c>
      <c r="BN30">
        <v>14</v>
      </c>
      <c r="BO30">
        <v>1948.7999999999997</v>
      </c>
      <c r="BP30">
        <v>18</v>
      </c>
      <c r="BQ30">
        <v>2505.6</v>
      </c>
      <c r="BR30">
        <v>12</v>
      </c>
      <c r="BS30">
        <v>1670.3999999999999</v>
      </c>
      <c r="BT30">
        <v>14</v>
      </c>
      <c r="BU30">
        <v>1948.7999999999997</v>
      </c>
      <c r="BV30">
        <v>19</v>
      </c>
      <c r="BW30">
        <v>2644.7999999999997</v>
      </c>
      <c r="BX30">
        <v>16</v>
      </c>
      <c r="BY30">
        <v>2227.1999999999998</v>
      </c>
      <c r="BZ30">
        <v>23</v>
      </c>
      <c r="CA30">
        <v>3201.6</v>
      </c>
      <c r="CB30">
        <v>14</v>
      </c>
      <c r="CC30">
        <v>1948.7999999999997</v>
      </c>
      <c r="CD30">
        <v>20</v>
      </c>
      <c r="CE30">
        <v>2784</v>
      </c>
      <c r="CF30">
        <v>19</v>
      </c>
      <c r="CG30">
        <v>2644.7999999999997</v>
      </c>
      <c r="CH30">
        <v>19</v>
      </c>
      <c r="CI30">
        <v>2644.7999999999997</v>
      </c>
      <c r="CJ30">
        <v>24</v>
      </c>
      <c r="CK30">
        <v>3340.7999999999997</v>
      </c>
      <c r="CL30">
        <v>21</v>
      </c>
      <c r="CM30">
        <v>2923.2</v>
      </c>
      <c r="CN30">
        <v>14</v>
      </c>
      <c r="CO30">
        <v>1948.7999999999997</v>
      </c>
      <c r="CP30">
        <v>17</v>
      </c>
      <c r="CQ30">
        <v>2366.3999999999996</v>
      </c>
      <c r="CR30">
        <v>24</v>
      </c>
      <c r="CS30">
        <v>3340.7999999999997</v>
      </c>
      <c r="CT30">
        <v>22</v>
      </c>
      <c r="CU30">
        <v>3062.3999999999996</v>
      </c>
    </row>
    <row r="31" spans="2:99" x14ac:dyDescent="0.2">
      <c r="C31" s="119" t="s">
        <v>197</v>
      </c>
      <c r="D31">
        <v>12</v>
      </c>
      <c r="E31">
        <v>4089.6000000000004</v>
      </c>
      <c r="F31">
        <v>12</v>
      </c>
      <c r="G31">
        <v>4089.6000000000004</v>
      </c>
      <c r="H31">
        <v>12.149247927720332</v>
      </c>
      <c r="I31">
        <v>4140.4636937670894</v>
      </c>
      <c r="J31">
        <v>14.325632131127582</v>
      </c>
      <c r="K31">
        <v>4882.17543028828</v>
      </c>
      <c r="L31">
        <v>12</v>
      </c>
      <c r="M31">
        <v>4089.6000000000004</v>
      </c>
      <c r="N31">
        <v>15</v>
      </c>
      <c r="O31">
        <v>5112</v>
      </c>
      <c r="P31">
        <v>15</v>
      </c>
      <c r="Q31">
        <v>5112</v>
      </c>
      <c r="R31">
        <v>14</v>
      </c>
      <c r="S31">
        <v>4771.2</v>
      </c>
      <c r="T31">
        <v>15</v>
      </c>
      <c r="U31">
        <v>5112</v>
      </c>
      <c r="V31">
        <v>14</v>
      </c>
      <c r="W31">
        <v>4771.2</v>
      </c>
      <c r="X31">
        <v>15</v>
      </c>
      <c r="Y31">
        <v>5112</v>
      </c>
      <c r="Z31">
        <v>17</v>
      </c>
      <c r="AA31">
        <v>5793.6</v>
      </c>
      <c r="AB31">
        <v>14</v>
      </c>
      <c r="AC31">
        <v>4771.2</v>
      </c>
      <c r="AD31">
        <v>19</v>
      </c>
      <c r="AE31">
        <v>6475.2</v>
      </c>
      <c r="AF31">
        <v>15</v>
      </c>
      <c r="AG31">
        <v>5112</v>
      </c>
      <c r="AH31">
        <v>18</v>
      </c>
      <c r="AI31">
        <v>6134.4000000000005</v>
      </c>
      <c r="AJ31">
        <v>19</v>
      </c>
      <c r="AK31">
        <v>6475.2</v>
      </c>
      <c r="AL31">
        <v>17</v>
      </c>
      <c r="AM31">
        <v>5793.6</v>
      </c>
      <c r="AN31">
        <v>19</v>
      </c>
      <c r="AO31">
        <v>6475.2</v>
      </c>
      <c r="AP31">
        <v>12</v>
      </c>
      <c r="AQ31">
        <v>4089.6000000000004</v>
      </c>
      <c r="AR31">
        <v>13</v>
      </c>
      <c r="AS31">
        <v>4430.4000000000005</v>
      </c>
      <c r="AT31">
        <v>13</v>
      </c>
      <c r="AU31">
        <v>4430.4000000000005</v>
      </c>
      <c r="AV31">
        <v>14</v>
      </c>
      <c r="AW31">
        <v>4771.2</v>
      </c>
      <c r="AX31">
        <v>12</v>
      </c>
      <c r="AY31">
        <v>4089.6000000000004</v>
      </c>
      <c r="AZ31">
        <v>12</v>
      </c>
      <c r="BA31">
        <v>4089.6000000000004</v>
      </c>
      <c r="BB31">
        <v>14</v>
      </c>
      <c r="BC31">
        <v>4771.2</v>
      </c>
      <c r="BD31">
        <v>18</v>
      </c>
      <c r="BE31">
        <v>6134.4000000000005</v>
      </c>
      <c r="BF31">
        <v>12</v>
      </c>
      <c r="BG31">
        <v>4089.6000000000004</v>
      </c>
      <c r="BH31">
        <v>11</v>
      </c>
      <c r="BI31">
        <v>3748.8</v>
      </c>
      <c r="BJ31">
        <v>20</v>
      </c>
      <c r="BK31">
        <v>6816</v>
      </c>
      <c r="BL31">
        <v>19</v>
      </c>
      <c r="BM31">
        <v>6475.2</v>
      </c>
      <c r="BN31">
        <v>16</v>
      </c>
      <c r="BO31">
        <v>5452.8</v>
      </c>
      <c r="BP31">
        <v>16</v>
      </c>
      <c r="BQ31">
        <v>5452.8</v>
      </c>
      <c r="BR31">
        <v>10</v>
      </c>
      <c r="BS31">
        <v>3408</v>
      </c>
      <c r="BT31">
        <v>13</v>
      </c>
      <c r="BU31">
        <v>4430.4000000000005</v>
      </c>
      <c r="BV31">
        <v>19</v>
      </c>
      <c r="BW31">
        <v>6475.2</v>
      </c>
      <c r="BX31">
        <v>17</v>
      </c>
      <c r="BY31">
        <v>5793.6</v>
      </c>
      <c r="BZ31">
        <v>21</v>
      </c>
      <c r="CA31">
        <v>7156.8</v>
      </c>
      <c r="CB31">
        <v>15</v>
      </c>
      <c r="CC31">
        <v>5112</v>
      </c>
      <c r="CD31">
        <v>22</v>
      </c>
      <c r="CE31">
        <v>7497.6</v>
      </c>
      <c r="CF31">
        <v>20</v>
      </c>
      <c r="CG31">
        <v>6816</v>
      </c>
      <c r="CH31">
        <v>19</v>
      </c>
      <c r="CI31">
        <v>6475.2</v>
      </c>
      <c r="CJ31">
        <v>24</v>
      </c>
      <c r="CK31">
        <v>8179.2000000000007</v>
      </c>
      <c r="CL31">
        <v>24</v>
      </c>
      <c r="CM31">
        <v>8179.2000000000007</v>
      </c>
      <c r="CN31">
        <v>13</v>
      </c>
      <c r="CO31">
        <v>4430.4000000000005</v>
      </c>
      <c r="CP31">
        <v>19</v>
      </c>
      <c r="CQ31">
        <v>6475.2</v>
      </c>
      <c r="CR31">
        <v>23</v>
      </c>
      <c r="CS31">
        <v>7838.4000000000005</v>
      </c>
      <c r="CT31">
        <v>22</v>
      </c>
      <c r="CU31">
        <v>7497.6</v>
      </c>
    </row>
    <row r="32" spans="2:99" x14ac:dyDescent="0.2">
      <c r="C32" s="119" t="s">
        <v>198</v>
      </c>
      <c r="D32">
        <v>12</v>
      </c>
      <c r="E32">
        <v>10080</v>
      </c>
      <c r="F32">
        <v>10</v>
      </c>
      <c r="G32">
        <v>8400</v>
      </c>
      <c r="H32">
        <v>13.057308093502705</v>
      </c>
      <c r="I32">
        <v>10968.138798542272</v>
      </c>
      <c r="J32">
        <v>13.571119562817875</v>
      </c>
      <c r="K32">
        <v>11399.740432767016</v>
      </c>
      <c r="L32">
        <v>10</v>
      </c>
      <c r="M32">
        <v>8400</v>
      </c>
      <c r="N32">
        <v>14</v>
      </c>
      <c r="O32">
        <v>11760</v>
      </c>
      <c r="P32">
        <v>15</v>
      </c>
      <c r="Q32">
        <v>12600</v>
      </c>
      <c r="R32">
        <v>13</v>
      </c>
      <c r="S32">
        <v>10920</v>
      </c>
      <c r="T32">
        <v>15</v>
      </c>
      <c r="U32">
        <v>12600</v>
      </c>
      <c r="V32">
        <v>13</v>
      </c>
      <c r="W32">
        <v>10920</v>
      </c>
      <c r="X32">
        <v>13</v>
      </c>
      <c r="Y32">
        <v>10920</v>
      </c>
      <c r="Z32">
        <v>16</v>
      </c>
      <c r="AA32">
        <v>13440</v>
      </c>
      <c r="AB32">
        <v>14</v>
      </c>
      <c r="AC32">
        <v>11760</v>
      </c>
      <c r="AD32">
        <v>17</v>
      </c>
      <c r="AE32">
        <v>14280</v>
      </c>
      <c r="AF32">
        <v>12</v>
      </c>
      <c r="AG32">
        <v>10080</v>
      </c>
      <c r="AH32">
        <v>18</v>
      </c>
      <c r="AI32">
        <v>15120</v>
      </c>
      <c r="AJ32">
        <v>20</v>
      </c>
      <c r="AK32">
        <v>16800</v>
      </c>
      <c r="AL32">
        <v>16</v>
      </c>
      <c r="AM32">
        <v>13440</v>
      </c>
      <c r="AN32">
        <v>17</v>
      </c>
      <c r="AO32">
        <v>14280</v>
      </c>
      <c r="AP32">
        <v>11</v>
      </c>
      <c r="AQ32">
        <v>9240</v>
      </c>
      <c r="AR32">
        <v>13</v>
      </c>
      <c r="AS32">
        <v>10920</v>
      </c>
      <c r="AT32">
        <v>12</v>
      </c>
      <c r="AU32">
        <v>10080</v>
      </c>
      <c r="AV32">
        <v>13</v>
      </c>
      <c r="AW32">
        <v>10920</v>
      </c>
      <c r="AX32">
        <v>10</v>
      </c>
      <c r="AY32">
        <v>8400</v>
      </c>
      <c r="AZ32">
        <v>12</v>
      </c>
      <c r="BA32">
        <v>10080</v>
      </c>
      <c r="BB32">
        <v>13</v>
      </c>
      <c r="BC32">
        <v>10920</v>
      </c>
      <c r="BD32">
        <v>15</v>
      </c>
      <c r="BE32">
        <v>12600</v>
      </c>
      <c r="BF32">
        <v>11</v>
      </c>
      <c r="BG32">
        <v>9240</v>
      </c>
      <c r="BH32">
        <v>12</v>
      </c>
      <c r="BI32">
        <v>10080</v>
      </c>
      <c r="BJ32">
        <v>22</v>
      </c>
      <c r="BK32">
        <v>18480</v>
      </c>
      <c r="BL32">
        <v>18</v>
      </c>
      <c r="BM32">
        <v>15120</v>
      </c>
      <c r="BN32">
        <v>15</v>
      </c>
      <c r="BO32">
        <v>12600</v>
      </c>
      <c r="BP32">
        <v>16</v>
      </c>
      <c r="BQ32">
        <v>13440</v>
      </c>
      <c r="BR32">
        <v>11</v>
      </c>
      <c r="BS32">
        <v>9240</v>
      </c>
      <c r="BT32">
        <v>12</v>
      </c>
      <c r="BU32">
        <v>10080</v>
      </c>
      <c r="BV32">
        <v>19</v>
      </c>
      <c r="BW32">
        <v>15960</v>
      </c>
      <c r="BX32">
        <v>15</v>
      </c>
      <c r="BY32">
        <v>12600</v>
      </c>
      <c r="BZ32">
        <v>19</v>
      </c>
      <c r="CA32">
        <v>15960</v>
      </c>
      <c r="CB32">
        <v>15</v>
      </c>
      <c r="CC32">
        <v>12600</v>
      </c>
      <c r="CD32">
        <v>17</v>
      </c>
      <c r="CE32">
        <v>14280</v>
      </c>
      <c r="CF32">
        <v>21</v>
      </c>
      <c r="CG32">
        <v>17640</v>
      </c>
      <c r="CH32">
        <v>16</v>
      </c>
      <c r="CI32">
        <v>13440</v>
      </c>
      <c r="CJ32">
        <v>21</v>
      </c>
      <c r="CK32">
        <v>17640</v>
      </c>
      <c r="CL32">
        <v>19</v>
      </c>
      <c r="CM32">
        <v>15960</v>
      </c>
      <c r="CN32">
        <v>12</v>
      </c>
      <c r="CO32">
        <v>10080</v>
      </c>
      <c r="CP32">
        <v>18</v>
      </c>
      <c r="CQ32">
        <v>15120</v>
      </c>
      <c r="CR32">
        <v>19</v>
      </c>
      <c r="CS32">
        <v>15960</v>
      </c>
      <c r="CT32">
        <v>22</v>
      </c>
      <c r="CU32">
        <v>18480</v>
      </c>
    </row>
    <row r="33" spans="2:99" x14ac:dyDescent="0.2">
      <c r="C33" s="119" t="s">
        <v>199</v>
      </c>
      <c r="D33">
        <v>13</v>
      </c>
      <c r="E33">
        <v>6162</v>
      </c>
      <c r="F33">
        <v>11</v>
      </c>
      <c r="G33">
        <v>5214</v>
      </c>
      <c r="H33">
        <v>14.195217844829145</v>
      </c>
      <c r="I33">
        <v>6728.5332584490143</v>
      </c>
      <c r="J33">
        <v>15.571119562817875</v>
      </c>
      <c r="K33">
        <v>7380.7106727756727</v>
      </c>
      <c r="L33">
        <v>11</v>
      </c>
      <c r="M33">
        <v>5214</v>
      </c>
      <c r="N33">
        <v>13</v>
      </c>
      <c r="O33">
        <v>6162</v>
      </c>
      <c r="P33">
        <v>14</v>
      </c>
      <c r="Q33">
        <v>6636</v>
      </c>
      <c r="R33">
        <v>15</v>
      </c>
      <c r="S33">
        <v>7110</v>
      </c>
      <c r="T33">
        <v>15</v>
      </c>
      <c r="U33">
        <v>7110</v>
      </c>
      <c r="V33">
        <v>13</v>
      </c>
      <c r="W33">
        <v>6162</v>
      </c>
      <c r="X33">
        <v>14</v>
      </c>
      <c r="Y33">
        <v>6636</v>
      </c>
      <c r="Z33">
        <v>15</v>
      </c>
      <c r="AA33">
        <v>7110</v>
      </c>
      <c r="AB33">
        <v>16</v>
      </c>
      <c r="AC33">
        <v>7584</v>
      </c>
      <c r="AD33">
        <v>18</v>
      </c>
      <c r="AE33">
        <v>8532</v>
      </c>
      <c r="AF33">
        <v>14</v>
      </c>
      <c r="AG33">
        <v>6636</v>
      </c>
      <c r="AH33">
        <v>20</v>
      </c>
      <c r="AI33">
        <v>9480</v>
      </c>
      <c r="AJ33">
        <v>20</v>
      </c>
      <c r="AK33">
        <v>9480</v>
      </c>
      <c r="AL33">
        <v>16</v>
      </c>
      <c r="AM33">
        <v>7584</v>
      </c>
      <c r="AN33">
        <v>19</v>
      </c>
      <c r="AO33">
        <v>9006</v>
      </c>
      <c r="AP33">
        <v>12</v>
      </c>
      <c r="AQ33">
        <v>5688</v>
      </c>
      <c r="AR33">
        <v>14</v>
      </c>
      <c r="AS33">
        <v>6636</v>
      </c>
      <c r="AT33">
        <v>11</v>
      </c>
      <c r="AU33">
        <v>5214</v>
      </c>
      <c r="AV33">
        <v>12</v>
      </c>
      <c r="AW33">
        <v>5688</v>
      </c>
      <c r="AX33">
        <v>11</v>
      </c>
      <c r="AY33">
        <v>5214</v>
      </c>
      <c r="AZ33">
        <v>12</v>
      </c>
      <c r="BA33">
        <v>5688</v>
      </c>
      <c r="BB33">
        <v>12</v>
      </c>
      <c r="BC33">
        <v>5688</v>
      </c>
      <c r="BD33">
        <v>15</v>
      </c>
      <c r="BE33">
        <v>7110</v>
      </c>
      <c r="BF33">
        <v>13</v>
      </c>
      <c r="BG33">
        <v>6162</v>
      </c>
      <c r="BH33">
        <v>13</v>
      </c>
      <c r="BI33">
        <v>6162</v>
      </c>
      <c r="BJ33">
        <v>20</v>
      </c>
      <c r="BK33">
        <v>9480</v>
      </c>
      <c r="BL33">
        <v>20</v>
      </c>
      <c r="BM33">
        <v>9480</v>
      </c>
      <c r="BN33">
        <v>15</v>
      </c>
      <c r="BO33">
        <v>7110</v>
      </c>
      <c r="BP33">
        <v>16</v>
      </c>
      <c r="BQ33">
        <v>7584</v>
      </c>
      <c r="BR33">
        <v>11</v>
      </c>
      <c r="BS33">
        <v>5214</v>
      </c>
      <c r="BT33">
        <v>12</v>
      </c>
      <c r="BU33">
        <v>5688</v>
      </c>
      <c r="BV33">
        <v>18</v>
      </c>
      <c r="BW33">
        <v>8532</v>
      </c>
      <c r="BX33">
        <v>17</v>
      </c>
      <c r="BY33">
        <v>8058</v>
      </c>
      <c r="BZ33">
        <v>21</v>
      </c>
      <c r="CA33">
        <v>9954</v>
      </c>
      <c r="CB33">
        <v>14</v>
      </c>
      <c r="CC33">
        <v>6636</v>
      </c>
      <c r="CD33">
        <v>21</v>
      </c>
      <c r="CE33">
        <v>9954</v>
      </c>
      <c r="CF33">
        <v>20</v>
      </c>
      <c r="CG33">
        <v>9480</v>
      </c>
      <c r="CH33">
        <v>16</v>
      </c>
      <c r="CI33">
        <v>7584</v>
      </c>
      <c r="CJ33">
        <v>20</v>
      </c>
      <c r="CK33">
        <v>9480</v>
      </c>
      <c r="CL33">
        <v>21</v>
      </c>
      <c r="CM33">
        <v>9954</v>
      </c>
      <c r="CN33">
        <v>13</v>
      </c>
      <c r="CO33">
        <v>6162</v>
      </c>
      <c r="CP33">
        <v>20</v>
      </c>
      <c r="CQ33">
        <v>9480</v>
      </c>
      <c r="CR33">
        <v>20</v>
      </c>
      <c r="CS33">
        <v>9480</v>
      </c>
      <c r="CT33">
        <v>22</v>
      </c>
      <c r="CU33">
        <v>10428</v>
      </c>
    </row>
    <row r="34" spans="2:99" x14ac:dyDescent="0.2">
      <c r="C34" s="119" t="s">
        <v>200</v>
      </c>
      <c r="D34">
        <v>12</v>
      </c>
      <c r="E34">
        <v>6580.7999999999993</v>
      </c>
      <c r="F34">
        <v>10</v>
      </c>
      <c r="G34">
        <v>5484</v>
      </c>
      <c r="H34">
        <v>14.011338176393892</v>
      </c>
      <c r="I34">
        <v>7683.8178559344096</v>
      </c>
      <c r="J34">
        <v>13</v>
      </c>
      <c r="K34">
        <v>7129.2</v>
      </c>
      <c r="L34">
        <v>11</v>
      </c>
      <c r="M34">
        <v>6032.4</v>
      </c>
      <c r="N34">
        <v>14</v>
      </c>
      <c r="O34">
        <v>7677.5999999999995</v>
      </c>
      <c r="P34">
        <v>14</v>
      </c>
      <c r="Q34">
        <v>7677.5999999999995</v>
      </c>
      <c r="R34">
        <v>15</v>
      </c>
      <c r="S34">
        <v>8226</v>
      </c>
      <c r="T34">
        <v>14</v>
      </c>
      <c r="U34">
        <v>7677.5999999999995</v>
      </c>
      <c r="V34">
        <v>14</v>
      </c>
      <c r="W34">
        <v>7677.5999999999995</v>
      </c>
      <c r="X34">
        <v>15</v>
      </c>
      <c r="Y34">
        <v>8226</v>
      </c>
      <c r="Z34">
        <v>17</v>
      </c>
      <c r="AA34">
        <v>9322.7999999999993</v>
      </c>
      <c r="AB34">
        <v>14</v>
      </c>
      <c r="AC34">
        <v>7677.5999999999995</v>
      </c>
      <c r="AD34">
        <v>17</v>
      </c>
      <c r="AE34">
        <v>9322.7999999999993</v>
      </c>
      <c r="AF34">
        <v>15</v>
      </c>
      <c r="AG34">
        <v>8226</v>
      </c>
      <c r="AH34">
        <v>17</v>
      </c>
      <c r="AI34">
        <v>9322.7999999999993</v>
      </c>
      <c r="AJ34">
        <v>18</v>
      </c>
      <c r="AK34">
        <v>9871.1999999999989</v>
      </c>
      <c r="AL34">
        <v>16</v>
      </c>
      <c r="AM34">
        <v>8774.4</v>
      </c>
      <c r="AN34">
        <v>19</v>
      </c>
      <c r="AO34">
        <v>10419.6</v>
      </c>
      <c r="AP34">
        <v>13</v>
      </c>
      <c r="AQ34">
        <v>7129.2</v>
      </c>
      <c r="AR34">
        <v>12</v>
      </c>
      <c r="AS34">
        <v>6580.7999999999993</v>
      </c>
      <c r="AT34">
        <v>12</v>
      </c>
      <c r="AU34">
        <v>6580.7999999999993</v>
      </c>
      <c r="AV34">
        <v>14</v>
      </c>
      <c r="AW34">
        <v>7677.5999999999995</v>
      </c>
      <c r="AX34">
        <v>12</v>
      </c>
      <c r="AY34">
        <v>6580.7999999999993</v>
      </c>
      <c r="AZ34">
        <v>13</v>
      </c>
      <c r="BA34">
        <v>7129.2</v>
      </c>
      <c r="BB34">
        <v>13</v>
      </c>
      <c r="BC34">
        <v>7129.2</v>
      </c>
      <c r="BD34">
        <v>16</v>
      </c>
      <c r="BE34">
        <v>8774.4</v>
      </c>
      <c r="BF34">
        <v>11</v>
      </c>
      <c r="BG34">
        <v>6032.4</v>
      </c>
      <c r="BH34">
        <v>12</v>
      </c>
      <c r="BI34">
        <v>6580.7999999999993</v>
      </c>
      <c r="BJ34">
        <v>22</v>
      </c>
      <c r="BK34">
        <v>12064.8</v>
      </c>
      <c r="BL34">
        <v>22</v>
      </c>
      <c r="BM34">
        <v>12064.8</v>
      </c>
      <c r="BN34">
        <v>14</v>
      </c>
      <c r="BO34">
        <v>7677.5999999999995</v>
      </c>
      <c r="BP34">
        <v>15</v>
      </c>
      <c r="BQ34">
        <v>8226</v>
      </c>
      <c r="BR34">
        <v>12</v>
      </c>
      <c r="BS34">
        <v>6580.7999999999993</v>
      </c>
      <c r="BT34">
        <v>13</v>
      </c>
      <c r="BU34">
        <v>7129.2</v>
      </c>
      <c r="BV34">
        <v>18</v>
      </c>
      <c r="BW34">
        <v>9871.1999999999989</v>
      </c>
      <c r="BX34">
        <v>18</v>
      </c>
      <c r="BY34">
        <v>9871.1999999999989</v>
      </c>
      <c r="BZ34">
        <v>19</v>
      </c>
      <c r="CA34">
        <v>10419.6</v>
      </c>
      <c r="CB34">
        <v>14</v>
      </c>
      <c r="CC34">
        <v>7677.5999999999995</v>
      </c>
      <c r="CD34">
        <v>21</v>
      </c>
      <c r="CE34">
        <v>11516.4</v>
      </c>
      <c r="CF34">
        <v>20</v>
      </c>
      <c r="CG34">
        <v>10968</v>
      </c>
      <c r="CH34">
        <v>18</v>
      </c>
      <c r="CI34">
        <v>9871.1999999999989</v>
      </c>
      <c r="CJ34">
        <v>22</v>
      </c>
      <c r="CK34">
        <v>12064.8</v>
      </c>
      <c r="CL34">
        <v>23</v>
      </c>
      <c r="CM34">
        <v>12613.199999999999</v>
      </c>
      <c r="CN34">
        <v>13</v>
      </c>
      <c r="CO34">
        <v>7129.2</v>
      </c>
      <c r="CP34">
        <v>16</v>
      </c>
      <c r="CQ34">
        <v>8774.4</v>
      </c>
      <c r="CR34">
        <v>23</v>
      </c>
      <c r="CS34">
        <v>12613.199999999999</v>
      </c>
      <c r="CT34">
        <v>20</v>
      </c>
      <c r="CU34">
        <v>10968</v>
      </c>
    </row>
    <row r="35" spans="2:99" x14ac:dyDescent="0.2">
      <c r="C35" s="119" t="s">
        <v>201</v>
      </c>
      <c r="D35">
        <v>11</v>
      </c>
      <c r="E35">
        <v>5530.7999999999993</v>
      </c>
      <c r="F35">
        <v>11</v>
      </c>
      <c r="G35">
        <v>5530.7999999999993</v>
      </c>
      <c r="H35">
        <v>12.149247927720332</v>
      </c>
      <c r="I35">
        <v>6108.6418580577811</v>
      </c>
      <c r="J35">
        <v>15.37472961746564</v>
      </c>
      <c r="K35">
        <v>7730.4140516617217</v>
      </c>
      <c r="L35">
        <v>12</v>
      </c>
      <c r="M35">
        <v>6033.5999999999985</v>
      </c>
      <c r="N35">
        <v>14</v>
      </c>
      <c r="O35">
        <v>7039.1999999999989</v>
      </c>
      <c r="P35">
        <v>14</v>
      </c>
      <c r="Q35">
        <v>7039.1999999999989</v>
      </c>
      <c r="R35">
        <v>15</v>
      </c>
      <c r="S35">
        <v>7541.9999999999982</v>
      </c>
      <c r="T35">
        <v>14</v>
      </c>
      <c r="U35">
        <v>7039.1999999999989</v>
      </c>
      <c r="V35">
        <v>14</v>
      </c>
      <c r="W35">
        <v>7039.1999999999989</v>
      </c>
      <c r="X35">
        <v>14</v>
      </c>
      <c r="Y35">
        <v>7039.1999999999989</v>
      </c>
      <c r="Z35">
        <v>17</v>
      </c>
      <c r="AA35">
        <v>8547.5999999999985</v>
      </c>
      <c r="AB35">
        <v>16</v>
      </c>
      <c r="AC35">
        <v>8044.7999999999984</v>
      </c>
      <c r="AD35">
        <v>18</v>
      </c>
      <c r="AE35">
        <v>9050.3999999999978</v>
      </c>
      <c r="AF35">
        <v>15</v>
      </c>
      <c r="AG35">
        <v>7541.9999999999982</v>
      </c>
      <c r="AH35">
        <v>20</v>
      </c>
      <c r="AI35">
        <v>10055.999999999998</v>
      </c>
      <c r="AJ35">
        <v>19</v>
      </c>
      <c r="AK35">
        <v>9553.1999999999989</v>
      </c>
      <c r="AL35">
        <v>14</v>
      </c>
      <c r="AM35">
        <v>7039.1999999999989</v>
      </c>
      <c r="AN35">
        <v>18</v>
      </c>
      <c r="AO35">
        <v>9050.3999999999978</v>
      </c>
      <c r="AP35">
        <v>11</v>
      </c>
      <c r="AQ35">
        <v>5530.7999999999993</v>
      </c>
      <c r="AR35">
        <v>14</v>
      </c>
      <c r="AS35">
        <v>7039.1999999999989</v>
      </c>
      <c r="AT35">
        <v>11</v>
      </c>
      <c r="AU35">
        <v>5530.7999999999993</v>
      </c>
      <c r="AV35">
        <v>13</v>
      </c>
      <c r="AW35">
        <v>6536.3999999999987</v>
      </c>
      <c r="AX35">
        <v>10</v>
      </c>
      <c r="AY35">
        <v>5027.9999999999991</v>
      </c>
      <c r="AZ35">
        <v>12</v>
      </c>
      <c r="BA35">
        <v>6033.5999999999985</v>
      </c>
      <c r="BB35">
        <v>12</v>
      </c>
      <c r="BC35">
        <v>6033.5999999999985</v>
      </c>
      <c r="BD35">
        <v>17</v>
      </c>
      <c r="BE35">
        <v>8547.5999999999985</v>
      </c>
      <c r="BF35">
        <v>12</v>
      </c>
      <c r="BG35">
        <v>6033.5999999999985</v>
      </c>
      <c r="BH35">
        <v>11</v>
      </c>
      <c r="BI35">
        <v>5530.7999999999993</v>
      </c>
      <c r="BJ35">
        <v>20</v>
      </c>
      <c r="BK35">
        <v>10055.999999999998</v>
      </c>
      <c r="BL35">
        <v>21</v>
      </c>
      <c r="BM35">
        <v>10558.799999999997</v>
      </c>
      <c r="BN35">
        <v>13</v>
      </c>
      <c r="BO35">
        <v>6536.3999999999987</v>
      </c>
      <c r="BP35">
        <v>14</v>
      </c>
      <c r="BQ35">
        <v>7039.1999999999989</v>
      </c>
      <c r="BR35">
        <v>10</v>
      </c>
      <c r="BS35">
        <v>5027.9999999999991</v>
      </c>
      <c r="BT35">
        <v>12</v>
      </c>
      <c r="BU35">
        <v>6033.5999999999985</v>
      </c>
      <c r="BV35">
        <v>18</v>
      </c>
      <c r="BW35">
        <v>9050.3999999999978</v>
      </c>
      <c r="BX35">
        <v>16</v>
      </c>
      <c r="BY35">
        <v>8044.7999999999984</v>
      </c>
      <c r="BZ35">
        <v>20</v>
      </c>
      <c r="CA35">
        <v>10055.999999999998</v>
      </c>
      <c r="CB35">
        <v>14</v>
      </c>
      <c r="CC35">
        <v>7039.1999999999989</v>
      </c>
      <c r="CD35">
        <v>18</v>
      </c>
      <c r="CE35">
        <v>9050.3999999999978</v>
      </c>
      <c r="CF35">
        <v>19</v>
      </c>
      <c r="CG35">
        <v>9553.1999999999989</v>
      </c>
      <c r="CH35">
        <v>16</v>
      </c>
      <c r="CI35">
        <v>8044.7999999999984</v>
      </c>
      <c r="CJ35">
        <v>20</v>
      </c>
      <c r="CK35">
        <v>10055.999999999998</v>
      </c>
      <c r="CL35">
        <v>21</v>
      </c>
      <c r="CM35">
        <v>10558.799999999997</v>
      </c>
      <c r="CN35">
        <v>13</v>
      </c>
      <c r="CO35">
        <v>6536.3999999999987</v>
      </c>
      <c r="CP35">
        <v>18</v>
      </c>
      <c r="CQ35">
        <v>9050.3999999999978</v>
      </c>
      <c r="CR35">
        <v>23</v>
      </c>
      <c r="CS35">
        <v>11564.399999999998</v>
      </c>
      <c r="CT35">
        <v>20</v>
      </c>
      <c r="CU35">
        <v>10055.999999999998</v>
      </c>
    </row>
    <row r="36" spans="2:99" x14ac:dyDescent="0.2">
      <c r="C36" s="119" t="s">
        <v>202</v>
      </c>
      <c r="D36">
        <v>11</v>
      </c>
      <c r="E36">
        <v>8368.7999999999993</v>
      </c>
      <c r="F36">
        <v>11</v>
      </c>
      <c r="G36">
        <v>8368.7999999999993</v>
      </c>
      <c r="H36">
        <v>12.149247927720332</v>
      </c>
      <c r="I36">
        <v>9243.1478234096285</v>
      </c>
      <c r="J36">
        <v>13.37472961746564</v>
      </c>
      <c r="K36">
        <v>10175.494292967858</v>
      </c>
      <c r="L36">
        <v>11</v>
      </c>
      <c r="M36">
        <v>8368.7999999999993</v>
      </c>
      <c r="N36">
        <v>14</v>
      </c>
      <c r="O36">
        <v>10651.199999999999</v>
      </c>
      <c r="P36">
        <v>14</v>
      </c>
      <c r="Q36">
        <v>10651.199999999999</v>
      </c>
      <c r="R36">
        <v>14</v>
      </c>
      <c r="S36">
        <v>10651.199999999999</v>
      </c>
      <c r="T36">
        <v>12</v>
      </c>
      <c r="U36">
        <v>9129.5999999999985</v>
      </c>
      <c r="V36">
        <v>12</v>
      </c>
      <c r="W36">
        <v>9129.5999999999985</v>
      </c>
      <c r="X36">
        <v>12</v>
      </c>
      <c r="Y36">
        <v>9129.5999999999985</v>
      </c>
      <c r="Z36">
        <v>15</v>
      </c>
      <c r="AA36">
        <v>11412</v>
      </c>
      <c r="AB36">
        <v>15</v>
      </c>
      <c r="AC36">
        <v>11412</v>
      </c>
      <c r="AD36">
        <v>15</v>
      </c>
      <c r="AE36">
        <v>11412</v>
      </c>
      <c r="AF36">
        <v>13</v>
      </c>
      <c r="AG36">
        <v>9890.4</v>
      </c>
      <c r="AH36">
        <v>16</v>
      </c>
      <c r="AI36">
        <v>12172.8</v>
      </c>
      <c r="AJ36">
        <v>18</v>
      </c>
      <c r="AK36">
        <v>13694.4</v>
      </c>
      <c r="AL36">
        <v>16</v>
      </c>
      <c r="AM36">
        <v>12172.8</v>
      </c>
      <c r="AN36">
        <v>18</v>
      </c>
      <c r="AO36">
        <v>13694.4</v>
      </c>
      <c r="AP36">
        <v>11</v>
      </c>
      <c r="AQ36">
        <v>8368.7999999999993</v>
      </c>
      <c r="AR36">
        <v>14</v>
      </c>
      <c r="AS36">
        <v>10651.199999999999</v>
      </c>
      <c r="AT36">
        <v>11</v>
      </c>
      <c r="AU36">
        <v>8368.7999999999993</v>
      </c>
      <c r="AV36">
        <v>12</v>
      </c>
      <c r="AW36">
        <v>9129.5999999999985</v>
      </c>
      <c r="AX36">
        <v>10</v>
      </c>
      <c r="AY36">
        <v>7608</v>
      </c>
      <c r="AZ36">
        <v>12</v>
      </c>
      <c r="BA36">
        <v>9129.5999999999985</v>
      </c>
      <c r="BB36">
        <v>12</v>
      </c>
      <c r="BC36">
        <v>9129.5999999999985</v>
      </c>
      <c r="BD36">
        <v>17</v>
      </c>
      <c r="BE36">
        <v>12933.599999999999</v>
      </c>
      <c r="BF36">
        <v>11</v>
      </c>
      <c r="BG36">
        <v>8368.7999999999993</v>
      </c>
      <c r="BH36">
        <v>12</v>
      </c>
      <c r="BI36">
        <v>9129.5999999999985</v>
      </c>
      <c r="BJ36">
        <v>19</v>
      </c>
      <c r="BK36">
        <v>14455.199999999999</v>
      </c>
      <c r="BL36">
        <v>19</v>
      </c>
      <c r="BM36">
        <v>14455.199999999999</v>
      </c>
      <c r="BN36">
        <v>15</v>
      </c>
      <c r="BO36">
        <v>11412</v>
      </c>
      <c r="BP36">
        <v>17</v>
      </c>
      <c r="BQ36">
        <v>12933.599999999999</v>
      </c>
      <c r="BR36">
        <v>11</v>
      </c>
      <c r="BS36">
        <v>8368.7999999999993</v>
      </c>
      <c r="BT36">
        <v>12</v>
      </c>
      <c r="BU36">
        <v>9129.5999999999985</v>
      </c>
      <c r="BV36">
        <v>21</v>
      </c>
      <c r="BW36">
        <v>15976.8</v>
      </c>
      <c r="BX36">
        <v>16</v>
      </c>
      <c r="BY36">
        <v>12172.8</v>
      </c>
      <c r="BZ36">
        <v>20</v>
      </c>
      <c r="CA36">
        <v>15216</v>
      </c>
      <c r="CB36">
        <v>13</v>
      </c>
      <c r="CC36">
        <v>9890.4</v>
      </c>
      <c r="CD36">
        <v>18</v>
      </c>
      <c r="CE36">
        <v>13694.4</v>
      </c>
      <c r="CF36">
        <v>18</v>
      </c>
      <c r="CG36">
        <v>13694.4</v>
      </c>
      <c r="CH36">
        <v>17</v>
      </c>
      <c r="CI36">
        <v>12933.599999999999</v>
      </c>
      <c r="CJ36">
        <v>20</v>
      </c>
      <c r="CK36">
        <v>15216</v>
      </c>
      <c r="CL36">
        <v>20</v>
      </c>
      <c r="CM36">
        <v>15216</v>
      </c>
      <c r="CN36">
        <v>11</v>
      </c>
      <c r="CO36">
        <v>8368.7999999999993</v>
      </c>
      <c r="CP36">
        <v>16</v>
      </c>
      <c r="CQ36">
        <v>12172.8</v>
      </c>
      <c r="CR36">
        <v>20</v>
      </c>
      <c r="CS36">
        <v>15216</v>
      </c>
      <c r="CT36">
        <v>18</v>
      </c>
      <c r="CU36">
        <v>13694.4</v>
      </c>
    </row>
    <row r="37" spans="2:99" x14ac:dyDescent="0.2">
      <c r="B37" s="119" t="s">
        <v>128</v>
      </c>
      <c r="C37" s="119" t="s">
        <v>203</v>
      </c>
      <c r="D37">
        <v>27.39665199021654</v>
      </c>
      <c r="E37">
        <v>23572.079372382312</v>
      </c>
      <c r="F37">
        <v>20</v>
      </c>
      <c r="G37">
        <v>17208</v>
      </c>
      <c r="H37">
        <v>34.287157679046771</v>
      </c>
      <c r="I37">
        <v>29500.670467051841</v>
      </c>
      <c r="J37">
        <v>34.080144699437291</v>
      </c>
      <c r="K37">
        <v>29322.556499395843</v>
      </c>
      <c r="L37">
        <v>22</v>
      </c>
      <c r="M37">
        <v>18928.8</v>
      </c>
      <c r="N37">
        <v>35</v>
      </c>
      <c r="O37">
        <v>30114</v>
      </c>
      <c r="P37">
        <v>22</v>
      </c>
      <c r="Q37">
        <v>18928.8</v>
      </c>
      <c r="R37">
        <v>27</v>
      </c>
      <c r="S37">
        <v>23230.799999999999</v>
      </c>
      <c r="T37">
        <v>32</v>
      </c>
      <c r="U37">
        <v>27532.799999999999</v>
      </c>
      <c r="V37">
        <v>34</v>
      </c>
      <c r="W37">
        <v>29253.599999999999</v>
      </c>
      <c r="X37">
        <v>28</v>
      </c>
      <c r="Y37">
        <v>24091.200000000001</v>
      </c>
      <c r="Z37">
        <v>25</v>
      </c>
      <c r="AA37">
        <v>21510</v>
      </c>
      <c r="AB37">
        <v>24</v>
      </c>
      <c r="AC37">
        <v>20649.599999999999</v>
      </c>
      <c r="AD37">
        <v>20</v>
      </c>
      <c r="AE37">
        <v>17208</v>
      </c>
      <c r="AF37">
        <v>30</v>
      </c>
      <c r="AG37">
        <v>25812</v>
      </c>
      <c r="AH37">
        <v>31</v>
      </c>
      <c r="AI37">
        <v>26672.399999999998</v>
      </c>
      <c r="AJ37">
        <v>21</v>
      </c>
      <c r="AK37">
        <v>18068.399999999998</v>
      </c>
      <c r="AL37">
        <v>33</v>
      </c>
      <c r="AM37">
        <v>28393.200000000001</v>
      </c>
      <c r="AN37">
        <v>19</v>
      </c>
      <c r="AO37">
        <v>16347.6</v>
      </c>
      <c r="AP37">
        <v>39</v>
      </c>
      <c r="AQ37">
        <v>33555.599999999999</v>
      </c>
      <c r="AR37">
        <v>27</v>
      </c>
      <c r="AS37">
        <v>23230.799999999999</v>
      </c>
      <c r="AT37">
        <v>33</v>
      </c>
      <c r="AU37">
        <v>28393.200000000001</v>
      </c>
      <c r="AV37">
        <v>38</v>
      </c>
      <c r="AW37">
        <v>32695.200000000001</v>
      </c>
      <c r="AX37">
        <v>21</v>
      </c>
      <c r="AY37">
        <v>18068.399999999998</v>
      </c>
      <c r="AZ37">
        <v>33</v>
      </c>
      <c r="BA37">
        <v>28393.200000000001</v>
      </c>
      <c r="BB37">
        <v>26</v>
      </c>
      <c r="BC37">
        <v>22370.399999999998</v>
      </c>
      <c r="BD37">
        <v>33</v>
      </c>
      <c r="BE37">
        <v>28393.200000000001</v>
      </c>
      <c r="BF37">
        <v>29</v>
      </c>
      <c r="BG37">
        <v>24951.599999999999</v>
      </c>
      <c r="BH37">
        <v>34</v>
      </c>
      <c r="BI37">
        <v>29253.599999999999</v>
      </c>
      <c r="BJ37">
        <v>32</v>
      </c>
      <c r="BK37">
        <v>27532.799999999999</v>
      </c>
      <c r="BL37">
        <v>22</v>
      </c>
      <c r="BM37">
        <v>18928.8</v>
      </c>
      <c r="BN37">
        <v>37</v>
      </c>
      <c r="BO37">
        <v>31834.799999999999</v>
      </c>
      <c r="BP37">
        <v>22</v>
      </c>
      <c r="BQ37">
        <v>18928.8</v>
      </c>
      <c r="BR37">
        <v>38</v>
      </c>
      <c r="BS37">
        <v>32695.200000000001</v>
      </c>
      <c r="BT37">
        <v>36</v>
      </c>
      <c r="BU37">
        <v>30974.399999999998</v>
      </c>
      <c r="BV37">
        <v>26</v>
      </c>
      <c r="BW37">
        <v>22370.399999999998</v>
      </c>
      <c r="BX37">
        <v>34</v>
      </c>
      <c r="BY37">
        <v>29253.599999999999</v>
      </c>
      <c r="BZ37">
        <v>22</v>
      </c>
      <c r="CA37">
        <v>18928.8</v>
      </c>
      <c r="CB37">
        <v>20</v>
      </c>
      <c r="CC37">
        <v>17208</v>
      </c>
      <c r="CD37">
        <v>20</v>
      </c>
      <c r="CE37">
        <v>17208</v>
      </c>
      <c r="CF37">
        <v>24</v>
      </c>
      <c r="CG37">
        <v>20649.599999999999</v>
      </c>
      <c r="CH37">
        <v>36</v>
      </c>
      <c r="CI37">
        <v>30974.399999999998</v>
      </c>
      <c r="CJ37">
        <v>30</v>
      </c>
      <c r="CK37">
        <v>25812</v>
      </c>
      <c r="CL37">
        <v>39</v>
      </c>
      <c r="CM37">
        <v>33555.599999999999</v>
      </c>
      <c r="CN37">
        <v>19</v>
      </c>
      <c r="CO37">
        <v>16347.6</v>
      </c>
      <c r="CP37">
        <v>21</v>
      </c>
      <c r="CQ37">
        <v>18068.399999999998</v>
      </c>
      <c r="CR37">
        <v>40</v>
      </c>
      <c r="CS37">
        <v>34416</v>
      </c>
      <c r="CT37">
        <v>43</v>
      </c>
      <c r="CU37">
        <v>36997.199999999997</v>
      </c>
    </row>
    <row r="38" spans="2:99" x14ac:dyDescent="0.2">
      <c r="C38" s="119" t="s">
        <v>204</v>
      </c>
      <c r="D38">
        <v>23.296891133772501</v>
      </c>
      <c r="E38">
        <v>28934.738788145445</v>
      </c>
      <c r="F38">
        <v>21</v>
      </c>
      <c r="G38">
        <v>26082</v>
      </c>
      <c r="H38">
        <v>32.379097513264398</v>
      </c>
      <c r="I38">
        <v>40214.839111474379</v>
      </c>
      <c r="J38">
        <v>31</v>
      </c>
      <c r="K38">
        <v>38502</v>
      </c>
      <c r="L38">
        <v>20</v>
      </c>
      <c r="M38">
        <v>24840</v>
      </c>
      <c r="N38">
        <v>31</v>
      </c>
      <c r="O38">
        <v>38502</v>
      </c>
      <c r="P38">
        <v>22</v>
      </c>
      <c r="Q38">
        <v>27324</v>
      </c>
      <c r="R38">
        <v>26</v>
      </c>
      <c r="S38">
        <v>32292</v>
      </c>
      <c r="T38">
        <v>29</v>
      </c>
      <c r="U38">
        <v>36018</v>
      </c>
      <c r="V38">
        <v>31</v>
      </c>
      <c r="W38">
        <v>38502</v>
      </c>
      <c r="X38">
        <v>23</v>
      </c>
      <c r="Y38">
        <v>28566</v>
      </c>
      <c r="Z38">
        <v>21</v>
      </c>
      <c r="AA38">
        <v>26082</v>
      </c>
      <c r="AB38">
        <v>21</v>
      </c>
      <c r="AC38">
        <v>26082</v>
      </c>
      <c r="AD38">
        <v>20</v>
      </c>
      <c r="AE38">
        <v>24840</v>
      </c>
      <c r="AF38">
        <v>31</v>
      </c>
      <c r="AG38">
        <v>38502</v>
      </c>
      <c r="AH38">
        <v>30</v>
      </c>
      <c r="AI38">
        <v>37260</v>
      </c>
      <c r="AJ38">
        <v>20</v>
      </c>
      <c r="AK38">
        <v>24840</v>
      </c>
      <c r="AL38">
        <v>32</v>
      </c>
      <c r="AM38">
        <v>39744</v>
      </c>
      <c r="AN38">
        <v>19</v>
      </c>
      <c r="AO38">
        <v>23598</v>
      </c>
      <c r="AP38">
        <v>33</v>
      </c>
      <c r="AQ38">
        <v>40986</v>
      </c>
      <c r="AR38">
        <v>27</v>
      </c>
      <c r="AS38">
        <v>33534</v>
      </c>
      <c r="AT38">
        <v>36</v>
      </c>
      <c r="AU38">
        <v>44712</v>
      </c>
      <c r="AV38">
        <v>32</v>
      </c>
      <c r="AW38">
        <v>39744</v>
      </c>
      <c r="AX38">
        <v>23</v>
      </c>
      <c r="AY38">
        <v>28566</v>
      </c>
      <c r="AZ38">
        <v>37</v>
      </c>
      <c r="BA38">
        <v>45954</v>
      </c>
      <c r="BB38">
        <v>27</v>
      </c>
      <c r="BC38">
        <v>33534</v>
      </c>
      <c r="BD38">
        <v>36</v>
      </c>
      <c r="BE38">
        <v>44712</v>
      </c>
      <c r="BF38">
        <v>27</v>
      </c>
      <c r="BG38">
        <v>33534</v>
      </c>
      <c r="BH38">
        <v>30</v>
      </c>
      <c r="BI38">
        <v>37260</v>
      </c>
      <c r="BJ38">
        <v>31</v>
      </c>
      <c r="BK38">
        <v>38502</v>
      </c>
      <c r="BL38">
        <v>21</v>
      </c>
      <c r="BM38">
        <v>26082</v>
      </c>
      <c r="BN38">
        <v>36</v>
      </c>
      <c r="BO38">
        <v>44712</v>
      </c>
      <c r="BP38">
        <v>20</v>
      </c>
      <c r="BQ38">
        <v>24840</v>
      </c>
      <c r="BR38">
        <v>32</v>
      </c>
      <c r="BS38">
        <v>39744</v>
      </c>
      <c r="BT38">
        <v>34</v>
      </c>
      <c r="BU38">
        <v>42228</v>
      </c>
      <c r="BV38">
        <v>25</v>
      </c>
      <c r="BW38">
        <v>31050</v>
      </c>
      <c r="BX38">
        <v>33</v>
      </c>
      <c r="BY38">
        <v>40986</v>
      </c>
      <c r="BZ38">
        <v>23</v>
      </c>
      <c r="CA38">
        <v>28566</v>
      </c>
      <c r="CB38">
        <v>20</v>
      </c>
      <c r="CC38">
        <v>24840</v>
      </c>
      <c r="CD38">
        <v>23</v>
      </c>
      <c r="CE38">
        <v>28566</v>
      </c>
      <c r="CF38">
        <v>26</v>
      </c>
      <c r="CG38">
        <v>32292</v>
      </c>
      <c r="CH38">
        <v>34</v>
      </c>
      <c r="CI38">
        <v>42228</v>
      </c>
      <c r="CJ38">
        <v>32</v>
      </c>
      <c r="CK38">
        <v>39744</v>
      </c>
      <c r="CL38">
        <v>37</v>
      </c>
      <c r="CM38">
        <v>45954</v>
      </c>
      <c r="CN38">
        <v>18</v>
      </c>
      <c r="CO38">
        <v>22356</v>
      </c>
      <c r="CP38">
        <v>18</v>
      </c>
      <c r="CQ38">
        <v>22356</v>
      </c>
      <c r="CR38">
        <v>37</v>
      </c>
      <c r="CS38">
        <v>45954</v>
      </c>
      <c r="CT38">
        <v>36</v>
      </c>
      <c r="CU38">
        <v>44712</v>
      </c>
    </row>
    <row r="39" spans="2:99" x14ac:dyDescent="0.2">
      <c r="C39" s="119" t="s">
        <v>205</v>
      </c>
      <c r="D39">
        <v>25.147249849106444</v>
      </c>
      <c r="E39">
        <v>35789.565985248293</v>
      </c>
      <c r="F39">
        <v>22</v>
      </c>
      <c r="G39">
        <v>31310.400000000001</v>
      </c>
      <c r="H39">
        <v>32.195217844829145</v>
      </c>
      <c r="I39">
        <v>45820.234036760841</v>
      </c>
      <c r="J39">
        <v>28</v>
      </c>
      <c r="K39">
        <v>39849.599999999999</v>
      </c>
      <c r="L39">
        <v>20</v>
      </c>
      <c r="M39">
        <v>28464</v>
      </c>
      <c r="N39">
        <v>27</v>
      </c>
      <c r="O39">
        <v>38426.400000000001</v>
      </c>
      <c r="P39">
        <v>21</v>
      </c>
      <c r="Q39">
        <v>29887.200000000001</v>
      </c>
      <c r="R39">
        <v>26</v>
      </c>
      <c r="S39">
        <v>37003.200000000004</v>
      </c>
      <c r="T39">
        <v>28</v>
      </c>
      <c r="U39">
        <v>39849.599999999999</v>
      </c>
      <c r="V39">
        <v>30</v>
      </c>
      <c r="W39">
        <v>42696</v>
      </c>
      <c r="X39">
        <v>23</v>
      </c>
      <c r="Y39">
        <v>32733.600000000002</v>
      </c>
      <c r="Z39">
        <v>20</v>
      </c>
      <c r="AA39">
        <v>28464</v>
      </c>
      <c r="AB39">
        <v>21</v>
      </c>
      <c r="AC39">
        <v>29887.200000000001</v>
      </c>
      <c r="AD39">
        <v>19</v>
      </c>
      <c r="AE39">
        <v>27040.799999999999</v>
      </c>
      <c r="AF39">
        <v>27</v>
      </c>
      <c r="AG39">
        <v>38426.400000000001</v>
      </c>
      <c r="AH39">
        <v>29</v>
      </c>
      <c r="AI39">
        <v>41272.800000000003</v>
      </c>
      <c r="AJ39">
        <v>22</v>
      </c>
      <c r="AK39">
        <v>31310.400000000001</v>
      </c>
      <c r="AL39">
        <v>30</v>
      </c>
      <c r="AM39">
        <v>42696</v>
      </c>
      <c r="AN39">
        <v>20</v>
      </c>
      <c r="AO39">
        <v>28464</v>
      </c>
      <c r="AP39">
        <v>31</v>
      </c>
      <c r="AQ39">
        <v>44119.200000000004</v>
      </c>
      <c r="AR39">
        <v>28</v>
      </c>
      <c r="AS39">
        <v>39849.599999999999</v>
      </c>
      <c r="AT39">
        <v>33</v>
      </c>
      <c r="AU39">
        <v>46965.599999999999</v>
      </c>
      <c r="AV39">
        <v>33</v>
      </c>
      <c r="AW39">
        <v>46965.599999999999</v>
      </c>
      <c r="AX39">
        <v>23</v>
      </c>
      <c r="AY39">
        <v>32733.600000000002</v>
      </c>
      <c r="AZ39">
        <v>33</v>
      </c>
      <c r="BA39">
        <v>46965.599999999999</v>
      </c>
      <c r="BB39">
        <v>22</v>
      </c>
      <c r="BC39">
        <v>31310.400000000001</v>
      </c>
      <c r="BD39">
        <v>31</v>
      </c>
      <c r="BE39">
        <v>44119.200000000004</v>
      </c>
      <c r="BF39">
        <v>28</v>
      </c>
      <c r="BG39">
        <v>39849.599999999999</v>
      </c>
      <c r="BH39">
        <v>34</v>
      </c>
      <c r="BI39">
        <v>48388.800000000003</v>
      </c>
      <c r="BJ39">
        <v>33</v>
      </c>
      <c r="BK39">
        <v>46965.599999999999</v>
      </c>
      <c r="BL39">
        <v>22</v>
      </c>
      <c r="BM39">
        <v>31310.400000000001</v>
      </c>
      <c r="BN39">
        <v>32</v>
      </c>
      <c r="BO39">
        <v>45542.400000000001</v>
      </c>
      <c r="BP39">
        <v>18</v>
      </c>
      <c r="BQ39">
        <v>25617.600000000002</v>
      </c>
      <c r="BR39">
        <v>36</v>
      </c>
      <c r="BS39">
        <v>51235.200000000004</v>
      </c>
      <c r="BT39">
        <v>37</v>
      </c>
      <c r="BU39">
        <v>52658.400000000001</v>
      </c>
      <c r="BV39">
        <v>26</v>
      </c>
      <c r="BW39">
        <v>37003.200000000004</v>
      </c>
      <c r="BX39">
        <v>30</v>
      </c>
      <c r="BY39">
        <v>42696</v>
      </c>
      <c r="BZ39">
        <v>21</v>
      </c>
      <c r="CA39">
        <v>29887.200000000001</v>
      </c>
      <c r="CB39">
        <v>20</v>
      </c>
      <c r="CC39">
        <v>28464</v>
      </c>
      <c r="CD39">
        <v>22</v>
      </c>
      <c r="CE39">
        <v>31310.400000000001</v>
      </c>
      <c r="CF39">
        <v>23</v>
      </c>
      <c r="CG39">
        <v>32733.600000000002</v>
      </c>
      <c r="CH39">
        <v>31</v>
      </c>
      <c r="CI39">
        <v>44119.200000000004</v>
      </c>
      <c r="CJ39">
        <v>33</v>
      </c>
      <c r="CK39">
        <v>46965.599999999999</v>
      </c>
      <c r="CL39">
        <v>40</v>
      </c>
      <c r="CM39">
        <v>56928</v>
      </c>
      <c r="CN39">
        <v>17</v>
      </c>
      <c r="CO39">
        <v>24194.400000000001</v>
      </c>
      <c r="CP39">
        <v>18</v>
      </c>
      <c r="CQ39">
        <v>25617.600000000002</v>
      </c>
      <c r="CR39">
        <v>37</v>
      </c>
      <c r="CS39">
        <v>52658.400000000001</v>
      </c>
      <c r="CT39">
        <v>39</v>
      </c>
      <c r="CU39">
        <v>55504.800000000003</v>
      </c>
    </row>
    <row r="40" spans="2:99" x14ac:dyDescent="0.2">
      <c r="C40" s="119" t="s">
        <v>206</v>
      </c>
      <c r="D40">
        <v>28.346771561994519</v>
      </c>
      <c r="E40">
        <v>20545.740028133627</v>
      </c>
      <c r="F40">
        <v>23</v>
      </c>
      <c r="G40">
        <v>16670.399999999998</v>
      </c>
      <c r="H40">
        <v>34.333127596155585</v>
      </c>
      <c r="I40">
        <v>24884.650881693567</v>
      </c>
      <c r="J40">
        <v>30</v>
      </c>
      <c r="K40">
        <v>21744</v>
      </c>
      <c r="L40">
        <v>21</v>
      </c>
      <c r="M40">
        <v>15220.8</v>
      </c>
      <c r="N40">
        <v>33</v>
      </c>
      <c r="O40">
        <v>23918.399999999998</v>
      </c>
      <c r="P40">
        <v>21</v>
      </c>
      <c r="Q40">
        <v>15220.8</v>
      </c>
      <c r="R40">
        <v>28</v>
      </c>
      <c r="S40">
        <v>20294.399999999998</v>
      </c>
      <c r="T40">
        <v>28</v>
      </c>
      <c r="U40">
        <v>20294.399999999998</v>
      </c>
      <c r="V40">
        <v>36</v>
      </c>
      <c r="W40">
        <v>26092.799999999999</v>
      </c>
      <c r="X40">
        <v>28</v>
      </c>
      <c r="Y40">
        <v>20294.399999999998</v>
      </c>
      <c r="Z40">
        <v>24</v>
      </c>
      <c r="AA40">
        <v>17395.199999999997</v>
      </c>
      <c r="AB40">
        <v>23</v>
      </c>
      <c r="AC40">
        <v>16670.399999999998</v>
      </c>
      <c r="AD40">
        <v>22</v>
      </c>
      <c r="AE40">
        <v>15945.599999999999</v>
      </c>
      <c r="AF40">
        <v>34</v>
      </c>
      <c r="AG40">
        <v>24643.199999999997</v>
      </c>
      <c r="AH40">
        <v>29</v>
      </c>
      <c r="AI40">
        <v>21019.199999999997</v>
      </c>
      <c r="AJ40">
        <v>22</v>
      </c>
      <c r="AK40">
        <v>15945.599999999999</v>
      </c>
      <c r="AL40">
        <v>36</v>
      </c>
      <c r="AM40">
        <v>26092.799999999999</v>
      </c>
      <c r="AN40">
        <v>21</v>
      </c>
      <c r="AO40">
        <v>15220.8</v>
      </c>
      <c r="AP40">
        <v>37</v>
      </c>
      <c r="AQ40">
        <v>26817.599999999999</v>
      </c>
      <c r="AR40">
        <v>28</v>
      </c>
      <c r="AS40">
        <v>20294.399999999998</v>
      </c>
      <c r="AT40">
        <v>32</v>
      </c>
      <c r="AU40">
        <v>23193.599999999999</v>
      </c>
      <c r="AV40">
        <v>38</v>
      </c>
      <c r="AW40">
        <v>27542.399999999998</v>
      </c>
      <c r="AX40">
        <v>23</v>
      </c>
      <c r="AY40">
        <v>16670.399999999998</v>
      </c>
      <c r="AZ40">
        <v>36</v>
      </c>
      <c r="BA40">
        <v>26092.799999999999</v>
      </c>
      <c r="BB40">
        <v>27</v>
      </c>
      <c r="BC40">
        <v>19569.599999999999</v>
      </c>
      <c r="BD40">
        <v>34</v>
      </c>
      <c r="BE40">
        <v>24643.199999999997</v>
      </c>
      <c r="BF40">
        <v>31</v>
      </c>
      <c r="BG40">
        <v>22468.799999999999</v>
      </c>
      <c r="BH40">
        <v>34</v>
      </c>
      <c r="BI40">
        <v>24643.199999999997</v>
      </c>
      <c r="BJ40">
        <v>36</v>
      </c>
      <c r="BK40">
        <v>26092.799999999999</v>
      </c>
      <c r="BL40">
        <v>25</v>
      </c>
      <c r="BM40">
        <v>18120</v>
      </c>
      <c r="BN40">
        <v>38</v>
      </c>
      <c r="BO40">
        <v>27542.399999999998</v>
      </c>
      <c r="BP40">
        <v>23</v>
      </c>
      <c r="BQ40">
        <v>16670.399999999998</v>
      </c>
      <c r="BR40">
        <v>35</v>
      </c>
      <c r="BS40">
        <v>25368</v>
      </c>
      <c r="BT40">
        <v>43</v>
      </c>
      <c r="BU40">
        <v>31166.399999999998</v>
      </c>
      <c r="BV40">
        <v>26</v>
      </c>
      <c r="BW40">
        <v>18844.8</v>
      </c>
      <c r="BX40">
        <v>31</v>
      </c>
      <c r="BY40">
        <v>22468.799999999999</v>
      </c>
      <c r="BZ40">
        <v>25</v>
      </c>
      <c r="CA40">
        <v>18120</v>
      </c>
      <c r="CB40">
        <v>22</v>
      </c>
      <c r="CC40">
        <v>15945.599999999999</v>
      </c>
      <c r="CD40">
        <v>21</v>
      </c>
      <c r="CE40">
        <v>15220.8</v>
      </c>
      <c r="CF40">
        <v>29</v>
      </c>
      <c r="CG40">
        <v>21019.199999999997</v>
      </c>
      <c r="CH40">
        <v>36</v>
      </c>
      <c r="CI40">
        <v>26092.799999999999</v>
      </c>
      <c r="CJ40">
        <v>35</v>
      </c>
      <c r="CK40">
        <v>25368</v>
      </c>
      <c r="CL40">
        <v>43</v>
      </c>
      <c r="CM40">
        <v>31166.399999999998</v>
      </c>
      <c r="CN40">
        <v>19</v>
      </c>
      <c r="CO40">
        <v>13771.199999999999</v>
      </c>
      <c r="CP40">
        <v>21</v>
      </c>
      <c r="CQ40">
        <v>15220.8</v>
      </c>
      <c r="CR40">
        <v>38</v>
      </c>
      <c r="CS40">
        <v>27542.399999999998</v>
      </c>
      <c r="CT40">
        <v>43</v>
      </c>
      <c r="CU40">
        <v>31166.399999999998</v>
      </c>
    </row>
    <row r="41" spans="2:99" x14ac:dyDescent="0.2">
      <c r="C41" s="119" t="s">
        <v>207</v>
      </c>
      <c r="D41">
        <v>27.24701070555048</v>
      </c>
      <c r="E41">
        <v>17983.027065663318</v>
      </c>
      <c r="F41">
        <v>22</v>
      </c>
      <c r="G41">
        <v>14520</v>
      </c>
      <c r="H41">
        <v>35.333127596155585</v>
      </c>
      <c r="I41">
        <v>23319.864213462686</v>
      </c>
      <c r="J41">
        <v>33</v>
      </c>
      <c r="K41">
        <v>21780</v>
      </c>
      <c r="L41">
        <v>23</v>
      </c>
      <c r="M41">
        <v>15180</v>
      </c>
      <c r="N41">
        <v>31</v>
      </c>
      <c r="O41">
        <v>20460</v>
      </c>
      <c r="P41">
        <v>22</v>
      </c>
      <c r="Q41">
        <v>14520</v>
      </c>
      <c r="R41">
        <v>27</v>
      </c>
      <c r="S41">
        <v>17820</v>
      </c>
      <c r="T41">
        <v>29</v>
      </c>
      <c r="U41">
        <v>19140</v>
      </c>
      <c r="V41">
        <v>33</v>
      </c>
      <c r="W41">
        <v>21780</v>
      </c>
      <c r="X41">
        <v>26</v>
      </c>
      <c r="Y41">
        <v>17160</v>
      </c>
      <c r="Z41">
        <v>24</v>
      </c>
      <c r="AA41">
        <v>15840</v>
      </c>
      <c r="AB41">
        <v>23</v>
      </c>
      <c r="AC41">
        <v>15180</v>
      </c>
      <c r="AD41">
        <v>20</v>
      </c>
      <c r="AE41">
        <v>13200</v>
      </c>
      <c r="AF41">
        <v>33</v>
      </c>
      <c r="AG41">
        <v>21780</v>
      </c>
      <c r="AH41">
        <v>32</v>
      </c>
      <c r="AI41">
        <v>21120</v>
      </c>
      <c r="AJ41">
        <v>25</v>
      </c>
      <c r="AK41">
        <v>16500</v>
      </c>
      <c r="AL41">
        <v>34</v>
      </c>
      <c r="AM41">
        <v>22440</v>
      </c>
      <c r="AN41">
        <v>22</v>
      </c>
      <c r="AO41">
        <v>14520</v>
      </c>
      <c r="AP41">
        <v>35</v>
      </c>
      <c r="AQ41">
        <v>23100</v>
      </c>
      <c r="AR41">
        <v>27</v>
      </c>
      <c r="AS41">
        <v>17820</v>
      </c>
      <c r="AT41">
        <v>33</v>
      </c>
      <c r="AU41">
        <v>21780</v>
      </c>
      <c r="AV41">
        <v>39</v>
      </c>
      <c r="AW41">
        <v>25740</v>
      </c>
      <c r="AX41">
        <v>22</v>
      </c>
      <c r="AY41">
        <v>14520</v>
      </c>
      <c r="AZ41">
        <v>34</v>
      </c>
      <c r="BA41">
        <v>22440</v>
      </c>
      <c r="BB41">
        <v>29</v>
      </c>
      <c r="BC41">
        <v>19140</v>
      </c>
      <c r="BD41">
        <v>37</v>
      </c>
      <c r="BE41">
        <v>24420</v>
      </c>
      <c r="BF41">
        <v>32</v>
      </c>
      <c r="BG41">
        <v>21120</v>
      </c>
      <c r="BH41">
        <v>33</v>
      </c>
      <c r="BI41">
        <v>21780</v>
      </c>
      <c r="BJ41">
        <v>35</v>
      </c>
      <c r="BK41">
        <v>23100</v>
      </c>
      <c r="BL41">
        <v>22</v>
      </c>
      <c r="BM41">
        <v>14520</v>
      </c>
      <c r="BN41">
        <v>38</v>
      </c>
      <c r="BO41">
        <v>25080</v>
      </c>
      <c r="BP41">
        <v>22</v>
      </c>
      <c r="BQ41">
        <v>14520</v>
      </c>
      <c r="BR41">
        <v>38</v>
      </c>
      <c r="BS41">
        <v>25080</v>
      </c>
      <c r="BT41">
        <v>42</v>
      </c>
      <c r="BU41">
        <v>27720</v>
      </c>
      <c r="BV41">
        <v>28</v>
      </c>
      <c r="BW41">
        <v>18480</v>
      </c>
      <c r="BX41">
        <v>30</v>
      </c>
      <c r="BY41">
        <v>19800</v>
      </c>
      <c r="BZ41">
        <v>24</v>
      </c>
      <c r="CA41">
        <v>15840</v>
      </c>
      <c r="CB41">
        <v>20</v>
      </c>
      <c r="CC41">
        <v>13200</v>
      </c>
      <c r="CD41">
        <v>21</v>
      </c>
      <c r="CE41">
        <v>13860</v>
      </c>
      <c r="CF41">
        <v>29</v>
      </c>
      <c r="CG41">
        <v>19140</v>
      </c>
      <c r="CH41">
        <v>33</v>
      </c>
      <c r="CI41">
        <v>21780</v>
      </c>
      <c r="CJ41">
        <v>37</v>
      </c>
      <c r="CK41">
        <v>24420</v>
      </c>
      <c r="CL41">
        <v>40</v>
      </c>
      <c r="CM41">
        <v>26400</v>
      </c>
      <c r="CN41">
        <v>19</v>
      </c>
      <c r="CO41">
        <v>12540</v>
      </c>
      <c r="CP41">
        <v>22</v>
      </c>
      <c r="CQ41">
        <v>14520</v>
      </c>
      <c r="CR41">
        <v>40</v>
      </c>
      <c r="CS41">
        <v>26400</v>
      </c>
      <c r="CT41">
        <v>41</v>
      </c>
      <c r="CU41">
        <v>27060</v>
      </c>
    </row>
    <row r="42" spans="2:99" x14ac:dyDescent="0.2">
      <c r="C42" s="119" t="s">
        <v>208</v>
      </c>
      <c r="D42">
        <v>24.147249849106444</v>
      </c>
      <c r="E42">
        <v>20428.573372344053</v>
      </c>
      <c r="F42">
        <v>20</v>
      </c>
      <c r="G42">
        <v>16920</v>
      </c>
      <c r="H42">
        <v>32.287157679046771</v>
      </c>
      <c r="I42">
        <v>27314.935396473567</v>
      </c>
      <c r="J42">
        <v>33</v>
      </c>
      <c r="K42">
        <v>27918</v>
      </c>
      <c r="L42">
        <v>19</v>
      </c>
      <c r="M42">
        <v>16074</v>
      </c>
      <c r="N42">
        <v>31</v>
      </c>
      <c r="O42">
        <v>26226</v>
      </c>
      <c r="P42">
        <v>21</v>
      </c>
      <c r="Q42">
        <v>17766</v>
      </c>
      <c r="R42">
        <v>24</v>
      </c>
      <c r="S42">
        <v>20304</v>
      </c>
      <c r="T42">
        <v>32</v>
      </c>
      <c r="U42">
        <v>27072</v>
      </c>
      <c r="V42">
        <v>36</v>
      </c>
      <c r="W42">
        <v>30456</v>
      </c>
      <c r="X42">
        <v>24</v>
      </c>
      <c r="Y42">
        <v>20304</v>
      </c>
      <c r="Z42">
        <v>24</v>
      </c>
      <c r="AA42">
        <v>20304</v>
      </c>
      <c r="AB42">
        <v>24</v>
      </c>
      <c r="AC42">
        <v>20304</v>
      </c>
      <c r="AD42">
        <v>20</v>
      </c>
      <c r="AE42">
        <v>16920</v>
      </c>
      <c r="AF42">
        <v>32</v>
      </c>
      <c r="AG42">
        <v>27072</v>
      </c>
      <c r="AH42">
        <v>29</v>
      </c>
      <c r="AI42">
        <v>24534</v>
      </c>
      <c r="AJ42">
        <v>23</v>
      </c>
      <c r="AK42">
        <v>19458</v>
      </c>
      <c r="AL42">
        <v>34</v>
      </c>
      <c r="AM42">
        <v>28764</v>
      </c>
      <c r="AN42">
        <v>21</v>
      </c>
      <c r="AO42">
        <v>17766</v>
      </c>
      <c r="AP42">
        <v>35</v>
      </c>
      <c r="AQ42">
        <v>29610</v>
      </c>
      <c r="AR42">
        <v>25</v>
      </c>
      <c r="AS42">
        <v>21150</v>
      </c>
      <c r="AT42">
        <v>33</v>
      </c>
      <c r="AU42">
        <v>27918</v>
      </c>
      <c r="AV42">
        <v>39</v>
      </c>
      <c r="AW42">
        <v>32994</v>
      </c>
      <c r="AX42">
        <v>23</v>
      </c>
      <c r="AY42">
        <v>19458</v>
      </c>
      <c r="AZ42">
        <v>38</v>
      </c>
      <c r="BA42">
        <v>32148</v>
      </c>
      <c r="BB42">
        <v>27</v>
      </c>
      <c r="BC42">
        <v>22842</v>
      </c>
      <c r="BD42">
        <v>38</v>
      </c>
      <c r="BE42">
        <v>32148</v>
      </c>
      <c r="BF42">
        <v>28</v>
      </c>
      <c r="BG42">
        <v>23688</v>
      </c>
      <c r="BH42">
        <v>38</v>
      </c>
      <c r="BI42">
        <v>32148</v>
      </c>
      <c r="BJ42">
        <v>34</v>
      </c>
      <c r="BK42">
        <v>28764</v>
      </c>
      <c r="BL42">
        <v>23</v>
      </c>
      <c r="BM42">
        <v>19458</v>
      </c>
      <c r="BN42">
        <v>34</v>
      </c>
      <c r="BO42">
        <v>28764</v>
      </c>
      <c r="BP42">
        <v>22</v>
      </c>
      <c r="BQ42">
        <v>18612</v>
      </c>
      <c r="BR42">
        <v>33</v>
      </c>
      <c r="BS42">
        <v>27918</v>
      </c>
      <c r="BT42">
        <v>36</v>
      </c>
      <c r="BU42">
        <v>30456</v>
      </c>
      <c r="BV42">
        <v>24</v>
      </c>
      <c r="BW42">
        <v>20304</v>
      </c>
      <c r="BX42">
        <v>32</v>
      </c>
      <c r="BY42">
        <v>27072</v>
      </c>
      <c r="BZ42">
        <v>23</v>
      </c>
      <c r="CA42">
        <v>19458</v>
      </c>
      <c r="CB42">
        <v>22</v>
      </c>
      <c r="CC42">
        <v>18612</v>
      </c>
      <c r="CD42">
        <v>22</v>
      </c>
      <c r="CE42">
        <v>18612</v>
      </c>
      <c r="CF42">
        <v>29</v>
      </c>
      <c r="CG42">
        <v>24534</v>
      </c>
      <c r="CH42">
        <v>35</v>
      </c>
      <c r="CI42">
        <v>29610</v>
      </c>
      <c r="CJ42">
        <v>34</v>
      </c>
      <c r="CK42">
        <v>28764</v>
      </c>
      <c r="CL42">
        <v>39</v>
      </c>
      <c r="CM42">
        <v>32994</v>
      </c>
      <c r="CN42">
        <v>21</v>
      </c>
      <c r="CO42">
        <v>17766</v>
      </c>
      <c r="CP42">
        <v>20</v>
      </c>
      <c r="CQ42">
        <v>16920</v>
      </c>
      <c r="CR42">
        <v>39</v>
      </c>
      <c r="CS42">
        <v>32994</v>
      </c>
      <c r="CT42">
        <v>37</v>
      </c>
      <c r="CU42">
        <v>31302</v>
      </c>
    </row>
    <row r="43" spans="2:99" x14ac:dyDescent="0.2">
      <c r="C43" s="119" t="s">
        <v>209</v>
      </c>
      <c r="D43">
        <v>25.39665199021654</v>
      </c>
      <c r="E43">
        <v>25965.536994797389</v>
      </c>
      <c r="F43">
        <v>20</v>
      </c>
      <c r="G43">
        <v>20448</v>
      </c>
      <c r="H43">
        <v>37.241187761937958</v>
      </c>
      <c r="I43">
        <v>38075.390367805368</v>
      </c>
      <c r="J43">
        <v>30</v>
      </c>
      <c r="K43">
        <v>30672</v>
      </c>
      <c r="L43">
        <v>23</v>
      </c>
      <c r="M43">
        <v>23515.200000000001</v>
      </c>
      <c r="N43">
        <v>29</v>
      </c>
      <c r="O43">
        <v>29649.599999999999</v>
      </c>
      <c r="P43">
        <v>20</v>
      </c>
      <c r="Q43">
        <v>20448</v>
      </c>
      <c r="R43">
        <v>26</v>
      </c>
      <c r="S43">
        <v>26582.399999999998</v>
      </c>
      <c r="T43">
        <v>31</v>
      </c>
      <c r="U43">
        <v>31694.399999999998</v>
      </c>
      <c r="V43">
        <v>35</v>
      </c>
      <c r="W43">
        <v>35784</v>
      </c>
      <c r="X43">
        <v>27</v>
      </c>
      <c r="Y43">
        <v>27604.799999999999</v>
      </c>
      <c r="Z43">
        <v>21</v>
      </c>
      <c r="AA43">
        <v>21470.399999999998</v>
      </c>
      <c r="AB43">
        <v>23</v>
      </c>
      <c r="AC43">
        <v>23515.200000000001</v>
      </c>
      <c r="AD43">
        <v>21</v>
      </c>
      <c r="AE43">
        <v>21470.399999999998</v>
      </c>
      <c r="AF43">
        <v>33</v>
      </c>
      <c r="AG43">
        <v>33739.199999999997</v>
      </c>
      <c r="AH43">
        <v>27</v>
      </c>
      <c r="AI43">
        <v>27604.799999999999</v>
      </c>
      <c r="AJ43">
        <v>21</v>
      </c>
      <c r="AK43">
        <v>21470.399999999998</v>
      </c>
      <c r="AL43">
        <v>30</v>
      </c>
      <c r="AM43">
        <v>30672</v>
      </c>
      <c r="AN43">
        <v>22</v>
      </c>
      <c r="AO43">
        <v>22492.799999999999</v>
      </c>
      <c r="AP43">
        <v>39</v>
      </c>
      <c r="AQ43">
        <v>39873.599999999999</v>
      </c>
      <c r="AR43">
        <v>25</v>
      </c>
      <c r="AS43">
        <v>25560</v>
      </c>
      <c r="AT43">
        <v>32</v>
      </c>
      <c r="AU43">
        <v>32716.799999999999</v>
      </c>
      <c r="AV43">
        <v>34</v>
      </c>
      <c r="AW43">
        <v>34761.599999999999</v>
      </c>
      <c r="AX43">
        <v>20</v>
      </c>
      <c r="AY43">
        <v>20448</v>
      </c>
      <c r="AZ43">
        <v>36</v>
      </c>
      <c r="BA43">
        <v>36806.400000000001</v>
      </c>
      <c r="BB43">
        <v>26</v>
      </c>
      <c r="BC43">
        <v>26582.399999999998</v>
      </c>
      <c r="BD43">
        <v>36</v>
      </c>
      <c r="BE43">
        <v>36806.400000000001</v>
      </c>
      <c r="BF43">
        <v>28</v>
      </c>
      <c r="BG43">
        <v>28627.200000000001</v>
      </c>
      <c r="BH43">
        <v>36</v>
      </c>
      <c r="BI43">
        <v>36806.400000000001</v>
      </c>
      <c r="BJ43">
        <v>33</v>
      </c>
      <c r="BK43">
        <v>33739.199999999997</v>
      </c>
      <c r="BL43">
        <v>20</v>
      </c>
      <c r="BM43">
        <v>20448</v>
      </c>
      <c r="BN43">
        <v>38</v>
      </c>
      <c r="BO43">
        <v>38851.199999999997</v>
      </c>
      <c r="BP43">
        <v>22</v>
      </c>
      <c r="BQ43">
        <v>22492.799999999999</v>
      </c>
      <c r="BR43">
        <v>33</v>
      </c>
      <c r="BS43">
        <v>33739.199999999997</v>
      </c>
      <c r="BT43">
        <v>34</v>
      </c>
      <c r="BU43">
        <v>34761.599999999999</v>
      </c>
      <c r="BV43">
        <v>25</v>
      </c>
      <c r="BW43">
        <v>25560</v>
      </c>
      <c r="BX43">
        <v>33</v>
      </c>
      <c r="BY43">
        <v>33739.199999999997</v>
      </c>
      <c r="BZ43">
        <v>25</v>
      </c>
      <c r="CA43">
        <v>25560</v>
      </c>
      <c r="CB43">
        <v>21</v>
      </c>
      <c r="CC43">
        <v>21470.399999999998</v>
      </c>
      <c r="CD43">
        <v>20</v>
      </c>
      <c r="CE43">
        <v>20448</v>
      </c>
      <c r="CF43">
        <v>24</v>
      </c>
      <c r="CG43">
        <v>24537.599999999999</v>
      </c>
      <c r="CH43">
        <v>34</v>
      </c>
      <c r="CI43">
        <v>34761.599999999999</v>
      </c>
      <c r="CJ43">
        <v>33</v>
      </c>
      <c r="CK43">
        <v>33739.199999999997</v>
      </c>
      <c r="CL43">
        <v>41</v>
      </c>
      <c r="CM43">
        <v>41918.400000000001</v>
      </c>
      <c r="CN43">
        <v>19</v>
      </c>
      <c r="CO43">
        <v>19425.599999999999</v>
      </c>
      <c r="CP43">
        <v>19</v>
      </c>
      <c r="CQ43">
        <v>19425.599999999999</v>
      </c>
      <c r="CR43">
        <v>35</v>
      </c>
      <c r="CS43">
        <v>35784</v>
      </c>
      <c r="CT43">
        <v>37</v>
      </c>
      <c r="CU43">
        <v>37828.799999999996</v>
      </c>
    </row>
    <row r="44" spans="2:99" x14ac:dyDescent="0.2">
      <c r="C44" s="119" t="s">
        <v>210</v>
      </c>
      <c r="D44">
        <v>23.24701070555048</v>
      </c>
      <c r="E44">
        <v>23767.743745354808</v>
      </c>
      <c r="F44">
        <v>21</v>
      </c>
      <c r="G44">
        <v>21470.399999999998</v>
      </c>
      <c r="H44">
        <v>31.379097513264398</v>
      </c>
      <c r="I44">
        <v>32081.989297561518</v>
      </c>
      <c r="J44">
        <v>32</v>
      </c>
      <c r="K44">
        <v>32716.799999999999</v>
      </c>
      <c r="L44">
        <v>19</v>
      </c>
      <c r="M44">
        <v>19425.599999999999</v>
      </c>
      <c r="N44">
        <v>34</v>
      </c>
      <c r="O44">
        <v>34761.599999999999</v>
      </c>
      <c r="P44">
        <v>23</v>
      </c>
      <c r="Q44">
        <v>23515.200000000001</v>
      </c>
      <c r="R44">
        <v>23</v>
      </c>
      <c r="S44">
        <v>23515.200000000001</v>
      </c>
      <c r="T44">
        <v>28</v>
      </c>
      <c r="U44">
        <v>28627.200000000001</v>
      </c>
      <c r="V44">
        <v>33</v>
      </c>
      <c r="W44">
        <v>33739.199999999997</v>
      </c>
      <c r="X44">
        <v>24</v>
      </c>
      <c r="Y44">
        <v>24537.599999999999</v>
      </c>
      <c r="Z44">
        <v>23</v>
      </c>
      <c r="AA44">
        <v>23515.200000000001</v>
      </c>
      <c r="AB44">
        <v>19</v>
      </c>
      <c r="AC44">
        <v>19425.599999999999</v>
      </c>
      <c r="AD44">
        <v>19</v>
      </c>
      <c r="AE44">
        <v>19425.599999999999</v>
      </c>
      <c r="AF44">
        <v>29</v>
      </c>
      <c r="AG44">
        <v>29649.599999999999</v>
      </c>
      <c r="AH44">
        <v>28</v>
      </c>
      <c r="AI44">
        <v>28627.200000000001</v>
      </c>
      <c r="AJ44">
        <v>23</v>
      </c>
      <c r="AK44">
        <v>23515.200000000001</v>
      </c>
      <c r="AL44">
        <v>29</v>
      </c>
      <c r="AM44">
        <v>29649.599999999999</v>
      </c>
      <c r="AN44">
        <v>21</v>
      </c>
      <c r="AO44">
        <v>21470.399999999998</v>
      </c>
      <c r="AP44">
        <v>37</v>
      </c>
      <c r="AQ44">
        <v>37828.799999999996</v>
      </c>
      <c r="AR44">
        <v>25</v>
      </c>
      <c r="AS44">
        <v>25560</v>
      </c>
      <c r="AT44">
        <v>33</v>
      </c>
      <c r="AU44">
        <v>33739.199999999997</v>
      </c>
      <c r="AV44">
        <v>35</v>
      </c>
      <c r="AW44">
        <v>35784</v>
      </c>
      <c r="AX44">
        <v>20</v>
      </c>
      <c r="AY44">
        <v>20448</v>
      </c>
      <c r="AZ44">
        <v>38</v>
      </c>
      <c r="BA44">
        <v>38851.199999999997</v>
      </c>
      <c r="BB44">
        <v>23</v>
      </c>
      <c r="BC44">
        <v>23515.200000000001</v>
      </c>
      <c r="BD44">
        <v>38</v>
      </c>
      <c r="BE44">
        <v>38851.199999999997</v>
      </c>
      <c r="BF44">
        <v>30</v>
      </c>
      <c r="BG44">
        <v>30672</v>
      </c>
      <c r="BH44">
        <v>33</v>
      </c>
      <c r="BI44">
        <v>33739.199999999997</v>
      </c>
      <c r="BJ44">
        <v>29</v>
      </c>
      <c r="BK44">
        <v>29649.599999999999</v>
      </c>
      <c r="BL44">
        <v>20</v>
      </c>
      <c r="BM44">
        <v>20448</v>
      </c>
      <c r="BN44">
        <v>37</v>
      </c>
      <c r="BO44">
        <v>37828.799999999996</v>
      </c>
      <c r="BP44">
        <v>21</v>
      </c>
      <c r="BQ44">
        <v>21470.399999999998</v>
      </c>
      <c r="BR44">
        <v>36</v>
      </c>
      <c r="BS44">
        <v>36806.400000000001</v>
      </c>
      <c r="BT44">
        <v>40</v>
      </c>
      <c r="BU44">
        <v>40896</v>
      </c>
      <c r="BV44">
        <v>25</v>
      </c>
      <c r="BW44">
        <v>25560</v>
      </c>
      <c r="BX44">
        <v>31</v>
      </c>
      <c r="BY44">
        <v>31694.399999999998</v>
      </c>
      <c r="BZ44">
        <v>25</v>
      </c>
      <c r="CA44">
        <v>25560</v>
      </c>
      <c r="CB44">
        <v>20</v>
      </c>
      <c r="CC44">
        <v>20448</v>
      </c>
      <c r="CD44">
        <v>20</v>
      </c>
      <c r="CE44">
        <v>20448</v>
      </c>
      <c r="CF44">
        <v>27</v>
      </c>
      <c r="CG44">
        <v>27604.799999999999</v>
      </c>
      <c r="CH44">
        <v>35</v>
      </c>
      <c r="CI44">
        <v>35784</v>
      </c>
      <c r="CJ44">
        <v>32</v>
      </c>
      <c r="CK44">
        <v>32716.799999999999</v>
      </c>
      <c r="CL44">
        <v>39</v>
      </c>
      <c r="CM44">
        <v>39873.599999999999</v>
      </c>
      <c r="CN44">
        <v>19</v>
      </c>
      <c r="CO44">
        <v>19425.599999999999</v>
      </c>
      <c r="CP44">
        <v>20</v>
      </c>
      <c r="CQ44">
        <v>20448</v>
      </c>
      <c r="CR44">
        <v>33</v>
      </c>
      <c r="CS44">
        <v>33739.199999999997</v>
      </c>
      <c r="CT44">
        <v>35</v>
      </c>
      <c r="CU44">
        <v>35784</v>
      </c>
    </row>
    <row r="45" spans="2:99" x14ac:dyDescent="0.2">
      <c r="C45" s="119" t="s">
        <v>211</v>
      </c>
      <c r="D45">
        <v>23.346771561994519</v>
      </c>
      <c r="E45">
        <v>29164.787035243553</v>
      </c>
      <c r="F45">
        <v>21</v>
      </c>
      <c r="G45">
        <v>26233.200000000001</v>
      </c>
      <c r="H45">
        <v>34.195217844829145</v>
      </c>
      <c r="I45">
        <v>42716.666131760569</v>
      </c>
      <c r="J45">
        <v>32</v>
      </c>
      <c r="K45">
        <v>39974.400000000001</v>
      </c>
      <c r="L45">
        <v>21</v>
      </c>
      <c r="M45">
        <v>26233.200000000001</v>
      </c>
      <c r="N45">
        <v>32</v>
      </c>
      <c r="O45">
        <v>39974.400000000001</v>
      </c>
      <c r="P45">
        <v>20</v>
      </c>
      <c r="Q45">
        <v>24984</v>
      </c>
      <c r="R45">
        <v>26</v>
      </c>
      <c r="S45">
        <v>32479.200000000001</v>
      </c>
      <c r="T45">
        <v>32</v>
      </c>
      <c r="U45">
        <v>39974.400000000001</v>
      </c>
      <c r="V45">
        <v>32</v>
      </c>
      <c r="W45">
        <v>39974.400000000001</v>
      </c>
      <c r="X45">
        <v>23</v>
      </c>
      <c r="Y45">
        <v>28731.600000000002</v>
      </c>
      <c r="Z45">
        <v>24</v>
      </c>
      <c r="AA45">
        <v>29980.800000000003</v>
      </c>
      <c r="AB45">
        <v>23</v>
      </c>
      <c r="AC45">
        <v>28731.600000000002</v>
      </c>
      <c r="AD45">
        <v>19</v>
      </c>
      <c r="AE45">
        <v>23734.799999999999</v>
      </c>
      <c r="AF45">
        <v>31</v>
      </c>
      <c r="AG45">
        <v>38725.200000000004</v>
      </c>
      <c r="AH45">
        <v>29</v>
      </c>
      <c r="AI45">
        <v>36226.800000000003</v>
      </c>
      <c r="AJ45">
        <v>21</v>
      </c>
      <c r="AK45">
        <v>26233.200000000001</v>
      </c>
      <c r="AL45">
        <v>29</v>
      </c>
      <c r="AM45">
        <v>36226.800000000003</v>
      </c>
      <c r="AN45">
        <v>18</v>
      </c>
      <c r="AO45">
        <v>22485.600000000002</v>
      </c>
      <c r="AP45">
        <v>32</v>
      </c>
      <c r="AQ45">
        <v>39974.400000000001</v>
      </c>
      <c r="AR45">
        <v>27</v>
      </c>
      <c r="AS45">
        <v>33728.400000000001</v>
      </c>
      <c r="AT45">
        <v>33</v>
      </c>
      <c r="AU45">
        <v>41223.599999999999</v>
      </c>
      <c r="AV45">
        <v>32</v>
      </c>
      <c r="AW45">
        <v>39974.400000000001</v>
      </c>
      <c r="AX45">
        <v>22</v>
      </c>
      <c r="AY45">
        <v>27482.400000000001</v>
      </c>
      <c r="AZ45">
        <v>35</v>
      </c>
      <c r="BA45">
        <v>43722</v>
      </c>
      <c r="BB45">
        <v>24</v>
      </c>
      <c r="BC45">
        <v>29980.800000000003</v>
      </c>
      <c r="BD45">
        <v>34</v>
      </c>
      <c r="BE45">
        <v>42472.800000000003</v>
      </c>
      <c r="BF45">
        <v>32</v>
      </c>
      <c r="BG45">
        <v>39974.400000000001</v>
      </c>
      <c r="BH45">
        <v>32</v>
      </c>
      <c r="BI45">
        <v>39974.400000000001</v>
      </c>
      <c r="BJ45">
        <v>29</v>
      </c>
      <c r="BK45">
        <v>36226.800000000003</v>
      </c>
      <c r="BL45">
        <v>23</v>
      </c>
      <c r="BM45">
        <v>28731.600000000002</v>
      </c>
      <c r="BN45">
        <v>37</v>
      </c>
      <c r="BO45">
        <v>46220.4</v>
      </c>
      <c r="BP45">
        <v>21</v>
      </c>
      <c r="BQ45">
        <v>26233.200000000001</v>
      </c>
      <c r="BR45">
        <v>31</v>
      </c>
      <c r="BS45">
        <v>38725.200000000004</v>
      </c>
      <c r="BT45">
        <v>39</v>
      </c>
      <c r="BU45">
        <v>48718.8</v>
      </c>
      <c r="BV45">
        <v>25</v>
      </c>
      <c r="BW45">
        <v>31230</v>
      </c>
      <c r="BX45">
        <v>28</v>
      </c>
      <c r="BY45">
        <v>34977.599999999999</v>
      </c>
      <c r="BZ45">
        <v>22</v>
      </c>
      <c r="CA45">
        <v>27482.400000000001</v>
      </c>
      <c r="CB45">
        <v>21</v>
      </c>
      <c r="CC45">
        <v>26233.200000000001</v>
      </c>
      <c r="CD45">
        <v>23</v>
      </c>
      <c r="CE45">
        <v>28731.600000000002</v>
      </c>
      <c r="CF45">
        <v>24</v>
      </c>
      <c r="CG45">
        <v>29980.800000000003</v>
      </c>
      <c r="CH45">
        <v>34</v>
      </c>
      <c r="CI45">
        <v>42472.800000000003</v>
      </c>
      <c r="CJ45">
        <v>30</v>
      </c>
      <c r="CK45">
        <v>37476</v>
      </c>
      <c r="CL45">
        <v>35</v>
      </c>
      <c r="CM45">
        <v>43722</v>
      </c>
      <c r="CN45">
        <v>21</v>
      </c>
      <c r="CO45">
        <v>26233.200000000001</v>
      </c>
      <c r="CP45">
        <v>19</v>
      </c>
      <c r="CQ45">
        <v>23734.799999999999</v>
      </c>
      <c r="CR45">
        <v>35</v>
      </c>
      <c r="CS45">
        <v>43722</v>
      </c>
      <c r="CT45">
        <v>41</v>
      </c>
      <c r="CU45">
        <v>51217.200000000004</v>
      </c>
    </row>
    <row r="46" spans="2:99" x14ac:dyDescent="0.2">
      <c r="C46" s="119" t="s">
        <v>212</v>
      </c>
      <c r="D46">
        <v>26.197130277328462</v>
      </c>
      <c r="E46">
        <v>31750.921896122098</v>
      </c>
      <c r="F46">
        <v>19</v>
      </c>
      <c r="G46">
        <v>23028</v>
      </c>
      <c r="H46">
        <v>31.425067430373211</v>
      </c>
      <c r="I46">
        <v>38087.181725612332</v>
      </c>
      <c r="J46">
        <v>30</v>
      </c>
      <c r="K46">
        <v>36360</v>
      </c>
      <c r="L46">
        <v>20</v>
      </c>
      <c r="M46">
        <v>24240</v>
      </c>
      <c r="N46">
        <v>31</v>
      </c>
      <c r="O46">
        <v>37572</v>
      </c>
      <c r="P46">
        <v>20</v>
      </c>
      <c r="Q46">
        <v>24240</v>
      </c>
      <c r="R46">
        <v>27</v>
      </c>
      <c r="S46">
        <v>32724</v>
      </c>
      <c r="T46">
        <v>28</v>
      </c>
      <c r="U46">
        <v>33936</v>
      </c>
      <c r="V46">
        <v>29</v>
      </c>
      <c r="W46">
        <v>35148</v>
      </c>
      <c r="X46">
        <v>23</v>
      </c>
      <c r="Y46">
        <v>27876</v>
      </c>
      <c r="Z46">
        <v>24</v>
      </c>
      <c r="AA46">
        <v>29088</v>
      </c>
      <c r="AB46">
        <v>20</v>
      </c>
      <c r="AC46">
        <v>24240</v>
      </c>
      <c r="AD46">
        <v>19</v>
      </c>
      <c r="AE46">
        <v>23028</v>
      </c>
      <c r="AF46">
        <v>29</v>
      </c>
      <c r="AG46">
        <v>35148</v>
      </c>
      <c r="AH46">
        <v>30</v>
      </c>
      <c r="AI46">
        <v>36360</v>
      </c>
      <c r="AJ46">
        <v>21</v>
      </c>
      <c r="AK46">
        <v>25452</v>
      </c>
      <c r="AL46">
        <v>33</v>
      </c>
      <c r="AM46">
        <v>39996</v>
      </c>
      <c r="AN46">
        <v>21</v>
      </c>
      <c r="AO46">
        <v>25452</v>
      </c>
      <c r="AP46">
        <v>34</v>
      </c>
      <c r="AQ46">
        <v>41208</v>
      </c>
      <c r="AR46">
        <v>25</v>
      </c>
      <c r="AS46">
        <v>30300</v>
      </c>
      <c r="AT46">
        <v>35</v>
      </c>
      <c r="AU46">
        <v>42420</v>
      </c>
      <c r="AV46">
        <v>35</v>
      </c>
      <c r="AW46">
        <v>42420</v>
      </c>
      <c r="AX46">
        <v>20</v>
      </c>
      <c r="AY46">
        <v>24240</v>
      </c>
      <c r="AZ46">
        <v>35</v>
      </c>
      <c r="BA46">
        <v>42420</v>
      </c>
      <c r="BB46">
        <v>24</v>
      </c>
      <c r="BC46">
        <v>29088</v>
      </c>
      <c r="BD46">
        <v>34</v>
      </c>
      <c r="BE46">
        <v>41208</v>
      </c>
      <c r="BF46">
        <v>27</v>
      </c>
      <c r="BG46">
        <v>32724</v>
      </c>
      <c r="BH46">
        <v>33</v>
      </c>
      <c r="BI46">
        <v>39996</v>
      </c>
      <c r="BJ46">
        <v>30</v>
      </c>
      <c r="BK46">
        <v>36360</v>
      </c>
      <c r="BL46">
        <v>22</v>
      </c>
      <c r="BM46">
        <v>26664</v>
      </c>
      <c r="BN46">
        <v>33</v>
      </c>
      <c r="BO46">
        <v>39996</v>
      </c>
      <c r="BP46">
        <v>20</v>
      </c>
      <c r="BQ46">
        <v>24240</v>
      </c>
      <c r="BR46">
        <v>37</v>
      </c>
      <c r="BS46">
        <v>44844</v>
      </c>
      <c r="BT46">
        <v>34</v>
      </c>
      <c r="BU46">
        <v>41208</v>
      </c>
      <c r="BV46">
        <v>22</v>
      </c>
      <c r="BW46">
        <v>26664</v>
      </c>
      <c r="BX46">
        <v>33</v>
      </c>
      <c r="BY46">
        <v>39996</v>
      </c>
      <c r="BZ46">
        <v>25</v>
      </c>
      <c r="CA46">
        <v>30300</v>
      </c>
      <c r="CB46">
        <v>21</v>
      </c>
      <c r="CC46">
        <v>25452</v>
      </c>
      <c r="CD46">
        <v>21</v>
      </c>
      <c r="CE46">
        <v>25452</v>
      </c>
      <c r="CF46">
        <v>23</v>
      </c>
      <c r="CG46">
        <v>27876</v>
      </c>
      <c r="CH46">
        <v>32</v>
      </c>
      <c r="CI46">
        <v>38784</v>
      </c>
      <c r="CJ46">
        <v>33</v>
      </c>
      <c r="CK46">
        <v>39996</v>
      </c>
      <c r="CL46">
        <v>38</v>
      </c>
      <c r="CM46">
        <v>46056</v>
      </c>
      <c r="CN46">
        <v>21</v>
      </c>
      <c r="CO46">
        <v>25452</v>
      </c>
      <c r="CP46">
        <v>18</v>
      </c>
      <c r="CQ46">
        <v>21816</v>
      </c>
      <c r="CR46">
        <v>36</v>
      </c>
      <c r="CS46">
        <v>43632</v>
      </c>
      <c r="CT46">
        <v>37</v>
      </c>
      <c r="CU46">
        <v>44844</v>
      </c>
    </row>
    <row r="47" spans="2:99" x14ac:dyDescent="0.2">
      <c r="C47" s="119" t="s">
        <v>213</v>
      </c>
      <c r="D47">
        <v>25.197130277328462</v>
      </c>
      <c r="E47">
        <v>38491.136211646954</v>
      </c>
      <c r="F47">
        <v>19</v>
      </c>
      <c r="G47">
        <v>29024.399999999998</v>
      </c>
      <c r="H47">
        <v>30.333127596155585</v>
      </c>
      <c r="I47">
        <v>46336.885715887271</v>
      </c>
      <c r="J47">
        <v>27</v>
      </c>
      <c r="K47">
        <v>41245.199999999997</v>
      </c>
      <c r="L47">
        <v>22</v>
      </c>
      <c r="M47">
        <v>33607.199999999997</v>
      </c>
      <c r="N47">
        <v>27</v>
      </c>
      <c r="O47">
        <v>41245.199999999997</v>
      </c>
      <c r="P47">
        <v>19</v>
      </c>
      <c r="Q47">
        <v>29024.399999999998</v>
      </c>
      <c r="R47">
        <v>22</v>
      </c>
      <c r="S47">
        <v>33607.199999999997</v>
      </c>
      <c r="T47">
        <v>27</v>
      </c>
      <c r="U47">
        <v>41245.199999999997</v>
      </c>
      <c r="V47">
        <v>28</v>
      </c>
      <c r="W47">
        <v>42772.799999999996</v>
      </c>
      <c r="X47">
        <v>22</v>
      </c>
      <c r="Y47">
        <v>33607.199999999997</v>
      </c>
      <c r="Z47">
        <v>22</v>
      </c>
      <c r="AA47">
        <v>33607.199999999997</v>
      </c>
      <c r="AB47">
        <v>19</v>
      </c>
      <c r="AC47">
        <v>29024.399999999998</v>
      </c>
      <c r="AD47">
        <v>17</v>
      </c>
      <c r="AE47">
        <v>25969.199999999997</v>
      </c>
      <c r="AF47">
        <v>29</v>
      </c>
      <c r="AG47">
        <v>44300.399999999994</v>
      </c>
      <c r="AH47">
        <v>27</v>
      </c>
      <c r="AI47">
        <v>41245.199999999997</v>
      </c>
      <c r="AJ47">
        <v>21</v>
      </c>
      <c r="AK47">
        <v>32079.599999999999</v>
      </c>
      <c r="AL47">
        <v>33</v>
      </c>
      <c r="AM47">
        <v>50410.799999999996</v>
      </c>
      <c r="AN47">
        <v>20</v>
      </c>
      <c r="AO47">
        <v>30552</v>
      </c>
      <c r="AP47">
        <v>35</v>
      </c>
      <c r="AQ47">
        <v>53466</v>
      </c>
      <c r="AR47">
        <v>25</v>
      </c>
      <c r="AS47">
        <v>38190</v>
      </c>
      <c r="AT47">
        <v>33</v>
      </c>
      <c r="AU47">
        <v>50410.799999999996</v>
      </c>
      <c r="AV47">
        <v>35</v>
      </c>
      <c r="AW47">
        <v>53466</v>
      </c>
      <c r="AX47">
        <v>22</v>
      </c>
      <c r="AY47">
        <v>33607.199999999997</v>
      </c>
      <c r="AZ47">
        <v>30</v>
      </c>
      <c r="BA47">
        <v>45828</v>
      </c>
      <c r="BB47">
        <v>24</v>
      </c>
      <c r="BC47">
        <v>36662.399999999994</v>
      </c>
      <c r="BD47">
        <v>33</v>
      </c>
      <c r="BE47">
        <v>50410.799999999996</v>
      </c>
      <c r="BF47">
        <v>26</v>
      </c>
      <c r="BG47">
        <v>39717.599999999999</v>
      </c>
      <c r="BH47">
        <v>33</v>
      </c>
      <c r="BI47">
        <v>50410.799999999996</v>
      </c>
      <c r="BJ47">
        <v>28</v>
      </c>
      <c r="BK47">
        <v>42772.799999999996</v>
      </c>
      <c r="BL47">
        <v>21</v>
      </c>
      <c r="BM47">
        <v>32079.599999999999</v>
      </c>
      <c r="BN47">
        <v>31</v>
      </c>
      <c r="BO47">
        <v>47355.6</v>
      </c>
      <c r="BP47">
        <v>20</v>
      </c>
      <c r="BQ47">
        <v>30552</v>
      </c>
      <c r="BR47">
        <v>34</v>
      </c>
      <c r="BS47">
        <v>51938.399999999994</v>
      </c>
      <c r="BT47">
        <v>36</v>
      </c>
      <c r="BU47">
        <v>54993.599999999999</v>
      </c>
      <c r="BV47">
        <v>25</v>
      </c>
      <c r="BW47">
        <v>38190</v>
      </c>
      <c r="BX47">
        <v>32</v>
      </c>
      <c r="BY47">
        <v>48883.199999999997</v>
      </c>
      <c r="BZ47">
        <v>23</v>
      </c>
      <c r="CA47">
        <v>35134.799999999996</v>
      </c>
      <c r="CB47">
        <v>20</v>
      </c>
      <c r="CC47">
        <v>30552</v>
      </c>
      <c r="CD47">
        <v>20</v>
      </c>
      <c r="CE47">
        <v>30552</v>
      </c>
      <c r="CF47">
        <v>27</v>
      </c>
      <c r="CG47">
        <v>41245.199999999997</v>
      </c>
      <c r="CH47">
        <v>32</v>
      </c>
      <c r="CI47">
        <v>48883.199999999997</v>
      </c>
      <c r="CJ47">
        <v>30</v>
      </c>
      <c r="CK47">
        <v>45828</v>
      </c>
      <c r="CL47">
        <v>37</v>
      </c>
      <c r="CM47">
        <v>56521.2</v>
      </c>
      <c r="CN47">
        <v>20</v>
      </c>
      <c r="CO47">
        <v>30552</v>
      </c>
      <c r="CP47">
        <v>17</v>
      </c>
      <c r="CQ47">
        <v>25969.199999999997</v>
      </c>
      <c r="CR47">
        <v>36</v>
      </c>
      <c r="CS47">
        <v>54993.599999999999</v>
      </c>
      <c r="CT47">
        <v>33</v>
      </c>
      <c r="CU47">
        <v>50410.799999999996</v>
      </c>
    </row>
    <row r="48" spans="2:99" x14ac:dyDescent="0.2">
      <c r="C48" s="119" t="s">
        <v>214</v>
      </c>
      <c r="D48">
        <v>25.346771561994519</v>
      </c>
      <c r="E48">
        <v>21990.859007186446</v>
      </c>
      <c r="F48">
        <v>20</v>
      </c>
      <c r="G48">
        <v>17352</v>
      </c>
      <c r="H48">
        <v>36.287157679046771</v>
      </c>
      <c r="I48">
        <v>31482.738002340979</v>
      </c>
      <c r="J48">
        <v>36</v>
      </c>
      <c r="K48">
        <v>31233.600000000002</v>
      </c>
      <c r="L48">
        <v>23</v>
      </c>
      <c r="M48">
        <v>19954.8</v>
      </c>
      <c r="N48">
        <v>36</v>
      </c>
      <c r="O48">
        <v>31233.600000000002</v>
      </c>
      <c r="P48">
        <v>22</v>
      </c>
      <c r="Q48">
        <v>19087.2</v>
      </c>
      <c r="R48">
        <v>27</v>
      </c>
      <c r="S48">
        <v>23425.200000000001</v>
      </c>
      <c r="T48">
        <v>33</v>
      </c>
      <c r="U48">
        <v>28630.799999999999</v>
      </c>
      <c r="V48">
        <v>36</v>
      </c>
      <c r="W48">
        <v>31233.600000000002</v>
      </c>
      <c r="X48">
        <v>27</v>
      </c>
      <c r="Y48">
        <v>23425.200000000001</v>
      </c>
      <c r="Z48">
        <v>24</v>
      </c>
      <c r="AA48">
        <v>20822.400000000001</v>
      </c>
      <c r="AB48">
        <v>23</v>
      </c>
      <c r="AC48">
        <v>19954.8</v>
      </c>
      <c r="AD48">
        <v>22</v>
      </c>
      <c r="AE48">
        <v>19087.2</v>
      </c>
      <c r="AF48">
        <v>29</v>
      </c>
      <c r="AG48">
        <v>25160.400000000001</v>
      </c>
      <c r="AH48">
        <v>30</v>
      </c>
      <c r="AI48">
        <v>26028</v>
      </c>
      <c r="AJ48">
        <v>23</v>
      </c>
      <c r="AK48">
        <v>19954.8</v>
      </c>
      <c r="AL48">
        <v>33</v>
      </c>
      <c r="AM48">
        <v>28630.799999999999</v>
      </c>
      <c r="AN48">
        <v>19</v>
      </c>
      <c r="AO48">
        <v>16484.400000000001</v>
      </c>
      <c r="AP48">
        <v>34</v>
      </c>
      <c r="AQ48">
        <v>29498.400000000001</v>
      </c>
      <c r="AR48">
        <v>27</v>
      </c>
      <c r="AS48">
        <v>23425.200000000001</v>
      </c>
      <c r="AT48">
        <v>36</v>
      </c>
      <c r="AU48">
        <v>31233.600000000002</v>
      </c>
      <c r="AV48">
        <v>37</v>
      </c>
      <c r="AW48">
        <v>32101.200000000001</v>
      </c>
      <c r="AX48">
        <v>22</v>
      </c>
      <c r="AY48">
        <v>19087.2</v>
      </c>
      <c r="AZ48">
        <v>34</v>
      </c>
      <c r="BA48">
        <v>29498.400000000001</v>
      </c>
      <c r="BB48">
        <v>28</v>
      </c>
      <c r="BC48">
        <v>24292.799999999999</v>
      </c>
      <c r="BD48">
        <v>32</v>
      </c>
      <c r="BE48">
        <v>27763.200000000001</v>
      </c>
      <c r="BF48">
        <v>31</v>
      </c>
      <c r="BG48">
        <v>26895.600000000002</v>
      </c>
      <c r="BH48">
        <v>32</v>
      </c>
      <c r="BI48">
        <v>27763.200000000001</v>
      </c>
      <c r="BJ48">
        <v>34</v>
      </c>
      <c r="BK48">
        <v>29498.400000000001</v>
      </c>
      <c r="BL48">
        <v>21</v>
      </c>
      <c r="BM48">
        <v>18219.600000000002</v>
      </c>
      <c r="BN48">
        <v>39</v>
      </c>
      <c r="BO48">
        <v>33836.400000000001</v>
      </c>
      <c r="BP48">
        <v>19</v>
      </c>
      <c r="BQ48">
        <v>16484.400000000001</v>
      </c>
      <c r="BR48">
        <v>35</v>
      </c>
      <c r="BS48">
        <v>30366</v>
      </c>
      <c r="BT48">
        <v>40</v>
      </c>
      <c r="BU48">
        <v>34704</v>
      </c>
      <c r="BV48">
        <v>24</v>
      </c>
      <c r="BW48">
        <v>20822.400000000001</v>
      </c>
      <c r="BX48">
        <v>32</v>
      </c>
      <c r="BY48">
        <v>27763.200000000001</v>
      </c>
      <c r="BZ48">
        <v>23</v>
      </c>
      <c r="CA48">
        <v>19954.8</v>
      </c>
      <c r="CB48">
        <v>20</v>
      </c>
      <c r="CC48">
        <v>17352</v>
      </c>
      <c r="CD48">
        <v>21</v>
      </c>
      <c r="CE48">
        <v>18219.600000000002</v>
      </c>
      <c r="CF48">
        <v>28</v>
      </c>
      <c r="CG48">
        <v>24292.799999999999</v>
      </c>
      <c r="CH48">
        <v>37</v>
      </c>
      <c r="CI48">
        <v>32101.200000000001</v>
      </c>
      <c r="CJ48">
        <v>34</v>
      </c>
      <c r="CK48">
        <v>29498.400000000001</v>
      </c>
      <c r="CL48">
        <v>40</v>
      </c>
      <c r="CM48">
        <v>34704</v>
      </c>
      <c r="CN48">
        <v>20</v>
      </c>
      <c r="CO48">
        <v>17352</v>
      </c>
      <c r="CP48">
        <v>20</v>
      </c>
      <c r="CQ48">
        <v>17352</v>
      </c>
      <c r="CR48">
        <v>34</v>
      </c>
      <c r="CS48">
        <v>29498.400000000001</v>
      </c>
      <c r="CT48">
        <v>38</v>
      </c>
      <c r="CU48">
        <v>32968.800000000003</v>
      </c>
    </row>
    <row r="49" spans="2:99" x14ac:dyDescent="0.2">
      <c r="B49" s="119" t="s">
        <v>129</v>
      </c>
      <c r="C49" s="119" t="s">
        <v>215</v>
      </c>
      <c r="D49">
        <v>12.491781030897425</v>
      </c>
      <c r="E49">
        <v>12306.902671640142</v>
      </c>
      <c r="F49">
        <v>12.552478921652222</v>
      </c>
      <c r="G49">
        <v>12366.702233611768</v>
      </c>
      <c r="H49">
        <v>13</v>
      </c>
      <c r="I49">
        <v>12807.599999999999</v>
      </c>
      <c r="J49">
        <v>11</v>
      </c>
      <c r="K49">
        <v>10837.199999999999</v>
      </c>
      <c r="L49">
        <v>19.848193819668225</v>
      </c>
      <c r="M49">
        <v>19554.440551137133</v>
      </c>
      <c r="N49">
        <v>17.536158244332626</v>
      </c>
      <c r="O49">
        <v>17276.623102316502</v>
      </c>
      <c r="P49">
        <v>15.500741798714131</v>
      </c>
      <c r="Q49">
        <v>15271.330820093161</v>
      </c>
      <c r="R49">
        <v>16.496490283906386</v>
      </c>
      <c r="S49">
        <v>16252.34222770457</v>
      </c>
      <c r="T49">
        <v>12.36595462978366</v>
      </c>
      <c r="U49">
        <v>12182.938501262861</v>
      </c>
      <c r="V49">
        <v>13.386107466598535</v>
      </c>
      <c r="W49">
        <v>13187.993076092876</v>
      </c>
      <c r="X49">
        <v>16.442550911260522</v>
      </c>
      <c r="Y49">
        <v>16199.201157773865</v>
      </c>
      <c r="Z49">
        <v>13.345872785134464</v>
      </c>
      <c r="AA49">
        <v>13148.353867914473</v>
      </c>
      <c r="AB49">
        <v>17.573165241575079</v>
      </c>
      <c r="AC49">
        <v>17313.082395999769</v>
      </c>
      <c r="AD49">
        <v>16.406749991726038</v>
      </c>
      <c r="AE49">
        <v>16163.930091848491</v>
      </c>
      <c r="AF49">
        <v>19.556910438443417</v>
      </c>
      <c r="AG49">
        <v>19267.468163954454</v>
      </c>
      <c r="AH49">
        <v>13.288036095222699</v>
      </c>
      <c r="AI49">
        <v>13091.373161013402</v>
      </c>
      <c r="AJ49">
        <v>12.469138463791047</v>
      </c>
      <c r="AK49">
        <v>12284.595214526938</v>
      </c>
      <c r="AL49">
        <v>15</v>
      </c>
      <c r="AM49">
        <v>14777.999999999998</v>
      </c>
      <c r="AN49">
        <v>13.411493341075923</v>
      </c>
      <c r="AO49">
        <v>13213.003239627998</v>
      </c>
      <c r="AP49">
        <v>16.362838597142396</v>
      </c>
      <c r="AQ49">
        <v>16120.668585904687</v>
      </c>
      <c r="AR49">
        <v>18.419459571085028</v>
      </c>
      <c r="AS49">
        <v>18146.851569432969</v>
      </c>
      <c r="AT49">
        <v>15.389041448969358</v>
      </c>
      <c r="AU49">
        <v>15161.283635524611</v>
      </c>
      <c r="AV49">
        <v>15.320653722064415</v>
      </c>
      <c r="AW49">
        <v>15093.908046977862</v>
      </c>
      <c r="AX49">
        <v>17.483307180212925</v>
      </c>
      <c r="AY49">
        <v>17224.554233945772</v>
      </c>
      <c r="AZ49">
        <v>9</v>
      </c>
      <c r="BA49">
        <v>8866.7999999999993</v>
      </c>
      <c r="BB49">
        <v>14.569333251541362</v>
      </c>
      <c r="BC49">
        <v>14353.707119418548</v>
      </c>
      <c r="BD49">
        <v>16.490832119346514</v>
      </c>
      <c r="BE49">
        <v>16246.767803980185</v>
      </c>
      <c r="BF49">
        <v>11.291651758727946</v>
      </c>
      <c r="BG49">
        <v>11124.535312698772</v>
      </c>
      <c r="BH49">
        <v>12.427394886548951</v>
      </c>
      <c r="BI49">
        <v>12243.469442228026</v>
      </c>
      <c r="BJ49">
        <v>13.466405413911877</v>
      </c>
      <c r="BK49">
        <v>13267.102613785981</v>
      </c>
      <c r="BL49">
        <v>14.381548209539373</v>
      </c>
      <c r="BM49">
        <v>14168.701296038189</v>
      </c>
      <c r="BN49">
        <v>16.476252484614452</v>
      </c>
      <c r="BO49">
        <v>16232.403947842156</v>
      </c>
      <c r="BP49">
        <v>12.447924085896112</v>
      </c>
      <c r="BQ49">
        <v>12263.694809424849</v>
      </c>
      <c r="BR49">
        <v>13.390456749892836</v>
      </c>
      <c r="BS49">
        <v>13192.277989994422</v>
      </c>
      <c r="BT49">
        <v>13.450734536215917</v>
      </c>
      <c r="BU49">
        <v>13251.663665079921</v>
      </c>
      <c r="BV49">
        <v>11.501663932934019</v>
      </c>
      <c r="BW49">
        <v>11331.439306726594</v>
      </c>
      <c r="BX49">
        <v>11.254218744828773</v>
      </c>
      <c r="BY49">
        <v>11087.656307405307</v>
      </c>
      <c r="BZ49">
        <v>10.312512662346615</v>
      </c>
      <c r="CA49">
        <v>10159.887474943884</v>
      </c>
      <c r="CB49">
        <v>15.279440273033281</v>
      </c>
      <c r="CC49">
        <v>15053.304556992387</v>
      </c>
      <c r="CD49">
        <v>13.524786882783514</v>
      </c>
      <c r="CE49">
        <v>13324.620036918317</v>
      </c>
      <c r="CF49">
        <v>13.453102220005295</v>
      </c>
      <c r="CG49">
        <v>13253.996307149217</v>
      </c>
      <c r="CH49">
        <v>12.502112733311662</v>
      </c>
      <c r="CI49">
        <v>12317.081464858649</v>
      </c>
      <c r="CJ49">
        <v>17.317365000370486</v>
      </c>
      <c r="CK49">
        <v>17061.067998365001</v>
      </c>
      <c r="CL49">
        <v>14.517064010625784</v>
      </c>
      <c r="CM49">
        <v>14302.211463268522</v>
      </c>
      <c r="CN49">
        <v>10.265959245632382</v>
      </c>
      <c r="CO49">
        <v>10114.023048797022</v>
      </c>
      <c r="CP49">
        <v>14.544485537291628</v>
      </c>
      <c r="CQ49">
        <v>14329.227151339712</v>
      </c>
      <c r="CR49">
        <v>11.332155509641952</v>
      </c>
      <c r="CS49">
        <v>11164.43960809925</v>
      </c>
      <c r="CT49">
        <v>15.269323130395259</v>
      </c>
      <c r="CU49">
        <v>15043.337148065408</v>
      </c>
    </row>
    <row r="50" spans="2:99" x14ac:dyDescent="0.2">
      <c r="C50" s="119" t="s">
        <v>216</v>
      </c>
      <c r="D50">
        <v>14.798086851552307</v>
      </c>
      <c r="E50">
        <v>4173.0604921377508</v>
      </c>
      <c r="F50">
        <v>14</v>
      </c>
      <c r="G50">
        <v>3948</v>
      </c>
      <c r="H50">
        <v>14.965368259285079</v>
      </c>
      <c r="I50">
        <v>4220.2338491183918</v>
      </c>
      <c r="J50">
        <v>12.785559781408937</v>
      </c>
      <c r="K50">
        <v>3605.5278583573204</v>
      </c>
      <c r="L50">
        <v>17</v>
      </c>
      <c r="M50">
        <v>4794</v>
      </c>
      <c r="N50">
        <v>16</v>
      </c>
      <c r="O50">
        <v>4512</v>
      </c>
      <c r="P50">
        <v>18</v>
      </c>
      <c r="Q50">
        <v>5076</v>
      </c>
      <c r="R50">
        <v>15</v>
      </c>
      <c r="S50">
        <v>4230</v>
      </c>
      <c r="T50">
        <v>12</v>
      </c>
      <c r="U50">
        <v>3384</v>
      </c>
      <c r="V50">
        <v>14</v>
      </c>
      <c r="W50">
        <v>3948</v>
      </c>
      <c r="X50">
        <v>15</v>
      </c>
      <c r="Y50">
        <v>4230</v>
      </c>
      <c r="Z50">
        <v>15</v>
      </c>
      <c r="AA50">
        <v>4230</v>
      </c>
      <c r="AB50">
        <v>18</v>
      </c>
      <c r="AC50">
        <v>5076</v>
      </c>
      <c r="AD50">
        <v>19</v>
      </c>
      <c r="AE50">
        <v>5358</v>
      </c>
      <c r="AF50">
        <v>20</v>
      </c>
      <c r="AG50">
        <v>5640</v>
      </c>
      <c r="AH50">
        <v>14</v>
      </c>
      <c r="AI50">
        <v>3948</v>
      </c>
      <c r="AJ50">
        <v>14</v>
      </c>
      <c r="AK50">
        <v>3948</v>
      </c>
      <c r="AL50">
        <v>15</v>
      </c>
      <c r="AM50">
        <v>4230</v>
      </c>
      <c r="AN50">
        <v>15</v>
      </c>
      <c r="AO50">
        <v>4230</v>
      </c>
      <c r="AP50">
        <v>17</v>
      </c>
      <c r="AQ50">
        <v>4794</v>
      </c>
      <c r="AR50">
        <v>18</v>
      </c>
      <c r="AS50">
        <v>5076</v>
      </c>
      <c r="AT50">
        <v>17</v>
      </c>
      <c r="AU50">
        <v>4794</v>
      </c>
      <c r="AV50">
        <v>17</v>
      </c>
      <c r="AW50">
        <v>4794</v>
      </c>
      <c r="AX50">
        <v>18</v>
      </c>
      <c r="AY50">
        <v>5076</v>
      </c>
      <c r="AZ50">
        <v>10</v>
      </c>
      <c r="BA50">
        <v>2820</v>
      </c>
      <c r="BB50">
        <v>17</v>
      </c>
      <c r="BC50">
        <v>4794</v>
      </c>
      <c r="BD50">
        <v>14</v>
      </c>
      <c r="BE50">
        <v>3948</v>
      </c>
      <c r="BF50">
        <v>11</v>
      </c>
      <c r="BG50">
        <v>3102</v>
      </c>
      <c r="BH50">
        <v>16</v>
      </c>
      <c r="BI50">
        <v>4512</v>
      </c>
      <c r="BJ50">
        <v>15</v>
      </c>
      <c r="BK50">
        <v>4230</v>
      </c>
      <c r="BL50">
        <v>17</v>
      </c>
      <c r="BM50">
        <v>4794</v>
      </c>
      <c r="BN50">
        <v>20</v>
      </c>
      <c r="BO50">
        <v>5640</v>
      </c>
      <c r="BP50">
        <v>14</v>
      </c>
      <c r="BQ50">
        <v>3948</v>
      </c>
      <c r="BR50">
        <v>14</v>
      </c>
      <c r="BS50">
        <v>3948</v>
      </c>
      <c r="BT50">
        <v>15</v>
      </c>
      <c r="BU50">
        <v>4230</v>
      </c>
      <c r="BV50">
        <v>12</v>
      </c>
      <c r="BW50">
        <v>3384</v>
      </c>
      <c r="BX50">
        <v>12</v>
      </c>
      <c r="BY50">
        <v>3384</v>
      </c>
      <c r="BZ50">
        <v>12</v>
      </c>
      <c r="CA50">
        <v>3384</v>
      </c>
      <c r="CB50">
        <v>15</v>
      </c>
      <c r="CC50">
        <v>4230</v>
      </c>
      <c r="CD50">
        <v>12</v>
      </c>
      <c r="CE50">
        <v>3384</v>
      </c>
      <c r="CF50">
        <v>13</v>
      </c>
      <c r="CG50">
        <v>3666</v>
      </c>
      <c r="CH50">
        <v>13</v>
      </c>
      <c r="CI50">
        <v>3666</v>
      </c>
      <c r="CJ50">
        <v>19</v>
      </c>
      <c r="CK50">
        <v>5358</v>
      </c>
      <c r="CL50">
        <v>14</v>
      </c>
      <c r="CM50">
        <v>3948</v>
      </c>
      <c r="CN50">
        <v>13</v>
      </c>
      <c r="CO50">
        <v>3666</v>
      </c>
      <c r="CP50">
        <v>15</v>
      </c>
      <c r="CQ50">
        <v>4230</v>
      </c>
      <c r="CR50">
        <v>10</v>
      </c>
      <c r="CS50">
        <v>2820</v>
      </c>
      <c r="CT50">
        <v>18</v>
      </c>
      <c r="CU50">
        <v>5076</v>
      </c>
    </row>
    <row r="51" spans="2:99" x14ac:dyDescent="0.2">
      <c r="C51" s="119" t="s">
        <v>217</v>
      </c>
      <c r="D51">
        <v>12.69832599510827</v>
      </c>
      <c r="E51">
        <v>10849.449730220505</v>
      </c>
      <c r="F51">
        <v>12</v>
      </c>
      <c r="G51">
        <v>10252.799999999999</v>
      </c>
      <c r="H51">
        <v>13.919398342176265</v>
      </c>
      <c r="I51">
        <v>11892.7339435554</v>
      </c>
      <c r="J51">
        <v>12.736462295070879</v>
      </c>
      <c r="K51">
        <v>10882.033384908558</v>
      </c>
      <c r="L51">
        <v>18</v>
      </c>
      <c r="M51">
        <v>15379.199999999999</v>
      </c>
      <c r="N51">
        <v>16</v>
      </c>
      <c r="O51">
        <v>13670.4</v>
      </c>
      <c r="P51">
        <v>17</v>
      </c>
      <c r="Q51">
        <v>14524.8</v>
      </c>
      <c r="R51">
        <v>14</v>
      </c>
      <c r="S51">
        <v>11961.6</v>
      </c>
      <c r="T51">
        <v>10</v>
      </c>
      <c r="U51">
        <v>8544</v>
      </c>
      <c r="V51">
        <v>14</v>
      </c>
      <c r="W51">
        <v>11961.6</v>
      </c>
      <c r="X51">
        <v>17</v>
      </c>
      <c r="Y51">
        <v>14524.8</v>
      </c>
      <c r="Z51">
        <v>14</v>
      </c>
      <c r="AA51">
        <v>11961.6</v>
      </c>
      <c r="AB51">
        <v>17</v>
      </c>
      <c r="AC51">
        <v>14524.8</v>
      </c>
      <c r="AD51">
        <v>19</v>
      </c>
      <c r="AE51">
        <v>16233.6</v>
      </c>
      <c r="AF51">
        <v>19</v>
      </c>
      <c r="AG51">
        <v>16233.6</v>
      </c>
      <c r="AH51">
        <v>12</v>
      </c>
      <c r="AI51">
        <v>10252.799999999999</v>
      </c>
      <c r="AJ51">
        <v>12</v>
      </c>
      <c r="AK51">
        <v>10252.799999999999</v>
      </c>
      <c r="AL51">
        <v>14</v>
      </c>
      <c r="AM51">
        <v>11961.6</v>
      </c>
      <c r="AN51">
        <v>16</v>
      </c>
      <c r="AO51">
        <v>13670.4</v>
      </c>
      <c r="AP51">
        <v>17</v>
      </c>
      <c r="AQ51">
        <v>14524.8</v>
      </c>
      <c r="AR51">
        <v>17</v>
      </c>
      <c r="AS51">
        <v>14524.8</v>
      </c>
      <c r="AT51">
        <v>15</v>
      </c>
      <c r="AU51">
        <v>12816</v>
      </c>
      <c r="AV51">
        <v>14</v>
      </c>
      <c r="AW51">
        <v>11961.6</v>
      </c>
      <c r="AX51">
        <v>20</v>
      </c>
      <c r="AY51">
        <v>17088</v>
      </c>
      <c r="AZ51">
        <v>9</v>
      </c>
      <c r="BA51">
        <v>7689.5999999999995</v>
      </c>
      <c r="BB51">
        <v>16</v>
      </c>
      <c r="BC51">
        <v>13670.4</v>
      </c>
      <c r="BD51">
        <v>14</v>
      </c>
      <c r="BE51">
        <v>11961.6</v>
      </c>
      <c r="BF51">
        <v>10</v>
      </c>
      <c r="BG51">
        <v>8544</v>
      </c>
      <c r="BH51">
        <v>14</v>
      </c>
      <c r="BI51">
        <v>11961.6</v>
      </c>
      <c r="BJ51">
        <v>14</v>
      </c>
      <c r="BK51">
        <v>11961.6</v>
      </c>
      <c r="BL51">
        <v>16</v>
      </c>
      <c r="BM51">
        <v>13670.4</v>
      </c>
      <c r="BN51">
        <v>19</v>
      </c>
      <c r="BO51">
        <v>16233.6</v>
      </c>
      <c r="BP51">
        <v>13</v>
      </c>
      <c r="BQ51">
        <v>11107.199999999999</v>
      </c>
      <c r="BR51">
        <v>13</v>
      </c>
      <c r="BS51">
        <v>11107.199999999999</v>
      </c>
      <c r="BT51">
        <v>13</v>
      </c>
      <c r="BU51">
        <v>11107.199999999999</v>
      </c>
      <c r="BV51">
        <v>12</v>
      </c>
      <c r="BW51">
        <v>10252.799999999999</v>
      </c>
      <c r="BX51">
        <v>13</v>
      </c>
      <c r="BY51">
        <v>11107.199999999999</v>
      </c>
      <c r="BZ51">
        <v>10</v>
      </c>
      <c r="CA51">
        <v>8544</v>
      </c>
      <c r="CB51">
        <v>16</v>
      </c>
      <c r="CC51">
        <v>13670.4</v>
      </c>
      <c r="CD51">
        <v>13</v>
      </c>
      <c r="CE51">
        <v>11107.199999999999</v>
      </c>
      <c r="CF51">
        <v>14</v>
      </c>
      <c r="CG51">
        <v>11961.6</v>
      </c>
      <c r="CH51">
        <v>12</v>
      </c>
      <c r="CI51">
        <v>10252.799999999999</v>
      </c>
      <c r="CJ51">
        <v>16</v>
      </c>
      <c r="CK51">
        <v>13670.4</v>
      </c>
      <c r="CL51">
        <v>15</v>
      </c>
      <c r="CM51">
        <v>12816</v>
      </c>
      <c r="CN51">
        <v>12</v>
      </c>
      <c r="CO51">
        <v>10252.799999999999</v>
      </c>
      <c r="CP51">
        <v>14</v>
      </c>
      <c r="CQ51">
        <v>11961.6</v>
      </c>
      <c r="CR51">
        <v>11</v>
      </c>
      <c r="CS51">
        <v>9398.4</v>
      </c>
      <c r="CT51">
        <v>16</v>
      </c>
      <c r="CU51">
        <v>13670.4</v>
      </c>
    </row>
    <row r="52" spans="2:99" x14ac:dyDescent="0.2">
      <c r="C52" s="119" t="s">
        <v>218</v>
      </c>
      <c r="D52">
        <v>14.74820642333029</v>
      </c>
      <c r="E52">
        <v>7964.0314685983567</v>
      </c>
      <c r="F52">
        <v>13</v>
      </c>
      <c r="G52">
        <v>7020</v>
      </c>
      <c r="H52">
        <v>15.873428425067452</v>
      </c>
      <c r="I52">
        <v>8571.6513495364234</v>
      </c>
      <c r="J52">
        <v>12.736462295070879</v>
      </c>
      <c r="K52">
        <v>6877.6896393382749</v>
      </c>
      <c r="L52">
        <v>19</v>
      </c>
      <c r="M52">
        <v>10260</v>
      </c>
      <c r="N52">
        <v>18</v>
      </c>
      <c r="O52">
        <v>9720</v>
      </c>
      <c r="P52">
        <v>16</v>
      </c>
      <c r="Q52">
        <v>8640</v>
      </c>
      <c r="R52">
        <v>17</v>
      </c>
      <c r="S52">
        <v>9180</v>
      </c>
      <c r="T52">
        <v>10</v>
      </c>
      <c r="U52">
        <v>5400</v>
      </c>
      <c r="V52">
        <v>15</v>
      </c>
      <c r="W52">
        <v>8100</v>
      </c>
      <c r="X52">
        <v>15</v>
      </c>
      <c r="Y52">
        <v>8100</v>
      </c>
      <c r="Z52">
        <v>14</v>
      </c>
      <c r="AA52">
        <v>7560</v>
      </c>
      <c r="AB52">
        <v>20</v>
      </c>
      <c r="AC52">
        <v>10800</v>
      </c>
      <c r="AD52">
        <v>17</v>
      </c>
      <c r="AE52">
        <v>9180</v>
      </c>
      <c r="AF52">
        <v>19</v>
      </c>
      <c r="AG52">
        <v>10260</v>
      </c>
      <c r="AH52">
        <v>13</v>
      </c>
      <c r="AI52">
        <v>7020</v>
      </c>
      <c r="AJ52">
        <v>13</v>
      </c>
      <c r="AK52">
        <v>7020</v>
      </c>
      <c r="AL52">
        <v>15</v>
      </c>
      <c r="AM52">
        <v>8100</v>
      </c>
      <c r="AN52">
        <v>14</v>
      </c>
      <c r="AO52">
        <v>7560</v>
      </c>
      <c r="AP52">
        <v>16</v>
      </c>
      <c r="AQ52">
        <v>8640</v>
      </c>
      <c r="AR52">
        <v>18</v>
      </c>
      <c r="AS52">
        <v>9720</v>
      </c>
      <c r="AT52">
        <v>17</v>
      </c>
      <c r="AU52">
        <v>9180</v>
      </c>
      <c r="AV52">
        <v>15</v>
      </c>
      <c r="AW52">
        <v>8100</v>
      </c>
      <c r="AX52">
        <v>18</v>
      </c>
      <c r="AY52">
        <v>9720</v>
      </c>
      <c r="AZ52">
        <v>9</v>
      </c>
      <c r="BA52">
        <v>4860</v>
      </c>
      <c r="BB52">
        <v>16</v>
      </c>
      <c r="BC52">
        <v>8640</v>
      </c>
      <c r="BD52">
        <v>16</v>
      </c>
      <c r="BE52">
        <v>8640</v>
      </c>
      <c r="BF52">
        <v>12</v>
      </c>
      <c r="BG52">
        <v>6480</v>
      </c>
      <c r="BH52">
        <v>15</v>
      </c>
      <c r="BI52">
        <v>8100</v>
      </c>
      <c r="BJ52">
        <v>13</v>
      </c>
      <c r="BK52">
        <v>7020</v>
      </c>
      <c r="BL52">
        <v>15</v>
      </c>
      <c r="BM52">
        <v>8100</v>
      </c>
      <c r="BN52">
        <v>17</v>
      </c>
      <c r="BO52">
        <v>9180</v>
      </c>
      <c r="BP52">
        <v>13</v>
      </c>
      <c r="BQ52">
        <v>7020</v>
      </c>
      <c r="BR52">
        <v>12</v>
      </c>
      <c r="BS52">
        <v>6480</v>
      </c>
      <c r="BT52">
        <v>12</v>
      </c>
      <c r="BU52">
        <v>6480</v>
      </c>
      <c r="BV52">
        <v>13</v>
      </c>
      <c r="BW52">
        <v>7020</v>
      </c>
      <c r="BX52">
        <v>12</v>
      </c>
      <c r="BY52">
        <v>6480</v>
      </c>
      <c r="BZ52">
        <v>12</v>
      </c>
      <c r="CA52">
        <v>6480</v>
      </c>
      <c r="CB52">
        <v>16</v>
      </c>
      <c r="CC52">
        <v>8640</v>
      </c>
      <c r="CD52">
        <v>12</v>
      </c>
      <c r="CE52">
        <v>6480</v>
      </c>
      <c r="CF52">
        <v>15</v>
      </c>
      <c r="CG52">
        <v>8100</v>
      </c>
      <c r="CH52">
        <v>14</v>
      </c>
      <c r="CI52">
        <v>7560</v>
      </c>
      <c r="CJ52">
        <v>19</v>
      </c>
      <c r="CK52">
        <v>10260</v>
      </c>
      <c r="CL52">
        <v>13</v>
      </c>
      <c r="CM52">
        <v>7020</v>
      </c>
      <c r="CN52">
        <v>12</v>
      </c>
      <c r="CO52">
        <v>6480</v>
      </c>
      <c r="CP52">
        <v>15</v>
      </c>
      <c r="CQ52">
        <v>8100</v>
      </c>
      <c r="CR52">
        <v>11</v>
      </c>
      <c r="CS52">
        <v>5940</v>
      </c>
      <c r="CT52">
        <v>19</v>
      </c>
      <c r="CU52">
        <v>10260</v>
      </c>
    </row>
    <row r="53" spans="2:99" x14ac:dyDescent="0.2">
      <c r="C53" s="119" t="s">
        <v>219</v>
      </c>
      <c r="D53">
        <v>12.798086851552307</v>
      </c>
      <c r="E53">
        <v>5206.2617312114789</v>
      </c>
      <c r="F53">
        <v>13</v>
      </c>
      <c r="G53">
        <v>5288.4000000000005</v>
      </c>
      <c r="H53">
        <v>16.011338176393892</v>
      </c>
      <c r="I53">
        <v>6513.4123701570352</v>
      </c>
      <c r="J53">
        <v>13.834657267746996</v>
      </c>
      <c r="K53">
        <v>5627.9385765194784</v>
      </c>
      <c r="L53">
        <v>19</v>
      </c>
      <c r="M53">
        <v>7729.2</v>
      </c>
      <c r="N53">
        <v>18</v>
      </c>
      <c r="O53">
        <v>7322.4000000000005</v>
      </c>
      <c r="P53">
        <v>18</v>
      </c>
      <c r="Q53">
        <v>7322.4000000000005</v>
      </c>
      <c r="R53">
        <v>17</v>
      </c>
      <c r="S53">
        <v>6915.6</v>
      </c>
      <c r="T53">
        <v>11</v>
      </c>
      <c r="U53">
        <v>4474.8</v>
      </c>
      <c r="V53">
        <v>16</v>
      </c>
      <c r="W53">
        <v>6508.8</v>
      </c>
      <c r="X53">
        <v>15</v>
      </c>
      <c r="Y53">
        <v>6102</v>
      </c>
      <c r="Z53">
        <v>15</v>
      </c>
      <c r="AA53">
        <v>6102</v>
      </c>
      <c r="AB53">
        <v>17</v>
      </c>
      <c r="AC53">
        <v>6915.6</v>
      </c>
      <c r="AD53">
        <v>18</v>
      </c>
      <c r="AE53">
        <v>7322.4000000000005</v>
      </c>
      <c r="AF53">
        <v>20</v>
      </c>
      <c r="AG53">
        <v>8136</v>
      </c>
      <c r="AH53">
        <v>13</v>
      </c>
      <c r="AI53">
        <v>5288.4000000000005</v>
      </c>
      <c r="AJ53">
        <v>13</v>
      </c>
      <c r="AK53">
        <v>5288.4000000000005</v>
      </c>
      <c r="AL53">
        <v>17</v>
      </c>
      <c r="AM53">
        <v>6915.6</v>
      </c>
      <c r="AN53">
        <v>16</v>
      </c>
      <c r="AO53">
        <v>6508.8</v>
      </c>
      <c r="AP53">
        <v>16</v>
      </c>
      <c r="AQ53">
        <v>6508.8</v>
      </c>
      <c r="AR53">
        <v>19</v>
      </c>
      <c r="AS53">
        <v>7729.2</v>
      </c>
      <c r="AT53">
        <v>15</v>
      </c>
      <c r="AU53">
        <v>6102</v>
      </c>
      <c r="AV53">
        <v>16</v>
      </c>
      <c r="AW53">
        <v>6508.8</v>
      </c>
      <c r="AX53">
        <v>21</v>
      </c>
      <c r="AY53">
        <v>8542.8000000000011</v>
      </c>
      <c r="AZ53">
        <v>9</v>
      </c>
      <c r="BA53">
        <v>3661.2000000000003</v>
      </c>
      <c r="BB53">
        <v>14</v>
      </c>
      <c r="BC53">
        <v>5695.2</v>
      </c>
      <c r="BD53">
        <v>16</v>
      </c>
      <c r="BE53">
        <v>6508.8</v>
      </c>
      <c r="BF53">
        <v>12</v>
      </c>
      <c r="BG53">
        <v>4881.6000000000004</v>
      </c>
      <c r="BH53">
        <v>14</v>
      </c>
      <c r="BI53">
        <v>5695.2</v>
      </c>
      <c r="BJ53">
        <v>16</v>
      </c>
      <c r="BK53">
        <v>6508.8</v>
      </c>
      <c r="BL53">
        <v>15</v>
      </c>
      <c r="BM53">
        <v>6102</v>
      </c>
      <c r="BN53">
        <v>17</v>
      </c>
      <c r="BO53">
        <v>6915.6</v>
      </c>
      <c r="BP53">
        <v>13</v>
      </c>
      <c r="BQ53">
        <v>5288.4000000000005</v>
      </c>
      <c r="BR53">
        <v>13</v>
      </c>
      <c r="BS53">
        <v>5288.4000000000005</v>
      </c>
      <c r="BT53">
        <v>13</v>
      </c>
      <c r="BU53">
        <v>5288.4000000000005</v>
      </c>
      <c r="BV53">
        <v>13</v>
      </c>
      <c r="BW53">
        <v>5288.4000000000005</v>
      </c>
      <c r="BX53">
        <v>14</v>
      </c>
      <c r="BY53">
        <v>5695.2</v>
      </c>
      <c r="BZ53">
        <v>12</v>
      </c>
      <c r="CA53">
        <v>4881.6000000000004</v>
      </c>
      <c r="CB53">
        <v>15</v>
      </c>
      <c r="CC53">
        <v>6102</v>
      </c>
      <c r="CD53">
        <v>13</v>
      </c>
      <c r="CE53">
        <v>5288.4000000000005</v>
      </c>
      <c r="CF53">
        <v>14</v>
      </c>
      <c r="CG53">
        <v>5695.2</v>
      </c>
      <c r="CH53">
        <v>14</v>
      </c>
      <c r="CI53">
        <v>5695.2</v>
      </c>
      <c r="CJ53">
        <v>20</v>
      </c>
      <c r="CK53">
        <v>8136</v>
      </c>
      <c r="CL53">
        <v>16</v>
      </c>
      <c r="CM53">
        <v>6508.8</v>
      </c>
      <c r="CN53">
        <v>11</v>
      </c>
      <c r="CO53">
        <v>4474.8</v>
      </c>
      <c r="CP53">
        <v>14</v>
      </c>
      <c r="CQ53">
        <v>5695.2</v>
      </c>
      <c r="CR53">
        <v>11</v>
      </c>
      <c r="CS53">
        <v>4474.8</v>
      </c>
      <c r="CT53">
        <v>17</v>
      </c>
      <c r="CU53">
        <v>6915.6</v>
      </c>
    </row>
    <row r="54" spans="2:99" x14ac:dyDescent="0.2">
      <c r="C54" s="119" t="s">
        <v>220</v>
      </c>
      <c r="D54">
        <v>13.69832599510827</v>
      </c>
      <c r="E54">
        <v>4586.199543162249</v>
      </c>
      <c r="F54">
        <v>12</v>
      </c>
      <c r="G54">
        <v>4017.6000000000004</v>
      </c>
      <c r="H54">
        <v>14.919398342176265</v>
      </c>
      <c r="I54">
        <v>4995.0145649606138</v>
      </c>
      <c r="J54">
        <v>11.736462295070879</v>
      </c>
      <c r="K54">
        <v>3929.3675763897304</v>
      </c>
      <c r="L54">
        <v>19</v>
      </c>
      <c r="M54">
        <v>6361.2</v>
      </c>
      <c r="N54">
        <v>17</v>
      </c>
      <c r="O54">
        <v>5691.6</v>
      </c>
      <c r="P54">
        <v>17</v>
      </c>
      <c r="Q54">
        <v>5691.6</v>
      </c>
      <c r="R54">
        <v>15</v>
      </c>
      <c r="S54">
        <v>5022</v>
      </c>
      <c r="T54">
        <v>12</v>
      </c>
      <c r="U54">
        <v>4017.6000000000004</v>
      </c>
      <c r="V54">
        <v>16</v>
      </c>
      <c r="W54">
        <v>5356.8</v>
      </c>
      <c r="X54">
        <v>17</v>
      </c>
      <c r="Y54">
        <v>5691.6</v>
      </c>
      <c r="Z54">
        <v>13</v>
      </c>
      <c r="AA54">
        <v>4352.4000000000005</v>
      </c>
      <c r="AB54">
        <v>20</v>
      </c>
      <c r="AC54">
        <v>6696</v>
      </c>
      <c r="AD54">
        <v>20</v>
      </c>
      <c r="AE54">
        <v>6696</v>
      </c>
      <c r="AF54">
        <v>20</v>
      </c>
      <c r="AG54">
        <v>6696</v>
      </c>
      <c r="AH54">
        <v>14</v>
      </c>
      <c r="AI54">
        <v>4687.2</v>
      </c>
      <c r="AJ54">
        <v>13</v>
      </c>
      <c r="AK54">
        <v>4352.4000000000005</v>
      </c>
      <c r="AL54">
        <v>15</v>
      </c>
      <c r="AM54">
        <v>5022</v>
      </c>
      <c r="AN54">
        <v>17</v>
      </c>
      <c r="AO54">
        <v>5691.6</v>
      </c>
      <c r="AP54">
        <v>16</v>
      </c>
      <c r="AQ54">
        <v>5356.8</v>
      </c>
      <c r="AR54">
        <v>17</v>
      </c>
      <c r="AS54">
        <v>5691.6</v>
      </c>
      <c r="AT54">
        <v>15</v>
      </c>
      <c r="AU54">
        <v>5022</v>
      </c>
      <c r="AV54">
        <v>17</v>
      </c>
      <c r="AW54">
        <v>5691.6</v>
      </c>
      <c r="AX54">
        <v>18</v>
      </c>
      <c r="AY54">
        <v>6026.4000000000005</v>
      </c>
      <c r="AZ54">
        <v>10</v>
      </c>
      <c r="BA54">
        <v>3348</v>
      </c>
      <c r="BB54">
        <v>17</v>
      </c>
      <c r="BC54">
        <v>5691.6</v>
      </c>
      <c r="BD54">
        <v>15</v>
      </c>
      <c r="BE54">
        <v>5022</v>
      </c>
      <c r="BF54">
        <v>12</v>
      </c>
      <c r="BG54">
        <v>4017.6000000000004</v>
      </c>
      <c r="BH54">
        <v>15</v>
      </c>
      <c r="BI54">
        <v>5022</v>
      </c>
      <c r="BJ54">
        <v>14</v>
      </c>
      <c r="BK54">
        <v>4687.2</v>
      </c>
      <c r="BL54">
        <v>16</v>
      </c>
      <c r="BM54">
        <v>5356.8</v>
      </c>
      <c r="BN54">
        <v>20</v>
      </c>
      <c r="BO54">
        <v>6696</v>
      </c>
      <c r="BP54">
        <v>15</v>
      </c>
      <c r="BQ54">
        <v>5022</v>
      </c>
      <c r="BR54">
        <v>13</v>
      </c>
      <c r="BS54">
        <v>4352.4000000000005</v>
      </c>
      <c r="BT54">
        <v>14</v>
      </c>
      <c r="BU54">
        <v>4687.2</v>
      </c>
      <c r="BV54">
        <v>13</v>
      </c>
      <c r="BW54">
        <v>4352.4000000000005</v>
      </c>
      <c r="BX54">
        <v>13</v>
      </c>
      <c r="BY54">
        <v>4352.4000000000005</v>
      </c>
      <c r="BZ54">
        <v>11</v>
      </c>
      <c r="CA54">
        <v>3682.8</v>
      </c>
      <c r="CB54">
        <v>15</v>
      </c>
      <c r="CC54">
        <v>5022</v>
      </c>
      <c r="CD54">
        <v>14</v>
      </c>
      <c r="CE54">
        <v>4687.2</v>
      </c>
      <c r="CF54">
        <v>14</v>
      </c>
      <c r="CG54">
        <v>4687.2</v>
      </c>
      <c r="CH54">
        <v>15</v>
      </c>
      <c r="CI54">
        <v>5022</v>
      </c>
      <c r="CJ54">
        <v>19</v>
      </c>
      <c r="CK54">
        <v>6361.2</v>
      </c>
      <c r="CL54">
        <v>14</v>
      </c>
      <c r="CM54">
        <v>4687.2</v>
      </c>
      <c r="CN54">
        <v>13</v>
      </c>
      <c r="CO54">
        <v>4352.4000000000005</v>
      </c>
      <c r="CP54">
        <v>14</v>
      </c>
      <c r="CQ54">
        <v>4687.2</v>
      </c>
      <c r="CR54">
        <v>11</v>
      </c>
      <c r="CS54">
        <v>3682.8</v>
      </c>
      <c r="CT54">
        <v>20</v>
      </c>
      <c r="CU54">
        <v>6696</v>
      </c>
    </row>
    <row r="55" spans="2:99" x14ac:dyDescent="0.2">
      <c r="C55" s="119" t="s">
        <v>221</v>
      </c>
      <c r="D55">
        <v>13.69832599510827</v>
      </c>
      <c r="E55">
        <v>9090.2091303538491</v>
      </c>
      <c r="F55">
        <v>12</v>
      </c>
      <c r="G55">
        <v>7963.2000000000007</v>
      </c>
      <c r="H55">
        <v>15.873428425067452</v>
      </c>
      <c r="I55">
        <v>10533.607102874761</v>
      </c>
      <c r="J55">
        <v>12.785559781408937</v>
      </c>
      <c r="K55">
        <v>8484.4974709429716</v>
      </c>
      <c r="L55">
        <v>16</v>
      </c>
      <c r="M55">
        <v>10617.6</v>
      </c>
      <c r="N55">
        <v>18</v>
      </c>
      <c r="O55">
        <v>11944.800000000001</v>
      </c>
      <c r="P55">
        <v>16</v>
      </c>
      <c r="Q55">
        <v>10617.6</v>
      </c>
      <c r="R55">
        <v>16</v>
      </c>
      <c r="S55">
        <v>10617.6</v>
      </c>
      <c r="T55">
        <v>12</v>
      </c>
      <c r="U55">
        <v>7963.2000000000007</v>
      </c>
      <c r="V55">
        <v>15</v>
      </c>
      <c r="W55">
        <v>9954</v>
      </c>
      <c r="X55">
        <v>15</v>
      </c>
      <c r="Y55">
        <v>9954</v>
      </c>
      <c r="Z55">
        <v>13</v>
      </c>
      <c r="AA55">
        <v>8626.8000000000011</v>
      </c>
      <c r="AB55">
        <v>17</v>
      </c>
      <c r="AC55">
        <v>11281.2</v>
      </c>
      <c r="AD55">
        <v>20</v>
      </c>
      <c r="AE55">
        <v>13272</v>
      </c>
      <c r="AF55">
        <v>19</v>
      </c>
      <c r="AG55">
        <v>12608.4</v>
      </c>
      <c r="AH55">
        <v>13</v>
      </c>
      <c r="AI55">
        <v>8626.8000000000011</v>
      </c>
      <c r="AJ55">
        <v>14</v>
      </c>
      <c r="AK55">
        <v>9290.4</v>
      </c>
      <c r="AL55">
        <v>17</v>
      </c>
      <c r="AM55">
        <v>11281.2</v>
      </c>
      <c r="AN55">
        <v>16</v>
      </c>
      <c r="AO55">
        <v>10617.6</v>
      </c>
      <c r="AP55">
        <v>14</v>
      </c>
      <c r="AQ55">
        <v>9290.4</v>
      </c>
      <c r="AR55">
        <v>17</v>
      </c>
      <c r="AS55">
        <v>11281.2</v>
      </c>
      <c r="AT55">
        <v>14</v>
      </c>
      <c r="AU55">
        <v>9290.4</v>
      </c>
      <c r="AV55">
        <v>14</v>
      </c>
      <c r="AW55">
        <v>9290.4</v>
      </c>
      <c r="AX55">
        <v>19</v>
      </c>
      <c r="AY55">
        <v>12608.4</v>
      </c>
      <c r="AZ55">
        <v>9</v>
      </c>
      <c r="BA55">
        <v>5972.4000000000005</v>
      </c>
      <c r="BB55">
        <v>16</v>
      </c>
      <c r="BC55">
        <v>10617.6</v>
      </c>
      <c r="BD55">
        <v>15</v>
      </c>
      <c r="BE55">
        <v>9954</v>
      </c>
      <c r="BF55">
        <v>12</v>
      </c>
      <c r="BG55">
        <v>7963.2000000000007</v>
      </c>
      <c r="BH55">
        <v>14</v>
      </c>
      <c r="BI55">
        <v>9290.4</v>
      </c>
      <c r="BJ55">
        <v>14</v>
      </c>
      <c r="BK55">
        <v>9290.4</v>
      </c>
      <c r="BL55">
        <v>16</v>
      </c>
      <c r="BM55">
        <v>10617.6</v>
      </c>
      <c r="BN55">
        <v>19</v>
      </c>
      <c r="BO55">
        <v>12608.4</v>
      </c>
      <c r="BP55">
        <v>14</v>
      </c>
      <c r="BQ55">
        <v>9290.4</v>
      </c>
      <c r="BR55">
        <v>13</v>
      </c>
      <c r="BS55">
        <v>8626.8000000000011</v>
      </c>
      <c r="BT55">
        <v>13</v>
      </c>
      <c r="BU55">
        <v>8626.8000000000011</v>
      </c>
      <c r="BV55">
        <v>11</v>
      </c>
      <c r="BW55">
        <v>7299.6</v>
      </c>
      <c r="BX55">
        <v>12</v>
      </c>
      <c r="BY55">
        <v>7963.2000000000007</v>
      </c>
      <c r="BZ55">
        <v>10</v>
      </c>
      <c r="CA55">
        <v>6636</v>
      </c>
      <c r="CB55">
        <v>16</v>
      </c>
      <c r="CC55">
        <v>10617.6</v>
      </c>
      <c r="CD55">
        <v>14</v>
      </c>
      <c r="CE55">
        <v>9290.4</v>
      </c>
      <c r="CF55">
        <v>13</v>
      </c>
      <c r="CG55">
        <v>8626.8000000000011</v>
      </c>
      <c r="CH55">
        <v>12</v>
      </c>
      <c r="CI55">
        <v>7963.2000000000007</v>
      </c>
      <c r="CJ55">
        <v>17</v>
      </c>
      <c r="CK55">
        <v>11281.2</v>
      </c>
      <c r="CL55">
        <v>15</v>
      </c>
      <c r="CM55">
        <v>9954</v>
      </c>
      <c r="CN55">
        <v>12</v>
      </c>
      <c r="CO55">
        <v>7963.2000000000007</v>
      </c>
      <c r="CP55">
        <v>13</v>
      </c>
      <c r="CQ55">
        <v>8626.8000000000011</v>
      </c>
      <c r="CR55">
        <v>11</v>
      </c>
      <c r="CS55">
        <v>7299.6</v>
      </c>
      <c r="CT55">
        <v>16</v>
      </c>
      <c r="CU55">
        <v>10617.6</v>
      </c>
    </row>
    <row r="56" spans="2:99" x14ac:dyDescent="0.2">
      <c r="C56" s="119" t="s">
        <v>222</v>
      </c>
      <c r="D56">
        <v>13.456653814404753</v>
      </c>
      <c r="E56">
        <v>15485.91720961699</v>
      </c>
      <c r="F56">
        <v>13.447244841337513</v>
      </c>
      <c r="G56">
        <v>15475.089363411209</v>
      </c>
      <c r="H56">
        <v>13</v>
      </c>
      <c r="I56">
        <v>14960.4</v>
      </c>
      <c r="J56">
        <v>11</v>
      </c>
      <c r="K56">
        <v>12658.8</v>
      </c>
      <c r="L56">
        <v>16.798300065570096</v>
      </c>
      <c r="M56">
        <v>19331.483715458067</v>
      </c>
      <c r="N56">
        <v>17.536158244332626</v>
      </c>
      <c r="O56">
        <v>20180.610907577986</v>
      </c>
      <c r="P56">
        <v>17.556379776349033</v>
      </c>
      <c r="Q56">
        <v>20203.881846622466</v>
      </c>
      <c r="R56">
        <v>15.418097081184325</v>
      </c>
      <c r="S56">
        <v>17743.146121026919</v>
      </c>
      <c r="T56">
        <v>10.36595462978366</v>
      </c>
      <c r="U56">
        <v>11929.140587955037</v>
      </c>
      <c r="V56">
        <v>15.361975749936127</v>
      </c>
      <c r="W56">
        <v>17678.561693026495</v>
      </c>
      <c r="X56">
        <v>14.505772470012026</v>
      </c>
      <c r="Y56">
        <v>16693.242958489838</v>
      </c>
      <c r="Z56">
        <v>13.317050053039925</v>
      </c>
      <c r="AA56">
        <v>15325.261201038344</v>
      </c>
      <c r="AB56">
        <v>16.541322728154242</v>
      </c>
      <c r="AC56">
        <v>19035.754195559901</v>
      </c>
      <c r="AD56">
        <v>18.432171866208915</v>
      </c>
      <c r="AE56">
        <v>21211.743383633217</v>
      </c>
      <c r="AF56">
        <v>18.458632125776933</v>
      </c>
      <c r="AG56">
        <v>21242.193850344094</v>
      </c>
      <c r="AH56">
        <v>13.314221194788399</v>
      </c>
      <c r="AI56">
        <v>15322.005750962489</v>
      </c>
      <c r="AJ56">
        <v>12.402118683249469</v>
      </c>
      <c r="AK56">
        <v>14272.358180683488</v>
      </c>
      <c r="AL56">
        <v>16</v>
      </c>
      <c r="AM56">
        <v>18412.8</v>
      </c>
      <c r="AN56">
        <v>13.457214823417692</v>
      </c>
      <c r="AO56">
        <v>15486.56281878908</v>
      </c>
      <c r="AP56">
        <v>16.388755639795423</v>
      </c>
      <c r="AQ56">
        <v>18860.179990276574</v>
      </c>
      <c r="AR56">
        <v>18.466066190094473</v>
      </c>
      <c r="AS56">
        <v>21250.748971560719</v>
      </c>
      <c r="AT56">
        <v>15.416830123895741</v>
      </c>
      <c r="AU56">
        <v>17741.688106579219</v>
      </c>
      <c r="AV56">
        <v>14.320653722064415</v>
      </c>
      <c r="AW56">
        <v>16480.20830335173</v>
      </c>
      <c r="AX56">
        <v>18.456456781312205</v>
      </c>
      <c r="AY56">
        <v>21239.690463934086</v>
      </c>
      <c r="AZ56">
        <v>9</v>
      </c>
      <c r="BA56">
        <v>10357.199999999999</v>
      </c>
      <c r="BB56">
        <v>15.650666573190129</v>
      </c>
      <c r="BC56">
        <v>18010.787092427199</v>
      </c>
      <c r="BD56">
        <v>15.521509126805672</v>
      </c>
      <c r="BE56">
        <v>17862.152703127966</v>
      </c>
      <c r="BF56">
        <v>12.318165554975941</v>
      </c>
      <c r="BG56">
        <v>14175.744920666313</v>
      </c>
      <c r="BH56">
        <v>13.427394886548951</v>
      </c>
      <c r="BI56">
        <v>15452.246035440532</v>
      </c>
      <c r="BJ56">
        <v>15.408104737172891</v>
      </c>
      <c r="BK56">
        <v>17731.646931538562</v>
      </c>
      <c r="BL56">
        <v>16.354294766000844</v>
      </c>
      <c r="BM56">
        <v>18820.522416713771</v>
      </c>
      <c r="BN56">
        <v>18.502710955981922</v>
      </c>
      <c r="BO56">
        <v>21292.919768143995</v>
      </c>
      <c r="BP56">
        <v>13.421575610255164</v>
      </c>
      <c r="BQ56">
        <v>15445.549212281643</v>
      </c>
      <c r="BR56">
        <v>12.390456749892836</v>
      </c>
      <c r="BS56">
        <v>14258.937627776675</v>
      </c>
      <c r="BT56">
        <v>13.450734536215917</v>
      </c>
      <c r="BU56">
        <v>15479.105304277276</v>
      </c>
      <c r="BV56">
        <v>11.528067297825283</v>
      </c>
      <c r="BW56">
        <v>13266.499846337334</v>
      </c>
      <c r="BX56">
        <v>11.27964061931165</v>
      </c>
      <c r="BY56">
        <v>12980.610424703846</v>
      </c>
      <c r="BZ56">
        <v>10.312512662346615</v>
      </c>
      <c r="CA56">
        <v>11867.639571828484</v>
      </c>
      <c r="CB56">
        <v>16.24058516639322</v>
      </c>
      <c r="CC56">
        <v>18689.665409485318</v>
      </c>
      <c r="CD56">
        <v>13.472308194505162</v>
      </c>
      <c r="CE56">
        <v>15503.932270236541</v>
      </c>
      <c r="CF56">
        <v>13.373143004710244</v>
      </c>
      <c r="CG56">
        <v>15389.812969820548</v>
      </c>
      <c r="CH56">
        <v>13.470730687479683</v>
      </c>
      <c r="CI56">
        <v>15502.11687515162</v>
      </c>
      <c r="CJ56">
        <v>15.268539615698103</v>
      </c>
      <c r="CK56">
        <v>17571.035389745375</v>
      </c>
      <c r="CL56">
        <v>13.488338232257686</v>
      </c>
      <c r="CM56">
        <v>15522.379637682145</v>
      </c>
      <c r="CN56">
        <v>12.265959245632382</v>
      </c>
      <c r="CO56">
        <v>14115.665899873746</v>
      </c>
      <c r="CP56">
        <v>14.517261260427047</v>
      </c>
      <c r="CQ56">
        <v>16706.464258499444</v>
      </c>
      <c r="CR56">
        <v>11.332155509641952</v>
      </c>
      <c r="CS56">
        <v>13041.044560495959</v>
      </c>
      <c r="CT56">
        <v>16.269323130395257</v>
      </c>
      <c r="CU56">
        <v>18722.737058458861</v>
      </c>
    </row>
    <row r="57" spans="2:99" x14ac:dyDescent="0.2">
      <c r="C57" s="119" t="s">
        <v>223</v>
      </c>
      <c r="D57">
        <v>13.648445566886251</v>
      </c>
      <c r="E57">
        <v>19260.686383989876</v>
      </c>
      <c r="F57">
        <v>13</v>
      </c>
      <c r="G57">
        <v>18345.600000000002</v>
      </c>
      <c r="H57">
        <v>14.873428425067452</v>
      </c>
      <c r="I57">
        <v>20989.382193455189</v>
      </c>
      <c r="J57">
        <v>11.736462295070879</v>
      </c>
      <c r="K57">
        <v>16562.495590804025</v>
      </c>
      <c r="L57">
        <v>15</v>
      </c>
      <c r="M57">
        <v>21168</v>
      </c>
      <c r="N57">
        <v>16</v>
      </c>
      <c r="O57">
        <v>22579.200000000001</v>
      </c>
      <c r="P57">
        <v>15</v>
      </c>
      <c r="Q57">
        <v>21168</v>
      </c>
      <c r="R57">
        <v>14</v>
      </c>
      <c r="S57">
        <v>19756.8</v>
      </c>
      <c r="T57">
        <v>11</v>
      </c>
      <c r="U57">
        <v>15523.2</v>
      </c>
      <c r="V57">
        <v>14</v>
      </c>
      <c r="W57">
        <v>19756.8</v>
      </c>
      <c r="X57">
        <v>15</v>
      </c>
      <c r="Y57">
        <v>21168</v>
      </c>
      <c r="Z57">
        <v>11</v>
      </c>
      <c r="AA57">
        <v>15523.2</v>
      </c>
      <c r="AB57">
        <v>16</v>
      </c>
      <c r="AC57">
        <v>22579.200000000001</v>
      </c>
      <c r="AD57">
        <v>18</v>
      </c>
      <c r="AE57">
        <v>25401.600000000002</v>
      </c>
      <c r="AF57">
        <v>16</v>
      </c>
      <c r="AG57">
        <v>22579.200000000001</v>
      </c>
      <c r="AH57">
        <v>13</v>
      </c>
      <c r="AI57">
        <v>18345.600000000002</v>
      </c>
      <c r="AJ57">
        <v>11</v>
      </c>
      <c r="AK57">
        <v>15523.2</v>
      </c>
      <c r="AL57">
        <v>14</v>
      </c>
      <c r="AM57">
        <v>19756.8</v>
      </c>
      <c r="AN57">
        <v>14</v>
      </c>
      <c r="AO57">
        <v>19756.8</v>
      </c>
      <c r="AP57">
        <v>14</v>
      </c>
      <c r="AQ57">
        <v>19756.8</v>
      </c>
      <c r="AR57">
        <v>17</v>
      </c>
      <c r="AS57">
        <v>23990.400000000001</v>
      </c>
      <c r="AT57">
        <v>15</v>
      </c>
      <c r="AU57">
        <v>21168</v>
      </c>
      <c r="AV57">
        <v>14</v>
      </c>
      <c r="AW57">
        <v>19756.8</v>
      </c>
      <c r="AX57">
        <v>17</v>
      </c>
      <c r="AY57">
        <v>23990.400000000001</v>
      </c>
      <c r="AZ57">
        <v>9</v>
      </c>
      <c r="BA57">
        <v>12700.800000000001</v>
      </c>
      <c r="BB57">
        <v>15</v>
      </c>
      <c r="BC57">
        <v>21168</v>
      </c>
      <c r="BD57">
        <v>14</v>
      </c>
      <c r="BE57">
        <v>19756.8</v>
      </c>
      <c r="BF57">
        <v>10</v>
      </c>
      <c r="BG57">
        <v>14112</v>
      </c>
      <c r="BH57">
        <v>13</v>
      </c>
      <c r="BI57">
        <v>18345.600000000002</v>
      </c>
      <c r="BJ57">
        <v>13</v>
      </c>
      <c r="BK57">
        <v>18345.600000000002</v>
      </c>
      <c r="BL57">
        <v>16</v>
      </c>
      <c r="BM57">
        <v>22579.200000000001</v>
      </c>
      <c r="BN57">
        <v>18</v>
      </c>
      <c r="BO57">
        <v>25401.600000000002</v>
      </c>
      <c r="BP57">
        <v>13</v>
      </c>
      <c r="BQ57">
        <v>18345.600000000002</v>
      </c>
      <c r="BR57">
        <v>11</v>
      </c>
      <c r="BS57">
        <v>15523.2</v>
      </c>
      <c r="BT57">
        <v>12</v>
      </c>
      <c r="BU57">
        <v>16934.400000000001</v>
      </c>
      <c r="BV57">
        <v>11</v>
      </c>
      <c r="BW57">
        <v>15523.2</v>
      </c>
      <c r="BX57">
        <v>12</v>
      </c>
      <c r="BY57">
        <v>16934.400000000001</v>
      </c>
      <c r="BZ57">
        <v>11</v>
      </c>
      <c r="CA57">
        <v>15523.2</v>
      </c>
      <c r="CB57">
        <v>15</v>
      </c>
      <c r="CC57">
        <v>21168</v>
      </c>
      <c r="CD57">
        <v>12</v>
      </c>
      <c r="CE57">
        <v>16934.400000000001</v>
      </c>
      <c r="CF57">
        <v>13</v>
      </c>
      <c r="CG57">
        <v>18345.600000000002</v>
      </c>
      <c r="CH57">
        <v>13</v>
      </c>
      <c r="CI57">
        <v>18345.600000000002</v>
      </c>
      <c r="CJ57">
        <v>17</v>
      </c>
      <c r="CK57">
        <v>23990.400000000001</v>
      </c>
      <c r="CL57">
        <v>13</v>
      </c>
      <c r="CM57">
        <v>18345.600000000002</v>
      </c>
      <c r="CN57">
        <v>11</v>
      </c>
      <c r="CO57">
        <v>15523.2</v>
      </c>
      <c r="CP57">
        <v>13</v>
      </c>
      <c r="CQ57">
        <v>18345.600000000002</v>
      </c>
      <c r="CR57">
        <v>10</v>
      </c>
      <c r="CS57">
        <v>14112</v>
      </c>
      <c r="CT57">
        <v>17</v>
      </c>
      <c r="CU57">
        <v>23990.400000000001</v>
      </c>
    </row>
    <row r="58" spans="2:99" x14ac:dyDescent="0.2">
      <c r="C58" s="119" t="s">
        <v>224</v>
      </c>
      <c r="D58">
        <v>13.456653814404753</v>
      </c>
      <c r="E58">
        <v>15841.172870317276</v>
      </c>
      <c r="F58">
        <v>12.47355336141619</v>
      </c>
      <c r="G58">
        <v>14683.867017059139</v>
      </c>
      <c r="H58">
        <v>13</v>
      </c>
      <c r="I58">
        <v>15303.6</v>
      </c>
      <c r="J58">
        <v>11</v>
      </c>
      <c r="K58">
        <v>12949.2</v>
      </c>
      <c r="L58">
        <v>16.848193819668225</v>
      </c>
      <c r="M58">
        <v>19833.693764513435</v>
      </c>
      <c r="N58">
        <v>14.536158244332626</v>
      </c>
      <c r="O58">
        <v>17111.965485228367</v>
      </c>
      <c r="P58">
        <v>16.528560787531582</v>
      </c>
      <c r="Q58">
        <v>19457.421759082179</v>
      </c>
      <c r="R58">
        <v>14.470359216332364</v>
      </c>
      <c r="S58">
        <v>17034.506869466459</v>
      </c>
      <c r="T58">
        <v>11.396450848932298</v>
      </c>
      <c r="U58">
        <v>13415.901939363102</v>
      </c>
      <c r="V58">
        <v>15.386107466598535</v>
      </c>
      <c r="W58">
        <v>18112.525709679798</v>
      </c>
      <c r="X58">
        <v>16.442550911260522</v>
      </c>
      <c r="Y58">
        <v>19356.170932735888</v>
      </c>
      <c r="Z58">
        <v>13.345872785134464</v>
      </c>
      <c r="AA58">
        <v>15710.761442660292</v>
      </c>
      <c r="AB58">
        <v>19.573165241575079</v>
      </c>
      <c r="AC58">
        <v>23041.530122382184</v>
      </c>
      <c r="AD58">
        <v>19.381328117243161</v>
      </c>
      <c r="AE58">
        <v>22815.699459618649</v>
      </c>
      <c r="AF58">
        <v>17.524151000887922</v>
      </c>
      <c r="AG58">
        <v>20629.430558245262</v>
      </c>
      <c r="AH58">
        <v>14.314221194788399</v>
      </c>
      <c r="AI58">
        <v>16850.701190504904</v>
      </c>
      <c r="AJ58">
        <v>11.469138463791047</v>
      </c>
      <c r="AK58">
        <v>13501.469799574821</v>
      </c>
      <c r="AL58">
        <v>15</v>
      </c>
      <c r="AM58">
        <v>17658</v>
      </c>
      <c r="AN58">
        <v>15.457214823417692</v>
      </c>
      <c r="AO58">
        <v>18196.233290127308</v>
      </c>
      <c r="AP58">
        <v>14.414672682448453</v>
      </c>
      <c r="AQ58">
        <v>16968.952681778319</v>
      </c>
      <c r="AR58">
        <v>17.396156261580302</v>
      </c>
      <c r="AS58">
        <v>20478.755151132333</v>
      </c>
      <c r="AT58">
        <v>15.416830123895741</v>
      </c>
      <c r="AU58">
        <v>18148.692421850068</v>
      </c>
      <c r="AV58">
        <v>14.349804060433907</v>
      </c>
      <c r="AW58">
        <v>16892.589339942795</v>
      </c>
      <c r="AX58">
        <v>18.483307180212925</v>
      </c>
      <c r="AY58">
        <v>21758.549212546655</v>
      </c>
      <c r="AZ58">
        <v>10</v>
      </c>
      <c r="BA58">
        <v>11772</v>
      </c>
      <c r="BB58">
        <v>15.609999912365746</v>
      </c>
      <c r="BC58">
        <v>18376.091896836955</v>
      </c>
      <c r="BD58">
        <v>13.552186134264829</v>
      </c>
      <c r="BE58">
        <v>15953.633517256558</v>
      </c>
      <c r="BF58">
        <v>10.265137962479951</v>
      </c>
      <c r="BG58">
        <v>12084.120409431398</v>
      </c>
      <c r="BH58">
        <v>13.403650726185122</v>
      </c>
      <c r="BI58">
        <v>15778.777634865126</v>
      </c>
      <c r="BJ58">
        <v>13.437255075542385</v>
      </c>
      <c r="BK58">
        <v>15818.336674928496</v>
      </c>
      <c r="BL58">
        <v>14.354294766000846</v>
      </c>
      <c r="BM58">
        <v>16897.875798536195</v>
      </c>
      <c r="BN58">
        <v>18.449794013246983</v>
      </c>
      <c r="BO58">
        <v>21719.09751239435</v>
      </c>
      <c r="BP58">
        <v>14.395227134614217</v>
      </c>
      <c r="BQ58">
        <v>16946.061382867858</v>
      </c>
      <c r="BR58">
        <v>12.390456749892836</v>
      </c>
      <c r="BS58">
        <v>14586.045685973848</v>
      </c>
      <c r="BT58">
        <v>12.477248332463912</v>
      </c>
      <c r="BU58">
        <v>14688.216736976517</v>
      </c>
      <c r="BV58">
        <v>11.528067297825283</v>
      </c>
      <c r="BW58">
        <v>13570.840822999924</v>
      </c>
      <c r="BX58">
        <v>11.27964061931165</v>
      </c>
      <c r="BY58">
        <v>13278.392937053675</v>
      </c>
      <c r="BZ58">
        <v>11.312512662346615</v>
      </c>
      <c r="CA58">
        <v>13317.089906114436</v>
      </c>
      <c r="CB58">
        <v>16.24058516639322</v>
      </c>
      <c r="CC58">
        <v>19118.416857878099</v>
      </c>
      <c r="CD58">
        <v>12.446068850365986</v>
      </c>
      <c r="CE58">
        <v>14651.51225065084</v>
      </c>
      <c r="CF58">
        <v>13.373143004710244</v>
      </c>
      <c r="CG58">
        <v>15742.8639451449</v>
      </c>
      <c r="CH58">
        <v>12.470730687479683</v>
      </c>
      <c r="CI58">
        <v>14680.544165301084</v>
      </c>
      <c r="CJ58">
        <v>17.317365000370486</v>
      </c>
      <c r="CK58">
        <v>20386.002078436137</v>
      </c>
      <c r="CL58">
        <v>13.517064010625784</v>
      </c>
      <c r="CM58">
        <v>15912.287753308674</v>
      </c>
      <c r="CN58">
        <v>10.265959245632382</v>
      </c>
      <c r="CO58">
        <v>12085.087223958441</v>
      </c>
      <c r="CP58">
        <v>13.490036983562465</v>
      </c>
      <c r="CQ58">
        <v>15880.471537049734</v>
      </c>
      <c r="CR58">
        <v>10.306605085823341</v>
      </c>
      <c r="CS58">
        <v>12132.935507031238</v>
      </c>
      <c r="CT58">
        <v>17.269323130395257</v>
      </c>
      <c r="CU58">
        <v>20329.447189101298</v>
      </c>
    </row>
    <row r="59" spans="2:99" x14ac:dyDescent="0.2">
      <c r="C59" s="119" t="s">
        <v>225</v>
      </c>
      <c r="D59">
        <v>13.74820642333029</v>
      </c>
      <c r="E59">
        <v>4173.9554701230754</v>
      </c>
      <c r="F59">
        <v>13</v>
      </c>
      <c r="G59">
        <v>3946.7999999999997</v>
      </c>
      <c r="H59">
        <v>16.011338176393892</v>
      </c>
      <c r="I59">
        <v>4861.0422703531849</v>
      </c>
      <c r="J59">
        <v>13.785559781408937</v>
      </c>
      <c r="K59">
        <v>4185.2959496357525</v>
      </c>
      <c r="L59">
        <v>19</v>
      </c>
      <c r="M59">
        <v>5768.4</v>
      </c>
      <c r="N59">
        <v>19</v>
      </c>
      <c r="O59">
        <v>5768.4</v>
      </c>
      <c r="P59">
        <v>16</v>
      </c>
      <c r="Q59">
        <v>4857.5999999999995</v>
      </c>
      <c r="R59">
        <v>15</v>
      </c>
      <c r="S59">
        <v>4553.9999999999991</v>
      </c>
      <c r="T59">
        <v>11</v>
      </c>
      <c r="U59">
        <v>3339.5999999999995</v>
      </c>
      <c r="V59">
        <v>14</v>
      </c>
      <c r="W59">
        <v>4250.3999999999996</v>
      </c>
      <c r="X59">
        <v>17</v>
      </c>
      <c r="Y59">
        <v>5161.2</v>
      </c>
      <c r="Z59">
        <v>13</v>
      </c>
      <c r="AA59">
        <v>3946.7999999999997</v>
      </c>
      <c r="AB59">
        <v>19</v>
      </c>
      <c r="AC59">
        <v>5768.4</v>
      </c>
      <c r="AD59">
        <v>20</v>
      </c>
      <c r="AE59">
        <v>6071.9999999999991</v>
      </c>
      <c r="AF59">
        <v>17</v>
      </c>
      <c r="AG59">
        <v>5161.2</v>
      </c>
      <c r="AH59">
        <v>13</v>
      </c>
      <c r="AI59">
        <v>3946.7999999999997</v>
      </c>
      <c r="AJ59">
        <v>14</v>
      </c>
      <c r="AK59">
        <v>4250.3999999999996</v>
      </c>
      <c r="AL59">
        <v>16</v>
      </c>
      <c r="AM59">
        <v>4857.5999999999995</v>
      </c>
      <c r="AN59">
        <v>15</v>
      </c>
      <c r="AO59">
        <v>4553.9999999999991</v>
      </c>
      <c r="AP59">
        <v>17</v>
      </c>
      <c r="AQ59">
        <v>5161.2</v>
      </c>
      <c r="AR59">
        <v>18</v>
      </c>
      <c r="AS59">
        <v>5464.7999999999993</v>
      </c>
      <c r="AT59">
        <v>17</v>
      </c>
      <c r="AU59">
        <v>5161.2</v>
      </c>
      <c r="AV59">
        <v>18</v>
      </c>
      <c r="AW59">
        <v>5464.7999999999993</v>
      </c>
      <c r="AX59">
        <v>18</v>
      </c>
      <c r="AY59">
        <v>5464.7999999999993</v>
      </c>
      <c r="AZ59">
        <v>10</v>
      </c>
      <c r="BA59">
        <v>3035.9999999999995</v>
      </c>
      <c r="BB59">
        <v>15</v>
      </c>
      <c r="BC59">
        <v>4553.9999999999991</v>
      </c>
      <c r="BD59">
        <v>14</v>
      </c>
      <c r="BE59">
        <v>4250.3999999999996</v>
      </c>
      <c r="BF59">
        <v>12</v>
      </c>
      <c r="BG59">
        <v>3643.2</v>
      </c>
      <c r="BH59">
        <v>15</v>
      </c>
      <c r="BI59">
        <v>4553.9999999999991</v>
      </c>
      <c r="BJ59">
        <v>14</v>
      </c>
      <c r="BK59">
        <v>4250.3999999999996</v>
      </c>
      <c r="BL59">
        <v>17</v>
      </c>
      <c r="BM59">
        <v>5161.2</v>
      </c>
      <c r="BN59">
        <v>17</v>
      </c>
      <c r="BO59">
        <v>5161.2</v>
      </c>
      <c r="BP59">
        <v>16</v>
      </c>
      <c r="BQ59">
        <v>4857.5999999999995</v>
      </c>
      <c r="BR59">
        <v>14</v>
      </c>
      <c r="BS59">
        <v>4250.3999999999996</v>
      </c>
      <c r="BT59">
        <v>15</v>
      </c>
      <c r="BU59">
        <v>4553.9999999999991</v>
      </c>
      <c r="BV59">
        <v>13</v>
      </c>
      <c r="BW59">
        <v>3946.7999999999997</v>
      </c>
      <c r="BX59">
        <v>13</v>
      </c>
      <c r="BY59">
        <v>3946.7999999999997</v>
      </c>
      <c r="BZ59">
        <v>13</v>
      </c>
      <c r="CA59">
        <v>3946.7999999999997</v>
      </c>
      <c r="CB59">
        <v>16</v>
      </c>
      <c r="CC59">
        <v>4857.5999999999995</v>
      </c>
      <c r="CD59">
        <v>12</v>
      </c>
      <c r="CE59">
        <v>3643.2</v>
      </c>
      <c r="CF59">
        <v>15</v>
      </c>
      <c r="CG59">
        <v>4553.9999999999991</v>
      </c>
      <c r="CH59">
        <v>15</v>
      </c>
      <c r="CI59">
        <v>4553.9999999999991</v>
      </c>
      <c r="CJ59">
        <v>18</v>
      </c>
      <c r="CK59">
        <v>5464.7999999999993</v>
      </c>
      <c r="CL59">
        <v>15</v>
      </c>
      <c r="CM59">
        <v>4553.9999999999991</v>
      </c>
      <c r="CN59">
        <v>11</v>
      </c>
      <c r="CO59">
        <v>3339.5999999999995</v>
      </c>
      <c r="CP59">
        <v>16</v>
      </c>
      <c r="CQ59">
        <v>4857.5999999999995</v>
      </c>
      <c r="CR59">
        <v>10</v>
      </c>
      <c r="CS59">
        <v>3035.9999999999995</v>
      </c>
      <c r="CT59">
        <v>17</v>
      </c>
      <c r="CU59">
        <v>5161.2</v>
      </c>
    </row>
    <row r="60" spans="2:99" x14ac:dyDescent="0.2">
      <c r="C60" s="119" t="s">
        <v>226</v>
      </c>
      <c r="D60">
        <v>12.69832599510827</v>
      </c>
      <c r="E60">
        <v>8274.229218412549</v>
      </c>
      <c r="F60">
        <v>13</v>
      </c>
      <c r="G60">
        <v>8470.8000000000011</v>
      </c>
      <c r="H60">
        <v>13.965368259285079</v>
      </c>
      <c r="I60">
        <v>9099.8339577501574</v>
      </c>
      <c r="J60">
        <v>12.785559781408937</v>
      </c>
      <c r="K60">
        <v>8331.070753566064</v>
      </c>
      <c r="L60">
        <v>19</v>
      </c>
      <c r="M60">
        <v>12380.4</v>
      </c>
      <c r="N60">
        <v>17</v>
      </c>
      <c r="O60">
        <v>11077.2</v>
      </c>
      <c r="P60">
        <v>17</v>
      </c>
      <c r="Q60">
        <v>11077.2</v>
      </c>
      <c r="R60">
        <v>16</v>
      </c>
      <c r="S60">
        <v>10425.6</v>
      </c>
      <c r="T60">
        <v>11</v>
      </c>
      <c r="U60">
        <v>7167.6</v>
      </c>
      <c r="V60">
        <v>16</v>
      </c>
      <c r="W60">
        <v>10425.6</v>
      </c>
      <c r="X60">
        <v>15</v>
      </c>
      <c r="Y60">
        <v>9774</v>
      </c>
      <c r="Z60">
        <v>12</v>
      </c>
      <c r="AA60">
        <v>7819.2000000000007</v>
      </c>
      <c r="AB60">
        <v>16</v>
      </c>
      <c r="AC60">
        <v>10425.6</v>
      </c>
      <c r="AD60">
        <v>18</v>
      </c>
      <c r="AE60">
        <v>11728.800000000001</v>
      </c>
      <c r="AF60">
        <v>17</v>
      </c>
      <c r="AG60">
        <v>11077.2</v>
      </c>
      <c r="AH60">
        <v>13</v>
      </c>
      <c r="AI60">
        <v>8470.8000000000011</v>
      </c>
      <c r="AJ60">
        <v>13</v>
      </c>
      <c r="AK60">
        <v>8470.8000000000011</v>
      </c>
      <c r="AL60">
        <v>15</v>
      </c>
      <c r="AM60">
        <v>9774</v>
      </c>
      <c r="AN60">
        <v>15</v>
      </c>
      <c r="AO60">
        <v>9774</v>
      </c>
      <c r="AP60">
        <v>17</v>
      </c>
      <c r="AQ60">
        <v>11077.2</v>
      </c>
      <c r="AR60">
        <v>17</v>
      </c>
      <c r="AS60">
        <v>11077.2</v>
      </c>
      <c r="AT60">
        <v>17</v>
      </c>
      <c r="AU60">
        <v>11077.2</v>
      </c>
      <c r="AV60">
        <v>17</v>
      </c>
      <c r="AW60">
        <v>11077.2</v>
      </c>
      <c r="AX60">
        <v>20</v>
      </c>
      <c r="AY60">
        <v>13032</v>
      </c>
      <c r="AZ60">
        <v>9</v>
      </c>
      <c r="BA60">
        <v>5864.4000000000005</v>
      </c>
      <c r="BB60">
        <v>15</v>
      </c>
      <c r="BC60">
        <v>9774</v>
      </c>
      <c r="BD60">
        <v>13</v>
      </c>
      <c r="BE60">
        <v>8470.8000000000011</v>
      </c>
      <c r="BF60">
        <v>12</v>
      </c>
      <c r="BG60">
        <v>7819.2000000000007</v>
      </c>
      <c r="BH60">
        <v>15</v>
      </c>
      <c r="BI60">
        <v>9774</v>
      </c>
      <c r="BJ60">
        <v>15</v>
      </c>
      <c r="BK60">
        <v>9774</v>
      </c>
      <c r="BL60">
        <v>16</v>
      </c>
      <c r="BM60">
        <v>10425.6</v>
      </c>
      <c r="BN60">
        <v>18</v>
      </c>
      <c r="BO60">
        <v>11728.800000000001</v>
      </c>
      <c r="BP60">
        <v>15</v>
      </c>
      <c r="BQ60">
        <v>9774</v>
      </c>
      <c r="BR60">
        <v>12</v>
      </c>
      <c r="BS60">
        <v>7819.2000000000007</v>
      </c>
      <c r="BT60">
        <v>12</v>
      </c>
      <c r="BU60">
        <v>7819.2000000000007</v>
      </c>
      <c r="BV60">
        <v>12</v>
      </c>
      <c r="BW60">
        <v>7819.2000000000007</v>
      </c>
      <c r="BX60">
        <v>13</v>
      </c>
      <c r="BY60">
        <v>8470.8000000000011</v>
      </c>
      <c r="BZ60">
        <v>11</v>
      </c>
      <c r="CA60">
        <v>7167.6</v>
      </c>
      <c r="CB60">
        <v>17</v>
      </c>
      <c r="CC60">
        <v>11077.2</v>
      </c>
      <c r="CD60">
        <v>13</v>
      </c>
      <c r="CE60">
        <v>8470.8000000000011</v>
      </c>
      <c r="CF60">
        <v>14</v>
      </c>
      <c r="CG60">
        <v>9122.4</v>
      </c>
      <c r="CH60">
        <v>14</v>
      </c>
      <c r="CI60">
        <v>9122.4</v>
      </c>
      <c r="CJ60">
        <v>19</v>
      </c>
      <c r="CK60">
        <v>12380.4</v>
      </c>
      <c r="CL60">
        <v>15</v>
      </c>
      <c r="CM60">
        <v>9774</v>
      </c>
      <c r="CN60">
        <v>13</v>
      </c>
      <c r="CO60">
        <v>8470.8000000000011</v>
      </c>
      <c r="CP60">
        <v>15</v>
      </c>
      <c r="CQ60">
        <v>9774</v>
      </c>
      <c r="CR60">
        <v>10</v>
      </c>
      <c r="CS60">
        <v>6516</v>
      </c>
      <c r="CT60">
        <v>17</v>
      </c>
      <c r="CU60">
        <v>11077.2</v>
      </c>
    </row>
    <row r="61" spans="2:99" x14ac:dyDescent="0.2">
      <c r="C61" s="119" t="s">
        <v>227</v>
      </c>
      <c r="D61">
        <v>13.74820642333029</v>
      </c>
      <c r="E61">
        <v>13082.793232441103</v>
      </c>
      <c r="F61">
        <v>13</v>
      </c>
      <c r="G61">
        <v>12370.8</v>
      </c>
      <c r="H61">
        <v>15.827458507958639</v>
      </c>
      <c r="I61">
        <v>15061.409516173439</v>
      </c>
      <c r="J61">
        <v>11.736462295070879</v>
      </c>
      <c r="K61">
        <v>11168.417519989447</v>
      </c>
      <c r="L61">
        <v>17</v>
      </c>
      <c r="M61">
        <v>16177.199999999999</v>
      </c>
      <c r="N61">
        <v>16</v>
      </c>
      <c r="O61">
        <v>15225.599999999999</v>
      </c>
      <c r="P61">
        <v>17</v>
      </c>
      <c r="Q61">
        <v>16177.199999999999</v>
      </c>
      <c r="R61">
        <v>16</v>
      </c>
      <c r="S61">
        <v>15225.599999999999</v>
      </c>
      <c r="T61">
        <v>10</v>
      </c>
      <c r="U61">
        <v>9516</v>
      </c>
      <c r="V61">
        <v>14</v>
      </c>
      <c r="W61">
        <v>13322.399999999998</v>
      </c>
      <c r="X61">
        <v>14</v>
      </c>
      <c r="Y61">
        <v>13322.399999999998</v>
      </c>
      <c r="Z61">
        <v>14</v>
      </c>
      <c r="AA61">
        <v>13322.399999999998</v>
      </c>
      <c r="AB61">
        <v>17</v>
      </c>
      <c r="AC61">
        <v>16177.199999999999</v>
      </c>
      <c r="AD61">
        <v>20</v>
      </c>
      <c r="AE61">
        <v>19032</v>
      </c>
      <c r="AF61">
        <v>17</v>
      </c>
      <c r="AG61">
        <v>16177.199999999999</v>
      </c>
      <c r="AH61">
        <v>12</v>
      </c>
      <c r="AI61">
        <v>11419.199999999999</v>
      </c>
      <c r="AJ61">
        <v>11</v>
      </c>
      <c r="AK61">
        <v>10467.599999999999</v>
      </c>
      <c r="AL61">
        <v>15</v>
      </c>
      <c r="AM61">
        <v>14273.999999999998</v>
      </c>
      <c r="AN61">
        <v>13</v>
      </c>
      <c r="AO61">
        <v>12370.8</v>
      </c>
      <c r="AP61">
        <v>14</v>
      </c>
      <c r="AQ61">
        <v>13322.399999999998</v>
      </c>
      <c r="AR61">
        <v>16</v>
      </c>
      <c r="AS61">
        <v>15225.599999999999</v>
      </c>
      <c r="AT61">
        <v>14</v>
      </c>
      <c r="AU61">
        <v>13322.399999999998</v>
      </c>
      <c r="AV61">
        <v>14</v>
      </c>
      <c r="AW61">
        <v>13322.399999999998</v>
      </c>
      <c r="AX61">
        <v>18</v>
      </c>
      <c r="AY61">
        <v>17128.8</v>
      </c>
      <c r="AZ61">
        <v>9</v>
      </c>
      <c r="BA61">
        <v>8564.4</v>
      </c>
      <c r="BB61">
        <v>16</v>
      </c>
      <c r="BC61">
        <v>15225.599999999999</v>
      </c>
      <c r="BD61">
        <v>15</v>
      </c>
      <c r="BE61">
        <v>14273.999999999998</v>
      </c>
      <c r="BF61">
        <v>12</v>
      </c>
      <c r="BG61">
        <v>11419.199999999999</v>
      </c>
      <c r="BH61">
        <v>14</v>
      </c>
      <c r="BI61">
        <v>13322.399999999998</v>
      </c>
      <c r="BJ61">
        <v>15</v>
      </c>
      <c r="BK61">
        <v>14273.999999999998</v>
      </c>
      <c r="BL61">
        <v>14</v>
      </c>
      <c r="BM61">
        <v>13322.399999999998</v>
      </c>
      <c r="BN61">
        <v>18</v>
      </c>
      <c r="BO61">
        <v>17128.8</v>
      </c>
      <c r="BP61">
        <v>15</v>
      </c>
      <c r="BQ61">
        <v>14273.999999999998</v>
      </c>
      <c r="BR61">
        <v>13</v>
      </c>
      <c r="BS61">
        <v>12370.8</v>
      </c>
      <c r="BT61">
        <v>14</v>
      </c>
      <c r="BU61">
        <v>13322.399999999998</v>
      </c>
      <c r="BV61">
        <v>11</v>
      </c>
      <c r="BW61">
        <v>10467.599999999999</v>
      </c>
      <c r="BX61">
        <v>11</v>
      </c>
      <c r="BY61">
        <v>10467.599999999999</v>
      </c>
      <c r="BZ61">
        <v>12</v>
      </c>
      <c r="CA61">
        <v>11419.199999999999</v>
      </c>
      <c r="CB61">
        <v>15</v>
      </c>
      <c r="CC61">
        <v>14273.999999999998</v>
      </c>
      <c r="CD61">
        <v>13</v>
      </c>
      <c r="CE61">
        <v>12370.8</v>
      </c>
      <c r="CF61">
        <v>13</v>
      </c>
      <c r="CG61">
        <v>12370.8</v>
      </c>
      <c r="CH61">
        <v>14</v>
      </c>
      <c r="CI61">
        <v>13322.399999999998</v>
      </c>
      <c r="CJ61">
        <v>16</v>
      </c>
      <c r="CK61">
        <v>15225.599999999999</v>
      </c>
      <c r="CL61">
        <v>12</v>
      </c>
      <c r="CM61">
        <v>11419.199999999999</v>
      </c>
      <c r="CN61">
        <v>11</v>
      </c>
      <c r="CO61">
        <v>10467.599999999999</v>
      </c>
      <c r="CP61">
        <v>14</v>
      </c>
      <c r="CQ61">
        <v>13322.399999999998</v>
      </c>
      <c r="CR61">
        <v>10</v>
      </c>
      <c r="CS61">
        <v>9516</v>
      </c>
      <c r="CT61">
        <v>16</v>
      </c>
      <c r="CU61">
        <v>15225.599999999999</v>
      </c>
    </row>
    <row r="62" spans="2:99" x14ac:dyDescent="0.2">
      <c r="C62" s="119" t="s">
        <v>228</v>
      </c>
      <c r="D62">
        <v>13.648445566886251</v>
      </c>
      <c r="E62">
        <v>23273.329380654435</v>
      </c>
      <c r="F62">
        <v>11</v>
      </c>
      <c r="G62">
        <v>18757.2</v>
      </c>
      <c r="H62">
        <v>13.781488590849825</v>
      </c>
      <c r="I62">
        <v>23500.194345117125</v>
      </c>
      <c r="J62">
        <v>10.68736480873282</v>
      </c>
      <c r="K62">
        <v>18224.094471851204</v>
      </c>
      <c r="L62">
        <v>15</v>
      </c>
      <c r="M62">
        <v>25578</v>
      </c>
      <c r="N62">
        <v>16</v>
      </c>
      <c r="O62">
        <v>27283.200000000001</v>
      </c>
      <c r="P62">
        <v>16</v>
      </c>
      <c r="Q62">
        <v>27283.200000000001</v>
      </c>
      <c r="R62">
        <v>13</v>
      </c>
      <c r="S62">
        <v>22167.600000000002</v>
      </c>
      <c r="T62">
        <v>10</v>
      </c>
      <c r="U62">
        <v>17052</v>
      </c>
      <c r="V62">
        <v>13</v>
      </c>
      <c r="W62">
        <v>22167.600000000002</v>
      </c>
      <c r="X62">
        <v>15</v>
      </c>
      <c r="Y62">
        <v>25578</v>
      </c>
      <c r="Z62">
        <v>13</v>
      </c>
      <c r="AA62">
        <v>22167.600000000002</v>
      </c>
      <c r="AB62">
        <v>17</v>
      </c>
      <c r="AC62">
        <v>28988.400000000001</v>
      </c>
      <c r="AD62">
        <v>15</v>
      </c>
      <c r="AE62">
        <v>25578</v>
      </c>
      <c r="AF62">
        <v>15</v>
      </c>
      <c r="AG62">
        <v>25578</v>
      </c>
      <c r="AH62">
        <v>12</v>
      </c>
      <c r="AI62">
        <v>20462.400000000001</v>
      </c>
      <c r="AJ62">
        <v>12</v>
      </c>
      <c r="AK62">
        <v>20462.400000000001</v>
      </c>
      <c r="AL62">
        <v>15</v>
      </c>
      <c r="AM62">
        <v>25578</v>
      </c>
      <c r="AN62">
        <v>13</v>
      </c>
      <c r="AO62">
        <v>22167.600000000002</v>
      </c>
      <c r="AP62">
        <v>15</v>
      </c>
      <c r="AQ62">
        <v>25578</v>
      </c>
      <c r="AR62">
        <v>17</v>
      </c>
      <c r="AS62">
        <v>28988.400000000001</v>
      </c>
      <c r="AT62">
        <v>15</v>
      </c>
      <c r="AU62">
        <v>25578</v>
      </c>
      <c r="AV62">
        <v>15</v>
      </c>
      <c r="AW62">
        <v>25578</v>
      </c>
      <c r="AX62">
        <v>17</v>
      </c>
      <c r="AY62">
        <v>28988.400000000001</v>
      </c>
      <c r="AZ62">
        <v>8</v>
      </c>
      <c r="BA62">
        <v>13641.6</v>
      </c>
      <c r="BB62">
        <v>14</v>
      </c>
      <c r="BC62">
        <v>23872.799999999999</v>
      </c>
      <c r="BD62">
        <v>13</v>
      </c>
      <c r="BE62">
        <v>22167.600000000002</v>
      </c>
      <c r="BF62">
        <v>11</v>
      </c>
      <c r="BG62">
        <v>18757.2</v>
      </c>
      <c r="BH62">
        <v>13</v>
      </c>
      <c r="BI62">
        <v>22167.600000000002</v>
      </c>
      <c r="BJ62">
        <v>13</v>
      </c>
      <c r="BK62">
        <v>22167.600000000002</v>
      </c>
      <c r="BL62">
        <v>14</v>
      </c>
      <c r="BM62">
        <v>23872.799999999999</v>
      </c>
      <c r="BN62">
        <v>17</v>
      </c>
      <c r="BO62">
        <v>28988.400000000001</v>
      </c>
      <c r="BP62">
        <v>12</v>
      </c>
      <c r="BQ62">
        <v>20462.400000000001</v>
      </c>
      <c r="BR62">
        <v>12</v>
      </c>
      <c r="BS62">
        <v>20462.400000000001</v>
      </c>
      <c r="BT62">
        <v>13</v>
      </c>
      <c r="BU62">
        <v>22167.600000000002</v>
      </c>
      <c r="BV62">
        <v>12</v>
      </c>
      <c r="BW62">
        <v>20462.400000000001</v>
      </c>
      <c r="BX62">
        <v>10</v>
      </c>
      <c r="BY62">
        <v>17052</v>
      </c>
      <c r="BZ62">
        <v>10</v>
      </c>
      <c r="CA62">
        <v>17052</v>
      </c>
      <c r="CB62">
        <v>15</v>
      </c>
      <c r="CC62">
        <v>25578</v>
      </c>
      <c r="CD62">
        <v>13</v>
      </c>
      <c r="CE62">
        <v>22167.600000000002</v>
      </c>
      <c r="CF62">
        <v>12</v>
      </c>
      <c r="CG62">
        <v>20462.400000000001</v>
      </c>
      <c r="CH62">
        <v>13</v>
      </c>
      <c r="CI62">
        <v>22167.600000000002</v>
      </c>
      <c r="CJ62">
        <v>16</v>
      </c>
      <c r="CK62">
        <v>27283.200000000001</v>
      </c>
      <c r="CL62">
        <v>12</v>
      </c>
      <c r="CM62">
        <v>20462.400000000001</v>
      </c>
      <c r="CN62">
        <v>11</v>
      </c>
      <c r="CO62">
        <v>18757.2</v>
      </c>
      <c r="CP62">
        <v>12</v>
      </c>
      <c r="CQ62">
        <v>20462.400000000001</v>
      </c>
      <c r="CR62">
        <v>10</v>
      </c>
      <c r="CS62">
        <v>17052</v>
      </c>
      <c r="CT62">
        <v>16</v>
      </c>
      <c r="CU62">
        <v>27283.200000000001</v>
      </c>
    </row>
    <row r="63" spans="2:99" x14ac:dyDescent="0.2">
      <c r="C63" s="119" t="s">
        <v>229</v>
      </c>
      <c r="D63">
        <v>13.74820642333029</v>
      </c>
      <c r="E63">
        <v>10938.073030401578</v>
      </c>
      <c r="F63">
        <v>14</v>
      </c>
      <c r="G63">
        <v>11138.4</v>
      </c>
      <c r="H63">
        <v>14.827458507958639</v>
      </c>
      <c r="I63">
        <v>11796.725988931894</v>
      </c>
      <c r="J63">
        <v>11.68736480873282</v>
      </c>
      <c r="K63">
        <v>9298.4674418278319</v>
      </c>
      <c r="L63">
        <v>19</v>
      </c>
      <c r="M63">
        <v>15116.4</v>
      </c>
      <c r="N63">
        <v>16</v>
      </c>
      <c r="O63">
        <v>12729.6</v>
      </c>
      <c r="P63">
        <v>17</v>
      </c>
      <c r="Q63">
        <v>13525.2</v>
      </c>
      <c r="R63">
        <v>14</v>
      </c>
      <c r="S63">
        <v>11138.4</v>
      </c>
      <c r="T63">
        <v>12</v>
      </c>
      <c r="U63">
        <v>9547.2000000000007</v>
      </c>
      <c r="V63">
        <v>16</v>
      </c>
      <c r="W63">
        <v>12729.6</v>
      </c>
      <c r="X63">
        <v>17</v>
      </c>
      <c r="Y63">
        <v>13525.2</v>
      </c>
      <c r="Z63">
        <v>13</v>
      </c>
      <c r="AA63">
        <v>10342.800000000001</v>
      </c>
      <c r="AB63">
        <v>18</v>
      </c>
      <c r="AC63">
        <v>14320.800000000001</v>
      </c>
      <c r="AD63">
        <v>19</v>
      </c>
      <c r="AE63">
        <v>15116.4</v>
      </c>
      <c r="AF63">
        <v>18</v>
      </c>
      <c r="AG63">
        <v>14320.800000000001</v>
      </c>
      <c r="AH63">
        <v>13</v>
      </c>
      <c r="AI63">
        <v>10342.800000000001</v>
      </c>
      <c r="AJ63">
        <v>13</v>
      </c>
      <c r="AK63">
        <v>10342.800000000001</v>
      </c>
      <c r="AL63">
        <v>15</v>
      </c>
      <c r="AM63">
        <v>11934</v>
      </c>
      <c r="AN63">
        <v>16</v>
      </c>
      <c r="AO63">
        <v>12729.6</v>
      </c>
      <c r="AP63">
        <v>17</v>
      </c>
      <c r="AQ63">
        <v>13525.2</v>
      </c>
      <c r="AR63">
        <v>18</v>
      </c>
      <c r="AS63">
        <v>14320.800000000001</v>
      </c>
      <c r="AT63">
        <v>16</v>
      </c>
      <c r="AU63">
        <v>12729.6</v>
      </c>
      <c r="AV63">
        <v>15</v>
      </c>
      <c r="AW63">
        <v>11934</v>
      </c>
      <c r="AX63">
        <v>19</v>
      </c>
      <c r="AY63">
        <v>15116.4</v>
      </c>
      <c r="AZ63">
        <v>9</v>
      </c>
      <c r="BA63">
        <v>7160.4000000000005</v>
      </c>
      <c r="BB63">
        <v>16</v>
      </c>
      <c r="BC63">
        <v>12729.6</v>
      </c>
      <c r="BD63">
        <v>16</v>
      </c>
      <c r="BE63">
        <v>12729.6</v>
      </c>
      <c r="BF63">
        <v>12</v>
      </c>
      <c r="BG63">
        <v>9547.2000000000007</v>
      </c>
      <c r="BH63">
        <v>15</v>
      </c>
      <c r="BI63">
        <v>11934</v>
      </c>
      <c r="BJ63">
        <v>15</v>
      </c>
      <c r="BK63">
        <v>11934</v>
      </c>
      <c r="BL63">
        <v>14</v>
      </c>
      <c r="BM63">
        <v>11138.4</v>
      </c>
      <c r="BN63">
        <v>16</v>
      </c>
      <c r="BO63">
        <v>12729.6</v>
      </c>
      <c r="BP63">
        <v>14</v>
      </c>
      <c r="BQ63">
        <v>11138.4</v>
      </c>
      <c r="BR63">
        <v>13</v>
      </c>
      <c r="BS63">
        <v>10342.800000000001</v>
      </c>
      <c r="BT63">
        <v>14</v>
      </c>
      <c r="BU63">
        <v>11138.4</v>
      </c>
      <c r="BV63">
        <v>12</v>
      </c>
      <c r="BW63">
        <v>9547.2000000000007</v>
      </c>
      <c r="BX63">
        <v>13</v>
      </c>
      <c r="BY63">
        <v>10342.800000000001</v>
      </c>
      <c r="BZ63">
        <v>10</v>
      </c>
      <c r="CA63">
        <v>7956</v>
      </c>
      <c r="CB63">
        <v>15</v>
      </c>
      <c r="CC63">
        <v>11934</v>
      </c>
      <c r="CD63">
        <v>12</v>
      </c>
      <c r="CE63">
        <v>9547.2000000000007</v>
      </c>
      <c r="CF63">
        <v>15</v>
      </c>
      <c r="CG63">
        <v>11934</v>
      </c>
      <c r="CH63">
        <v>14</v>
      </c>
      <c r="CI63">
        <v>11138.4</v>
      </c>
      <c r="CJ63">
        <v>16</v>
      </c>
      <c r="CK63">
        <v>12729.6</v>
      </c>
      <c r="CL63">
        <v>14</v>
      </c>
      <c r="CM63">
        <v>11138.4</v>
      </c>
      <c r="CN63">
        <v>10</v>
      </c>
      <c r="CO63">
        <v>7956</v>
      </c>
      <c r="CP63">
        <v>13</v>
      </c>
      <c r="CQ63">
        <v>10342.800000000001</v>
      </c>
      <c r="CR63">
        <v>11</v>
      </c>
      <c r="CS63">
        <v>8751.6</v>
      </c>
      <c r="CT63">
        <v>17</v>
      </c>
      <c r="CU63">
        <v>13525.2</v>
      </c>
    </row>
    <row r="64" spans="2:99" x14ac:dyDescent="0.2">
      <c r="C64" s="119" t="s">
        <v>230</v>
      </c>
      <c r="D64">
        <v>12.598565138664231</v>
      </c>
      <c r="E64">
        <v>12714.471937939939</v>
      </c>
      <c r="F64">
        <v>13</v>
      </c>
      <c r="G64">
        <v>13119.599999999999</v>
      </c>
      <c r="H64">
        <v>13.781488590849825</v>
      </c>
      <c r="I64">
        <v>13908.278285885641</v>
      </c>
      <c r="J64">
        <v>11.736462295070879</v>
      </c>
      <c r="K64">
        <v>11844.43774818553</v>
      </c>
      <c r="L64">
        <v>18</v>
      </c>
      <c r="M64">
        <v>18165.599999999999</v>
      </c>
      <c r="N64">
        <v>18</v>
      </c>
      <c r="O64">
        <v>18165.599999999999</v>
      </c>
      <c r="P64">
        <v>16</v>
      </c>
      <c r="Q64">
        <v>16147.199999999997</v>
      </c>
      <c r="R64">
        <v>14</v>
      </c>
      <c r="S64">
        <v>14128.799999999997</v>
      </c>
      <c r="T64">
        <v>11</v>
      </c>
      <c r="U64">
        <v>11101.199999999997</v>
      </c>
      <c r="V64">
        <v>14</v>
      </c>
      <c r="W64">
        <v>14128.799999999997</v>
      </c>
      <c r="X64">
        <v>15</v>
      </c>
      <c r="Y64">
        <v>15137.999999999996</v>
      </c>
      <c r="Z64">
        <v>13</v>
      </c>
      <c r="AA64">
        <v>13119.599999999999</v>
      </c>
      <c r="AB64">
        <v>17</v>
      </c>
      <c r="AC64">
        <v>17156.399999999998</v>
      </c>
      <c r="AD64">
        <v>19</v>
      </c>
      <c r="AE64">
        <v>19174.799999999996</v>
      </c>
      <c r="AF64">
        <v>17</v>
      </c>
      <c r="AG64">
        <v>17156.399999999998</v>
      </c>
      <c r="AH64">
        <v>13</v>
      </c>
      <c r="AI64">
        <v>13119.599999999999</v>
      </c>
      <c r="AJ64">
        <v>12</v>
      </c>
      <c r="AK64">
        <v>12110.399999999998</v>
      </c>
      <c r="AL64">
        <v>15</v>
      </c>
      <c r="AM64">
        <v>15137.999999999996</v>
      </c>
      <c r="AN64">
        <v>15</v>
      </c>
      <c r="AO64">
        <v>15137.999999999996</v>
      </c>
      <c r="AP64">
        <v>15</v>
      </c>
      <c r="AQ64">
        <v>15137.999999999996</v>
      </c>
      <c r="AR64">
        <v>15</v>
      </c>
      <c r="AS64">
        <v>15137.999999999996</v>
      </c>
      <c r="AT64">
        <v>16</v>
      </c>
      <c r="AU64">
        <v>16147.199999999997</v>
      </c>
      <c r="AV64">
        <v>16</v>
      </c>
      <c r="AW64">
        <v>16147.199999999997</v>
      </c>
      <c r="AX64">
        <v>17</v>
      </c>
      <c r="AY64">
        <v>17156.399999999998</v>
      </c>
      <c r="AZ64">
        <v>10</v>
      </c>
      <c r="BA64">
        <v>10091.999999999998</v>
      </c>
      <c r="BB64">
        <v>14</v>
      </c>
      <c r="BC64">
        <v>14128.799999999997</v>
      </c>
      <c r="BD64">
        <v>15</v>
      </c>
      <c r="BE64">
        <v>15137.999999999996</v>
      </c>
      <c r="BF64">
        <v>12</v>
      </c>
      <c r="BG64">
        <v>12110.399999999998</v>
      </c>
      <c r="BH64">
        <v>14</v>
      </c>
      <c r="BI64">
        <v>14128.799999999997</v>
      </c>
      <c r="BJ64">
        <v>15</v>
      </c>
      <c r="BK64">
        <v>15137.999999999996</v>
      </c>
      <c r="BL64">
        <v>15</v>
      </c>
      <c r="BM64">
        <v>15137.999999999996</v>
      </c>
      <c r="BN64">
        <v>17</v>
      </c>
      <c r="BO64">
        <v>17156.399999999998</v>
      </c>
      <c r="BP64">
        <v>14</v>
      </c>
      <c r="BQ64">
        <v>14128.799999999997</v>
      </c>
      <c r="BR64">
        <v>11</v>
      </c>
      <c r="BS64">
        <v>11101.199999999997</v>
      </c>
      <c r="BT64">
        <v>14</v>
      </c>
      <c r="BU64">
        <v>14128.799999999997</v>
      </c>
      <c r="BV64">
        <v>11</v>
      </c>
      <c r="BW64">
        <v>11101.199999999997</v>
      </c>
      <c r="BX64">
        <v>13</v>
      </c>
      <c r="BY64">
        <v>13119.599999999999</v>
      </c>
      <c r="BZ64">
        <v>12</v>
      </c>
      <c r="CA64">
        <v>12110.399999999998</v>
      </c>
      <c r="CB64">
        <v>14</v>
      </c>
      <c r="CC64">
        <v>14128.799999999997</v>
      </c>
      <c r="CD64">
        <v>13</v>
      </c>
      <c r="CE64">
        <v>13119.599999999999</v>
      </c>
      <c r="CF64">
        <v>13</v>
      </c>
      <c r="CG64">
        <v>13119.599999999999</v>
      </c>
      <c r="CH64">
        <v>14</v>
      </c>
      <c r="CI64">
        <v>14128.799999999997</v>
      </c>
      <c r="CJ64">
        <v>18</v>
      </c>
      <c r="CK64">
        <v>18165.599999999999</v>
      </c>
      <c r="CL64">
        <v>13</v>
      </c>
      <c r="CM64">
        <v>13119.599999999999</v>
      </c>
      <c r="CN64">
        <v>10</v>
      </c>
      <c r="CO64">
        <v>10091.999999999998</v>
      </c>
      <c r="CP64">
        <v>13</v>
      </c>
      <c r="CQ64">
        <v>13119.599999999999</v>
      </c>
      <c r="CR64">
        <v>11</v>
      </c>
      <c r="CS64">
        <v>11101.199999999997</v>
      </c>
      <c r="CT64">
        <v>15</v>
      </c>
      <c r="CU64">
        <v>15137.999999999996</v>
      </c>
    </row>
    <row r="65" spans="2:99" x14ac:dyDescent="0.2">
      <c r="C65" s="119" t="s">
        <v>231</v>
      </c>
      <c r="D65">
        <v>14.648445566886251</v>
      </c>
      <c r="E65">
        <v>15029.305151625293</v>
      </c>
      <c r="F65">
        <v>12</v>
      </c>
      <c r="G65">
        <v>12312</v>
      </c>
      <c r="H65">
        <v>14.919398342176265</v>
      </c>
      <c r="I65">
        <v>15307.302699072849</v>
      </c>
      <c r="J65">
        <v>12.68736480873282</v>
      </c>
      <c r="K65">
        <v>13017.236293759874</v>
      </c>
      <c r="L65">
        <v>17</v>
      </c>
      <c r="M65">
        <v>17442</v>
      </c>
      <c r="N65">
        <v>16</v>
      </c>
      <c r="O65">
        <v>16416</v>
      </c>
      <c r="P65">
        <v>15</v>
      </c>
      <c r="Q65">
        <v>15390</v>
      </c>
      <c r="R65">
        <v>16</v>
      </c>
      <c r="S65">
        <v>16416</v>
      </c>
      <c r="T65">
        <v>11</v>
      </c>
      <c r="U65">
        <v>11286</v>
      </c>
      <c r="V65">
        <v>14</v>
      </c>
      <c r="W65">
        <v>14364</v>
      </c>
      <c r="X65">
        <v>15</v>
      </c>
      <c r="Y65">
        <v>15390</v>
      </c>
      <c r="Z65">
        <v>13</v>
      </c>
      <c r="AA65">
        <v>13338</v>
      </c>
      <c r="AB65">
        <v>18</v>
      </c>
      <c r="AC65">
        <v>18468</v>
      </c>
      <c r="AD65">
        <v>17</v>
      </c>
      <c r="AE65">
        <v>17442</v>
      </c>
      <c r="AF65">
        <v>17</v>
      </c>
      <c r="AG65">
        <v>17442</v>
      </c>
      <c r="AH65">
        <v>12</v>
      </c>
      <c r="AI65">
        <v>12312</v>
      </c>
      <c r="AJ65">
        <v>12</v>
      </c>
      <c r="AK65">
        <v>12312</v>
      </c>
      <c r="AL65">
        <v>15</v>
      </c>
      <c r="AM65">
        <v>15390</v>
      </c>
      <c r="AN65">
        <v>15</v>
      </c>
      <c r="AO65">
        <v>15390</v>
      </c>
      <c r="AP65">
        <v>15</v>
      </c>
      <c r="AQ65">
        <v>15390</v>
      </c>
      <c r="AR65">
        <v>17</v>
      </c>
      <c r="AS65">
        <v>17442</v>
      </c>
      <c r="AT65">
        <v>16</v>
      </c>
      <c r="AU65">
        <v>16416</v>
      </c>
      <c r="AV65">
        <v>15</v>
      </c>
      <c r="AW65">
        <v>15390</v>
      </c>
      <c r="AX65">
        <v>19</v>
      </c>
      <c r="AY65">
        <v>19494</v>
      </c>
      <c r="AZ65">
        <v>9</v>
      </c>
      <c r="BA65">
        <v>9234</v>
      </c>
      <c r="BB65">
        <v>13</v>
      </c>
      <c r="BC65">
        <v>13338</v>
      </c>
      <c r="BD65">
        <v>15</v>
      </c>
      <c r="BE65">
        <v>15390</v>
      </c>
      <c r="BF65">
        <v>10</v>
      </c>
      <c r="BG65">
        <v>10260</v>
      </c>
      <c r="BH65">
        <v>14</v>
      </c>
      <c r="BI65">
        <v>14364</v>
      </c>
      <c r="BJ65">
        <v>14</v>
      </c>
      <c r="BK65">
        <v>14364</v>
      </c>
      <c r="BL65">
        <v>16</v>
      </c>
      <c r="BM65">
        <v>16416</v>
      </c>
      <c r="BN65">
        <v>18</v>
      </c>
      <c r="BO65">
        <v>18468</v>
      </c>
      <c r="BP65">
        <v>13</v>
      </c>
      <c r="BQ65">
        <v>13338</v>
      </c>
      <c r="BR65">
        <v>12</v>
      </c>
      <c r="BS65">
        <v>12312</v>
      </c>
      <c r="BT65">
        <v>14</v>
      </c>
      <c r="BU65">
        <v>14364</v>
      </c>
      <c r="BV65">
        <v>12</v>
      </c>
      <c r="BW65">
        <v>12312</v>
      </c>
      <c r="BX65">
        <v>13</v>
      </c>
      <c r="BY65">
        <v>13338</v>
      </c>
      <c r="BZ65">
        <v>10</v>
      </c>
      <c r="CA65">
        <v>10260</v>
      </c>
      <c r="CB65">
        <v>16</v>
      </c>
      <c r="CC65">
        <v>16416</v>
      </c>
      <c r="CD65">
        <v>14</v>
      </c>
      <c r="CE65">
        <v>14364</v>
      </c>
      <c r="CF65">
        <v>14</v>
      </c>
      <c r="CG65">
        <v>14364</v>
      </c>
      <c r="CH65">
        <v>14</v>
      </c>
      <c r="CI65">
        <v>14364</v>
      </c>
      <c r="CJ65">
        <v>19</v>
      </c>
      <c r="CK65">
        <v>19494</v>
      </c>
      <c r="CL65">
        <v>12</v>
      </c>
      <c r="CM65">
        <v>12312</v>
      </c>
      <c r="CN65">
        <v>11</v>
      </c>
      <c r="CO65">
        <v>11286</v>
      </c>
      <c r="CP65">
        <v>14</v>
      </c>
      <c r="CQ65">
        <v>14364</v>
      </c>
      <c r="CR65">
        <v>10</v>
      </c>
      <c r="CS65">
        <v>10260</v>
      </c>
      <c r="CT65">
        <v>15</v>
      </c>
      <c r="CU65">
        <v>15390</v>
      </c>
    </row>
    <row r="66" spans="2:99" x14ac:dyDescent="0.2">
      <c r="C66" s="119" t="s">
        <v>232</v>
      </c>
      <c r="D66">
        <v>12.598565138664231</v>
      </c>
      <c r="E66">
        <v>14997.331941065899</v>
      </c>
      <c r="F66">
        <v>13</v>
      </c>
      <c r="G66">
        <v>15475.199999999999</v>
      </c>
      <c r="H66">
        <v>13.827458507958639</v>
      </c>
      <c r="I66">
        <v>16460.206607873963</v>
      </c>
      <c r="J66">
        <v>11.68736480873282</v>
      </c>
      <c r="K66">
        <v>13912.639068315548</v>
      </c>
      <c r="L66">
        <v>17</v>
      </c>
      <c r="M66">
        <v>20236.8</v>
      </c>
      <c r="N66">
        <v>15</v>
      </c>
      <c r="O66">
        <v>17855.999999999996</v>
      </c>
      <c r="P66">
        <v>15</v>
      </c>
      <c r="Q66">
        <v>17855.999999999996</v>
      </c>
      <c r="R66">
        <v>13</v>
      </c>
      <c r="S66">
        <v>15475.199999999999</v>
      </c>
      <c r="T66">
        <v>10</v>
      </c>
      <c r="U66">
        <v>11903.999999999998</v>
      </c>
      <c r="V66">
        <v>15</v>
      </c>
      <c r="W66">
        <v>17855.999999999996</v>
      </c>
      <c r="X66">
        <v>15</v>
      </c>
      <c r="Y66">
        <v>17855.999999999996</v>
      </c>
      <c r="Z66">
        <v>14</v>
      </c>
      <c r="AA66">
        <v>16665.599999999999</v>
      </c>
      <c r="AB66">
        <v>18</v>
      </c>
      <c r="AC66">
        <v>21427.199999999997</v>
      </c>
      <c r="AD66">
        <v>19</v>
      </c>
      <c r="AE66">
        <v>22617.599999999999</v>
      </c>
      <c r="AF66">
        <v>17</v>
      </c>
      <c r="AG66">
        <v>20236.8</v>
      </c>
      <c r="AH66">
        <v>13</v>
      </c>
      <c r="AI66">
        <v>15475.199999999999</v>
      </c>
      <c r="AJ66">
        <v>12</v>
      </c>
      <c r="AK66">
        <v>14284.8</v>
      </c>
      <c r="AL66">
        <v>14</v>
      </c>
      <c r="AM66">
        <v>16665.599999999999</v>
      </c>
      <c r="AN66">
        <v>14</v>
      </c>
      <c r="AO66">
        <v>16665.599999999999</v>
      </c>
      <c r="AP66">
        <v>15</v>
      </c>
      <c r="AQ66">
        <v>17855.999999999996</v>
      </c>
      <c r="AR66">
        <v>17</v>
      </c>
      <c r="AS66">
        <v>20236.8</v>
      </c>
      <c r="AT66">
        <v>14</v>
      </c>
      <c r="AU66">
        <v>16665.599999999999</v>
      </c>
      <c r="AV66">
        <v>14</v>
      </c>
      <c r="AW66">
        <v>16665.599999999999</v>
      </c>
      <c r="AX66">
        <v>19</v>
      </c>
      <c r="AY66">
        <v>22617.599999999999</v>
      </c>
      <c r="AZ66">
        <v>8</v>
      </c>
      <c r="BA66">
        <v>9523.1999999999989</v>
      </c>
      <c r="BB66">
        <v>14</v>
      </c>
      <c r="BC66">
        <v>16665.599999999999</v>
      </c>
      <c r="BD66">
        <v>13</v>
      </c>
      <c r="BE66">
        <v>15475.199999999999</v>
      </c>
      <c r="BF66">
        <v>10</v>
      </c>
      <c r="BG66">
        <v>11903.999999999998</v>
      </c>
      <c r="BH66">
        <v>14</v>
      </c>
      <c r="BI66">
        <v>16665.599999999999</v>
      </c>
      <c r="BJ66">
        <v>12</v>
      </c>
      <c r="BK66">
        <v>14284.8</v>
      </c>
      <c r="BL66">
        <v>14</v>
      </c>
      <c r="BM66">
        <v>16665.599999999999</v>
      </c>
      <c r="BN66">
        <v>15</v>
      </c>
      <c r="BO66">
        <v>17855.999999999996</v>
      </c>
      <c r="BP66">
        <v>14</v>
      </c>
      <c r="BQ66">
        <v>16665.599999999999</v>
      </c>
      <c r="BR66">
        <v>11</v>
      </c>
      <c r="BS66">
        <v>13094.399999999998</v>
      </c>
      <c r="BT66">
        <v>13</v>
      </c>
      <c r="BU66">
        <v>15475.199999999999</v>
      </c>
      <c r="BV66">
        <v>12</v>
      </c>
      <c r="BW66">
        <v>14284.8</v>
      </c>
      <c r="BX66">
        <v>11</v>
      </c>
      <c r="BY66">
        <v>13094.399999999998</v>
      </c>
      <c r="BZ66">
        <v>10</v>
      </c>
      <c r="CA66">
        <v>11903.999999999998</v>
      </c>
      <c r="CB66">
        <v>14</v>
      </c>
      <c r="CC66">
        <v>16665.599999999999</v>
      </c>
      <c r="CD66">
        <v>13</v>
      </c>
      <c r="CE66">
        <v>15475.199999999999</v>
      </c>
      <c r="CF66">
        <v>13</v>
      </c>
      <c r="CG66">
        <v>15475.199999999999</v>
      </c>
      <c r="CH66">
        <v>13</v>
      </c>
      <c r="CI66">
        <v>15475.199999999999</v>
      </c>
      <c r="CJ66">
        <v>16</v>
      </c>
      <c r="CK66">
        <v>19046.399999999998</v>
      </c>
      <c r="CL66">
        <v>12</v>
      </c>
      <c r="CM66">
        <v>14284.8</v>
      </c>
      <c r="CN66">
        <v>11</v>
      </c>
      <c r="CO66">
        <v>13094.399999999998</v>
      </c>
      <c r="CP66">
        <v>13</v>
      </c>
      <c r="CQ66">
        <v>15475.199999999999</v>
      </c>
      <c r="CR66">
        <v>10</v>
      </c>
      <c r="CS66">
        <v>11903.999999999998</v>
      </c>
      <c r="CT66">
        <v>18</v>
      </c>
      <c r="CU66">
        <v>21427.199999999997</v>
      </c>
    </row>
    <row r="67" spans="2:99" x14ac:dyDescent="0.2">
      <c r="C67" s="119" t="s">
        <v>233</v>
      </c>
      <c r="D67">
        <v>13.69832599510827</v>
      </c>
      <c r="E67">
        <v>15385.95975770561</v>
      </c>
      <c r="F67">
        <v>13</v>
      </c>
      <c r="G67">
        <v>14601.6</v>
      </c>
      <c r="H67">
        <v>13.873428425067452</v>
      </c>
      <c r="I67">
        <v>15582.634807035764</v>
      </c>
      <c r="J67">
        <v>12.68736480873282</v>
      </c>
      <c r="K67">
        <v>14250.448153168703</v>
      </c>
      <c r="L67">
        <v>17</v>
      </c>
      <c r="M67">
        <v>19094.400000000001</v>
      </c>
      <c r="N67">
        <v>16</v>
      </c>
      <c r="O67">
        <v>17971.2</v>
      </c>
      <c r="P67">
        <v>17</v>
      </c>
      <c r="Q67">
        <v>19094.400000000001</v>
      </c>
      <c r="R67">
        <v>13</v>
      </c>
      <c r="S67">
        <v>14601.6</v>
      </c>
      <c r="T67">
        <v>10</v>
      </c>
      <c r="U67">
        <v>11232</v>
      </c>
      <c r="V67">
        <v>13</v>
      </c>
      <c r="W67">
        <v>14601.6</v>
      </c>
      <c r="X67">
        <v>14</v>
      </c>
      <c r="Y67">
        <v>15724.800000000001</v>
      </c>
      <c r="Z67">
        <v>14</v>
      </c>
      <c r="AA67">
        <v>15724.800000000001</v>
      </c>
      <c r="AB67">
        <v>19</v>
      </c>
      <c r="AC67">
        <v>21340.799999999999</v>
      </c>
      <c r="AD67">
        <v>17</v>
      </c>
      <c r="AE67">
        <v>19094.400000000001</v>
      </c>
      <c r="AF67">
        <v>18</v>
      </c>
      <c r="AG67">
        <v>20217.600000000002</v>
      </c>
      <c r="AH67">
        <v>13</v>
      </c>
      <c r="AI67">
        <v>14601.6</v>
      </c>
      <c r="AJ67">
        <v>12</v>
      </c>
      <c r="AK67">
        <v>13478.400000000001</v>
      </c>
      <c r="AL67">
        <v>14</v>
      </c>
      <c r="AM67">
        <v>15724.800000000001</v>
      </c>
      <c r="AN67">
        <v>15</v>
      </c>
      <c r="AO67">
        <v>16848</v>
      </c>
      <c r="AP67">
        <v>15</v>
      </c>
      <c r="AQ67">
        <v>16848</v>
      </c>
      <c r="AR67">
        <v>15</v>
      </c>
      <c r="AS67">
        <v>16848</v>
      </c>
      <c r="AT67">
        <v>15</v>
      </c>
      <c r="AU67">
        <v>16848</v>
      </c>
      <c r="AV67">
        <v>16</v>
      </c>
      <c r="AW67">
        <v>17971.2</v>
      </c>
      <c r="AX67">
        <v>18</v>
      </c>
      <c r="AY67">
        <v>20217.600000000002</v>
      </c>
      <c r="AZ67">
        <v>10</v>
      </c>
      <c r="BA67">
        <v>11232</v>
      </c>
      <c r="BB67">
        <v>14</v>
      </c>
      <c r="BC67">
        <v>15724.800000000001</v>
      </c>
      <c r="BD67">
        <v>14</v>
      </c>
      <c r="BE67">
        <v>15724.800000000001</v>
      </c>
      <c r="BF67">
        <v>11</v>
      </c>
      <c r="BG67">
        <v>12355.2</v>
      </c>
      <c r="BH67">
        <v>14</v>
      </c>
      <c r="BI67">
        <v>15724.800000000001</v>
      </c>
      <c r="BJ67">
        <v>14</v>
      </c>
      <c r="BK67">
        <v>15724.800000000001</v>
      </c>
      <c r="BL67">
        <v>15</v>
      </c>
      <c r="BM67">
        <v>16848</v>
      </c>
      <c r="BN67">
        <v>19</v>
      </c>
      <c r="BO67">
        <v>21340.799999999999</v>
      </c>
      <c r="BP67">
        <v>13</v>
      </c>
      <c r="BQ67">
        <v>14601.6</v>
      </c>
      <c r="BR67">
        <v>13</v>
      </c>
      <c r="BS67">
        <v>14601.6</v>
      </c>
      <c r="BT67">
        <v>14</v>
      </c>
      <c r="BU67">
        <v>15724.800000000001</v>
      </c>
      <c r="BV67">
        <v>12</v>
      </c>
      <c r="BW67">
        <v>13478.400000000001</v>
      </c>
      <c r="BX67">
        <v>11</v>
      </c>
      <c r="BY67">
        <v>12355.2</v>
      </c>
      <c r="BZ67">
        <v>11</v>
      </c>
      <c r="CA67">
        <v>12355.2</v>
      </c>
      <c r="CB67">
        <v>15</v>
      </c>
      <c r="CC67">
        <v>16848</v>
      </c>
      <c r="CD67">
        <v>12</v>
      </c>
      <c r="CE67">
        <v>13478.400000000001</v>
      </c>
      <c r="CF67">
        <v>12</v>
      </c>
      <c r="CG67">
        <v>13478.400000000001</v>
      </c>
      <c r="CH67">
        <v>12</v>
      </c>
      <c r="CI67">
        <v>13478.400000000001</v>
      </c>
      <c r="CJ67">
        <v>18</v>
      </c>
      <c r="CK67">
        <v>20217.600000000002</v>
      </c>
      <c r="CL67">
        <v>14</v>
      </c>
      <c r="CM67">
        <v>15724.800000000001</v>
      </c>
      <c r="CN67">
        <v>11</v>
      </c>
      <c r="CO67">
        <v>12355.2</v>
      </c>
      <c r="CP67">
        <v>14</v>
      </c>
      <c r="CQ67">
        <v>15724.800000000001</v>
      </c>
      <c r="CR67">
        <v>9</v>
      </c>
      <c r="CS67">
        <v>10108.800000000001</v>
      </c>
      <c r="CT67">
        <v>16</v>
      </c>
      <c r="CU67">
        <v>17971.2</v>
      </c>
    </row>
    <row r="68" spans="2:99" x14ac:dyDescent="0.2">
      <c r="C68" s="119" t="s">
        <v>234</v>
      </c>
      <c r="D68">
        <v>12.598565138664231</v>
      </c>
      <c r="E68">
        <v>13016.837501267884</v>
      </c>
      <c r="F68">
        <v>13</v>
      </c>
      <c r="G68">
        <v>13431.6</v>
      </c>
      <c r="H68">
        <v>14.827458507958639</v>
      </c>
      <c r="I68">
        <v>15319.730130422866</v>
      </c>
      <c r="J68">
        <v>11.736462295070879</v>
      </c>
      <c r="K68">
        <v>12126.112843267232</v>
      </c>
      <c r="L68">
        <v>17</v>
      </c>
      <c r="M68">
        <v>17564.400000000001</v>
      </c>
      <c r="N68">
        <v>17</v>
      </c>
      <c r="O68">
        <v>17564.400000000001</v>
      </c>
      <c r="P68">
        <v>17</v>
      </c>
      <c r="Q68">
        <v>17564.400000000001</v>
      </c>
      <c r="R68">
        <v>15</v>
      </c>
      <c r="S68">
        <v>15498</v>
      </c>
      <c r="T68">
        <v>11</v>
      </c>
      <c r="U68">
        <v>11365.2</v>
      </c>
      <c r="V68">
        <v>15</v>
      </c>
      <c r="W68">
        <v>15498</v>
      </c>
      <c r="X68">
        <v>15</v>
      </c>
      <c r="Y68">
        <v>15498</v>
      </c>
      <c r="Z68">
        <v>14</v>
      </c>
      <c r="AA68">
        <v>14464.800000000001</v>
      </c>
      <c r="AB68">
        <v>17</v>
      </c>
      <c r="AC68">
        <v>17564.400000000001</v>
      </c>
      <c r="AD68">
        <v>18</v>
      </c>
      <c r="AE68">
        <v>18597.600000000002</v>
      </c>
      <c r="AF68">
        <v>16</v>
      </c>
      <c r="AG68">
        <v>16531.2</v>
      </c>
      <c r="AH68">
        <v>12</v>
      </c>
      <c r="AI68">
        <v>12398.400000000001</v>
      </c>
      <c r="AJ68">
        <v>11</v>
      </c>
      <c r="AK68">
        <v>11365.2</v>
      </c>
      <c r="AL68">
        <v>16</v>
      </c>
      <c r="AM68">
        <v>16531.2</v>
      </c>
      <c r="AN68">
        <v>13</v>
      </c>
      <c r="AO68">
        <v>13431.6</v>
      </c>
      <c r="AP68">
        <v>16</v>
      </c>
      <c r="AQ68">
        <v>16531.2</v>
      </c>
      <c r="AR68">
        <v>17</v>
      </c>
      <c r="AS68">
        <v>17564.400000000001</v>
      </c>
      <c r="AT68">
        <v>16</v>
      </c>
      <c r="AU68">
        <v>16531.2</v>
      </c>
      <c r="AV68">
        <v>16</v>
      </c>
      <c r="AW68">
        <v>16531.2</v>
      </c>
      <c r="AX68">
        <v>18</v>
      </c>
      <c r="AY68">
        <v>18597.600000000002</v>
      </c>
      <c r="AZ68">
        <v>9</v>
      </c>
      <c r="BA68">
        <v>9298.8000000000011</v>
      </c>
      <c r="BB68">
        <v>15</v>
      </c>
      <c r="BC68">
        <v>15498</v>
      </c>
      <c r="BD68">
        <v>15</v>
      </c>
      <c r="BE68">
        <v>15498</v>
      </c>
      <c r="BF68">
        <v>12</v>
      </c>
      <c r="BG68">
        <v>12398.400000000001</v>
      </c>
      <c r="BH68">
        <v>13</v>
      </c>
      <c r="BI68">
        <v>13431.6</v>
      </c>
      <c r="BJ68">
        <v>13</v>
      </c>
      <c r="BK68">
        <v>13431.6</v>
      </c>
      <c r="BL68">
        <v>16</v>
      </c>
      <c r="BM68">
        <v>16531.2</v>
      </c>
      <c r="BN68">
        <v>19</v>
      </c>
      <c r="BO68">
        <v>19630.8</v>
      </c>
      <c r="BP68">
        <v>13</v>
      </c>
      <c r="BQ68">
        <v>13431.6</v>
      </c>
      <c r="BR68">
        <v>12</v>
      </c>
      <c r="BS68">
        <v>12398.400000000001</v>
      </c>
      <c r="BT68">
        <v>12</v>
      </c>
      <c r="BU68">
        <v>12398.400000000001</v>
      </c>
      <c r="BV68">
        <v>12</v>
      </c>
      <c r="BW68">
        <v>12398.400000000001</v>
      </c>
      <c r="BX68">
        <v>11</v>
      </c>
      <c r="BY68">
        <v>11365.2</v>
      </c>
      <c r="BZ68">
        <v>10</v>
      </c>
      <c r="CA68">
        <v>10332</v>
      </c>
      <c r="CB68">
        <v>14</v>
      </c>
      <c r="CC68">
        <v>14464.800000000001</v>
      </c>
      <c r="CD68">
        <v>13</v>
      </c>
      <c r="CE68">
        <v>13431.6</v>
      </c>
      <c r="CF68">
        <v>13</v>
      </c>
      <c r="CG68">
        <v>13431.6</v>
      </c>
      <c r="CH68">
        <v>13</v>
      </c>
      <c r="CI68">
        <v>13431.6</v>
      </c>
      <c r="CJ68">
        <v>16</v>
      </c>
      <c r="CK68">
        <v>16531.2</v>
      </c>
      <c r="CL68">
        <v>13</v>
      </c>
      <c r="CM68">
        <v>13431.6</v>
      </c>
      <c r="CN68">
        <v>10</v>
      </c>
      <c r="CO68">
        <v>10332</v>
      </c>
      <c r="CP68">
        <v>13</v>
      </c>
      <c r="CQ68">
        <v>13431.6</v>
      </c>
      <c r="CR68">
        <v>10</v>
      </c>
      <c r="CS68">
        <v>10332</v>
      </c>
      <c r="CT68">
        <v>17</v>
      </c>
      <c r="CU68">
        <v>17564.400000000001</v>
      </c>
    </row>
    <row r="69" spans="2:99" x14ac:dyDescent="0.2">
      <c r="C69" s="119" t="s">
        <v>235</v>
      </c>
      <c r="D69">
        <v>11.69832599510827</v>
      </c>
      <c r="E69">
        <v>8872.0104346901117</v>
      </c>
      <c r="F69">
        <v>13</v>
      </c>
      <c r="G69">
        <v>9859.1999999999989</v>
      </c>
      <c r="H69">
        <v>15.965368259285079</v>
      </c>
      <c r="I69">
        <v>12108.135287841804</v>
      </c>
      <c r="J69">
        <v>12.736462295070879</v>
      </c>
      <c r="K69">
        <v>9659.3330045817547</v>
      </c>
      <c r="L69">
        <v>17</v>
      </c>
      <c r="M69">
        <v>12892.8</v>
      </c>
      <c r="N69">
        <v>16</v>
      </c>
      <c r="O69">
        <v>12134.4</v>
      </c>
      <c r="P69">
        <v>17</v>
      </c>
      <c r="Q69">
        <v>12892.8</v>
      </c>
      <c r="R69">
        <v>16</v>
      </c>
      <c r="S69">
        <v>12134.4</v>
      </c>
      <c r="T69">
        <v>11</v>
      </c>
      <c r="U69">
        <v>8342.4</v>
      </c>
      <c r="V69">
        <v>14</v>
      </c>
      <c r="W69">
        <v>10617.6</v>
      </c>
      <c r="X69">
        <v>17</v>
      </c>
      <c r="Y69">
        <v>12892.8</v>
      </c>
      <c r="Z69">
        <v>15</v>
      </c>
      <c r="AA69">
        <v>11376</v>
      </c>
      <c r="AB69">
        <v>17</v>
      </c>
      <c r="AC69">
        <v>12892.8</v>
      </c>
      <c r="AD69">
        <v>20</v>
      </c>
      <c r="AE69">
        <v>15168</v>
      </c>
      <c r="AF69">
        <v>17</v>
      </c>
      <c r="AG69">
        <v>12892.8</v>
      </c>
      <c r="AH69">
        <v>13</v>
      </c>
      <c r="AI69">
        <v>9859.1999999999989</v>
      </c>
      <c r="AJ69">
        <v>12</v>
      </c>
      <c r="AK69">
        <v>9100.7999999999993</v>
      </c>
      <c r="AL69">
        <v>16</v>
      </c>
      <c r="AM69">
        <v>12134.4</v>
      </c>
      <c r="AN69">
        <v>14</v>
      </c>
      <c r="AO69">
        <v>10617.6</v>
      </c>
      <c r="AP69">
        <v>14</v>
      </c>
      <c r="AQ69">
        <v>10617.6</v>
      </c>
      <c r="AR69">
        <v>19</v>
      </c>
      <c r="AS69">
        <v>14409.6</v>
      </c>
      <c r="AT69">
        <v>17</v>
      </c>
      <c r="AU69">
        <v>12892.8</v>
      </c>
      <c r="AV69">
        <v>15</v>
      </c>
      <c r="AW69">
        <v>11376</v>
      </c>
      <c r="AX69">
        <v>20</v>
      </c>
      <c r="AY69">
        <v>15168</v>
      </c>
      <c r="AZ69">
        <v>10</v>
      </c>
      <c r="BA69">
        <v>7584</v>
      </c>
      <c r="BB69">
        <v>16</v>
      </c>
      <c r="BC69">
        <v>12134.4</v>
      </c>
      <c r="BD69">
        <v>14</v>
      </c>
      <c r="BE69">
        <v>10617.6</v>
      </c>
      <c r="BF69">
        <v>12</v>
      </c>
      <c r="BG69">
        <v>9100.7999999999993</v>
      </c>
      <c r="BH69">
        <v>15</v>
      </c>
      <c r="BI69">
        <v>11376</v>
      </c>
      <c r="BJ69">
        <v>13</v>
      </c>
      <c r="BK69">
        <v>9859.1999999999989</v>
      </c>
      <c r="BL69">
        <v>14</v>
      </c>
      <c r="BM69">
        <v>10617.6</v>
      </c>
      <c r="BN69">
        <v>16</v>
      </c>
      <c r="BO69">
        <v>12134.4</v>
      </c>
      <c r="BP69">
        <v>13</v>
      </c>
      <c r="BQ69">
        <v>9859.1999999999989</v>
      </c>
      <c r="BR69">
        <v>12</v>
      </c>
      <c r="BS69">
        <v>9100.7999999999993</v>
      </c>
      <c r="BT69">
        <v>14</v>
      </c>
      <c r="BU69">
        <v>10617.6</v>
      </c>
      <c r="BV69">
        <v>11</v>
      </c>
      <c r="BW69">
        <v>8342.4</v>
      </c>
      <c r="BX69">
        <v>11</v>
      </c>
      <c r="BY69">
        <v>8342.4</v>
      </c>
      <c r="BZ69">
        <v>11</v>
      </c>
      <c r="CA69">
        <v>8342.4</v>
      </c>
      <c r="CB69">
        <v>14</v>
      </c>
      <c r="CC69">
        <v>10617.6</v>
      </c>
      <c r="CD69">
        <v>14</v>
      </c>
      <c r="CE69">
        <v>10617.6</v>
      </c>
      <c r="CF69">
        <v>15</v>
      </c>
      <c r="CG69">
        <v>11376</v>
      </c>
      <c r="CH69">
        <v>13</v>
      </c>
      <c r="CI69">
        <v>9859.1999999999989</v>
      </c>
      <c r="CJ69">
        <v>16</v>
      </c>
      <c r="CK69">
        <v>12134.4</v>
      </c>
      <c r="CL69">
        <v>13</v>
      </c>
      <c r="CM69">
        <v>9859.1999999999989</v>
      </c>
      <c r="CN69">
        <v>11</v>
      </c>
      <c r="CO69">
        <v>8342.4</v>
      </c>
      <c r="CP69">
        <v>15</v>
      </c>
      <c r="CQ69">
        <v>11376</v>
      </c>
      <c r="CR69">
        <v>10</v>
      </c>
      <c r="CS69">
        <v>7584</v>
      </c>
      <c r="CT69">
        <v>17</v>
      </c>
      <c r="CU69">
        <v>12892.8</v>
      </c>
    </row>
    <row r="70" spans="2:99" x14ac:dyDescent="0.2">
      <c r="C70" s="119" t="s">
        <v>236</v>
      </c>
      <c r="D70">
        <v>14.69832599510827</v>
      </c>
      <c r="E70">
        <v>7866.5440725819453</v>
      </c>
      <c r="F70">
        <v>14</v>
      </c>
      <c r="G70">
        <v>7492.7999999999993</v>
      </c>
      <c r="H70">
        <v>15.919398342176265</v>
      </c>
      <c r="I70">
        <v>8520.0619927327352</v>
      </c>
      <c r="J70">
        <v>13.785559781408937</v>
      </c>
      <c r="K70">
        <v>7378.0315950100621</v>
      </c>
      <c r="L70">
        <v>19</v>
      </c>
      <c r="M70">
        <v>10168.799999999999</v>
      </c>
      <c r="N70">
        <v>19</v>
      </c>
      <c r="O70">
        <v>10168.799999999999</v>
      </c>
      <c r="P70">
        <v>17</v>
      </c>
      <c r="Q70">
        <v>9098.4</v>
      </c>
      <c r="R70">
        <v>15</v>
      </c>
      <c r="S70">
        <v>8027.9999999999991</v>
      </c>
      <c r="T70">
        <v>12</v>
      </c>
      <c r="U70">
        <v>6422.4</v>
      </c>
      <c r="V70">
        <v>14</v>
      </c>
      <c r="W70">
        <v>7492.7999999999993</v>
      </c>
      <c r="X70">
        <v>15</v>
      </c>
      <c r="Y70">
        <v>8027.9999999999991</v>
      </c>
      <c r="Z70">
        <v>14</v>
      </c>
      <c r="AA70">
        <v>7492.7999999999993</v>
      </c>
      <c r="AB70">
        <v>18</v>
      </c>
      <c r="AC70">
        <v>9633.5999999999985</v>
      </c>
      <c r="AD70">
        <v>19</v>
      </c>
      <c r="AE70">
        <v>10168.799999999999</v>
      </c>
      <c r="AF70">
        <v>20</v>
      </c>
      <c r="AG70">
        <v>10703.999999999998</v>
      </c>
      <c r="AH70">
        <v>13</v>
      </c>
      <c r="AI70">
        <v>6957.5999999999995</v>
      </c>
      <c r="AJ70">
        <v>14</v>
      </c>
      <c r="AK70">
        <v>7492.7999999999993</v>
      </c>
      <c r="AL70">
        <v>16</v>
      </c>
      <c r="AM70">
        <v>8563.1999999999989</v>
      </c>
      <c r="AN70">
        <v>14</v>
      </c>
      <c r="AO70">
        <v>7492.7999999999993</v>
      </c>
      <c r="AP70">
        <v>15</v>
      </c>
      <c r="AQ70">
        <v>8027.9999999999991</v>
      </c>
      <c r="AR70">
        <v>18</v>
      </c>
      <c r="AS70">
        <v>9633.5999999999985</v>
      </c>
      <c r="AT70">
        <v>17</v>
      </c>
      <c r="AU70">
        <v>9098.4</v>
      </c>
      <c r="AV70">
        <v>15</v>
      </c>
      <c r="AW70">
        <v>8027.9999999999991</v>
      </c>
      <c r="AX70">
        <v>18</v>
      </c>
      <c r="AY70">
        <v>9633.5999999999985</v>
      </c>
      <c r="AZ70">
        <v>10</v>
      </c>
      <c r="BA70">
        <v>5351.9999999999991</v>
      </c>
      <c r="BB70">
        <v>16</v>
      </c>
      <c r="BC70">
        <v>8563.1999999999989</v>
      </c>
      <c r="BD70">
        <v>14</v>
      </c>
      <c r="BE70">
        <v>7492.7999999999993</v>
      </c>
      <c r="BF70">
        <v>11</v>
      </c>
      <c r="BG70">
        <v>5887.1999999999989</v>
      </c>
      <c r="BH70">
        <v>15</v>
      </c>
      <c r="BI70">
        <v>8027.9999999999991</v>
      </c>
      <c r="BJ70">
        <v>14</v>
      </c>
      <c r="BK70">
        <v>7492.7999999999993</v>
      </c>
      <c r="BL70">
        <v>17</v>
      </c>
      <c r="BM70">
        <v>9098.4</v>
      </c>
      <c r="BN70">
        <v>18</v>
      </c>
      <c r="BO70">
        <v>9633.5999999999985</v>
      </c>
      <c r="BP70">
        <v>14</v>
      </c>
      <c r="BQ70">
        <v>7492.7999999999993</v>
      </c>
      <c r="BR70">
        <v>14</v>
      </c>
      <c r="BS70">
        <v>7492.7999999999993</v>
      </c>
      <c r="BT70">
        <v>13</v>
      </c>
      <c r="BU70">
        <v>6957.5999999999995</v>
      </c>
      <c r="BV70">
        <v>11</v>
      </c>
      <c r="BW70">
        <v>5887.1999999999989</v>
      </c>
      <c r="BX70">
        <v>14</v>
      </c>
      <c r="BY70">
        <v>7492.7999999999993</v>
      </c>
      <c r="BZ70">
        <v>11</v>
      </c>
      <c r="CA70">
        <v>5887.1999999999989</v>
      </c>
      <c r="CB70">
        <v>15</v>
      </c>
      <c r="CC70">
        <v>8027.9999999999991</v>
      </c>
      <c r="CD70">
        <v>12</v>
      </c>
      <c r="CE70">
        <v>6422.4</v>
      </c>
      <c r="CF70">
        <v>15</v>
      </c>
      <c r="CG70">
        <v>8027.9999999999991</v>
      </c>
      <c r="CH70">
        <v>14</v>
      </c>
      <c r="CI70">
        <v>7492.7999999999993</v>
      </c>
      <c r="CJ70">
        <v>17</v>
      </c>
      <c r="CK70">
        <v>9098.4</v>
      </c>
      <c r="CL70">
        <v>13</v>
      </c>
      <c r="CM70">
        <v>6957.5999999999995</v>
      </c>
      <c r="CN70">
        <v>13</v>
      </c>
      <c r="CO70">
        <v>6957.5999999999995</v>
      </c>
      <c r="CP70">
        <v>14</v>
      </c>
      <c r="CQ70">
        <v>7492.7999999999993</v>
      </c>
      <c r="CR70">
        <v>10</v>
      </c>
      <c r="CS70">
        <v>5351.9999999999991</v>
      </c>
      <c r="CT70">
        <v>19</v>
      </c>
      <c r="CU70">
        <v>10168.799999999999</v>
      </c>
    </row>
    <row r="71" spans="2:99" x14ac:dyDescent="0.2">
      <c r="B71" s="119" t="s">
        <v>130</v>
      </c>
      <c r="C71" s="119" t="s">
        <v>237</v>
      </c>
      <c r="D71">
        <v>17.018689278287525</v>
      </c>
      <c r="E71">
        <v>9598.5407529541644</v>
      </c>
      <c r="F71">
        <v>22.684021522045608</v>
      </c>
      <c r="G71">
        <v>12793.788138433723</v>
      </c>
      <c r="H71">
        <v>20</v>
      </c>
      <c r="I71">
        <v>11280</v>
      </c>
      <c r="J71">
        <v>15</v>
      </c>
      <c r="K71">
        <v>8460</v>
      </c>
      <c r="L71">
        <v>22</v>
      </c>
      <c r="M71">
        <v>12408</v>
      </c>
      <c r="N71">
        <v>13.603178024874204</v>
      </c>
      <c r="O71">
        <v>7672.1924060290512</v>
      </c>
      <c r="P71">
        <v>18.723293709253745</v>
      </c>
      <c r="Q71">
        <v>10559.937652019113</v>
      </c>
      <c r="R71">
        <v>20.810063094794629</v>
      </c>
      <c r="S71">
        <v>11736.875585464171</v>
      </c>
      <c r="T71">
        <v>16.701413040418682</v>
      </c>
      <c r="U71">
        <v>9419.5969547961377</v>
      </c>
      <c r="V71">
        <v>18.844610083184296</v>
      </c>
      <c r="W71">
        <v>10628.360086915944</v>
      </c>
      <c r="X71">
        <v>17.537383249387776</v>
      </c>
      <c r="Y71">
        <v>9891.0841526547065</v>
      </c>
      <c r="Z71">
        <v>23.605277373985309</v>
      </c>
      <c r="AA71">
        <v>13313.376438927715</v>
      </c>
      <c r="AB71">
        <v>20.605007754995917</v>
      </c>
      <c r="AC71">
        <v>11621.224373817697</v>
      </c>
      <c r="AD71">
        <v>14.635546862071932</v>
      </c>
      <c r="AE71">
        <v>8254.4484302085693</v>
      </c>
      <c r="AF71">
        <v>14.622429313554408</v>
      </c>
      <c r="AG71">
        <v>8247.0501328446862</v>
      </c>
      <c r="AH71">
        <v>21.811738086536696</v>
      </c>
      <c r="AI71">
        <v>12301.820280806696</v>
      </c>
      <c r="AJ71">
        <v>22.703707695686571</v>
      </c>
      <c r="AK71">
        <v>12804.891140367226</v>
      </c>
      <c r="AL71">
        <v>14</v>
      </c>
      <c r="AM71">
        <v>7896</v>
      </c>
      <c r="AN71">
        <v>16.051594093860693</v>
      </c>
      <c r="AO71">
        <v>9053.0990689374303</v>
      </c>
      <c r="AP71">
        <v>16.881179450202961</v>
      </c>
      <c r="AQ71">
        <v>9520.98520991447</v>
      </c>
      <c r="AR71">
        <v>24.81561583266533</v>
      </c>
      <c r="AS71">
        <v>13996.007329623246</v>
      </c>
      <c r="AT71">
        <v>21.88923759764425</v>
      </c>
      <c r="AU71">
        <v>12345.530005071358</v>
      </c>
      <c r="AV71">
        <v>25.699608120867815</v>
      </c>
      <c r="AW71">
        <v>14494.578980169448</v>
      </c>
      <c r="AX71">
        <v>26.671259972517952</v>
      </c>
      <c r="AY71">
        <v>15042.590624500124</v>
      </c>
      <c r="AZ71">
        <v>21</v>
      </c>
      <c r="BA71">
        <v>11844</v>
      </c>
      <c r="BB71">
        <v>22.260666485555873</v>
      </c>
      <c r="BC71">
        <v>12555.015897853513</v>
      </c>
      <c r="BD71">
        <v>22.705571171560617</v>
      </c>
      <c r="BE71">
        <v>12805.942140760188</v>
      </c>
      <c r="BF71">
        <v>20.87495527618384</v>
      </c>
      <c r="BG71">
        <v>11773.474775767685</v>
      </c>
      <c r="BH71">
        <v>18.807301452370243</v>
      </c>
      <c r="BI71">
        <v>10607.318019136817</v>
      </c>
      <c r="BJ71">
        <v>17.816209474345783</v>
      </c>
      <c r="BK71">
        <v>10048.342143531021</v>
      </c>
      <c r="BL71">
        <v>25.626829201386112</v>
      </c>
      <c r="BM71">
        <v>14453.531669581767</v>
      </c>
      <c r="BN71">
        <v>25.767295669656615</v>
      </c>
      <c r="BO71">
        <v>14532.754757686331</v>
      </c>
      <c r="BP71">
        <v>13.658711891023694</v>
      </c>
      <c r="BQ71">
        <v>7703.5135065373634</v>
      </c>
      <c r="BR71">
        <v>27.570667557535682</v>
      </c>
      <c r="BS71">
        <v>15549.856502450124</v>
      </c>
      <c r="BT71">
        <v>21.71587249869587</v>
      </c>
      <c r="BU71">
        <v>12247.75208926447</v>
      </c>
      <c r="BV71">
        <v>17.580874027607813</v>
      </c>
      <c r="BW71">
        <v>9915.6129515708071</v>
      </c>
      <c r="BX71">
        <v>18.711812485520564</v>
      </c>
      <c r="BY71">
        <v>10553.462241833598</v>
      </c>
      <c r="BZ71">
        <v>24.817340809214222</v>
      </c>
      <c r="CA71">
        <v>13996.980216396822</v>
      </c>
      <c r="CB71">
        <v>22.369050311851069</v>
      </c>
      <c r="CC71">
        <v>12616.144375884003</v>
      </c>
      <c r="CD71">
        <v>24.655983603479392</v>
      </c>
      <c r="CE71">
        <v>13905.974752362377</v>
      </c>
      <c r="CF71">
        <v>13.559714507065365</v>
      </c>
      <c r="CG71">
        <v>7647.6789819848664</v>
      </c>
      <c r="CH71">
        <v>22.56487682497562</v>
      </c>
      <c r="CI71">
        <v>12726.59052928625</v>
      </c>
      <c r="CJ71">
        <v>17.878856924102884</v>
      </c>
      <c r="CK71">
        <v>10083.675305194027</v>
      </c>
      <c r="CL71">
        <v>21.603241345730083</v>
      </c>
      <c r="CM71">
        <v>12184.228118991767</v>
      </c>
      <c r="CN71">
        <v>13.652809057461303</v>
      </c>
      <c r="CO71">
        <v>7700.1843084081747</v>
      </c>
      <c r="CP71">
        <v>19.626158367885374</v>
      </c>
      <c r="CQ71">
        <v>11069.15331948735</v>
      </c>
      <c r="CR71">
        <v>17.792063138376964</v>
      </c>
      <c r="CS71">
        <v>10034.723610044608</v>
      </c>
      <c r="CT71">
        <v>20.783485470240752</v>
      </c>
      <c r="CU71">
        <v>11721.885805215785</v>
      </c>
    </row>
    <row r="72" spans="2:99" x14ac:dyDescent="0.2">
      <c r="C72" s="119" t="s">
        <v>238</v>
      </c>
      <c r="D72">
        <v>17.088943711272869</v>
      </c>
      <c r="E72">
        <v>1271.4174121187013</v>
      </c>
      <c r="F72">
        <v>21.684021522045608</v>
      </c>
      <c r="G72">
        <v>1613.291201240193</v>
      </c>
      <c r="H72">
        <v>20</v>
      </c>
      <c r="I72">
        <v>1487.9999999999998</v>
      </c>
      <c r="J72">
        <v>14</v>
      </c>
      <c r="K72">
        <v>1041.5999999999999</v>
      </c>
      <c r="L72">
        <v>22</v>
      </c>
      <c r="M72">
        <v>1636.7999999999997</v>
      </c>
      <c r="N72">
        <v>14.73721758595736</v>
      </c>
      <c r="O72">
        <v>1096.4489883952274</v>
      </c>
      <c r="P72">
        <v>16.806750675706098</v>
      </c>
      <c r="Q72">
        <v>1250.4222502725336</v>
      </c>
      <c r="R72">
        <v>23.86232522994267</v>
      </c>
      <c r="S72">
        <v>1775.3569971077345</v>
      </c>
      <c r="T72">
        <v>19.762405478715959</v>
      </c>
      <c r="U72">
        <v>1470.3229676164672</v>
      </c>
      <c r="V72">
        <v>20.844610083184296</v>
      </c>
      <c r="W72">
        <v>1550.8389901889116</v>
      </c>
      <c r="X72">
        <v>20.663826366890785</v>
      </c>
      <c r="Y72">
        <v>1537.3886816966742</v>
      </c>
      <c r="Z72">
        <v>26.576454641890773</v>
      </c>
      <c r="AA72">
        <v>1977.2882253566734</v>
      </c>
      <c r="AB72">
        <v>24.636850268416755</v>
      </c>
      <c r="AC72">
        <v>1832.9816599702062</v>
      </c>
      <c r="AD72">
        <v>16.813499983452072</v>
      </c>
      <c r="AE72">
        <v>1250.924398768834</v>
      </c>
      <c r="AF72">
        <v>15.556910438443417</v>
      </c>
      <c r="AG72">
        <v>1157.43413662019</v>
      </c>
      <c r="AH72">
        <v>23.942663584365196</v>
      </c>
      <c r="AI72">
        <v>1781.3341706767703</v>
      </c>
      <c r="AJ72">
        <v>27.703707695686571</v>
      </c>
      <c r="AK72">
        <v>2061.1558525590808</v>
      </c>
      <c r="AL72">
        <v>13</v>
      </c>
      <c r="AM72">
        <v>967.19999999999993</v>
      </c>
      <c r="AN72">
        <v>19.28020150556954</v>
      </c>
      <c r="AO72">
        <v>1434.4469920143736</v>
      </c>
      <c r="AP72">
        <v>16.933013535509019</v>
      </c>
      <c r="AQ72">
        <v>1259.8162070418709</v>
      </c>
      <c r="AR72">
        <v>26.885525761179501</v>
      </c>
      <c r="AS72">
        <v>2000.2831166317546</v>
      </c>
      <c r="AT72">
        <v>22.88923759764425</v>
      </c>
      <c r="AU72">
        <v>1702.959277264732</v>
      </c>
      <c r="AV72">
        <v>26.728758459237309</v>
      </c>
      <c r="AW72">
        <v>1988.6196293672556</v>
      </c>
      <c r="AX72">
        <v>25.724960770319388</v>
      </c>
      <c r="AY72">
        <v>1913.9370813117623</v>
      </c>
      <c r="AZ72">
        <v>24</v>
      </c>
      <c r="BA72">
        <v>1785.6</v>
      </c>
      <c r="BB72">
        <v>23.34199980720464</v>
      </c>
      <c r="BC72">
        <v>1736.6447856560251</v>
      </c>
      <c r="BD72">
        <v>25.705571171560617</v>
      </c>
      <c r="BE72">
        <v>1912.4944951641096</v>
      </c>
      <c r="BF72">
        <v>22.82192768368785</v>
      </c>
      <c r="BG72">
        <v>1697.9514196663758</v>
      </c>
      <c r="BH72">
        <v>18.759813131642581</v>
      </c>
      <c r="BI72">
        <v>1395.7300969942078</v>
      </c>
      <c r="BJ72">
        <v>18.816209474345783</v>
      </c>
      <c r="BK72">
        <v>1399.9259848913262</v>
      </c>
      <c r="BL72">
        <v>24.654082644924639</v>
      </c>
      <c r="BM72">
        <v>1834.2637487823929</v>
      </c>
      <c r="BN72">
        <v>26.740837198289146</v>
      </c>
      <c r="BO72">
        <v>1989.5182875527123</v>
      </c>
      <c r="BP72">
        <v>13.658711891023694</v>
      </c>
      <c r="BQ72">
        <v>1016.2081646921628</v>
      </c>
      <c r="BR72">
        <v>27.600702692142825</v>
      </c>
      <c r="BS72">
        <v>2053.4922802954261</v>
      </c>
      <c r="BT72">
        <v>25.742386294943863</v>
      </c>
      <c r="BU72">
        <v>1915.2335403438233</v>
      </c>
      <c r="BV72">
        <v>18.607277392499075</v>
      </c>
      <c r="BW72">
        <v>1384.381438001931</v>
      </c>
      <c r="BX72">
        <v>21.711812485520564</v>
      </c>
      <c r="BY72">
        <v>1615.3588489227297</v>
      </c>
      <c r="BZ72">
        <v>24.889459115909595</v>
      </c>
      <c r="CA72">
        <v>1851.7757582236736</v>
      </c>
      <c r="CB72">
        <v>25.419375354376214</v>
      </c>
      <c r="CC72">
        <v>1891.2015263655901</v>
      </c>
      <c r="CD72">
        <v>25.708462291757744</v>
      </c>
      <c r="CE72">
        <v>1912.7095945067758</v>
      </c>
      <c r="CF72">
        <v>14.666326794125435</v>
      </c>
      <c r="CG72">
        <v>1091.1747134829322</v>
      </c>
      <c r="CH72">
        <v>22.596258870807599</v>
      </c>
      <c r="CI72">
        <v>1681.1616599880851</v>
      </c>
      <c r="CJ72">
        <v>15.878856924102884</v>
      </c>
      <c r="CK72">
        <v>1181.3869551532543</v>
      </c>
      <c r="CL72">
        <v>22.603241345730083</v>
      </c>
      <c r="CM72">
        <v>1681.681156122318</v>
      </c>
      <c r="CN72">
        <v>16.725343397179223</v>
      </c>
      <c r="CO72">
        <v>1244.3655487501342</v>
      </c>
      <c r="CP72">
        <v>19.707831198479116</v>
      </c>
      <c r="CQ72">
        <v>1466.2626411668462</v>
      </c>
      <c r="CR72">
        <v>18.792063138376964</v>
      </c>
      <c r="CS72">
        <v>1398.1294974952459</v>
      </c>
      <c r="CT72">
        <v>21.783485470240752</v>
      </c>
      <c r="CU72">
        <v>1620.6913189859117</v>
      </c>
    </row>
    <row r="73" spans="2:99" x14ac:dyDescent="0.2">
      <c r="C73" s="119" t="s">
        <v>239</v>
      </c>
      <c r="D73">
        <v>17.053816494780197</v>
      </c>
      <c r="E73">
        <v>9536.4941838810846</v>
      </c>
      <c r="F73">
        <v>20.736638562202963</v>
      </c>
      <c r="G73">
        <v>11595.928283983896</v>
      </c>
      <c r="H73">
        <v>18</v>
      </c>
      <c r="I73">
        <v>10065.599999999999</v>
      </c>
      <c r="J73">
        <v>16</v>
      </c>
      <c r="K73">
        <v>8947.1999999999989</v>
      </c>
      <c r="L73">
        <v>24</v>
      </c>
      <c r="M73">
        <v>13420.8</v>
      </c>
      <c r="N73">
        <v>13.603178024874204</v>
      </c>
      <c r="O73">
        <v>7606.8971515096537</v>
      </c>
      <c r="P73">
        <v>15.806750675706098</v>
      </c>
      <c r="Q73">
        <v>8839.1349778548483</v>
      </c>
      <c r="R73">
        <v>24.836194162368649</v>
      </c>
      <c r="S73">
        <v>13888.399775596547</v>
      </c>
      <c r="T73">
        <v>15.701413040418682</v>
      </c>
      <c r="U73">
        <v>8780.2301722021257</v>
      </c>
      <c r="V73">
        <v>22.723951499872253</v>
      </c>
      <c r="W73">
        <v>12707.233678728562</v>
      </c>
      <c r="X73">
        <v>16.600604808139281</v>
      </c>
      <c r="Y73">
        <v>9283.0582087114853</v>
      </c>
      <c r="Z73">
        <v>25.605277373985309</v>
      </c>
      <c r="AA73">
        <v>14318.471107532583</v>
      </c>
      <c r="AB73">
        <v>19.636850268416755</v>
      </c>
      <c r="AC73">
        <v>10980.926670098648</v>
      </c>
      <c r="AD73">
        <v>12.660968736554809</v>
      </c>
      <c r="AE73">
        <v>7080.0137174814481</v>
      </c>
      <c r="AF73">
        <v>13.524151000887922</v>
      </c>
      <c r="AG73">
        <v>7562.7052396965255</v>
      </c>
      <c r="AH73">
        <v>21.811738086536696</v>
      </c>
      <c r="AI73">
        <v>12197.123937991319</v>
      </c>
      <c r="AJ73">
        <v>24.670197805415782</v>
      </c>
      <c r="AK73">
        <v>13795.574612788503</v>
      </c>
      <c r="AL73">
        <v>15</v>
      </c>
      <c r="AM73">
        <v>8387.9999999999982</v>
      </c>
      <c r="AN73">
        <v>15.005872611518923</v>
      </c>
      <c r="AO73">
        <v>8391.2839643613806</v>
      </c>
      <c r="AP73">
        <v>17.751594236937819</v>
      </c>
      <c r="AQ73">
        <v>9926.6914972956274</v>
      </c>
      <c r="AR73">
        <v>25.745705904151158</v>
      </c>
      <c r="AS73">
        <v>14396.998741601326</v>
      </c>
      <c r="AT73">
        <v>21.805871572865101</v>
      </c>
      <c r="AU73">
        <v>12193.843383546164</v>
      </c>
      <c r="AV73">
        <v>26.699608120867815</v>
      </c>
      <c r="AW73">
        <v>14930.420861189281</v>
      </c>
      <c r="AX73">
        <v>25.644409573617232</v>
      </c>
      <c r="AY73">
        <v>14340.353833566754</v>
      </c>
      <c r="AZ73">
        <v>20</v>
      </c>
      <c r="BA73">
        <v>11183.999999999998</v>
      </c>
      <c r="BB73">
        <v>21.138666503082725</v>
      </c>
      <c r="BC73">
        <v>11820.742308523859</v>
      </c>
      <c r="BD73">
        <v>23.644217156642302</v>
      </c>
      <c r="BE73">
        <v>13221.846233994374</v>
      </c>
      <c r="BF73">
        <v>21.848441479935843</v>
      </c>
      <c r="BG73">
        <v>12217.648475580123</v>
      </c>
      <c r="BH73">
        <v>15.759813131642581</v>
      </c>
      <c r="BI73">
        <v>8812.8875032145297</v>
      </c>
      <c r="BJ73">
        <v>17.816209474345783</v>
      </c>
      <c r="BK73">
        <v>9962.8243380541608</v>
      </c>
      <c r="BL73">
        <v>24.654082644924639</v>
      </c>
      <c r="BM73">
        <v>13786.563015041856</v>
      </c>
      <c r="BN73">
        <v>25.714378726921677</v>
      </c>
      <c r="BO73">
        <v>14379.480584094599</v>
      </c>
      <c r="BP73">
        <v>13.632363415382747</v>
      </c>
      <c r="BQ73">
        <v>7623.2176218820314</v>
      </c>
      <c r="BR73">
        <v>27.630737826749964</v>
      </c>
      <c r="BS73">
        <v>15451.108592718578</v>
      </c>
      <c r="BT73">
        <v>21.636331109951882</v>
      </c>
      <c r="BU73">
        <v>12099.036356685092</v>
      </c>
      <c r="BV73">
        <v>16.580874027607813</v>
      </c>
      <c r="BW73">
        <v>9272.0247562382883</v>
      </c>
      <c r="BX73">
        <v>19.610124987589053</v>
      </c>
      <c r="BY73">
        <v>10965.981893059798</v>
      </c>
      <c r="BZ73">
        <v>23.841380244779344</v>
      </c>
      <c r="CA73">
        <v>13332.099832880607</v>
      </c>
      <c r="CB73">
        <v>23.385825326026115</v>
      </c>
      <c r="CC73">
        <v>13077.353522313802</v>
      </c>
      <c r="CD73">
        <v>22.655983603479392</v>
      </c>
      <c r="CE73">
        <v>12669.226031065675</v>
      </c>
      <c r="CF73">
        <v>13.559714507065365</v>
      </c>
      <c r="CG73">
        <v>7582.5923523509509</v>
      </c>
      <c r="CH73">
        <v>20.533494779143641</v>
      </c>
      <c r="CI73">
        <v>11482.330280497123</v>
      </c>
      <c r="CJ73">
        <v>17.8300315394305</v>
      </c>
      <c r="CK73">
        <v>9970.5536368495341</v>
      </c>
      <c r="CL73">
        <v>19.689418680834379</v>
      </c>
      <c r="CM73">
        <v>11010.322926322584</v>
      </c>
      <c r="CN73">
        <v>15.701165283939917</v>
      </c>
      <c r="CO73">
        <v>8780.0916267791999</v>
      </c>
      <c r="CP73">
        <v>19.762279752208279</v>
      </c>
      <c r="CQ73">
        <v>11051.066837434868</v>
      </c>
      <c r="CR73">
        <v>15.74096229073974</v>
      </c>
      <c r="CS73">
        <v>8802.3461129816606</v>
      </c>
      <c r="CT73">
        <v>22.783485470240752</v>
      </c>
      <c r="CU73">
        <v>12740.525074958627</v>
      </c>
    </row>
    <row r="74" spans="2:99" x14ac:dyDescent="0.2">
      <c r="C74" s="119" t="s">
        <v>240</v>
      </c>
      <c r="D74">
        <v>17.983562061794849</v>
      </c>
      <c r="E74">
        <v>7250.9722233156826</v>
      </c>
      <c r="F74">
        <v>22.657713001966929</v>
      </c>
      <c r="G74">
        <v>9135.5898823930656</v>
      </c>
      <c r="H74">
        <v>18</v>
      </c>
      <c r="I74">
        <v>7257.5999999999995</v>
      </c>
      <c r="J74">
        <v>16</v>
      </c>
      <c r="K74">
        <v>6451.2</v>
      </c>
      <c r="L74">
        <v>21</v>
      </c>
      <c r="M74">
        <v>8467.1999999999989</v>
      </c>
      <c r="N74">
        <v>13.603178024874204</v>
      </c>
      <c r="O74">
        <v>5484.8013796292789</v>
      </c>
      <c r="P74">
        <v>15.834569664523551</v>
      </c>
      <c r="Q74">
        <v>6384.498488735896</v>
      </c>
      <c r="R74">
        <v>23.836194162368649</v>
      </c>
      <c r="S74">
        <v>9610.7534862670382</v>
      </c>
      <c r="T74">
        <v>16.640420602121406</v>
      </c>
      <c r="U74">
        <v>6709.4175867753511</v>
      </c>
      <c r="V74">
        <v>22.79634664985948</v>
      </c>
      <c r="W74">
        <v>9191.4869692233424</v>
      </c>
      <c r="X74">
        <v>19.632215587515031</v>
      </c>
      <c r="Y74">
        <v>7915.7093248860601</v>
      </c>
      <c r="Z74">
        <v>26.576454641890773</v>
      </c>
      <c r="AA74">
        <v>10715.626511610359</v>
      </c>
      <c r="AB74">
        <v>22.636850268416755</v>
      </c>
      <c r="AC74">
        <v>9127.178028225635</v>
      </c>
      <c r="AD74">
        <v>15.711812485520564</v>
      </c>
      <c r="AE74">
        <v>6335.002794161891</v>
      </c>
      <c r="AF74">
        <v>13.589669875998913</v>
      </c>
      <c r="AG74">
        <v>5479.3548940027613</v>
      </c>
      <c r="AH74">
        <v>24.916478484799494</v>
      </c>
      <c r="AI74">
        <v>10046.324125071156</v>
      </c>
      <c r="AJ74">
        <v>25.670197805415782</v>
      </c>
      <c r="AK74">
        <v>10350.223755143643</v>
      </c>
      <c r="AL74">
        <v>13</v>
      </c>
      <c r="AM74">
        <v>5241.5999999999995</v>
      </c>
      <c r="AN74">
        <v>17.14303705854423</v>
      </c>
      <c r="AO74">
        <v>6912.0725420050339</v>
      </c>
      <c r="AP74">
        <v>17.881179450202961</v>
      </c>
      <c r="AQ74">
        <v>7209.6915543218338</v>
      </c>
      <c r="AR74">
        <v>22.769009213655885</v>
      </c>
      <c r="AS74">
        <v>9180.4645149460521</v>
      </c>
      <c r="AT74">
        <v>21.805871572865101</v>
      </c>
      <c r="AU74">
        <v>8792.1274181792087</v>
      </c>
      <c r="AV74">
        <v>25.641307444128831</v>
      </c>
      <c r="AW74">
        <v>10338.575161472745</v>
      </c>
      <c r="AX74">
        <v>24.698110371418668</v>
      </c>
      <c r="AY74">
        <v>9958.2781017560064</v>
      </c>
      <c r="AZ74">
        <v>19</v>
      </c>
      <c r="BA74">
        <v>7660.8</v>
      </c>
      <c r="BB74">
        <v>22.219999824731492</v>
      </c>
      <c r="BC74">
        <v>8959.1039293317372</v>
      </c>
      <c r="BD74">
        <v>21.613540149183144</v>
      </c>
      <c r="BE74">
        <v>8714.5793881506434</v>
      </c>
      <c r="BF74">
        <v>20.848441479935843</v>
      </c>
      <c r="BG74">
        <v>8406.0916047101309</v>
      </c>
      <c r="BH74">
        <v>16.759813131642581</v>
      </c>
      <c r="BI74">
        <v>6757.5566546782884</v>
      </c>
      <c r="BJ74">
        <v>15.787059135976293</v>
      </c>
      <c r="BK74">
        <v>6365.3422436256415</v>
      </c>
      <c r="BL74">
        <v>25.708589532001692</v>
      </c>
      <c r="BM74">
        <v>10365.703299303083</v>
      </c>
      <c r="BN74">
        <v>26.740837198289146</v>
      </c>
      <c r="BO74">
        <v>10781.905558350183</v>
      </c>
      <c r="BP74">
        <v>14.685060366664642</v>
      </c>
      <c r="BQ74">
        <v>5921.0163398391833</v>
      </c>
      <c r="BR74">
        <v>24.630737826749964</v>
      </c>
      <c r="BS74">
        <v>9931.1134917455856</v>
      </c>
      <c r="BT74">
        <v>24.662844906199879</v>
      </c>
      <c r="BU74">
        <v>9944.0590661797905</v>
      </c>
      <c r="BV74">
        <v>18.633680757390341</v>
      </c>
      <c r="BW74">
        <v>7513.1000813797855</v>
      </c>
      <c r="BX74">
        <v>20.711812485520564</v>
      </c>
      <c r="BY74">
        <v>8351.0027941618919</v>
      </c>
      <c r="BZ74">
        <v>22.913498551474717</v>
      </c>
      <c r="CA74">
        <v>9238.7226159546062</v>
      </c>
      <c r="CB74">
        <v>26.408335308143709</v>
      </c>
      <c r="CC74">
        <v>10647.840796243543</v>
      </c>
      <c r="CD74">
        <v>23.577265571061865</v>
      </c>
      <c r="CE74">
        <v>9506.3534782521438</v>
      </c>
      <c r="CF74">
        <v>15.666326794125435</v>
      </c>
      <c r="CG74">
        <v>6316.6629633913753</v>
      </c>
      <c r="CH74">
        <v>21.533494779143641</v>
      </c>
      <c r="CI74">
        <v>8682.305094950716</v>
      </c>
      <c r="CJ74">
        <v>16.927682308775267</v>
      </c>
      <c r="CK74">
        <v>6825.2415068981873</v>
      </c>
      <c r="CL74">
        <v>19.631967124098182</v>
      </c>
      <c r="CM74">
        <v>7915.6091444363865</v>
      </c>
      <c r="CN74">
        <v>15.604452830982687</v>
      </c>
      <c r="CO74">
        <v>6291.7153814522189</v>
      </c>
      <c r="CP74">
        <v>17.653382644749954</v>
      </c>
      <c r="CQ74">
        <v>7117.8438823631814</v>
      </c>
      <c r="CR74">
        <v>16.766512714558353</v>
      </c>
      <c r="CS74">
        <v>6760.2579265099275</v>
      </c>
      <c r="CT74">
        <v>21.759001549295728</v>
      </c>
      <c r="CU74">
        <v>8773.2294246760375</v>
      </c>
    </row>
    <row r="75" spans="2:99" x14ac:dyDescent="0.2">
      <c r="C75" s="119" t="s">
        <v>241</v>
      </c>
      <c r="D75">
        <v>16.018689278287525</v>
      </c>
      <c r="E75">
        <v>10303.220943794535</v>
      </c>
      <c r="F75">
        <v>21.736638562202963</v>
      </c>
      <c r="G75">
        <v>13981.005923208944</v>
      </c>
      <c r="H75">
        <v>19</v>
      </c>
      <c r="I75">
        <v>12220.8</v>
      </c>
      <c r="J75">
        <v>16</v>
      </c>
      <c r="K75">
        <v>10291.199999999999</v>
      </c>
      <c r="L75">
        <v>20</v>
      </c>
      <c r="M75">
        <v>12863.999999999998</v>
      </c>
      <c r="N75">
        <v>13.670197805415782</v>
      </c>
      <c r="O75">
        <v>8792.6712284434307</v>
      </c>
      <c r="P75">
        <v>15.751112698071195</v>
      </c>
      <c r="Q75">
        <v>10131.115687399391</v>
      </c>
      <c r="R75">
        <v>23.731669892072567</v>
      </c>
      <c r="S75">
        <v>15264.210074581073</v>
      </c>
      <c r="T75">
        <v>16.670916821270044</v>
      </c>
      <c r="U75">
        <v>10722.733699440891</v>
      </c>
      <c r="V75">
        <v>20.844610083184296</v>
      </c>
      <c r="W75">
        <v>13407.253205504137</v>
      </c>
      <c r="X75">
        <v>17.632215587515031</v>
      </c>
      <c r="Y75">
        <v>11341.041065889667</v>
      </c>
      <c r="Z75">
        <v>25.518809177701694</v>
      </c>
      <c r="AA75">
        <v>16413.698063097727</v>
      </c>
      <c r="AB75">
        <v>20.573165241575079</v>
      </c>
      <c r="AC75">
        <v>13232.659883381089</v>
      </c>
      <c r="AD75">
        <v>14.737234360003441</v>
      </c>
      <c r="AE75">
        <v>9478.9891403542115</v>
      </c>
      <c r="AF75">
        <v>12.524151000887922</v>
      </c>
      <c r="AG75">
        <v>8055.5339237711105</v>
      </c>
      <c r="AH75">
        <v>20.864108285668095</v>
      </c>
      <c r="AI75">
        <v>13419.794449341718</v>
      </c>
      <c r="AJ75">
        <v>23.636687915144993</v>
      </c>
      <c r="AK75">
        <v>15203.117667021257</v>
      </c>
      <c r="AL75">
        <v>13</v>
      </c>
      <c r="AM75">
        <v>8361.5999999999985</v>
      </c>
      <c r="AN75">
        <v>18.051594093860693</v>
      </c>
      <c r="AO75">
        <v>11610.785321171197</v>
      </c>
      <c r="AP75">
        <v>17.803428322243875</v>
      </c>
      <c r="AQ75">
        <v>11451.165096867258</v>
      </c>
      <c r="AR75">
        <v>23.81561583266533</v>
      </c>
      <c r="AS75">
        <v>15318.204103570339</v>
      </c>
      <c r="AT75">
        <v>19.833660247791482</v>
      </c>
      <c r="AU75">
        <v>12757.01027137948</v>
      </c>
      <c r="AV75">
        <v>21.612157105759337</v>
      </c>
      <c r="AW75">
        <v>13900.939450424405</v>
      </c>
      <c r="AX75">
        <v>23.644409573617232</v>
      </c>
      <c r="AY75">
        <v>15208.084237750601</v>
      </c>
      <c r="AZ75">
        <v>21</v>
      </c>
      <c r="BA75">
        <v>13507.199999999999</v>
      </c>
      <c r="BB75">
        <v>22.301333146380259</v>
      </c>
      <c r="BC75">
        <v>14344.21747975178</v>
      </c>
      <c r="BD75">
        <v>19.644217156642302</v>
      </c>
      <c r="BE75">
        <v>12635.160475152328</v>
      </c>
      <c r="BF75">
        <v>18.742386294943863</v>
      </c>
      <c r="BG75">
        <v>12055.102864907891</v>
      </c>
      <c r="BH75">
        <v>16.831045612734073</v>
      </c>
      <c r="BI75">
        <v>10825.728538110554</v>
      </c>
      <c r="BJ75">
        <v>15.699608120867815</v>
      </c>
      <c r="BK75">
        <v>10097.987943342177</v>
      </c>
      <c r="BL75">
        <v>25.654082644924639</v>
      </c>
      <c r="BM75">
        <v>16500.705957215527</v>
      </c>
      <c r="BN75">
        <v>27.740837198289146</v>
      </c>
      <c r="BO75">
        <v>17842.906485939577</v>
      </c>
      <c r="BP75">
        <v>14.658711891023694</v>
      </c>
      <c r="BQ75">
        <v>9428.4834883064395</v>
      </c>
      <c r="BR75">
        <v>24.660772961357107</v>
      </c>
      <c r="BS75">
        <v>15861.80916874489</v>
      </c>
      <c r="BT75">
        <v>21.636331109951882</v>
      </c>
      <c r="BU75">
        <v>13916.488169921049</v>
      </c>
      <c r="BV75">
        <v>18.554470662716547</v>
      </c>
      <c r="BW75">
        <v>11934.235530259282</v>
      </c>
      <c r="BX75">
        <v>19.737234360003441</v>
      </c>
      <c r="BY75">
        <v>12694.989140354211</v>
      </c>
      <c r="BZ75">
        <v>25.841380244779344</v>
      </c>
      <c r="CA75">
        <v>16621.175773442072</v>
      </c>
      <c r="CB75">
        <v>23.385825326026115</v>
      </c>
      <c r="CC75">
        <v>15041.762849699995</v>
      </c>
      <c r="CD75">
        <v>23.603504915201039</v>
      </c>
      <c r="CE75">
        <v>15181.774361457306</v>
      </c>
      <c r="CF75">
        <v>15.6130206505954</v>
      </c>
      <c r="CG75">
        <v>10042.29488246296</v>
      </c>
      <c r="CH75">
        <v>19.533494779143641</v>
      </c>
      <c r="CI75">
        <v>12563.943841945189</v>
      </c>
      <c r="CJ75">
        <v>16.78120615475812</v>
      </c>
      <c r="CK75">
        <v>10793.671798740421</v>
      </c>
      <c r="CL75">
        <v>20.574515567361981</v>
      </c>
      <c r="CM75">
        <v>13233.528412927224</v>
      </c>
      <c r="CN75">
        <v>13.701165283939917</v>
      </c>
      <c r="CO75">
        <v>8812.5895106301541</v>
      </c>
      <c r="CP75">
        <v>17.707831198479116</v>
      </c>
      <c r="CQ75">
        <v>11389.677026861766</v>
      </c>
      <c r="CR75">
        <v>16.664311019283904</v>
      </c>
      <c r="CS75">
        <v>10718.484847603406</v>
      </c>
      <c r="CT75">
        <v>22.807969391185775</v>
      </c>
      <c r="CU75">
        <v>14670.085912410688</v>
      </c>
    </row>
    <row r="76" spans="2:99" x14ac:dyDescent="0.2">
      <c r="C76" s="119" t="s">
        <v>242</v>
      </c>
      <c r="D76">
        <v>15.018689278287523</v>
      </c>
      <c r="E76">
        <v>11696.555209930322</v>
      </c>
      <c r="F76">
        <v>19.710330042124284</v>
      </c>
      <c r="G76">
        <v>15350.405036806391</v>
      </c>
      <c r="H76">
        <v>18</v>
      </c>
      <c r="I76">
        <v>14018.4</v>
      </c>
      <c r="J76">
        <v>13</v>
      </c>
      <c r="K76">
        <v>10124.4</v>
      </c>
      <c r="L76">
        <v>22</v>
      </c>
      <c r="M76">
        <v>17133.599999999999</v>
      </c>
      <c r="N76">
        <v>14.636687915144993</v>
      </c>
      <c r="O76">
        <v>11399.052548314919</v>
      </c>
      <c r="P76">
        <v>16.806750675706098</v>
      </c>
      <c r="Q76">
        <v>13089.097426239909</v>
      </c>
      <c r="R76">
        <v>21.836194162368649</v>
      </c>
      <c r="S76">
        <v>17006.028013652704</v>
      </c>
      <c r="T76">
        <v>17.701413040418682</v>
      </c>
      <c r="U76">
        <v>13785.860475878069</v>
      </c>
      <c r="V76">
        <v>18.77221493319707</v>
      </c>
      <c r="W76">
        <v>14619.800989973877</v>
      </c>
      <c r="X76">
        <v>18.632215587515031</v>
      </c>
      <c r="Y76">
        <v>14510.769499556705</v>
      </c>
      <c r="Z76">
        <v>22.518809177701694</v>
      </c>
      <c r="AA76">
        <v>17537.648587594078</v>
      </c>
      <c r="AB76">
        <v>19.541322728154242</v>
      </c>
      <c r="AC76">
        <v>15218.782140686522</v>
      </c>
      <c r="AD76">
        <v>14.686390611037687</v>
      </c>
      <c r="AE76">
        <v>11437.76100787615</v>
      </c>
      <c r="AF76">
        <v>12.589669875998913</v>
      </c>
      <c r="AG76">
        <v>9804.8348994279531</v>
      </c>
      <c r="AH76">
        <v>21.811738086536696</v>
      </c>
      <c r="AI76">
        <v>16986.981621794777</v>
      </c>
      <c r="AJ76">
        <v>23.670197805415782</v>
      </c>
      <c r="AK76">
        <v>18434.350050857811</v>
      </c>
      <c r="AL76">
        <v>13</v>
      </c>
      <c r="AM76">
        <v>10124.4</v>
      </c>
      <c r="AN76">
        <v>15.960151129177154</v>
      </c>
      <c r="AO76">
        <v>12429.765699403168</v>
      </c>
      <c r="AP76">
        <v>16.777511279590847</v>
      </c>
      <c r="AQ76">
        <v>13066.32578454535</v>
      </c>
      <c r="AR76">
        <v>21.745705904151158</v>
      </c>
      <c r="AS76">
        <v>16935.555758152921</v>
      </c>
      <c r="AT76">
        <v>20.750294223012336</v>
      </c>
      <c r="AU76">
        <v>16160.329140882006</v>
      </c>
      <c r="AV76">
        <v>23.670457782498321</v>
      </c>
      <c r="AW76">
        <v>18434.552521009693</v>
      </c>
      <c r="AX76">
        <v>25.590708775815795</v>
      </c>
      <c r="AY76">
        <v>19930.043994605341</v>
      </c>
      <c r="AZ76">
        <v>21</v>
      </c>
      <c r="BA76">
        <v>16354.8</v>
      </c>
      <c r="BB76">
        <v>21.301333146380259</v>
      </c>
      <c r="BC76">
        <v>16589.478254400943</v>
      </c>
      <c r="BD76">
        <v>19.67489416410146</v>
      </c>
      <c r="BE76">
        <v>15322.807575002216</v>
      </c>
      <c r="BF76">
        <v>21.795413887439853</v>
      </c>
      <c r="BG76">
        <v>16974.268335538156</v>
      </c>
      <c r="BH76">
        <v>17.831045612734073</v>
      </c>
      <c r="BI76">
        <v>13886.818323197294</v>
      </c>
      <c r="BJ76">
        <v>16.728758459237309</v>
      </c>
      <c r="BK76">
        <v>13028.357088054016</v>
      </c>
      <c r="BL76">
        <v>22.572322314309059</v>
      </c>
      <c r="BM76">
        <v>17579.324618383893</v>
      </c>
      <c r="BN76">
        <v>23.820212612391554</v>
      </c>
      <c r="BO76">
        <v>18551.181582530542</v>
      </c>
      <c r="BP76">
        <v>13.658711891023694</v>
      </c>
      <c r="BQ76">
        <v>10637.404820729253</v>
      </c>
      <c r="BR76">
        <v>25.630737826749964</v>
      </c>
      <c r="BS76">
        <v>19961.218619472871</v>
      </c>
      <c r="BT76">
        <v>22.662844906199879</v>
      </c>
      <c r="BU76">
        <v>17649.823612948465</v>
      </c>
      <c r="BV76">
        <v>15.554470662716547</v>
      </c>
      <c r="BW76">
        <v>12113.821752123646</v>
      </c>
      <c r="BX76">
        <v>20.610124987589053</v>
      </c>
      <c r="BY76">
        <v>16051.165340334353</v>
      </c>
      <c r="BZ76">
        <v>23.721183066953724</v>
      </c>
      <c r="CA76">
        <v>18474.057372543561</v>
      </c>
      <c r="CB76">
        <v>23.469270507248776</v>
      </c>
      <c r="CC76">
        <v>18277.867871045346</v>
      </c>
      <c r="CD76">
        <v>22.629744259340217</v>
      </c>
      <c r="CE76">
        <v>17624.04482917416</v>
      </c>
      <c r="CF76">
        <v>14.586367578830382</v>
      </c>
      <c r="CG76">
        <v>11359.863070393101</v>
      </c>
      <c r="CH76">
        <v>22.533494779143641</v>
      </c>
      <c r="CI76">
        <v>17549.085733997068</v>
      </c>
      <c r="CJ76">
        <v>16.756793462421928</v>
      </c>
      <c r="CK76">
        <v>13050.190748534196</v>
      </c>
      <c r="CL76">
        <v>21.66069290246628</v>
      </c>
      <c r="CM76">
        <v>16869.347632440738</v>
      </c>
      <c r="CN76">
        <v>13.628630944221994</v>
      </c>
      <c r="CO76">
        <v>10613.977779360088</v>
      </c>
      <c r="CP76">
        <v>17.7350554753437</v>
      </c>
      <c r="CQ76">
        <v>13812.061204197673</v>
      </c>
      <c r="CR76">
        <v>15.715411866921128</v>
      </c>
      <c r="CS76">
        <v>12239.162761958174</v>
      </c>
      <c r="CT76">
        <v>20.832453312130799</v>
      </c>
      <c r="CU76">
        <v>16224.314639487466</v>
      </c>
    </row>
    <row r="77" spans="2:99" x14ac:dyDescent="0.2">
      <c r="C77" s="119" t="s">
        <v>243</v>
      </c>
      <c r="D77">
        <v>16.194325360750888</v>
      </c>
      <c r="E77">
        <v>4508.5001804330468</v>
      </c>
      <c r="F77">
        <v>21.684021522045608</v>
      </c>
      <c r="G77">
        <v>6036.8315917374966</v>
      </c>
      <c r="H77">
        <v>18</v>
      </c>
      <c r="I77">
        <v>5011.2</v>
      </c>
      <c r="J77">
        <v>14</v>
      </c>
      <c r="K77">
        <v>3897.5999999999995</v>
      </c>
      <c r="L77">
        <v>22</v>
      </c>
      <c r="M77">
        <v>6124.7999999999993</v>
      </c>
      <c r="N77">
        <v>13.703707695686571</v>
      </c>
      <c r="O77">
        <v>3815.1122224791411</v>
      </c>
      <c r="P77">
        <v>17.890207642158455</v>
      </c>
      <c r="Q77">
        <v>4980.6338075769136</v>
      </c>
      <c r="R77">
        <v>22.914587365090707</v>
      </c>
      <c r="S77">
        <v>6379.421122441252</v>
      </c>
      <c r="T77">
        <v>16.670916821270044</v>
      </c>
      <c r="U77">
        <v>4641.1832430415798</v>
      </c>
      <c r="V77">
        <v>23.868741799846706</v>
      </c>
      <c r="W77">
        <v>6645.0577170773222</v>
      </c>
      <c r="X77">
        <v>16.663826366890785</v>
      </c>
      <c r="Y77">
        <v>4639.2092605423941</v>
      </c>
      <c r="Z77">
        <v>24.605277373985309</v>
      </c>
      <c r="AA77">
        <v>6850.1092209175094</v>
      </c>
      <c r="AB77">
        <v>21.541322728154242</v>
      </c>
      <c r="AC77">
        <v>5997.1042475181403</v>
      </c>
      <c r="AD77">
        <v>15.711812485520564</v>
      </c>
      <c r="AE77">
        <v>4374.1685959689248</v>
      </c>
      <c r="AF77">
        <v>14.556910438443417</v>
      </c>
      <c r="AG77">
        <v>4052.6438660626468</v>
      </c>
      <c r="AH77">
        <v>24.785552986970995</v>
      </c>
      <c r="AI77">
        <v>6900.2979515727247</v>
      </c>
      <c r="AJ77">
        <v>26.73721758595736</v>
      </c>
      <c r="AK77">
        <v>7443.6413759305287</v>
      </c>
      <c r="AL77">
        <v>13</v>
      </c>
      <c r="AM77">
        <v>3619.2</v>
      </c>
      <c r="AN77">
        <v>16.188758540885999</v>
      </c>
      <c r="AO77">
        <v>4506.9503777826621</v>
      </c>
      <c r="AP77">
        <v>17.855262407549933</v>
      </c>
      <c r="AQ77">
        <v>4970.9050542619007</v>
      </c>
      <c r="AR77">
        <v>25.722402594646436</v>
      </c>
      <c r="AS77">
        <v>7161.1168823495673</v>
      </c>
      <c r="AT77">
        <v>22.88923759764425</v>
      </c>
      <c r="AU77">
        <v>6372.3637471841585</v>
      </c>
      <c r="AV77">
        <v>24.641307444128831</v>
      </c>
      <c r="AW77">
        <v>6860.1399924454663</v>
      </c>
      <c r="AX77">
        <v>23.617559174716515</v>
      </c>
      <c r="AY77">
        <v>6575.1284742410771</v>
      </c>
      <c r="AZ77">
        <v>22</v>
      </c>
      <c r="BA77">
        <v>6124.7999999999993</v>
      </c>
      <c r="BB77">
        <v>22.34199980720464</v>
      </c>
      <c r="BC77">
        <v>6220.0127463257713</v>
      </c>
      <c r="BD77">
        <v>20.644217156642302</v>
      </c>
      <c r="BE77">
        <v>5747.3500564092164</v>
      </c>
      <c r="BF77">
        <v>21.795413887439853</v>
      </c>
      <c r="BG77">
        <v>6067.843226263255</v>
      </c>
      <c r="BH77">
        <v>17.831045612734073</v>
      </c>
      <c r="BI77">
        <v>4964.1630985851652</v>
      </c>
      <c r="BJ77">
        <v>18.787059135976293</v>
      </c>
      <c r="BK77">
        <v>5230.3172634557995</v>
      </c>
      <c r="BL77">
        <v>24.654082644924639</v>
      </c>
      <c r="BM77">
        <v>6863.6966083470188</v>
      </c>
      <c r="BN77">
        <v>25.846671083759023</v>
      </c>
      <c r="BO77">
        <v>7195.7132297185117</v>
      </c>
      <c r="BP77">
        <v>15.685060366664642</v>
      </c>
      <c r="BQ77">
        <v>4366.7208060794355</v>
      </c>
      <c r="BR77">
        <v>28.660772961357107</v>
      </c>
      <c r="BS77">
        <v>7979.159192441818</v>
      </c>
      <c r="BT77">
        <v>24.636331109951882</v>
      </c>
      <c r="BU77">
        <v>6858.7545810106039</v>
      </c>
      <c r="BV77">
        <v>19.633680757390341</v>
      </c>
      <c r="BW77">
        <v>5466.0167228574701</v>
      </c>
      <c r="BX77">
        <v>19.686390611037687</v>
      </c>
      <c r="BY77">
        <v>5480.6911461128921</v>
      </c>
      <c r="BZ77">
        <v>26.841380244779344</v>
      </c>
      <c r="CA77">
        <v>7472.6402601465688</v>
      </c>
      <c r="CB77">
        <v>24.486045521423826</v>
      </c>
      <c r="CC77">
        <v>6816.9150731643922</v>
      </c>
      <c r="CD77">
        <v>21.577265571061865</v>
      </c>
      <c r="CE77">
        <v>6007.1107349836229</v>
      </c>
      <c r="CF77">
        <v>14.586367578830382</v>
      </c>
      <c r="CG77">
        <v>4060.8447339463778</v>
      </c>
      <c r="CH77">
        <v>20.627640916639578</v>
      </c>
      <c r="CI77">
        <v>5742.7352311924578</v>
      </c>
      <c r="CJ77">
        <v>16.903269616439076</v>
      </c>
      <c r="CK77">
        <v>4705.870261216638</v>
      </c>
      <c r="CL77">
        <v>20.603241345730083</v>
      </c>
      <c r="CM77">
        <v>5735.9423906512548</v>
      </c>
      <c r="CN77">
        <v>13.67698717070061</v>
      </c>
      <c r="CO77">
        <v>3807.6732283230494</v>
      </c>
      <c r="CP77">
        <v>19.789504029072859</v>
      </c>
      <c r="CQ77">
        <v>5509.3979216938833</v>
      </c>
      <c r="CR77">
        <v>16.689861443102515</v>
      </c>
      <c r="CS77">
        <v>4646.4574257597396</v>
      </c>
      <c r="CT77">
        <v>20.881421154020845</v>
      </c>
      <c r="CU77">
        <v>5813.3876492794025</v>
      </c>
    </row>
    <row r="78" spans="2:99" x14ac:dyDescent="0.2">
      <c r="C78" s="119" t="s">
        <v>244</v>
      </c>
      <c r="D78">
        <v>17.124070927765544</v>
      </c>
      <c r="E78">
        <v>9452.4871521265795</v>
      </c>
      <c r="F78">
        <v>18.657713001966929</v>
      </c>
      <c r="G78">
        <v>10299.057577085745</v>
      </c>
      <c r="H78">
        <v>21</v>
      </c>
      <c r="I78">
        <v>11592</v>
      </c>
      <c r="J78">
        <v>13</v>
      </c>
      <c r="K78">
        <v>7176</v>
      </c>
      <c r="L78">
        <v>23</v>
      </c>
      <c r="M78">
        <v>12696</v>
      </c>
      <c r="N78">
        <v>12.703707695686571</v>
      </c>
      <c r="O78">
        <v>7012.4466480189876</v>
      </c>
      <c r="P78">
        <v>16.806750675706098</v>
      </c>
      <c r="Q78">
        <v>9277.3263729897662</v>
      </c>
      <c r="R78">
        <v>22.731669892072567</v>
      </c>
      <c r="S78">
        <v>12547.881780424057</v>
      </c>
      <c r="T78">
        <v>16.701413040418682</v>
      </c>
      <c r="U78">
        <v>9219.1799983111123</v>
      </c>
      <c r="V78">
        <v>19.723951499872253</v>
      </c>
      <c r="W78">
        <v>10887.621227929483</v>
      </c>
      <c r="X78">
        <v>17.600604808139281</v>
      </c>
      <c r="Y78">
        <v>9715.5338540928824</v>
      </c>
      <c r="Z78">
        <v>22.605277373985309</v>
      </c>
      <c r="AA78">
        <v>12478.11311043989</v>
      </c>
      <c r="AB78">
        <v>22.541322728154242</v>
      </c>
      <c r="AC78">
        <v>12442.810145941141</v>
      </c>
      <c r="AD78">
        <v>14.686390611037687</v>
      </c>
      <c r="AE78">
        <v>8106.887617292803</v>
      </c>
      <c r="AF78">
        <v>14.589669875998913</v>
      </c>
      <c r="AG78">
        <v>8053.4977715513996</v>
      </c>
      <c r="AH78">
        <v>20.759367887405297</v>
      </c>
      <c r="AI78">
        <v>11459.171073847723</v>
      </c>
      <c r="AJ78">
        <v>22.670197805415782</v>
      </c>
      <c r="AK78">
        <v>12513.949188589511</v>
      </c>
      <c r="AL78">
        <v>15</v>
      </c>
      <c r="AM78">
        <v>8280</v>
      </c>
      <c r="AN78">
        <v>17.097315576202462</v>
      </c>
      <c r="AO78">
        <v>9437.7181980637597</v>
      </c>
      <c r="AP78">
        <v>15.855262407549933</v>
      </c>
      <c r="AQ78">
        <v>8752.1048489675632</v>
      </c>
      <c r="AR78">
        <v>23.722402594646436</v>
      </c>
      <c r="AS78">
        <v>13094.766232244832</v>
      </c>
      <c r="AT78">
        <v>20.88923759764425</v>
      </c>
      <c r="AU78">
        <v>11530.859153899626</v>
      </c>
      <c r="AV78">
        <v>23.699608120867815</v>
      </c>
      <c r="AW78">
        <v>13082.183682719035</v>
      </c>
      <c r="AX78">
        <v>26.671259972517952</v>
      </c>
      <c r="AY78">
        <v>14722.53550482991</v>
      </c>
      <c r="AZ78">
        <v>19</v>
      </c>
      <c r="BA78">
        <v>10488</v>
      </c>
      <c r="BB78">
        <v>22.138666503082725</v>
      </c>
      <c r="BC78">
        <v>12220.543909701664</v>
      </c>
      <c r="BD78">
        <v>23.67489416410146</v>
      </c>
      <c r="BE78">
        <v>13068.541578584005</v>
      </c>
      <c r="BF78">
        <v>18.795413887439853</v>
      </c>
      <c r="BG78">
        <v>10375.0684658668</v>
      </c>
      <c r="BH78">
        <v>15.854789773097902</v>
      </c>
      <c r="BI78">
        <v>8751.843954750042</v>
      </c>
      <c r="BJ78">
        <v>15.728758459237307</v>
      </c>
      <c r="BK78">
        <v>8682.2746694989928</v>
      </c>
      <c r="BL78">
        <v>26.599575757847585</v>
      </c>
      <c r="BM78">
        <v>14682.965818331868</v>
      </c>
      <c r="BN78">
        <v>26.820212612391554</v>
      </c>
      <c r="BO78">
        <v>14804.757362040138</v>
      </c>
      <c r="BP78">
        <v>13.658711891023694</v>
      </c>
      <c r="BQ78">
        <v>7539.6089638450794</v>
      </c>
      <c r="BR78">
        <v>26.570667557535682</v>
      </c>
      <c r="BS78">
        <v>14667.008491759696</v>
      </c>
      <c r="BT78">
        <v>22.71587249869587</v>
      </c>
      <c r="BU78">
        <v>12539.161619280119</v>
      </c>
      <c r="BV78">
        <v>17.607277392499075</v>
      </c>
      <c r="BW78">
        <v>9719.2171206594885</v>
      </c>
      <c r="BX78">
        <v>21.635546862071934</v>
      </c>
      <c r="BY78">
        <v>11942.821867863708</v>
      </c>
      <c r="BZ78">
        <v>26.793301373649097</v>
      </c>
      <c r="CA78">
        <v>14789.902358254301</v>
      </c>
      <c r="CB78">
        <v>23.441455446841225</v>
      </c>
      <c r="CC78">
        <v>12939.683406656357</v>
      </c>
      <c r="CD78">
        <v>20.68222294761857</v>
      </c>
      <c r="CE78">
        <v>11416.587067085451</v>
      </c>
      <c r="CF78">
        <v>15.559714507065365</v>
      </c>
      <c r="CG78">
        <v>8588.9624079000823</v>
      </c>
      <c r="CH78">
        <v>20.596258870807599</v>
      </c>
      <c r="CI78">
        <v>11369.134896685795</v>
      </c>
      <c r="CJ78">
        <v>15.903269616439074</v>
      </c>
      <c r="CK78">
        <v>8778.6048282743686</v>
      </c>
      <c r="CL78">
        <v>19.66069290246628</v>
      </c>
      <c r="CM78">
        <v>10852.702482161387</v>
      </c>
      <c r="CN78">
        <v>14.628630944221994</v>
      </c>
      <c r="CO78">
        <v>8075.0042812105412</v>
      </c>
      <c r="CP78">
        <v>19.707831198479116</v>
      </c>
      <c r="CQ78">
        <v>10878.722821560472</v>
      </c>
      <c r="CR78">
        <v>16.638760595465293</v>
      </c>
      <c r="CS78">
        <v>9184.5958486968411</v>
      </c>
      <c r="CT78">
        <v>22.832453312130799</v>
      </c>
      <c r="CU78">
        <v>12603.514228296201</v>
      </c>
    </row>
    <row r="79" spans="2:99" x14ac:dyDescent="0.2">
      <c r="C79" s="119" t="s">
        <v>245</v>
      </c>
      <c r="D79">
        <v>17.088943711272869</v>
      </c>
      <c r="E79">
        <v>12939.748178175814</v>
      </c>
      <c r="F79">
        <v>18.657713001966929</v>
      </c>
      <c r="G79">
        <v>14127.620285089357</v>
      </c>
      <c r="H79">
        <v>19</v>
      </c>
      <c r="I79">
        <v>14386.8</v>
      </c>
      <c r="J79">
        <v>13</v>
      </c>
      <c r="K79">
        <v>9843.5999999999985</v>
      </c>
      <c r="L79">
        <v>19</v>
      </c>
      <c r="M79">
        <v>14386.8</v>
      </c>
      <c r="N79">
        <v>12.603178024874204</v>
      </c>
      <c r="O79">
        <v>9543.1264004347468</v>
      </c>
      <c r="P79">
        <v>17.723293709253745</v>
      </c>
      <c r="Q79">
        <v>13420.077996646934</v>
      </c>
      <c r="R79">
        <v>20.836194162368649</v>
      </c>
      <c r="S79">
        <v>15777.166219745539</v>
      </c>
      <c r="T79">
        <v>16.640420602121406</v>
      </c>
      <c r="U79">
        <v>12600.126479926328</v>
      </c>
      <c r="V79">
        <v>21.723951499872253</v>
      </c>
      <c r="W79">
        <v>16449.376075703269</v>
      </c>
      <c r="X79">
        <v>17.537383249387776</v>
      </c>
      <c r="Y79">
        <v>13279.306596436423</v>
      </c>
      <c r="Z79">
        <v>26.518809177701694</v>
      </c>
      <c r="AA79">
        <v>20080.042309355722</v>
      </c>
      <c r="AB79">
        <v>22.605007754995917</v>
      </c>
      <c r="AC79">
        <v>17116.511872082905</v>
      </c>
      <c r="AD79">
        <v>14.660968736554809</v>
      </c>
      <c r="AE79">
        <v>11101.2855273193</v>
      </c>
      <c r="AF79">
        <v>12.589669875998913</v>
      </c>
      <c r="AG79">
        <v>9532.8980301063766</v>
      </c>
      <c r="AH79">
        <v>19.785552986970995</v>
      </c>
      <c r="AI79">
        <v>14981.620721734436</v>
      </c>
      <c r="AJ79">
        <v>21.770727476228149</v>
      </c>
      <c r="AK79">
        <v>16484.794844999953</v>
      </c>
      <c r="AL79">
        <v>13</v>
      </c>
      <c r="AM79">
        <v>9843.5999999999985</v>
      </c>
      <c r="AN79">
        <v>16.051594093860693</v>
      </c>
      <c r="AO79">
        <v>12154.267047871315</v>
      </c>
      <c r="AP79">
        <v>15.855262407549933</v>
      </c>
      <c r="AQ79">
        <v>12005.604694996808</v>
      </c>
      <c r="AR79">
        <v>23.792312523160607</v>
      </c>
      <c r="AS79">
        <v>18015.53904253721</v>
      </c>
      <c r="AT79">
        <v>18.750294223012336</v>
      </c>
      <c r="AU79">
        <v>14197.722785664939</v>
      </c>
      <c r="AV79">
        <v>25.583006767389847</v>
      </c>
      <c r="AW79">
        <v>19371.45272426759</v>
      </c>
      <c r="AX79">
        <v>22.563858376915078</v>
      </c>
      <c r="AY79">
        <v>17085.353563000095</v>
      </c>
      <c r="AZ79">
        <v>21</v>
      </c>
      <c r="BA79">
        <v>15901.199999999999</v>
      </c>
      <c r="BB79">
        <v>22.260666485555873</v>
      </c>
      <c r="BC79">
        <v>16855.776662862907</v>
      </c>
      <c r="BD79">
        <v>21.705571171560617</v>
      </c>
      <c r="BE79">
        <v>16435.458491105699</v>
      </c>
      <c r="BF79">
        <v>18.742386294943863</v>
      </c>
      <c r="BG79">
        <v>14191.734902531492</v>
      </c>
      <c r="BH79">
        <v>17.712324810914918</v>
      </c>
      <c r="BI79">
        <v>13411.772346824775</v>
      </c>
      <c r="BJ79">
        <v>16.757908797606799</v>
      </c>
      <c r="BK79">
        <v>12689.088541547866</v>
      </c>
      <c r="BL79">
        <v>24.626829201386112</v>
      </c>
      <c r="BM79">
        <v>18647.435071289561</v>
      </c>
      <c r="BN79">
        <v>27.740837198289146</v>
      </c>
      <c r="BO79">
        <v>21005.361926544538</v>
      </c>
      <c r="BP79">
        <v>14.685060366664642</v>
      </c>
      <c r="BQ79">
        <v>11119.527709638465</v>
      </c>
      <c r="BR79">
        <v>26.570667557535682</v>
      </c>
      <c r="BS79">
        <v>20119.309474566016</v>
      </c>
      <c r="BT79">
        <v>21.609817313703889</v>
      </c>
      <c r="BU79">
        <v>16362.953669936584</v>
      </c>
      <c r="BV79">
        <v>18.607277392499075</v>
      </c>
      <c r="BW79">
        <v>14089.430441600298</v>
      </c>
      <c r="BX79">
        <v>19.686390611037687</v>
      </c>
      <c r="BY79">
        <v>14906.534970677736</v>
      </c>
      <c r="BZ79">
        <v>21.769261938083972</v>
      </c>
      <c r="CA79">
        <v>16483.685139517183</v>
      </c>
      <c r="CB79">
        <v>22.480310553481285</v>
      </c>
      <c r="CC79">
        <v>17022.091151096029</v>
      </c>
      <c r="CD79">
        <v>21.655983603479392</v>
      </c>
      <c r="CE79">
        <v>16397.910784554595</v>
      </c>
      <c r="CF79">
        <v>14.6130206505954</v>
      </c>
      <c r="CG79">
        <v>11064.979236630836</v>
      </c>
      <c r="CH79">
        <v>21.56487682497562</v>
      </c>
      <c r="CI79">
        <v>16328.924731871539</v>
      </c>
      <c r="CJ79">
        <v>16.878856924102884</v>
      </c>
      <c r="CK79">
        <v>12780.670462930702</v>
      </c>
      <c r="CL79">
        <v>19.603241345730083</v>
      </c>
      <c r="CM79">
        <v>14843.574346986818</v>
      </c>
      <c r="CN79">
        <v>13.580274717743379</v>
      </c>
      <c r="CO79">
        <v>10282.984016275286</v>
      </c>
      <c r="CP79">
        <v>18.7350554753437</v>
      </c>
      <c r="CQ79">
        <v>14186.184005930249</v>
      </c>
      <c r="CR79">
        <v>15.715411866921128</v>
      </c>
      <c r="CS79">
        <v>11899.709865632678</v>
      </c>
      <c r="CT79">
        <v>19.832453312130799</v>
      </c>
      <c r="CU79">
        <v>15017.133647945438</v>
      </c>
    </row>
    <row r="80" spans="2:99" x14ac:dyDescent="0.2">
      <c r="C80" s="119" t="s">
        <v>246</v>
      </c>
      <c r="D80">
        <v>15.053816494780197</v>
      </c>
      <c r="E80">
        <v>12121.333041597014</v>
      </c>
      <c r="F80">
        <v>19.657713001966929</v>
      </c>
      <c r="G80">
        <v>15828.39050918377</v>
      </c>
      <c r="H80">
        <v>19</v>
      </c>
      <c r="I80">
        <v>15298.8</v>
      </c>
      <c r="J80">
        <v>15</v>
      </c>
      <c r="K80">
        <v>12077.999999999998</v>
      </c>
      <c r="L80">
        <v>21</v>
      </c>
      <c r="M80">
        <v>16909.199999999997</v>
      </c>
      <c r="N80">
        <v>13.670197805415782</v>
      </c>
      <c r="O80">
        <v>11007.243272920787</v>
      </c>
      <c r="P80">
        <v>16.862388653341004</v>
      </c>
      <c r="Q80">
        <v>13577.595343670175</v>
      </c>
      <c r="R80">
        <v>21.86232522994267</v>
      </c>
      <c r="S80">
        <v>17603.544275149838</v>
      </c>
      <c r="T80">
        <v>15.640420602121406</v>
      </c>
      <c r="U80">
        <v>12593.666668828155</v>
      </c>
      <c r="V80">
        <v>20.79634664985948</v>
      </c>
      <c r="W80">
        <v>16745.218322466852</v>
      </c>
      <c r="X80">
        <v>17.600604808139281</v>
      </c>
      <c r="Y80">
        <v>14172.006991513748</v>
      </c>
      <c r="Z80">
        <v>25.576454641890773</v>
      </c>
      <c r="AA80">
        <v>20594.161277650448</v>
      </c>
      <c r="AB80">
        <v>20.605007754995917</v>
      </c>
      <c r="AC80">
        <v>16591.152244322711</v>
      </c>
      <c r="AD80">
        <v>13.711812485520564</v>
      </c>
      <c r="AE80">
        <v>11040.751413341157</v>
      </c>
      <c r="AF80">
        <v>13.556910438443417</v>
      </c>
      <c r="AG80">
        <v>10916.024285034639</v>
      </c>
      <c r="AH80">
        <v>23.785552986970995</v>
      </c>
      <c r="AI80">
        <v>19152.127265109044</v>
      </c>
      <c r="AJ80">
        <v>24.703707695686571</v>
      </c>
      <c r="AK80">
        <v>19891.425436566824</v>
      </c>
      <c r="AL80">
        <v>12</v>
      </c>
      <c r="AM80">
        <v>9662.4</v>
      </c>
      <c r="AN80">
        <v>16.005872611518924</v>
      </c>
      <c r="AO80">
        <v>12887.928626795037</v>
      </c>
      <c r="AP80">
        <v>17.803428322243875</v>
      </c>
      <c r="AQ80">
        <v>14335.320485070766</v>
      </c>
      <c r="AR80">
        <v>21.722402594646436</v>
      </c>
      <c r="AS80">
        <v>17490.878569209308</v>
      </c>
      <c r="AT80">
        <v>17.778082897938717</v>
      </c>
      <c r="AU80">
        <v>14314.912349420254</v>
      </c>
      <c r="AV80">
        <v>25.670457782498321</v>
      </c>
      <c r="AW80">
        <v>20669.852606467648</v>
      </c>
      <c r="AX80">
        <v>22.617559174716515</v>
      </c>
      <c r="AY80">
        <v>18211.658647481738</v>
      </c>
      <c r="AZ80">
        <v>18</v>
      </c>
      <c r="BA80">
        <v>14493.599999999999</v>
      </c>
      <c r="BB80">
        <v>22.138666503082725</v>
      </c>
      <c r="BC80">
        <v>17826.054268282209</v>
      </c>
      <c r="BD80">
        <v>21.644217156642302</v>
      </c>
      <c r="BE80">
        <v>17427.923654528378</v>
      </c>
      <c r="BF80">
        <v>18.795413887439853</v>
      </c>
      <c r="BG80">
        <v>15134.067262166569</v>
      </c>
      <c r="BH80">
        <v>17.688580650551089</v>
      </c>
      <c r="BI80">
        <v>14242.845139823736</v>
      </c>
      <c r="BJ80">
        <v>16.728758459237309</v>
      </c>
      <c r="BK80">
        <v>13469.996311377879</v>
      </c>
      <c r="BL80">
        <v>23.572322314309059</v>
      </c>
      <c r="BM80">
        <v>18980.433927481652</v>
      </c>
      <c r="BN80">
        <v>25.740837198289146</v>
      </c>
      <c r="BO80">
        <v>20726.522112062419</v>
      </c>
      <c r="BP80">
        <v>13.632363415382747</v>
      </c>
      <c r="BQ80">
        <v>10976.779022066186</v>
      </c>
      <c r="BR80">
        <v>25.570667557535682</v>
      </c>
      <c r="BS80">
        <v>20589.501517327728</v>
      </c>
      <c r="BT80">
        <v>22.689358702447873</v>
      </c>
      <c r="BU80">
        <v>18269.471627211027</v>
      </c>
      <c r="BV80">
        <v>17.633680757390341</v>
      </c>
      <c r="BW80">
        <v>14198.639745850702</v>
      </c>
      <c r="BX80">
        <v>20.610124987589053</v>
      </c>
      <c r="BY80">
        <v>16595.272640006704</v>
      </c>
      <c r="BZ80">
        <v>25.841380244779344</v>
      </c>
      <c r="CA80">
        <v>20807.479373096325</v>
      </c>
      <c r="CB80">
        <v>24.402600340201165</v>
      </c>
      <c r="CC80">
        <v>19648.973793929978</v>
      </c>
      <c r="CD80">
        <v>21.577265571061865</v>
      </c>
      <c r="CE80">
        <v>17374.014237819014</v>
      </c>
      <c r="CF80">
        <v>14.559714507065365</v>
      </c>
      <c r="CG80">
        <v>11723.482121089031</v>
      </c>
      <c r="CH80">
        <v>21.596258870807599</v>
      </c>
      <c r="CI80">
        <v>17389.307642774278</v>
      </c>
      <c r="CJ80">
        <v>17.8300315394305</v>
      </c>
      <c r="CK80">
        <v>14356.741395549438</v>
      </c>
      <c r="CL80">
        <v>21.603241345730083</v>
      </c>
      <c r="CM80">
        <v>17394.929931581861</v>
      </c>
      <c r="CN80">
        <v>14.604452830982687</v>
      </c>
      <c r="CO80">
        <v>11759.505419507259</v>
      </c>
      <c r="CP80">
        <v>17.7350554753437</v>
      </c>
      <c r="CQ80">
        <v>14280.266668746746</v>
      </c>
      <c r="CR80">
        <v>15.689861443102515</v>
      </c>
      <c r="CS80">
        <v>12633.476433986145</v>
      </c>
      <c r="CT80">
        <v>21.856937233075822</v>
      </c>
      <c r="CU80">
        <v>17599.205860072649</v>
      </c>
    </row>
    <row r="81" spans="2:99" x14ac:dyDescent="0.2">
      <c r="C81" s="119" t="s">
        <v>247</v>
      </c>
      <c r="D81">
        <v>14.053816494780197</v>
      </c>
      <c r="E81">
        <v>10590.956110466357</v>
      </c>
      <c r="F81">
        <v>20.684021522045608</v>
      </c>
      <c r="G81">
        <v>15587.478619013571</v>
      </c>
      <c r="H81">
        <v>18</v>
      </c>
      <c r="I81">
        <v>13564.800000000001</v>
      </c>
      <c r="J81">
        <v>16</v>
      </c>
      <c r="K81">
        <v>12057.6</v>
      </c>
      <c r="L81">
        <v>23</v>
      </c>
      <c r="M81">
        <v>17332.8</v>
      </c>
      <c r="N81">
        <v>13.670197805415782</v>
      </c>
      <c r="O81">
        <v>10301.861066161333</v>
      </c>
      <c r="P81">
        <v>17.806750675706098</v>
      </c>
      <c r="Q81">
        <v>13419.167309212116</v>
      </c>
      <c r="R81">
        <v>21.836194162368649</v>
      </c>
      <c r="S81">
        <v>16455.755920761014</v>
      </c>
      <c r="T81">
        <v>15.609924382972768</v>
      </c>
      <c r="U81">
        <v>11763.639015008279</v>
      </c>
      <c r="V81">
        <v>21.820478366521886</v>
      </c>
      <c r="W81">
        <v>16443.912497010893</v>
      </c>
      <c r="X81">
        <v>16.600604808139281</v>
      </c>
      <c r="Y81">
        <v>12510.215783413762</v>
      </c>
      <c r="Z81">
        <v>23.576454641890773</v>
      </c>
      <c r="AA81">
        <v>17767.216218128888</v>
      </c>
      <c r="AB81">
        <v>22.605007754995917</v>
      </c>
      <c r="AC81">
        <v>17035.133844164924</v>
      </c>
      <c r="AD81">
        <v>15.686390611037687</v>
      </c>
      <c r="AE81">
        <v>11821.263964478001</v>
      </c>
      <c r="AF81">
        <v>12.556910438443417</v>
      </c>
      <c r="AG81">
        <v>9462.8877064109602</v>
      </c>
      <c r="AH81">
        <v>21.785552986970995</v>
      </c>
      <c r="AI81">
        <v>16417.592730981341</v>
      </c>
      <c r="AJ81">
        <v>24.770727476228149</v>
      </c>
      <c r="AK81">
        <v>18667.220226085534</v>
      </c>
      <c r="AL81">
        <v>14</v>
      </c>
      <c r="AM81">
        <v>10550.4</v>
      </c>
      <c r="AN81">
        <v>17.097315576202462</v>
      </c>
      <c r="AO81">
        <v>12884.537018226176</v>
      </c>
      <c r="AP81">
        <v>15.881179450202961</v>
      </c>
      <c r="AQ81">
        <v>11968.056833672952</v>
      </c>
      <c r="AR81">
        <v>25.769009213655885</v>
      </c>
      <c r="AS81">
        <v>19419.525343411075</v>
      </c>
      <c r="AT81">
        <v>18.833660247791482</v>
      </c>
      <c r="AU81">
        <v>14193.04636273566</v>
      </c>
      <c r="AV81">
        <v>22.612157105759337</v>
      </c>
      <c r="AW81">
        <v>17040.521594900238</v>
      </c>
      <c r="AX81">
        <v>24.617559174716515</v>
      </c>
      <c r="AY81">
        <v>18551.792594066366</v>
      </c>
      <c r="AZ81">
        <v>18</v>
      </c>
      <c r="BA81">
        <v>13564.800000000001</v>
      </c>
      <c r="BB81">
        <v>20.138666503082725</v>
      </c>
      <c r="BC81">
        <v>15176.499076723141</v>
      </c>
      <c r="BD81">
        <v>23.613540149183144</v>
      </c>
      <c r="BE81">
        <v>17795.163856424417</v>
      </c>
      <c r="BF81">
        <v>19.742386294943863</v>
      </c>
      <c r="BG81">
        <v>14877.862311869696</v>
      </c>
      <c r="BH81">
        <v>16.712324810914918</v>
      </c>
      <c r="BI81">
        <v>12594.407977505483</v>
      </c>
      <c r="BJ81">
        <v>17.757908797606799</v>
      </c>
      <c r="BK81">
        <v>13382.360069876484</v>
      </c>
      <c r="BL81">
        <v>22.681336088463166</v>
      </c>
      <c r="BM81">
        <v>17092.654876265842</v>
      </c>
      <c r="BN81">
        <v>23.687920255554207</v>
      </c>
      <c r="BO81">
        <v>17851.216704585651</v>
      </c>
      <c r="BP81">
        <v>14.606014939741797</v>
      </c>
      <c r="BQ81">
        <v>11007.092858589418</v>
      </c>
      <c r="BR81">
        <v>27.660772961357107</v>
      </c>
      <c r="BS81">
        <v>20845.158503678718</v>
      </c>
      <c r="BT81">
        <v>23.609817313703889</v>
      </c>
      <c r="BU81">
        <v>17792.358327607253</v>
      </c>
      <c r="BV81">
        <v>18.580874027607813</v>
      </c>
      <c r="BW81">
        <v>14002.546667205248</v>
      </c>
      <c r="BX81">
        <v>20.711812485520564</v>
      </c>
      <c r="BY81">
        <v>15608.421889088298</v>
      </c>
      <c r="BZ81">
        <v>22.769261938083972</v>
      </c>
      <c r="CA81">
        <v>17158.915796540081</v>
      </c>
      <c r="CB81">
        <v>21.380090358083574</v>
      </c>
      <c r="CC81">
        <v>16112.036093851782</v>
      </c>
      <c r="CD81">
        <v>22.629744259340217</v>
      </c>
      <c r="CE81">
        <v>17053.77527383879</v>
      </c>
      <c r="CF81">
        <v>15.559714507065365</v>
      </c>
      <c r="CG81">
        <v>11725.80085252446</v>
      </c>
      <c r="CH81">
        <v>22.596258870807599</v>
      </c>
      <c r="CI81">
        <v>17028.540685040607</v>
      </c>
      <c r="CJ81">
        <v>14.756793462421927</v>
      </c>
      <c r="CK81">
        <v>11120.719553281164</v>
      </c>
      <c r="CL81">
        <v>18.545789788993883</v>
      </c>
      <c r="CM81">
        <v>13976.107184985791</v>
      </c>
      <c r="CN81">
        <v>13.628630944221994</v>
      </c>
      <c r="CO81">
        <v>10270.536279565695</v>
      </c>
      <c r="CP81">
        <v>19.680606921614533</v>
      </c>
      <c r="CQ81">
        <v>14831.305376128712</v>
      </c>
      <c r="CR81">
        <v>15.715411866921128</v>
      </c>
      <c r="CS81">
        <v>11843.134382911763</v>
      </c>
      <c r="CT81">
        <v>22.856937233075822</v>
      </c>
      <c r="CU81">
        <v>17224.987898845939</v>
      </c>
    </row>
    <row r="82" spans="2:99" x14ac:dyDescent="0.2">
      <c r="C82" s="119" t="s">
        <v>248</v>
      </c>
      <c r="D82">
        <v>16.088943711272869</v>
      </c>
      <c r="E82">
        <v>8186.0545602956336</v>
      </c>
      <c r="F82">
        <v>22.710330042124284</v>
      </c>
      <c r="G82">
        <v>11555.015925432834</v>
      </c>
      <c r="H82">
        <v>19</v>
      </c>
      <c r="I82">
        <v>9667.1999999999989</v>
      </c>
      <c r="J82">
        <v>15</v>
      </c>
      <c r="K82">
        <v>7631.9999999999982</v>
      </c>
      <c r="L82">
        <v>20</v>
      </c>
      <c r="M82">
        <v>10175.999999999998</v>
      </c>
      <c r="N82">
        <v>14.603178024874204</v>
      </c>
      <c r="O82">
        <v>7430.096979055993</v>
      </c>
      <c r="P82">
        <v>15.890207642158455</v>
      </c>
      <c r="Q82">
        <v>8084.9376483302203</v>
      </c>
      <c r="R82">
        <v>20.86232522994267</v>
      </c>
      <c r="S82">
        <v>10614.751076994828</v>
      </c>
      <c r="T82">
        <v>15.640420602121406</v>
      </c>
      <c r="U82">
        <v>7957.8460023593698</v>
      </c>
      <c r="V82">
        <v>19.844610083184296</v>
      </c>
      <c r="W82">
        <v>10096.937610324168</v>
      </c>
      <c r="X82">
        <v>17.632215587515031</v>
      </c>
      <c r="Y82">
        <v>8971.2712909276452</v>
      </c>
      <c r="Z82">
        <v>24.518809177701694</v>
      </c>
      <c r="AA82">
        <v>12475.170109614619</v>
      </c>
      <c r="AB82">
        <v>19.636850268416755</v>
      </c>
      <c r="AC82">
        <v>9991.2294165704425</v>
      </c>
      <c r="AD82">
        <v>15.660968736554809</v>
      </c>
      <c r="AE82">
        <v>7968.3008931590848</v>
      </c>
      <c r="AF82">
        <v>13.524151000887922</v>
      </c>
      <c r="AG82">
        <v>6881.0880292517732</v>
      </c>
      <c r="AH82">
        <v>22.785552986970995</v>
      </c>
      <c r="AI82">
        <v>11593.289359770839</v>
      </c>
      <c r="AJ82">
        <v>25.670197805415782</v>
      </c>
      <c r="AK82">
        <v>13060.996643395547</v>
      </c>
      <c r="AL82">
        <v>14</v>
      </c>
      <c r="AM82">
        <v>7123.1999999999989</v>
      </c>
      <c r="AN82">
        <v>18.14303705854423</v>
      </c>
      <c r="AO82">
        <v>9231.1772553873034</v>
      </c>
      <c r="AP82">
        <v>17.777511279590847</v>
      </c>
      <c r="AQ82">
        <v>9045.1977390558204</v>
      </c>
      <c r="AR82">
        <v>25.792312523160607</v>
      </c>
      <c r="AS82">
        <v>13123.128611784114</v>
      </c>
      <c r="AT82">
        <v>20.778082897938717</v>
      </c>
      <c r="AU82">
        <v>10571.888578471217</v>
      </c>
      <c r="AV82">
        <v>24.699608120867815</v>
      </c>
      <c r="AW82">
        <v>12567.160611897541</v>
      </c>
      <c r="AX82">
        <v>23.617559174716515</v>
      </c>
      <c r="AY82">
        <v>12016.61410809576</v>
      </c>
      <c r="AZ82">
        <v>19</v>
      </c>
      <c r="BA82">
        <v>9667.1999999999989</v>
      </c>
      <c r="BB82">
        <v>21.301333146380259</v>
      </c>
      <c r="BC82">
        <v>10838.118304878273</v>
      </c>
      <c r="BD82">
        <v>21.613540149183144</v>
      </c>
      <c r="BE82">
        <v>10996.969227904381</v>
      </c>
      <c r="BF82">
        <v>21.71587249869587</v>
      </c>
      <c r="BG82">
        <v>11049.035927336456</v>
      </c>
      <c r="BH82">
        <v>16.831045612734073</v>
      </c>
      <c r="BI82">
        <v>8563.6360077590944</v>
      </c>
      <c r="BJ82">
        <v>15.787059135976293</v>
      </c>
      <c r="BK82">
        <v>8032.4556883847363</v>
      </c>
      <c r="BL82">
        <v>26.626829201386112</v>
      </c>
      <c r="BM82">
        <v>13547.730697665251</v>
      </c>
      <c r="BN82">
        <v>28.714378726921677</v>
      </c>
      <c r="BO82">
        <v>14609.875896257747</v>
      </c>
      <c r="BP82">
        <v>14.737757317946537</v>
      </c>
      <c r="BQ82">
        <v>7498.5709233711968</v>
      </c>
      <c r="BR82">
        <v>25.660772961357107</v>
      </c>
      <c r="BS82">
        <v>13056.201282738493</v>
      </c>
      <c r="BT82">
        <v>26.609817313703889</v>
      </c>
      <c r="BU82">
        <v>13539.075049212535</v>
      </c>
      <c r="BV82">
        <v>19.660084122281603</v>
      </c>
      <c r="BW82">
        <v>10003.050801416877</v>
      </c>
      <c r="BX82">
        <v>20.737234360003441</v>
      </c>
      <c r="BY82">
        <v>10551.104842369748</v>
      </c>
      <c r="BZ82">
        <v>25.793301373649097</v>
      </c>
      <c r="CA82">
        <v>13123.631738912658</v>
      </c>
      <c r="CB82">
        <v>25.447190414783766</v>
      </c>
      <c r="CC82">
        <v>12947.530483041977</v>
      </c>
      <c r="CD82">
        <v>23.577265571061865</v>
      </c>
      <c r="CE82">
        <v>11996.112722556274</v>
      </c>
      <c r="CF82">
        <v>15.639673722360417</v>
      </c>
      <c r="CG82">
        <v>7957.465989936979</v>
      </c>
      <c r="CH82">
        <v>21.56487682497562</v>
      </c>
      <c r="CI82">
        <v>10972.209328547593</v>
      </c>
      <c r="CJ82">
        <v>15.903269616439074</v>
      </c>
      <c r="CK82">
        <v>8091.5835808441989</v>
      </c>
      <c r="CL82">
        <v>19.66069290246628</v>
      </c>
      <c r="CM82">
        <v>10003.360548774841</v>
      </c>
      <c r="CN82">
        <v>13.67698717070061</v>
      </c>
      <c r="CO82">
        <v>6958.8510724524685</v>
      </c>
      <c r="CP82">
        <v>18.762279752208279</v>
      </c>
      <c r="CQ82">
        <v>9546.2479379235701</v>
      </c>
      <c r="CR82">
        <v>16.715411866921126</v>
      </c>
      <c r="CS82">
        <v>8504.8015578894683</v>
      </c>
      <c r="CT82">
        <v>23.832453312130799</v>
      </c>
      <c r="CU82">
        <v>12125.952245212147</v>
      </c>
    </row>
    <row r="83" spans="2:99" x14ac:dyDescent="0.2">
      <c r="C83" s="119" t="s">
        <v>249</v>
      </c>
      <c r="D83">
        <v>14.124070927765544</v>
      </c>
      <c r="E83">
        <v>12152.350626249474</v>
      </c>
      <c r="F83">
        <v>19.631404481888254</v>
      </c>
      <c r="G83">
        <v>16890.860416216652</v>
      </c>
      <c r="H83">
        <v>17</v>
      </c>
      <c r="I83">
        <v>14626.8</v>
      </c>
      <c r="J83">
        <v>15</v>
      </c>
      <c r="K83">
        <v>12906</v>
      </c>
      <c r="L83">
        <v>20</v>
      </c>
      <c r="M83">
        <v>17208</v>
      </c>
      <c r="N83">
        <v>12.569668134603415</v>
      </c>
      <c r="O83">
        <v>10814.942463012778</v>
      </c>
      <c r="P83">
        <v>14.751112698071195</v>
      </c>
      <c r="Q83">
        <v>12691.857365420456</v>
      </c>
      <c r="R83">
        <v>23.836194162368649</v>
      </c>
      <c r="S83">
        <v>20508.661457301983</v>
      </c>
      <c r="T83">
        <v>16.579428163824129</v>
      </c>
      <c r="U83">
        <v>14264.939992154281</v>
      </c>
      <c r="V83">
        <v>19.79634664985948</v>
      </c>
      <c r="W83">
        <v>17032.776657539096</v>
      </c>
      <c r="X83">
        <v>16.632215587515031</v>
      </c>
      <c r="Y83">
        <v>14310.358291497932</v>
      </c>
      <c r="Z83">
        <v>24.518809177701694</v>
      </c>
      <c r="AA83">
        <v>21095.983416494539</v>
      </c>
      <c r="AB83">
        <v>19.509480214733404</v>
      </c>
      <c r="AC83">
        <v>16785.956776756622</v>
      </c>
      <c r="AD83">
        <v>14.737234360003441</v>
      </c>
      <c r="AE83">
        <v>12679.916443346961</v>
      </c>
      <c r="AF83">
        <v>14.491391563332428</v>
      </c>
      <c r="AG83">
        <v>12468.393301091221</v>
      </c>
      <c r="AH83">
        <v>21.733182787839596</v>
      </c>
      <c r="AI83">
        <v>18699.230470657189</v>
      </c>
      <c r="AJ83">
        <v>23.670197805415782</v>
      </c>
      <c r="AK83">
        <v>20365.838191779738</v>
      </c>
      <c r="AL83">
        <v>13</v>
      </c>
      <c r="AM83">
        <v>11185.199999999999</v>
      </c>
      <c r="AN83">
        <v>15.005872611518923</v>
      </c>
      <c r="AO83">
        <v>12911.052794950881</v>
      </c>
      <c r="AP83">
        <v>14.803428322243876</v>
      </c>
      <c r="AQ83">
        <v>12736.869728458631</v>
      </c>
      <c r="AR83">
        <v>22.81561583266533</v>
      </c>
      <c r="AS83">
        <v>19630.555862425248</v>
      </c>
      <c r="AT83">
        <v>20.778082897938717</v>
      </c>
      <c r="AU83">
        <v>17877.462525386472</v>
      </c>
      <c r="AV83">
        <v>24.583006767389847</v>
      </c>
      <c r="AW83">
        <v>21151.219022662222</v>
      </c>
      <c r="AX83">
        <v>24.563858376915078</v>
      </c>
      <c r="AY83">
        <v>21134.743747497734</v>
      </c>
      <c r="AZ83">
        <v>20</v>
      </c>
      <c r="BA83">
        <v>17208</v>
      </c>
      <c r="BB83">
        <v>22.138666503082725</v>
      </c>
      <c r="BC83">
        <v>19048.108659252375</v>
      </c>
      <c r="BD83">
        <v>18.582863141723987</v>
      </c>
      <c r="BE83">
        <v>15988.695447139318</v>
      </c>
      <c r="BF83">
        <v>17.689358702447873</v>
      </c>
      <c r="BG83">
        <v>15219.924227586149</v>
      </c>
      <c r="BH83">
        <v>15.736068971278749</v>
      </c>
      <c r="BI83">
        <v>13539.313742888236</v>
      </c>
      <c r="BJ83">
        <v>17.757908797606799</v>
      </c>
      <c r="BK83">
        <v>15278.90472946089</v>
      </c>
      <c r="BL83">
        <v>22.599575757847585</v>
      </c>
      <c r="BM83">
        <v>19444.674982052064</v>
      </c>
      <c r="BN83">
        <v>24.767295669656615</v>
      </c>
      <c r="BO83">
        <v>21309.781194172552</v>
      </c>
      <c r="BP83">
        <v>13.606014939741797</v>
      </c>
      <c r="BQ83">
        <v>11706.615254153841</v>
      </c>
      <c r="BR83">
        <v>26.540632422928542</v>
      </c>
      <c r="BS83">
        <v>22835.560136687716</v>
      </c>
      <c r="BT83">
        <v>22.636331109951882</v>
      </c>
      <c r="BU83">
        <v>19476.299287002599</v>
      </c>
      <c r="BV83">
        <v>15.580874027607811</v>
      </c>
      <c r="BW83">
        <v>13405.784013353759</v>
      </c>
      <c r="BX83">
        <v>19.686390611037687</v>
      </c>
      <c r="BY83">
        <v>16938.170481736826</v>
      </c>
      <c r="BZ83">
        <v>22.86541968034447</v>
      </c>
      <c r="CA83">
        <v>19673.40709296838</v>
      </c>
      <c r="CB83">
        <v>24.402600340201165</v>
      </c>
      <c r="CC83">
        <v>20995.997332709081</v>
      </c>
      <c r="CD83">
        <v>22.603504915201039</v>
      </c>
      <c r="CE83">
        <v>19448.055629038972</v>
      </c>
      <c r="CF83">
        <v>14.559714507065365</v>
      </c>
      <c r="CG83">
        <v>12527.17836187904</v>
      </c>
      <c r="CH83">
        <v>19.56487682497562</v>
      </c>
      <c r="CI83">
        <v>16833.620020209022</v>
      </c>
      <c r="CJ83">
        <v>16.805618847094308</v>
      </c>
      <c r="CK83">
        <v>14459.554456039943</v>
      </c>
      <c r="CL83">
        <v>18.574515567361981</v>
      </c>
      <c r="CM83">
        <v>15981.513194158248</v>
      </c>
      <c r="CN83">
        <v>14.652809057461303</v>
      </c>
      <c r="CO83">
        <v>12607.276913039705</v>
      </c>
      <c r="CP83">
        <v>18.7350554753437</v>
      </c>
      <c r="CQ83">
        <v>16119.641730985719</v>
      </c>
      <c r="CR83">
        <v>15.638760595465293</v>
      </c>
      <c r="CS83">
        <v>13455.589616338337</v>
      </c>
      <c r="CT83">
        <v>21.832453312130799</v>
      </c>
      <c r="CU83">
        <v>18784.64282975734</v>
      </c>
    </row>
    <row r="84" spans="2:99" x14ac:dyDescent="0.2">
      <c r="C84" s="119" t="s">
        <v>250</v>
      </c>
      <c r="D84">
        <v>15.124070927765544</v>
      </c>
      <c r="E84">
        <v>11814.924208770442</v>
      </c>
      <c r="F84">
        <v>20.710330042124284</v>
      </c>
      <c r="G84">
        <v>16178.909828907488</v>
      </c>
      <c r="H84">
        <v>18</v>
      </c>
      <c r="I84">
        <v>14061.599999999999</v>
      </c>
      <c r="J84">
        <v>15</v>
      </c>
      <c r="K84">
        <v>11717.999999999998</v>
      </c>
      <c r="L84">
        <v>20</v>
      </c>
      <c r="M84">
        <v>15623.999999999998</v>
      </c>
      <c r="N84">
        <v>14.603178024874204</v>
      </c>
      <c r="O84">
        <v>11408.002673031728</v>
      </c>
      <c r="P84">
        <v>17.806750675706098</v>
      </c>
      <c r="Q84">
        <v>13910.633627861604</v>
      </c>
      <c r="R84">
        <v>22.836194162368649</v>
      </c>
      <c r="S84">
        <v>17839.634879642388</v>
      </c>
      <c r="T84">
        <v>14.609924382972768</v>
      </c>
      <c r="U84">
        <v>11413.272927978325</v>
      </c>
      <c r="V84">
        <v>20.844610083184296</v>
      </c>
      <c r="W84">
        <v>16283.80939698357</v>
      </c>
      <c r="X84">
        <v>17.632215587515031</v>
      </c>
      <c r="Y84">
        <v>13774.286816966742</v>
      </c>
      <c r="Z84">
        <v>24.518809177701694</v>
      </c>
      <c r="AA84">
        <v>19154.093729620563</v>
      </c>
      <c r="AB84">
        <v>19.605007754995917</v>
      </c>
      <c r="AC84">
        <v>15315.432058202809</v>
      </c>
      <c r="AD84">
        <v>14.686390611037687</v>
      </c>
      <c r="AE84">
        <v>11473.00834534264</v>
      </c>
      <c r="AF84">
        <v>13.524151000887922</v>
      </c>
      <c r="AG84">
        <v>10565.066761893644</v>
      </c>
      <c r="AH84">
        <v>19.864108285668095</v>
      </c>
      <c r="AI84">
        <v>15517.841392763914</v>
      </c>
      <c r="AJ84">
        <v>23.670197805415782</v>
      </c>
      <c r="AK84">
        <v>18491.158525590807</v>
      </c>
      <c r="AL84">
        <v>14</v>
      </c>
      <c r="AM84">
        <v>10936.8</v>
      </c>
      <c r="AN84">
        <v>16.051594093860693</v>
      </c>
      <c r="AO84">
        <v>12539.505306123972</v>
      </c>
      <c r="AP84">
        <v>17.725677194284792</v>
      </c>
      <c r="AQ84">
        <v>13847.299024175278</v>
      </c>
      <c r="AR84">
        <v>22.769009213655885</v>
      </c>
      <c r="AS84">
        <v>17787.149997707977</v>
      </c>
      <c r="AT84">
        <v>17.722505548085952</v>
      </c>
      <c r="AU84">
        <v>13844.821334164744</v>
      </c>
      <c r="AV84">
        <v>22.641307444128831</v>
      </c>
      <c r="AW84">
        <v>17687.389375353439</v>
      </c>
      <c r="AX84">
        <v>23.617559174716515</v>
      </c>
      <c r="AY84">
        <v>18450.03722728854</v>
      </c>
      <c r="AZ84">
        <v>20</v>
      </c>
      <c r="BA84">
        <v>15623.999999999998</v>
      </c>
      <c r="BB84">
        <v>20.17933316390711</v>
      </c>
      <c r="BC84">
        <v>15764.095067644233</v>
      </c>
      <c r="BD84">
        <v>20.644217156642302</v>
      </c>
      <c r="BE84">
        <v>16127.262442768964</v>
      </c>
      <c r="BF84">
        <v>20.742386294943863</v>
      </c>
      <c r="BG84">
        <v>16203.952173610145</v>
      </c>
      <c r="BH84">
        <v>15.807301452370242</v>
      </c>
      <c r="BI84">
        <v>12348.663894591631</v>
      </c>
      <c r="BJ84">
        <v>17.728758459237309</v>
      </c>
      <c r="BK84">
        <v>13849.706108356184</v>
      </c>
      <c r="BL84">
        <v>24.654082644924639</v>
      </c>
      <c r="BM84">
        <v>19259.769362215127</v>
      </c>
      <c r="BN84">
        <v>25.793754141024085</v>
      </c>
      <c r="BO84">
        <v>20150.080734968014</v>
      </c>
      <c r="BP84">
        <v>14.711408842305589</v>
      </c>
      <c r="BQ84">
        <v>11492.552587609125</v>
      </c>
      <c r="BR84">
        <v>24.630737826749964</v>
      </c>
      <c r="BS84">
        <v>19241.532390257071</v>
      </c>
      <c r="BT84">
        <v>22.662844906199879</v>
      </c>
      <c r="BU84">
        <v>17704.214440723343</v>
      </c>
      <c r="BV84">
        <v>17.633680757390341</v>
      </c>
      <c r="BW84">
        <v>13775.431407673334</v>
      </c>
      <c r="BX84">
        <v>19.635546862071934</v>
      </c>
      <c r="BY84">
        <v>15339.289208650593</v>
      </c>
      <c r="BZ84">
        <v>21.841380244779344</v>
      </c>
      <c r="CA84">
        <v>17062.486247221623</v>
      </c>
      <c r="CB84">
        <v>25.391560293968659</v>
      </c>
      <c r="CC84">
        <v>19835.886901648315</v>
      </c>
      <c r="CD84">
        <v>20.551026226922691</v>
      </c>
      <c r="CE84">
        <v>16054.461688472005</v>
      </c>
      <c r="CF84">
        <v>13.559714507065365</v>
      </c>
      <c r="CG84">
        <v>10592.848972919463</v>
      </c>
      <c r="CH84">
        <v>19.596258870807599</v>
      </c>
      <c r="CI84">
        <v>15308.597429874895</v>
      </c>
      <c r="CJ84">
        <v>15.756793462421927</v>
      </c>
      <c r="CK84">
        <v>12309.207052844007</v>
      </c>
      <c r="CL84">
        <v>18.66069290246628</v>
      </c>
      <c r="CM84">
        <v>14577.733295406657</v>
      </c>
      <c r="CN84">
        <v>14.67698717070061</v>
      </c>
      <c r="CO84">
        <v>11465.662377751316</v>
      </c>
      <c r="CP84">
        <v>19.680606921614533</v>
      </c>
      <c r="CQ84">
        <v>15374.490127165272</v>
      </c>
      <c r="CR84">
        <v>15.638760595465293</v>
      </c>
      <c r="CS84">
        <v>12216.999777177485</v>
      </c>
      <c r="CT84">
        <v>19.710033707405682</v>
      </c>
      <c r="CU84">
        <v>15397.478332225317</v>
      </c>
    </row>
    <row r="85" spans="2:99" x14ac:dyDescent="0.2">
      <c r="C85" s="119" t="s">
        <v>251</v>
      </c>
      <c r="D85">
        <v>15.19432536075089</v>
      </c>
      <c r="E85">
        <v>2279.1488041126336</v>
      </c>
      <c r="F85">
        <v>19.736638562202963</v>
      </c>
      <c r="G85">
        <v>2960.4957843304442</v>
      </c>
      <c r="H85">
        <v>20</v>
      </c>
      <c r="I85">
        <v>3000</v>
      </c>
      <c r="J85">
        <v>15</v>
      </c>
      <c r="K85">
        <v>2250</v>
      </c>
      <c r="L85">
        <v>23</v>
      </c>
      <c r="M85">
        <v>3450</v>
      </c>
      <c r="N85">
        <v>13.703707695686571</v>
      </c>
      <c r="O85">
        <v>2055.5561543529857</v>
      </c>
      <c r="P85">
        <v>16.862388653341004</v>
      </c>
      <c r="Q85">
        <v>2529.3582980011506</v>
      </c>
      <c r="R85">
        <v>23.783932027220608</v>
      </c>
      <c r="S85">
        <v>3567.5898040830912</v>
      </c>
      <c r="T85">
        <v>18.762405478715959</v>
      </c>
      <c r="U85">
        <v>2814.3608218073937</v>
      </c>
      <c r="V85">
        <v>21.820478366521886</v>
      </c>
      <c r="W85">
        <v>3273.071754978283</v>
      </c>
      <c r="X85">
        <v>19.632215587515031</v>
      </c>
      <c r="Y85">
        <v>2944.8323381272548</v>
      </c>
      <c r="Z85">
        <v>28.547631909796234</v>
      </c>
      <c r="AA85">
        <v>4282.1447864694355</v>
      </c>
      <c r="AB85">
        <v>23.636850268416755</v>
      </c>
      <c r="AC85">
        <v>3545.527540262513</v>
      </c>
      <c r="AD85">
        <v>15.762656234486318</v>
      </c>
      <c r="AE85">
        <v>2364.3984351729478</v>
      </c>
      <c r="AF85">
        <v>13.556910438443417</v>
      </c>
      <c r="AG85">
        <v>2033.5365657665125</v>
      </c>
      <c r="AH85">
        <v>23.811738086536696</v>
      </c>
      <c r="AI85">
        <v>3571.7607129805042</v>
      </c>
      <c r="AJ85">
        <v>23.703707695686571</v>
      </c>
      <c r="AK85">
        <v>3555.5561543529857</v>
      </c>
      <c r="AL85">
        <v>16</v>
      </c>
      <c r="AM85">
        <v>2400</v>
      </c>
      <c r="AN85">
        <v>19.14303705854423</v>
      </c>
      <c r="AO85">
        <v>2871.4555587816344</v>
      </c>
      <c r="AP85">
        <v>16.855262407549933</v>
      </c>
      <c r="AQ85">
        <v>2528.2893611324898</v>
      </c>
      <c r="AR85">
        <v>25.769009213655885</v>
      </c>
      <c r="AS85">
        <v>3865.3513820483827</v>
      </c>
      <c r="AT85">
        <v>22.805871572865101</v>
      </c>
      <c r="AU85">
        <v>3420.8807359297653</v>
      </c>
      <c r="AV85">
        <v>25.641307444128831</v>
      </c>
      <c r="AW85">
        <v>3846.1961166193246</v>
      </c>
      <c r="AX85">
        <v>28.617559174716515</v>
      </c>
      <c r="AY85">
        <v>4292.6338762074774</v>
      </c>
      <c r="AZ85">
        <v>24</v>
      </c>
      <c r="BA85">
        <v>3600</v>
      </c>
      <c r="BB85">
        <v>23.17933316390711</v>
      </c>
      <c r="BC85">
        <v>3476.8999745860665</v>
      </c>
      <c r="BD85">
        <v>23.67489416410146</v>
      </c>
      <c r="BE85">
        <v>3551.2341246152191</v>
      </c>
      <c r="BF85">
        <v>22.87495527618384</v>
      </c>
      <c r="BG85">
        <v>3431.243291427576</v>
      </c>
      <c r="BH85">
        <v>16.854789773097902</v>
      </c>
      <c r="BI85">
        <v>2528.2184659646855</v>
      </c>
      <c r="BJ85">
        <v>17.757908797606799</v>
      </c>
      <c r="BK85">
        <v>2663.68631964102</v>
      </c>
      <c r="BL85">
        <v>28.599575757847585</v>
      </c>
      <c r="BM85">
        <v>4289.9363636771377</v>
      </c>
      <c r="BN85">
        <v>28.793754141024085</v>
      </c>
      <c r="BO85">
        <v>4319.0631211536129</v>
      </c>
      <c r="BP85">
        <v>14.711408842305589</v>
      </c>
      <c r="BQ85">
        <v>2206.7113263458382</v>
      </c>
      <c r="BR85">
        <v>26.660772961357107</v>
      </c>
      <c r="BS85">
        <v>3999.115944203566</v>
      </c>
      <c r="BT85">
        <v>26.609817313703889</v>
      </c>
      <c r="BU85">
        <v>3991.4725970555833</v>
      </c>
      <c r="BV85">
        <v>20.686487487172869</v>
      </c>
      <c r="BW85">
        <v>3102.9731230759303</v>
      </c>
      <c r="BX85">
        <v>22.737234360003441</v>
      </c>
      <c r="BY85">
        <v>3410.585154000516</v>
      </c>
      <c r="BZ85">
        <v>24.769261938083972</v>
      </c>
      <c r="CA85">
        <v>3715.3892907125955</v>
      </c>
      <c r="CB85">
        <v>25.447190414783766</v>
      </c>
      <c r="CC85">
        <v>3817.0785622175649</v>
      </c>
      <c r="CD85">
        <v>25.708462291757744</v>
      </c>
      <c r="CE85">
        <v>3856.2693437636617</v>
      </c>
      <c r="CF85">
        <v>13.586367578830382</v>
      </c>
      <c r="CG85">
        <v>2037.9551368245573</v>
      </c>
      <c r="CH85">
        <v>21.627640916639578</v>
      </c>
      <c r="CI85">
        <v>3244.1461374959367</v>
      </c>
      <c r="CJ85">
        <v>17.903269616439076</v>
      </c>
      <c r="CK85">
        <v>2685.4904424658612</v>
      </c>
      <c r="CL85">
        <v>20.603241345730083</v>
      </c>
      <c r="CM85">
        <v>3090.4862018595127</v>
      </c>
      <c r="CN85">
        <v>14.701165283939917</v>
      </c>
      <c r="CO85">
        <v>2205.1747925909876</v>
      </c>
      <c r="CP85">
        <v>20.707831198479116</v>
      </c>
      <c r="CQ85">
        <v>3106.1746797718674</v>
      </c>
      <c r="CR85">
        <v>17.817613562195575</v>
      </c>
      <c r="CS85">
        <v>2672.6420343293362</v>
      </c>
      <c r="CT85">
        <v>22.856937233075822</v>
      </c>
      <c r="CU85">
        <v>3428.5405849613735</v>
      </c>
    </row>
    <row r="86" spans="2:99" x14ac:dyDescent="0.2">
      <c r="C86" s="119" t="s">
        <v>252</v>
      </c>
      <c r="D86">
        <v>16.124070927765544</v>
      </c>
      <c r="E86">
        <v>8706.9983009933931</v>
      </c>
      <c r="F86">
        <v>21.710330042124284</v>
      </c>
      <c r="G86">
        <v>11723.578222747114</v>
      </c>
      <c r="H86">
        <v>20</v>
      </c>
      <c r="I86">
        <v>10800</v>
      </c>
      <c r="J86">
        <v>16</v>
      </c>
      <c r="K86">
        <v>8640</v>
      </c>
      <c r="L86">
        <v>21</v>
      </c>
      <c r="M86">
        <v>11340</v>
      </c>
      <c r="N86">
        <v>13.670197805415782</v>
      </c>
      <c r="O86">
        <v>7381.9068149245222</v>
      </c>
      <c r="P86">
        <v>15.862388653341002</v>
      </c>
      <c r="Q86">
        <v>8565.6898728041415</v>
      </c>
      <c r="R86">
        <v>23.757800959646588</v>
      </c>
      <c r="S86">
        <v>12829.212518209157</v>
      </c>
      <c r="T86">
        <v>15.670916821270044</v>
      </c>
      <c r="U86">
        <v>8462.2950834858239</v>
      </c>
      <c r="V86">
        <v>20.79634664985948</v>
      </c>
      <c r="W86">
        <v>11230.027190924118</v>
      </c>
      <c r="X86">
        <v>18.600604808139281</v>
      </c>
      <c r="Y86">
        <v>10044.326596395211</v>
      </c>
      <c r="Z86">
        <v>22.576454641890773</v>
      </c>
      <c r="AA86">
        <v>12191.285506621018</v>
      </c>
      <c r="AB86">
        <v>23.541322728154242</v>
      </c>
      <c r="AC86">
        <v>12712.31427320329</v>
      </c>
      <c r="AD86">
        <v>15.660968736554809</v>
      </c>
      <c r="AE86">
        <v>8456.9231177395959</v>
      </c>
      <c r="AF86">
        <v>12.556910438443417</v>
      </c>
      <c r="AG86">
        <v>6780.7316367594449</v>
      </c>
      <c r="AH86">
        <v>24.811738086536696</v>
      </c>
      <c r="AI86">
        <v>13398.338566729815</v>
      </c>
      <c r="AJ86">
        <v>25.73721758595736</v>
      </c>
      <c r="AK86">
        <v>13898.097496416975</v>
      </c>
      <c r="AL86">
        <v>14</v>
      </c>
      <c r="AM86">
        <v>7560</v>
      </c>
      <c r="AN86">
        <v>17.005872611518924</v>
      </c>
      <c r="AO86">
        <v>9183.17121022022</v>
      </c>
      <c r="AP86">
        <v>17.829345364896906</v>
      </c>
      <c r="AQ86">
        <v>9627.8464970443292</v>
      </c>
      <c r="AR86">
        <v>25.769009213655885</v>
      </c>
      <c r="AS86">
        <v>13915.264975374177</v>
      </c>
      <c r="AT86">
        <v>20.833660247791482</v>
      </c>
      <c r="AU86">
        <v>11250.1765338074</v>
      </c>
      <c r="AV86">
        <v>22.612157105759337</v>
      </c>
      <c r="AW86">
        <v>12210.564837110041</v>
      </c>
      <c r="AX86">
        <v>26.590708775815795</v>
      </c>
      <c r="AY86">
        <v>14358.982738940529</v>
      </c>
      <c r="AZ86">
        <v>20</v>
      </c>
      <c r="BA86">
        <v>10800</v>
      </c>
      <c r="BB86">
        <v>23.138666503082725</v>
      </c>
      <c r="BC86">
        <v>12494.879911664671</v>
      </c>
      <c r="BD86">
        <v>22.644217156642302</v>
      </c>
      <c r="BE86">
        <v>12227.877264586843</v>
      </c>
      <c r="BF86">
        <v>18.742386294943863</v>
      </c>
      <c r="BG86">
        <v>10120.888599269685</v>
      </c>
      <c r="BH86">
        <v>18.736068971278751</v>
      </c>
      <c r="BI86">
        <v>10117.477244490525</v>
      </c>
      <c r="BJ86">
        <v>16.787059135976293</v>
      </c>
      <c r="BK86">
        <v>9065.0119334271985</v>
      </c>
      <c r="BL86">
        <v>26.681336088463166</v>
      </c>
      <c r="BM86">
        <v>14407.921487770109</v>
      </c>
      <c r="BN86">
        <v>26.793754141024085</v>
      </c>
      <c r="BO86">
        <v>14468.627236153006</v>
      </c>
      <c r="BP86">
        <v>15.632363415382747</v>
      </c>
      <c r="BQ86">
        <v>8441.4762443066829</v>
      </c>
      <c r="BR86">
        <v>28.660772961357107</v>
      </c>
      <c r="BS86">
        <v>15476.817399132839</v>
      </c>
      <c r="BT86">
        <v>26.662844906199879</v>
      </c>
      <c r="BU86">
        <v>14397.936249347935</v>
      </c>
      <c r="BV86">
        <v>16.633680757390341</v>
      </c>
      <c r="BW86">
        <v>8982.1876089907837</v>
      </c>
      <c r="BX86">
        <v>21.737234360003441</v>
      </c>
      <c r="BY86">
        <v>11738.106554401858</v>
      </c>
      <c r="BZ86">
        <v>25.841380244779344</v>
      </c>
      <c r="CA86">
        <v>13954.345332180847</v>
      </c>
      <c r="CB86">
        <v>26.352705187328599</v>
      </c>
      <c r="CC86">
        <v>14230.460801157444</v>
      </c>
      <c r="CD86">
        <v>21.577265571061865</v>
      </c>
      <c r="CE86">
        <v>11651.723408373407</v>
      </c>
      <c r="CF86">
        <v>13.559714507065365</v>
      </c>
      <c r="CG86">
        <v>7322.2458338152974</v>
      </c>
      <c r="CH86">
        <v>22.56487682497562</v>
      </c>
      <c r="CI86">
        <v>12185.033485486834</v>
      </c>
      <c r="CJ86">
        <v>16.878856924102884</v>
      </c>
      <c r="CK86">
        <v>9114.5827390155573</v>
      </c>
      <c r="CL86">
        <v>20.574515567361981</v>
      </c>
      <c r="CM86">
        <v>11110.238406375471</v>
      </c>
      <c r="CN86">
        <v>13.628630944221994</v>
      </c>
      <c r="CO86">
        <v>7359.460709879877</v>
      </c>
      <c r="CP86">
        <v>19.680606921614533</v>
      </c>
      <c r="CQ86">
        <v>10627.527737671848</v>
      </c>
      <c r="CR86">
        <v>15.664311019283904</v>
      </c>
      <c r="CS86">
        <v>8458.7279504133076</v>
      </c>
      <c r="CT86">
        <v>22.856937233075822</v>
      </c>
      <c r="CU86">
        <v>12342.746105860944</v>
      </c>
    </row>
    <row r="87" spans="2:99" x14ac:dyDescent="0.2">
      <c r="B87" s="119" t="s">
        <v>131</v>
      </c>
      <c r="C87" s="119" t="s">
        <v>253</v>
      </c>
      <c r="D87">
        <v>15.456653814404753</v>
      </c>
      <c r="E87">
        <v>30214.666876398409</v>
      </c>
      <c r="F87">
        <v>10.263085200786772</v>
      </c>
      <c r="G87">
        <v>20062.278950497981</v>
      </c>
      <c r="H87">
        <v>15</v>
      </c>
      <c r="I87">
        <v>29322</v>
      </c>
      <c r="J87">
        <v>15</v>
      </c>
      <c r="K87">
        <v>29322</v>
      </c>
      <c r="L87">
        <v>20.59872504917757</v>
      </c>
      <c r="M87">
        <v>40266.387726132314</v>
      </c>
      <c r="N87">
        <v>15.36860879297868</v>
      </c>
      <c r="O87">
        <v>30042.556468514722</v>
      </c>
      <c r="P87">
        <v>12.306008876991969</v>
      </c>
      <c r="Q87">
        <v>24055.786152743902</v>
      </c>
      <c r="R87">
        <v>17.391966013610304</v>
      </c>
      <c r="S87">
        <v>33997.815163405423</v>
      </c>
      <c r="T87">
        <v>13.518435725526851</v>
      </c>
      <c r="U87">
        <v>26425.838156259888</v>
      </c>
      <c r="V87">
        <v>16.555029483235394</v>
      </c>
      <c r="W87">
        <v>32361.771633828546</v>
      </c>
      <c r="X87">
        <v>11.347718573133267</v>
      </c>
      <c r="Y87">
        <v>22182.520266760912</v>
      </c>
      <c r="Z87">
        <v>13.634100106079849</v>
      </c>
      <c r="AA87">
        <v>26651.93888736489</v>
      </c>
      <c r="AB87">
        <v>10.573165241575079</v>
      </c>
      <c r="AC87">
        <v>20668.423414230965</v>
      </c>
      <c r="AD87">
        <v>12.457593740691792</v>
      </c>
      <c r="AE87">
        <v>24352.104244304315</v>
      </c>
      <c r="AF87">
        <v>13.393113250665941</v>
      </c>
      <c r="AG87">
        <v>26180.857782401781</v>
      </c>
      <c r="AH87">
        <v>19.392776493485499</v>
      </c>
      <c r="AI87">
        <v>37908.999489465452</v>
      </c>
      <c r="AJ87">
        <v>18.36860879297868</v>
      </c>
      <c r="AK87">
        <v>35906.95646851472</v>
      </c>
      <c r="AL87">
        <v>13</v>
      </c>
      <c r="AM87">
        <v>25412.399999999998</v>
      </c>
      <c r="AN87">
        <v>10.777265199810078</v>
      </c>
      <c r="AO87">
        <v>21067.398012588739</v>
      </c>
      <c r="AP87">
        <v>13.311004511836339</v>
      </c>
      <c r="AQ87">
        <v>26020.351619737674</v>
      </c>
      <c r="AR87">
        <v>16.489369499599199</v>
      </c>
      <c r="AS87">
        <v>32233.419497816514</v>
      </c>
      <c r="AT87">
        <v>20.333464099116593</v>
      </c>
      <c r="AU87">
        <v>39747.855620953116</v>
      </c>
      <c r="AV87">
        <v>14.553856429020353</v>
      </c>
      <c r="AW87">
        <v>28449.878547448985</v>
      </c>
      <c r="AX87">
        <v>17.510157579113642</v>
      </c>
      <c r="AY87">
        <v>34228.856035651348</v>
      </c>
      <c r="AZ87">
        <v>16</v>
      </c>
      <c r="BA87">
        <v>31276.799999999999</v>
      </c>
      <c r="BB87">
        <v>12.772666555663278</v>
      </c>
      <c r="BC87">
        <v>24968.008583010575</v>
      </c>
      <c r="BD87">
        <v>14.398801096969043</v>
      </c>
      <c r="BE87">
        <v>28146.776384355086</v>
      </c>
      <c r="BF87">
        <v>18.318165554975941</v>
      </c>
      <c r="BG87">
        <v>35808.350026866967</v>
      </c>
      <c r="BH87">
        <v>11.522371528004275</v>
      </c>
      <c r="BI87">
        <v>22523.931862942754</v>
      </c>
      <c r="BJ87">
        <v>19.408104737172891</v>
      </c>
      <c r="BK87">
        <v>37938.963140225569</v>
      </c>
      <c r="BL87">
        <v>12.490561983693478</v>
      </c>
      <c r="BM87">
        <v>24416.55056572401</v>
      </c>
      <c r="BN87">
        <v>14.55562789871686</v>
      </c>
      <c r="BO87">
        <v>28453.341416411717</v>
      </c>
      <c r="BP87">
        <v>14.526969512818955</v>
      </c>
      <c r="BQ87">
        <v>28397.320003658493</v>
      </c>
      <c r="BR87">
        <v>19.72084323057139</v>
      </c>
      <c r="BS87">
        <v>38550.304347120953</v>
      </c>
      <c r="BT87">
        <v>19.609817313703889</v>
      </c>
      <c r="BU87">
        <v>38333.270884828358</v>
      </c>
      <c r="BV87">
        <v>17.554470662716547</v>
      </c>
      <c r="BW87">
        <v>34315.479251478304</v>
      </c>
      <c r="BX87">
        <v>20.610124987589053</v>
      </c>
      <c r="BY87">
        <v>40288.672325739077</v>
      </c>
      <c r="BZ87">
        <v>15.456749275737359</v>
      </c>
      <c r="CA87">
        <v>30214.853484211388</v>
      </c>
      <c r="CB87">
        <v>19.31872526932592</v>
      </c>
      <c r="CC87">
        <v>37764.244156478308</v>
      </c>
      <c r="CD87">
        <v>13.498547538644338</v>
      </c>
      <c r="CE87">
        <v>26386.960728541952</v>
      </c>
      <c r="CF87">
        <v>15.692979865890452</v>
      </c>
      <c r="CG87">
        <v>30676.637041842656</v>
      </c>
      <c r="CH87">
        <v>19.502112733311662</v>
      </c>
      <c r="CI87">
        <v>38122.729971077635</v>
      </c>
      <c r="CJ87">
        <v>12.341777692706676</v>
      </c>
      <c r="CK87">
        <v>24125.707033703009</v>
      </c>
      <c r="CL87">
        <v>22.488338232257686</v>
      </c>
      <c r="CM87">
        <v>43960.20357641732</v>
      </c>
      <c r="CN87">
        <v>20.556096604504074</v>
      </c>
      <c r="CO87">
        <v>40183.057642484564</v>
      </c>
      <c r="CP87">
        <v>17.571709814156208</v>
      </c>
      <c r="CQ87">
        <v>34349.178344712556</v>
      </c>
      <c r="CR87">
        <v>21.383256357279176</v>
      </c>
      <c r="CS87">
        <v>41799.989527209334</v>
      </c>
      <c r="CT87">
        <v>14.440710577010423</v>
      </c>
      <c r="CU87">
        <v>28228.701035939972</v>
      </c>
    </row>
    <row r="88" spans="2:99" x14ac:dyDescent="0.2">
      <c r="C88" s="119" t="s">
        <v>254</v>
      </c>
      <c r="D88">
        <v>16.421526597912077</v>
      </c>
      <c r="E88">
        <v>31076.096933888814</v>
      </c>
      <c r="F88">
        <v>11.28939372086545</v>
      </c>
      <c r="G88">
        <v>21364.048677365776</v>
      </c>
      <c r="H88">
        <v>18</v>
      </c>
      <c r="I88">
        <v>34063.199999999997</v>
      </c>
      <c r="J88">
        <v>18</v>
      </c>
      <c r="K88">
        <v>34063.199999999997</v>
      </c>
      <c r="L88">
        <v>18.648618803275703</v>
      </c>
      <c r="M88">
        <v>35290.646223318938</v>
      </c>
      <c r="N88">
        <v>15.402118683249469</v>
      </c>
      <c r="O88">
        <v>29146.969396181292</v>
      </c>
      <c r="P88">
        <v>12.278189888174516</v>
      </c>
      <c r="Q88">
        <v>23235.246544381454</v>
      </c>
      <c r="R88">
        <v>18.365834946036284</v>
      </c>
      <c r="S88">
        <v>34755.506051879063</v>
      </c>
      <c r="T88">
        <v>13.579428163824128</v>
      </c>
      <c r="U88">
        <v>25697.709857220776</v>
      </c>
      <c r="V88">
        <v>15.506766049910578</v>
      </c>
      <c r="W88">
        <v>29345.004072850774</v>
      </c>
      <c r="X88">
        <v>11.347718573133267</v>
      </c>
      <c r="Y88">
        <v>21474.422627797394</v>
      </c>
      <c r="Z88">
        <v>14.547631909796234</v>
      </c>
      <c r="AA88">
        <v>27529.938626098392</v>
      </c>
      <c r="AB88">
        <v>10.605007754995917</v>
      </c>
      <c r="AC88">
        <v>20068.916675554272</v>
      </c>
      <c r="AD88">
        <v>11.508437489657545</v>
      </c>
      <c r="AE88">
        <v>21778.567105427937</v>
      </c>
      <c r="AF88">
        <v>13.425872688221437</v>
      </c>
      <c r="AG88">
        <v>25407.121475190244</v>
      </c>
      <c r="AH88">
        <v>20.418961593051197</v>
      </c>
      <c r="AI88">
        <v>38640.842918690083</v>
      </c>
      <c r="AJ88">
        <v>21.402118683249469</v>
      </c>
      <c r="AK88">
        <v>40501.36939618129</v>
      </c>
      <c r="AL88">
        <v>14</v>
      </c>
      <c r="AM88">
        <v>26493.599999999999</v>
      </c>
      <c r="AN88">
        <v>10.777265199810078</v>
      </c>
      <c r="AO88">
        <v>20394.896664120588</v>
      </c>
      <c r="AP88">
        <v>14.311004511836339</v>
      </c>
      <c r="AQ88">
        <v>27082.144938199086</v>
      </c>
      <c r="AR88">
        <v>16.512672809103922</v>
      </c>
      <c r="AS88">
        <v>31248.58202394826</v>
      </c>
      <c r="AT88">
        <v>18.361252774042978</v>
      </c>
      <c r="AU88">
        <v>34746.834749598929</v>
      </c>
      <c r="AV88">
        <v>13.612157105759339</v>
      </c>
      <c r="AW88">
        <v>25759.64610693897</v>
      </c>
      <c r="AX88">
        <v>15.483307180212924</v>
      </c>
      <c r="AY88">
        <v>29300.610507834936</v>
      </c>
      <c r="AZ88">
        <v>16</v>
      </c>
      <c r="BA88">
        <v>30278.399999999998</v>
      </c>
      <c r="BB88">
        <v>13.650666573190129</v>
      </c>
      <c r="BC88">
        <v>25832.521423104998</v>
      </c>
      <c r="BD88">
        <v>14.429478104428201</v>
      </c>
      <c r="BE88">
        <v>27306.344364819925</v>
      </c>
      <c r="BF88">
        <v>16.318165554975941</v>
      </c>
      <c r="BG88">
        <v>30880.496496236468</v>
      </c>
      <c r="BH88">
        <v>13.474883207276612</v>
      </c>
      <c r="BI88">
        <v>25499.868981450258</v>
      </c>
      <c r="BJ88">
        <v>18.408104737172891</v>
      </c>
      <c r="BK88">
        <v>34835.497404625974</v>
      </c>
      <c r="BL88">
        <v>12.436055096616426</v>
      </c>
      <c r="BM88">
        <v>23533.990664836925</v>
      </c>
      <c r="BN88">
        <v>14.502710955981922</v>
      </c>
      <c r="BO88">
        <v>27444.930213100186</v>
      </c>
      <c r="BP88">
        <v>17.632363415382745</v>
      </c>
      <c r="BQ88">
        <v>33367.484527270302</v>
      </c>
      <c r="BR88">
        <v>19.750878365178529</v>
      </c>
      <c r="BS88">
        <v>37376.562218263847</v>
      </c>
      <c r="BT88">
        <v>20.583303517455892</v>
      </c>
      <c r="BU88">
        <v>38951.84357643353</v>
      </c>
      <c r="BV88">
        <v>19.607277392499075</v>
      </c>
      <c r="BW88">
        <v>37104.811737565244</v>
      </c>
      <c r="BX88">
        <v>23.610124987589053</v>
      </c>
      <c r="BY88">
        <v>44679.800526513522</v>
      </c>
      <c r="BZ88">
        <v>18.480788711302484</v>
      </c>
      <c r="CA88">
        <v>34973.044557268819</v>
      </c>
      <c r="CB88">
        <v>18.274135194743319</v>
      </c>
      <c r="CC88">
        <v>34581.973442532253</v>
      </c>
      <c r="CD88">
        <v>12.472308194505162</v>
      </c>
      <c r="CE88">
        <v>23602.596027281568</v>
      </c>
      <c r="CF88">
        <v>14.639673722360417</v>
      </c>
      <c r="CG88">
        <v>27704.11855219485</v>
      </c>
      <c r="CH88">
        <v>21.502112733311662</v>
      </c>
      <c r="CI88">
        <v>40690.598136518987</v>
      </c>
      <c r="CJ88">
        <v>13.39060307737906</v>
      </c>
      <c r="CK88">
        <v>25340.37726363213</v>
      </c>
      <c r="CL88">
        <v>22.488338232257686</v>
      </c>
      <c r="CM88">
        <v>42556.931270724439</v>
      </c>
      <c r="CN88">
        <v>19.580274717743379</v>
      </c>
      <c r="CO88">
        <v>37053.711875857567</v>
      </c>
      <c r="CP88">
        <v>18.571709814156208</v>
      </c>
      <c r="CQ88">
        <v>35145.103652309204</v>
      </c>
      <c r="CR88">
        <v>22.408806781097788</v>
      </c>
      <c r="CS88">
        <v>42406.425952549449</v>
      </c>
      <c r="CT88">
        <v>15.465194497955446</v>
      </c>
      <c r="CU88">
        <v>29266.334067930886</v>
      </c>
    </row>
    <row r="89" spans="2:99" x14ac:dyDescent="0.2">
      <c r="C89" s="119" t="s">
        <v>255</v>
      </c>
      <c r="D89">
        <v>14.421526597912079</v>
      </c>
      <c r="E89">
        <v>34577.052171153999</v>
      </c>
      <c r="F89">
        <v>9.2630852007867723</v>
      </c>
      <c r="G89">
        <v>22209.173077406365</v>
      </c>
      <c r="H89">
        <v>14</v>
      </c>
      <c r="I89">
        <v>33566.400000000001</v>
      </c>
      <c r="J89">
        <v>15</v>
      </c>
      <c r="K89">
        <v>35964</v>
      </c>
      <c r="L89">
        <v>16.59872504917757</v>
      </c>
      <c r="M89">
        <v>39797.103177908139</v>
      </c>
      <c r="N89">
        <v>15.36860879297868</v>
      </c>
      <c r="O89">
        <v>36847.776442045681</v>
      </c>
      <c r="P89">
        <v>10.250370899357065</v>
      </c>
      <c r="Q89">
        <v>24576.2892682985</v>
      </c>
      <c r="R89">
        <v>17.418097081184325</v>
      </c>
      <c r="S89">
        <v>41761.629561847534</v>
      </c>
      <c r="T89">
        <v>11.457443287229575</v>
      </c>
      <c r="U89">
        <v>27470.366025461626</v>
      </c>
      <c r="V89">
        <v>15.506766049910578</v>
      </c>
      <c r="W89">
        <v>37179.022281265599</v>
      </c>
      <c r="X89">
        <v>10.316107793757515</v>
      </c>
      <c r="Y89">
        <v>24733.900046313018</v>
      </c>
      <c r="Z89">
        <v>12.634100106079849</v>
      </c>
      <c r="AA89">
        <v>30291.518414337046</v>
      </c>
      <c r="AB89">
        <v>10.477637701312565</v>
      </c>
      <c r="AC89">
        <v>25121.184152667003</v>
      </c>
      <c r="AD89">
        <v>11.432171866208915</v>
      </c>
      <c r="AE89">
        <v>27409.775266422494</v>
      </c>
      <c r="AF89">
        <v>13.393113250665941</v>
      </c>
      <c r="AG89">
        <v>32111.328329796659</v>
      </c>
      <c r="AH89">
        <v>16.392776493485499</v>
      </c>
      <c r="AI89">
        <v>39303.320920780832</v>
      </c>
      <c r="AJ89">
        <v>19.335098902707891</v>
      </c>
      <c r="AK89">
        <v>46357.833129132436</v>
      </c>
      <c r="AL89">
        <v>13</v>
      </c>
      <c r="AM89">
        <v>31168.799999999999</v>
      </c>
      <c r="AN89">
        <v>11.685822235126539</v>
      </c>
      <c r="AO89">
        <v>28017.927390939389</v>
      </c>
      <c r="AP89">
        <v>12.336921554489367</v>
      </c>
      <c r="AQ89">
        <v>29579.003119043704</v>
      </c>
      <c r="AR89">
        <v>14.535976118608646</v>
      </c>
      <c r="AS89">
        <v>34851.456341976089</v>
      </c>
      <c r="AT89">
        <v>16.333464099116593</v>
      </c>
      <c r="AU89">
        <v>39161.113524041946</v>
      </c>
      <c r="AV89">
        <v>13.612157105759339</v>
      </c>
      <c r="AW89">
        <v>32636.507876768588</v>
      </c>
      <c r="AX89">
        <v>15.510157579113642</v>
      </c>
      <c r="AY89">
        <v>37187.153811682867</v>
      </c>
      <c r="AZ89">
        <v>14</v>
      </c>
      <c r="BA89">
        <v>33566.400000000001</v>
      </c>
      <c r="BB89">
        <v>12.731999894838895</v>
      </c>
      <c r="BC89">
        <v>30526.242947865732</v>
      </c>
      <c r="BD89">
        <v>13.368124089509887</v>
      </c>
      <c r="BE89">
        <v>32051.414317008905</v>
      </c>
      <c r="BF89">
        <v>16.291651758727948</v>
      </c>
      <c r="BG89">
        <v>39060.864256726127</v>
      </c>
      <c r="BH89">
        <v>12.427394886548951</v>
      </c>
      <c r="BI89">
        <v>29795.921979989766</v>
      </c>
      <c r="BJ89">
        <v>21.378954398803401</v>
      </c>
      <c r="BK89">
        <v>51258.181066571036</v>
      </c>
      <c r="BL89">
        <v>10.490561983693478</v>
      </c>
      <c r="BM89">
        <v>25152.171412103482</v>
      </c>
      <c r="BN89">
        <v>14.47625248461445</v>
      </c>
      <c r="BO89">
        <v>34708.262957111605</v>
      </c>
      <c r="BP89">
        <v>16.526969512818955</v>
      </c>
      <c r="BQ89">
        <v>39625.062103934724</v>
      </c>
      <c r="BR89">
        <v>19.72084323057139</v>
      </c>
      <c r="BS89">
        <v>47282.69372961796</v>
      </c>
      <c r="BT89">
        <v>19.609817313703889</v>
      </c>
      <c r="BU89">
        <v>47016.497991336444</v>
      </c>
      <c r="BV89">
        <v>17.554470662716547</v>
      </c>
      <c r="BW89">
        <v>42088.598860929189</v>
      </c>
      <c r="BX89">
        <v>19.533859364140422</v>
      </c>
      <c r="BY89">
        <v>46834.381211463078</v>
      </c>
      <c r="BZ89">
        <v>17.432709840172237</v>
      </c>
      <c r="CA89">
        <v>41796.665112796953</v>
      </c>
      <c r="CB89">
        <v>16.351845408023433</v>
      </c>
      <c r="CC89">
        <v>39205.184550276979</v>
      </c>
      <c r="CD89">
        <v>11.419829506226812</v>
      </c>
      <c r="CE89">
        <v>27380.183224129403</v>
      </c>
      <c r="CF89">
        <v>14.666326794125435</v>
      </c>
      <c r="CG89">
        <v>35163.985121595142</v>
      </c>
      <c r="CH89">
        <v>21.56487682497562</v>
      </c>
      <c r="CI89">
        <v>51703.948675561543</v>
      </c>
      <c r="CJ89">
        <v>11.366190385042868</v>
      </c>
      <c r="CK89">
        <v>27251.57806717878</v>
      </c>
      <c r="CL89">
        <v>22.459612453889587</v>
      </c>
      <c r="CM89">
        <v>53849.166819445672</v>
      </c>
      <c r="CN89">
        <v>18.580274717743379</v>
      </c>
      <c r="CO89">
        <v>44548.066663261525</v>
      </c>
      <c r="CP89">
        <v>15.571709814156209</v>
      </c>
      <c r="CQ89">
        <v>37334.731450420928</v>
      </c>
      <c r="CR89">
        <v>19.383256357279176</v>
      </c>
      <c r="CS89">
        <v>46473.295442212555</v>
      </c>
      <c r="CT89">
        <v>14.440710577010423</v>
      </c>
      <c r="CU89">
        <v>34623.047679440191</v>
      </c>
    </row>
    <row r="90" spans="2:99" x14ac:dyDescent="0.2">
      <c r="C90" s="119" t="s">
        <v>256</v>
      </c>
      <c r="D90">
        <v>15.351272164926732</v>
      </c>
      <c r="E90">
        <v>33729.815200777011</v>
      </c>
      <c r="F90">
        <v>10.263085200786772</v>
      </c>
      <c r="G90">
        <v>22550.050803168695</v>
      </c>
      <c r="H90">
        <v>16</v>
      </c>
      <c r="I90">
        <v>35155.199999999997</v>
      </c>
      <c r="J90">
        <v>17</v>
      </c>
      <c r="K90">
        <v>37352.399999999994</v>
      </c>
      <c r="L90">
        <v>18.59872504917757</v>
      </c>
      <c r="M90">
        <v>40865.118678052953</v>
      </c>
      <c r="N90">
        <v>16.36860879297868</v>
      </c>
      <c r="O90">
        <v>35965.107239932753</v>
      </c>
      <c r="P90">
        <v>10.306008876991969</v>
      </c>
      <c r="Q90">
        <v>22644.362704526753</v>
      </c>
      <c r="R90">
        <v>16.391966013610304</v>
      </c>
      <c r="S90">
        <v>36016.427725104557</v>
      </c>
      <c r="T90">
        <v>12.518435725526851</v>
      </c>
      <c r="U90">
        <v>27505.506976127595</v>
      </c>
      <c r="V90">
        <v>15.458502616585761</v>
      </c>
      <c r="W90">
        <v>33965.421949162235</v>
      </c>
      <c r="X90">
        <v>10.316107793757515</v>
      </c>
      <c r="Y90">
        <v>22666.552044444012</v>
      </c>
      <c r="Z90">
        <v>14.605277373985311</v>
      </c>
      <c r="AA90">
        <v>32090.715446120525</v>
      </c>
      <c r="AB90">
        <v>9.5731652415750794</v>
      </c>
      <c r="AC90">
        <v>21034.158668788761</v>
      </c>
      <c r="AD90">
        <v>12.483015615174669</v>
      </c>
      <c r="AE90">
        <v>27427.68190966178</v>
      </c>
      <c r="AF90">
        <v>12.393113250665941</v>
      </c>
      <c r="AG90">
        <v>27230.148434363204</v>
      </c>
      <c r="AH90">
        <v>19.340406294354096</v>
      </c>
      <c r="AI90">
        <v>42494.740709954815</v>
      </c>
      <c r="AJ90">
        <v>21.36860879297868</v>
      </c>
      <c r="AK90">
        <v>46951.107239932753</v>
      </c>
      <c r="AL90">
        <v>14</v>
      </c>
      <c r="AM90">
        <v>30760.799999999996</v>
      </c>
      <c r="AN90">
        <v>11.685822235126539</v>
      </c>
      <c r="AO90">
        <v>25676.088615020028</v>
      </c>
      <c r="AP90">
        <v>13.311004511836339</v>
      </c>
      <c r="AQ90">
        <v>29246.939113406803</v>
      </c>
      <c r="AR90">
        <v>15.466066190094475</v>
      </c>
      <c r="AS90">
        <v>33982.040632875578</v>
      </c>
      <c r="AT90">
        <v>17.333464099116593</v>
      </c>
      <c r="AU90">
        <v>38085.087318578975</v>
      </c>
      <c r="AV90">
        <v>13.524706090650861</v>
      </c>
      <c r="AW90">
        <v>29716.484222378069</v>
      </c>
      <c r="AX90">
        <v>15.53700797801436</v>
      </c>
      <c r="AY90">
        <v>34137.91392929315</v>
      </c>
      <c r="AZ90">
        <v>14</v>
      </c>
      <c r="BA90">
        <v>30760.799999999996</v>
      </c>
      <c r="BB90">
        <v>10.650666573190129</v>
      </c>
      <c r="BC90">
        <v>23401.64459461335</v>
      </c>
      <c r="BD90">
        <v>13.398801096969043</v>
      </c>
      <c r="BE90">
        <v>29439.845770260381</v>
      </c>
      <c r="BF90">
        <v>15.318165554975941</v>
      </c>
      <c r="BG90">
        <v>33657.073357393136</v>
      </c>
      <c r="BH90">
        <v>13.451139046912783</v>
      </c>
      <c r="BI90">
        <v>29554.842713876762</v>
      </c>
      <c r="BJ90">
        <v>18.349804060433907</v>
      </c>
      <c r="BK90">
        <v>40318.189481585381</v>
      </c>
      <c r="BL90">
        <v>11.490561983693478</v>
      </c>
      <c r="BM90">
        <v>25247.062790571308</v>
      </c>
      <c r="BN90">
        <v>13.47625248461445</v>
      </c>
      <c r="BO90">
        <v>29610.02195919487</v>
      </c>
      <c r="BP90">
        <v>15.526969512818955</v>
      </c>
      <c r="BQ90">
        <v>34115.857413565805</v>
      </c>
      <c r="BR90">
        <v>20.690808095964247</v>
      </c>
      <c r="BS90">
        <v>45461.843548452642</v>
      </c>
      <c r="BT90">
        <v>20.609817313703889</v>
      </c>
      <c r="BU90">
        <v>45283.89060167018</v>
      </c>
      <c r="BV90">
        <v>15.554470662716547</v>
      </c>
      <c r="BW90">
        <v>34176.282940120793</v>
      </c>
      <c r="BX90">
        <v>22.559281238623299</v>
      </c>
      <c r="BY90">
        <v>49567.252737503106</v>
      </c>
      <c r="BZ90">
        <v>17.456749275737359</v>
      </c>
      <c r="CA90">
        <v>38355.969508650123</v>
      </c>
      <c r="CB90">
        <v>16.351845408023433</v>
      </c>
      <c r="CC90">
        <v>35928.274730509082</v>
      </c>
      <c r="CD90">
        <v>12.472308194505162</v>
      </c>
      <c r="CE90">
        <v>27404.155564966739</v>
      </c>
      <c r="CF90">
        <v>12.559714507065365</v>
      </c>
      <c r="CG90">
        <v>27596.204714924017</v>
      </c>
      <c r="CH90">
        <v>21.470730687479683</v>
      </c>
      <c r="CI90">
        <v>47175.489466530358</v>
      </c>
      <c r="CJ90">
        <v>11.341777692706676</v>
      </c>
      <c r="CK90">
        <v>24920.153946415106</v>
      </c>
      <c r="CL90">
        <v>21.488338232257686</v>
      </c>
      <c r="CM90">
        <v>47214.176763916585</v>
      </c>
      <c r="CN90">
        <v>17.556096604504074</v>
      </c>
      <c r="CO90">
        <v>38574.255459416345</v>
      </c>
      <c r="CP90">
        <v>15.490036983562465</v>
      </c>
      <c r="CQ90">
        <v>34034.709260283445</v>
      </c>
      <c r="CR90">
        <v>21.408806781097788</v>
      </c>
      <c r="CS90">
        <v>47039.430259428053</v>
      </c>
      <c r="CT90">
        <v>14.465194497955446</v>
      </c>
      <c r="CU90">
        <v>31782.925350907703</v>
      </c>
    </row>
    <row r="91" spans="2:99" x14ac:dyDescent="0.2">
      <c r="C91" s="119" t="s">
        <v>257</v>
      </c>
      <c r="D91">
        <v>14.421526597912079</v>
      </c>
      <c r="E91">
        <v>33123.362290084457</v>
      </c>
      <c r="F91">
        <v>9.2630852007867723</v>
      </c>
      <c r="G91">
        <v>21275.454089167055</v>
      </c>
      <c r="H91">
        <v>17</v>
      </c>
      <c r="I91">
        <v>39045.599999999999</v>
      </c>
      <c r="J91">
        <v>16</v>
      </c>
      <c r="K91">
        <v>36748.799999999996</v>
      </c>
      <c r="L91">
        <v>18.648618803275703</v>
      </c>
      <c r="M91">
        <v>42832.147667363628</v>
      </c>
      <c r="N91">
        <v>13.36860879297868</v>
      </c>
      <c r="O91">
        <v>30705.020675713429</v>
      </c>
      <c r="P91">
        <v>10.306008876991969</v>
      </c>
      <c r="Q91">
        <v>23670.841188675153</v>
      </c>
      <c r="R91">
        <v>16.418097081184325</v>
      </c>
      <c r="S91">
        <v>37709.085376064155</v>
      </c>
      <c r="T91">
        <v>11.487939506378213</v>
      </c>
      <c r="U91">
        <v>26385.499458249476</v>
      </c>
      <c r="V91">
        <v>13.458502616585761</v>
      </c>
      <c r="W91">
        <v>30911.488809774171</v>
      </c>
      <c r="X91">
        <v>11.347718573133267</v>
      </c>
      <c r="Y91">
        <v>26063.440018772486</v>
      </c>
      <c r="Z91">
        <v>12.518809177701694</v>
      </c>
      <c r="AA91">
        <v>28753.200919345247</v>
      </c>
      <c r="AB91">
        <v>10.509480214733404</v>
      </c>
      <c r="AC91">
        <v>24138.174157199679</v>
      </c>
      <c r="AD91">
        <v>11.432171866208915</v>
      </c>
      <c r="AE91">
        <v>26257.412342308631</v>
      </c>
      <c r="AF91">
        <v>13.425872688221437</v>
      </c>
      <c r="AG91">
        <v>30836.544390306994</v>
      </c>
      <c r="AH91">
        <v>18.340406294354096</v>
      </c>
      <c r="AI91">
        <v>42124.245176872486</v>
      </c>
      <c r="AJ91">
        <v>18.402118683249469</v>
      </c>
      <c r="AK91">
        <v>42265.986191687378</v>
      </c>
      <c r="AL91">
        <v>13</v>
      </c>
      <c r="AM91">
        <v>29858.399999999998</v>
      </c>
      <c r="AN91">
        <v>10.731543717468307</v>
      </c>
      <c r="AO91">
        <v>24648.209610281207</v>
      </c>
      <c r="AP91">
        <v>13.311004511836339</v>
      </c>
      <c r="AQ91">
        <v>30572.715162785698</v>
      </c>
      <c r="AR91">
        <v>15.466066190094475</v>
      </c>
      <c r="AS91">
        <v>35522.460825408984</v>
      </c>
      <c r="AT91">
        <v>17.361252774042978</v>
      </c>
      <c r="AU91">
        <v>39875.325371421903</v>
      </c>
      <c r="AV91">
        <v>12.583006767389845</v>
      </c>
      <c r="AW91">
        <v>28900.649943340992</v>
      </c>
      <c r="AX91">
        <v>15.483307180212924</v>
      </c>
      <c r="AY91">
        <v>35562.059931513038</v>
      </c>
      <c r="AZ91">
        <v>15</v>
      </c>
      <c r="BA91">
        <v>34451.999999999993</v>
      </c>
      <c r="BB91">
        <v>10.650666573190129</v>
      </c>
      <c r="BC91">
        <v>24462.450985303087</v>
      </c>
      <c r="BD91">
        <v>14.368124089509887</v>
      </c>
      <c r="BE91">
        <v>33000.707408786307</v>
      </c>
      <c r="BF91">
        <v>15.371193147471931</v>
      </c>
      <c r="BG91">
        <v>35304.556421113528</v>
      </c>
      <c r="BH91">
        <v>13.451139046912783</v>
      </c>
      <c r="BI91">
        <v>30894.576162949274</v>
      </c>
      <c r="BJ91">
        <v>20.378954398803401</v>
      </c>
      <c r="BK91">
        <v>46806.382463171649</v>
      </c>
      <c r="BL91">
        <v>10.436055096616426</v>
      </c>
      <c r="BM91">
        <v>23969.531345908606</v>
      </c>
      <c r="BN91">
        <v>13.502710955981922</v>
      </c>
      <c r="BO91">
        <v>31013.026523699275</v>
      </c>
      <c r="BP91">
        <v>14.526969512818955</v>
      </c>
      <c r="BQ91">
        <v>33365.543577042568</v>
      </c>
      <c r="BR91">
        <v>20.72084323057139</v>
      </c>
      <c r="BS91">
        <v>47591.632731976366</v>
      </c>
      <c r="BT91">
        <v>18.583303517455892</v>
      </c>
      <c r="BU91">
        <v>42682.131518892689</v>
      </c>
      <c r="BV91">
        <v>16.607277392499075</v>
      </c>
      <c r="BW91">
        <v>38143.594715091873</v>
      </c>
      <c r="BX91">
        <v>20.508437489657545</v>
      </c>
      <c r="BY91">
        <v>47103.779226245446</v>
      </c>
      <c r="BZ91">
        <v>17.480788711302484</v>
      </c>
      <c r="CA91">
        <v>40149.875512119543</v>
      </c>
      <c r="CB91">
        <v>16.29621528720833</v>
      </c>
      <c r="CC91">
        <v>37429.147271660091</v>
      </c>
      <c r="CD91">
        <v>12.446068850365986</v>
      </c>
      <c r="CE91">
        <v>28586.130935520592</v>
      </c>
      <c r="CF91">
        <v>14.6130206505954</v>
      </c>
      <c r="CG91">
        <v>33563.185830287512</v>
      </c>
      <c r="CH91">
        <v>20.502112733311662</v>
      </c>
      <c r="CI91">
        <v>47089.252525870223</v>
      </c>
      <c r="CJ91">
        <v>11.366190385042868</v>
      </c>
      <c r="CK91">
        <v>26105.866076366456</v>
      </c>
      <c r="CL91">
        <v>19.488338232257686</v>
      </c>
      <c r="CM91">
        <v>44760.815251849446</v>
      </c>
      <c r="CN91">
        <v>17.604452830982687</v>
      </c>
      <c r="CO91">
        <v>40433.907262201028</v>
      </c>
      <c r="CP91">
        <v>14.517261260427047</v>
      </c>
      <c r="CQ91">
        <v>33343.245662948837</v>
      </c>
      <c r="CR91">
        <v>21.383256357279176</v>
      </c>
      <c r="CS91">
        <v>49113.063201398807</v>
      </c>
      <c r="CT91">
        <v>14.391742735120376</v>
      </c>
      <c r="CU91">
        <v>33054.954714024476</v>
      </c>
    </row>
    <row r="92" spans="2:99" x14ac:dyDescent="0.2">
      <c r="C92" s="119" t="s">
        <v>258</v>
      </c>
      <c r="D92">
        <v>16.456653814404753</v>
      </c>
      <c r="E92">
        <v>23381.613739506272</v>
      </c>
      <c r="F92">
        <v>11.28939372086545</v>
      </c>
      <c r="G92">
        <v>16039.970598605631</v>
      </c>
      <c r="H92">
        <v>17</v>
      </c>
      <c r="I92">
        <v>24153.599999999999</v>
      </c>
      <c r="J92">
        <v>17</v>
      </c>
      <c r="K92">
        <v>24153.599999999999</v>
      </c>
      <c r="L92">
        <v>19.648618803275703</v>
      </c>
      <c r="M92">
        <v>27916.757595694118</v>
      </c>
      <c r="N92">
        <v>16.402118683249469</v>
      </c>
      <c r="O92">
        <v>23304.130225160847</v>
      </c>
      <c r="P92">
        <v>10.33382786580942</v>
      </c>
      <c r="Q92">
        <v>14682.302631742023</v>
      </c>
      <c r="R92">
        <v>18.444228148758345</v>
      </c>
      <c r="S92">
        <v>26205.559353755856</v>
      </c>
      <c r="T92">
        <v>14.548931944675489</v>
      </c>
      <c r="U92">
        <v>20671.122506994936</v>
      </c>
      <c r="V92">
        <v>17.579161199897804</v>
      </c>
      <c r="W92">
        <v>24976.472232814798</v>
      </c>
      <c r="X92">
        <v>11.37932935250902</v>
      </c>
      <c r="Y92">
        <v>16167.751144044814</v>
      </c>
      <c r="Z92">
        <v>15.662922838174389</v>
      </c>
      <c r="AA92">
        <v>22253.880768478171</v>
      </c>
      <c r="AB92">
        <v>11.541322728154242</v>
      </c>
      <c r="AC92">
        <v>16397.911332161548</v>
      </c>
      <c r="AD92">
        <v>14.483015615174669</v>
      </c>
      <c r="AE92">
        <v>20577.46858604017</v>
      </c>
      <c r="AF92">
        <v>14.458632125776932</v>
      </c>
      <c r="AG92">
        <v>20542.824524303865</v>
      </c>
      <c r="AH92">
        <v>21.392776493485499</v>
      </c>
      <c r="AI92">
        <v>30394.856841944194</v>
      </c>
      <c r="AJ92">
        <v>21.435628573520258</v>
      </c>
      <c r="AK92">
        <v>30455.741077257582</v>
      </c>
      <c r="AL92">
        <v>16</v>
      </c>
      <c r="AM92">
        <v>22732.799999999999</v>
      </c>
      <c r="AN92">
        <v>12.777265199810078</v>
      </c>
      <c r="AO92">
        <v>18153.938395890156</v>
      </c>
      <c r="AP92">
        <v>14.336921554489367</v>
      </c>
      <c r="AQ92">
        <v>20369.898144618492</v>
      </c>
      <c r="AR92">
        <v>17.512672809103922</v>
      </c>
      <c r="AS92">
        <v>24882.00552717485</v>
      </c>
      <c r="AT92">
        <v>20.416830123895743</v>
      </c>
      <c r="AU92">
        <v>29008.23224003107</v>
      </c>
      <c r="AV92">
        <v>13.583006767389845</v>
      </c>
      <c r="AW92">
        <v>19298.73601510749</v>
      </c>
      <c r="AX92">
        <v>18.510157579113642</v>
      </c>
      <c r="AY92">
        <v>26299.231888404662</v>
      </c>
      <c r="AZ92">
        <v>15</v>
      </c>
      <c r="BA92">
        <v>21312</v>
      </c>
      <c r="BB92">
        <v>13.691333234014511</v>
      </c>
      <c r="BC92">
        <v>19452.646258887817</v>
      </c>
      <c r="BD92">
        <v>14.460155111887358</v>
      </c>
      <c r="BE92">
        <v>20544.988382969557</v>
      </c>
      <c r="BF92">
        <v>18.371193147471931</v>
      </c>
      <c r="BG92">
        <v>26101.791223928118</v>
      </c>
      <c r="BH92">
        <v>13.546115688368104</v>
      </c>
      <c r="BI92">
        <v>19246.321170033403</v>
      </c>
      <c r="BJ92">
        <v>21.378954398803401</v>
      </c>
      <c r="BK92">
        <v>30375.21840981987</v>
      </c>
      <c r="BL92">
        <v>13.517815427232005</v>
      </c>
      <c r="BM92">
        <v>19206.112159011231</v>
      </c>
      <c r="BN92">
        <v>15.529169427349391</v>
      </c>
      <c r="BO92">
        <v>22063.843922378015</v>
      </c>
      <c r="BP92">
        <v>18.632363415382745</v>
      </c>
      <c r="BQ92">
        <v>26472.861940575804</v>
      </c>
      <c r="BR92">
        <v>21.690808095964247</v>
      </c>
      <c r="BS92">
        <v>30818.300142746</v>
      </c>
      <c r="BT92">
        <v>20.609817313703889</v>
      </c>
      <c r="BU92">
        <v>29282.428439310486</v>
      </c>
      <c r="BV92">
        <v>18.607277392499075</v>
      </c>
      <c r="BW92">
        <v>26437.219719262685</v>
      </c>
      <c r="BX92">
        <v>21.635546862071934</v>
      </c>
      <c r="BY92">
        <v>30739.784981631801</v>
      </c>
      <c r="BZ92">
        <v>19.456749275737359</v>
      </c>
      <c r="CA92">
        <v>27644.14937096764</v>
      </c>
      <c r="CB92">
        <v>20.307685223093415</v>
      </c>
      <c r="CC92">
        <v>28853.159164971123</v>
      </c>
      <c r="CD92">
        <v>13.498547538644338</v>
      </c>
      <c r="CE92">
        <v>19178.736342905875</v>
      </c>
      <c r="CF92">
        <v>16.666326794125435</v>
      </c>
      <c r="CG92">
        <v>23679.517109093416</v>
      </c>
      <c r="CH92">
        <v>20.533494779143641</v>
      </c>
      <c r="CI92">
        <v>29173.989382207285</v>
      </c>
      <c r="CJ92">
        <v>14.41501576971525</v>
      </c>
      <c r="CK92">
        <v>20480.854405611426</v>
      </c>
      <c r="CL92">
        <v>23.574515567361981</v>
      </c>
      <c r="CM92">
        <v>33494.6717181079</v>
      </c>
      <c r="CN92">
        <v>21.652809057461301</v>
      </c>
      <c r="CO92">
        <v>30764.311108841015</v>
      </c>
      <c r="CP92">
        <v>18.544485537291628</v>
      </c>
      <c r="CQ92">
        <v>26348.005051383945</v>
      </c>
      <c r="CR92">
        <v>23.408806781097788</v>
      </c>
      <c r="CS92">
        <v>33259.232674583734</v>
      </c>
      <c r="CT92">
        <v>16.465194497955448</v>
      </c>
      <c r="CU92">
        <v>23393.7483426951</v>
      </c>
    </row>
    <row r="93" spans="2:99" x14ac:dyDescent="0.2">
      <c r="C93" s="119" t="s">
        <v>259</v>
      </c>
      <c r="D93">
        <v>17.456653814404753</v>
      </c>
      <c r="E93">
        <v>30940.173220650981</v>
      </c>
      <c r="F93">
        <v>10.263085200786772</v>
      </c>
      <c r="G93">
        <v>18190.292209874475</v>
      </c>
      <c r="H93">
        <v>18</v>
      </c>
      <c r="I93">
        <v>31903.199999999997</v>
      </c>
      <c r="J93">
        <v>16</v>
      </c>
      <c r="K93">
        <v>28358.399999999998</v>
      </c>
      <c r="L93">
        <v>17.648618803275703</v>
      </c>
      <c r="M93">
        <v>31280.411966925854</v>
      </c>
      <c r="N93">
        <v>14.36860879297868</v>
      </c>
      <c r="O93">
        <v>25466.922224675411</v>
      </c>
      <c r="P93">
        <v>11.278189888174516</v>
      </c>
      <c r="Q93">
        <v>19989.463757800513</v>
      </c>
      <c r="R93">
        <v>16.418097081184325</v>
      </c>
      <c r="S93">
        <v>29099.435266691096</v>
      </c>
      <c r="T93">
        <v>13.579428163824128</v>
      </c>
      <c r="U93">
        <v>24068.178477561883</v>
      </c>
      <c r="V93">
        <v>16.530897766572988</v>
      </c>
      <c r="W93">
        <v>29299.36320147396</v>
      </c>
      <c r="X93">
        <v>10.347718573133267</v>
      </c>
      <c r="Y93">
        <v>18340.296399021401</v>
      </c>
      <c r="Z93">
        <v>14.662922838174389</v>
      </c>
      <c r="AA93">
        <v>25988.564438380283</v>
      </c>
      <c r="AB93">
        <v>11.541322728154242</v>
      </c>
      <c r="AC93">
        <v>20455.840403380578</v>
      </c>
      <c r="AD93">
        <v>12.483015615174669</v>
      </c>
      <c r="AE93">
        <v>22124.896876335581</v>
      </c>
      <c r="AF93">
        <v>14.393113250665941</v>
      </c>
      <c r="AG93">
        <v>25510.353925480311</v>
      </c>
      <c r="AH93">
        <v>20.418961593051197</v>
      </c>
      <c r="AI93">
        <v>36190.567527523941</v>
      </c>
      <c r="AJ93">
        <v>20.402118683249469</v>
      </c>
      <c r="AK93">
        <v>36160.715154191355</v>
      </c>
      <c r="AL93">
        <v>13</v>
      </c>
      <c r="AM93">
        <v>23041.199999999997</v>
      </c>
      <c r="AN93">
        <v>12.777265199810078</v>
      </c>
      <c r="AO93">
        <v>22646.42484014338</v>
      </c>
      <c r="AP93">
        <v>13.336921554489367</v>
      </c>
      <c r="AQ93">
        <v>23638.359763176952</v>
      </c>
      <c r="AR93">
        <v>15.559279428113369</v>
      </c>
      <c r="AS93">
        <v>27577.266858388131</v>
      </c>
      <c r="AT93">
        <v>18.361252774042978</v>
      </c>
      <c r="AU93">
        <v>32543.484416713771</v>
      </c>
      <c r="AV93">
        <v>14.612157105759339</v>
      </c>
      <c r="AW93">
        <v>25898.58725424785</v>
      </c>
      <c r="AX93">
        <v>17.510157579113642</v>
      </c>
      <c r="AY93">
        <v>31035.003293221016</v>
      </c>
      <c r="AZ93">
        <v>15</v>
      </c>
      <c r="BA93">
        <v>26585.999999999996</v>
      </c>
      <c r="BB93">
        <v>11.691333234014511</v>
      </c>
      <c r="BC93">
        <v>20721.719023967318</v>
      </c>
      <c r="BD93">
        <v>16.368124089509887</v>
      </c>
      <c r="BE93">
        <v>29010.863136247321</v>
      </c>
      <c r="BF93">
        <v>18.371193147471931</v>
      </c>
      <c r="BG93">
        <v>32561.10273457925</v>
      </c>
      <c r="BH93">
        <v>12.498627367640443</v>
      </c>
      <c r="BI93">
        <v>22152.56714640592</v>
      </c>
      <c r="BJ93">
        <v>21.349804060433907</v>
      </c>
      <c r="BK93">
        <v>37840.392716713053</v>
      </c>
      <c r="BL93">
        <v>12.517815427232005</v>
      </c>
      <c r="BM93">
        <v>22186.576063226003</v>
      </c>
      <c r="BN93">
        <v>15.55562789871686</v>
      </c>
      <c r="BO93">
        <v>27570.794887685763</v>
      </c>
      <c r="BP93">
        <v>16.658711891023692</v>
      </c>
      <c r="BQ93">
        <v>29525.900955650392</v>
      </c>
      <c r="BR93">
        <v>21.72084323057139</v>
      </c>
      <c r="BS93">
        <v>38498.022541864731</v>
      </c>
      <c r="BT93">
        <v>18.609817313703889</v>
      </c>
      <c r="BU93">
        <v>32984.040206808771</v>
      </c>
      <c r="BV93">
        <v>18.554470662716547</v>
      </c>
      <c r="BW93">
        <v>32885.943802598806</v>
      </c>
      <c r="BX93">
        <v>21.610124987589053</v>
      </c>
      <c r="BY93">
        <v>38301.785528002838</v>
      </c>
      <c r="BZ93">
        <v>17.456749275737359</v>
      </c>
      <c r="CA93">
        <v>30940.342416316893</v>
      </c>
      <c r="CB93">
        <v>17.31299030138338</v>
      </c>
      <c r="CC93">
        <v>30685.5440101719</v>
      </c>
      <c r="CD93">
        <v>13.551026226922689</v>
      </c>
      <c r="CE93">
        <v>24017.838884597772</v>
      </c>
      <c r="CF93">
        <v>16.613020650595399</v>
      </c>
      <c r="CG93">
        <v>29444.917801115284</v>
      </c>
      <c r="CH93">
        <v>20.533494779143641</v>
      </c>
      <c r="CI93">
        <v>36393.566146554185</v>
      </c>
      <c r="CJ93">
        <v>13.366190385042868</v>
      </c>
      <c r="CK93">
        <v>23690.235838449978</v>
      </c>
      <c r="CL93">
        <v>24.517064010625784</v>
      </c>
      <c r="CM93">
        <v>43454.044252433137</v>
      </c>
      <c r="CN93">
        <v>19.531918491264765</v>
      </c>
      <c r="CO93">
        <v>34618.372333917665</v>
      </c>
      <c r="CP93">
        <v>16.598934091020791</v>
      </c>
      <c r="CQ93">
        <v>29419.950782925247</v>
      </c>
      <c r="CR93">
        <v>23.434357204916399</v>
      </c>
      <c r="CS93">
        <v>41535.054709993819</v>
      </c>
      <c r="CT93">
        <v>14.489678418900469</v>
      </c>
      <c r="CU93">
        <v>25681.506029659191</v>
      </c>
    </row>
    <row r="94" spans="2:99" x14ac:dyDescent="0.2">
      <c r="C94" s="119" t="s">
        <v>260</v>
      </c>
      <c r="D94">
        <v>13.351272164926732</v>
      </c>
      <c r="E94">
        <v>31978.967089432506</v>
      </c>
      <c r="F94">
        <v>9.2630852007867723</v>
      </c>
      <c r="G94">
        <v>22186.941672924477</v>
      </c>
      <c r="H94">
        <v>16</v>
      </c>
      <c r="I94">
        <v>38323.199999999997</v>
      </c>
      <c r="J94">
        <v>15</v>
      </c>
      <c r="K94">
        <v>35928</v>
      </c>
      <c r="L94">
        <v>18.59872504917757</v>
      </c>
      <c r="M94">
        <v>44547.666237790116</v>
      </c>
      <c r="N94">
        <v>13.36860879297868</v>
      </c>
      <c r="O94">
        <v>32020.491780942531</v>
      </c>
      <c r="P94">
        <v>10.278189888174516</v>
      </c>
      <c r="Q94">
        <v>24618.3204201556</v>
      </c>
      <c r="R94">
        <v>16.365834946036284</v>
      </c>
      <c r="S94">
        <v>39199.447862746107</v>
      </c>
      <c r="T94">
        <v>13.487939506378213</v>
      </c>
      <c r="U94">
        <v>32306.312705677094</v>
      </c>
      <c r="V94">
        <v>15.48263433324817</v>
      </c>
      <c r="W94">
        <v>37084.005754996011</v>
      </c>
      <c r="X94">
        <v>11.347718573133267</v>
      </c>
      <c r="Y94">
        <v>27180.0555263688</v>
      </c>
      <c r="Z94">
        <v>12.518809177701694</v>
      </c>
      <c r="AA94">
        <v>29985.051742431096</v>
      </c>
      <c r="AB94">
        <v>9.5413227281542419</v>
      </c>
      <c r="AC94">
        <v>22853.376198475038</v>
      </c>
      <c r="AD94">
        <v>11.457593740691792</v>
      </c>
      <c r="AE94">
        <v>27443.228527704978</v>
      </c>
      <c r="AF94">
        <v>14.360353813110446</v>
      </c>
      <c r="AG94">
        <v>34395.91945316214</v>
      </c>
      <c r="AH94">
        <v>19.392776493485499</v>
      </c>
      <c r="AI94">
        <v>46449.578257196466</v>
      </c>
      <c r="AJ94">
        <v>17.402118683249469</v>
      </c>
      <c r="AK94">
        <v>41681.554670119127</v>
      </c>
      <c r="AL94">
        <v>14</v>
      </c>
      <c r="AM94">
        <v>33532.799999999996</v>
      </c>
      <c r="AN94">
        <v>11.685822235126539</v>
      </c>
      <c r="AO94">
        <v>27989.881417575085</v>
      </c>
      <c r="AP94">
        <v>13.336921554489367</v>
      </c>
      <c r="AQ94">
        <v>31944.59450731293</v>
      </c>
      <c r="AR94">
        <v>14.489369499599199</v>
      </c>
      <c r="AS94">
        <v>34704.93782544</v>
      </c>
      <c r="AT94">
        <v>19.361252774042978</v>
      </c>
      <c r="AU94">
        <v>46374.072644387736</v>
      </c>
      <c r="AV94">
        <v>13.553856429020353</v>
      </c>
      <c r="AW94">
        <v>32464.196918789548</v>
      </c>
      <c r="AX94">
        <v>17.510157579113642</v>
      </c>
      <c r="AY94">
        <v>41940.329433492989</v>
      </c>
      <c r="AZ94">
        <v>15</v>
      </c>
      <c r="BA94">
        <v>35928</v>
      </c>
      <c r="BB94">
        <v>12.650666573190129</v>
      </c>
      <c r="BC94">
        <v>30300.876576104994</v>
      </c>
      <c r="BD94">
        <v>14.398801096969043</v>
      </c>
      <c r="BE94">
        <v>34488.00838746025</v>
      </c>
      <c r="BF94">
        <v>14.318165554975941</v>
      </c>
      <c r="BG94">
        <v>34294.870137278369</v>
      </c>
      <c r="BH94">
        <v>12.522371528004275</v>
      </c>
      <c r="BI94">
        <v>29993.584283875836</v>
      </c>
      <c r="BJ94">
        <v>20.378954398803401</v>
      </c>
      <c r="BK94">
        <v>48811.671576013905</v>
      </c>
      <c r="BL94">
        <v>11.490561983693478</v>
      </c>
      <c r="BM94">
        <v>27522.194063342617</v>
      </c>
      <c r="BN94">
        <v>13.502710955981922</v>
      </c>
      <c r="BO94">
        <v>32341.693281767897</v>
      </c>
      <c r="BP94">
        <v>14.553317988459902</v>
      </c>
      <c r="BQ94">
        <v>34858.107245959152</v>
      </c>
      <c r="BR94">
        <v>19.72084323057139</v>
      </c>
      <c r="BS94">
        <v>47235.363705864591</v>
      </c>
      <c r="BT94">
        <v>20.609817313703889</v>
      </c>
      <c r="BU94">
        <v>49364.634429783553</v>
      </c>
      <c r="BV94">
        <v>15.528067297825283</v>
      </c>
      <c r="BW94">
        <v>37192.826791751111</v>
      </c>
      <c r="BX94">
        <v>19.508437489657545</v>
      </c>
      <c r="BY94">
        <v>46726.609475227749</v>
      </c>
      <c r="BZ94">
        <v>16.408670404607111</v>
      </c>
      <c r="CA94">
        <v>39302.047353114947</v>
      </c>
      <c r="CB94">
        <v>17.340805361790931</v>
      </c>
      <c r="CC94">
        <v>41534.697002561632</v>
      </c>
      <c r="CD94">
        <v>11.446068850365986</v>
      </c>
      <c r="CE94">
        <v>27415.624110396606</v>
      </c>
      <c r="CF94">
        <v>14.6130206505954</v>
      </c>
      <c r="CG94">
        <v>35001.107062306102</v>
      </c>
      <c r="CH94">
        <v>19.470730687479683</v>
      </c>
      <c r="CI94">
        <v>46636.294142651335</v>
      </c>
      <c r="CJ94">
        <v>13.317365000370486</v>
      </c>
      <c r="CK94">
        <v>31897.752648887388</v>
      </c>
      <c r="CL94">
        <v>18.459612453889587</v>
      </c>
      <c r="CM94">
        <v>44214.463749556337</v>
      </c>
      <c r="CN94">
        <v>16.531918491264765</v>
      </c>
      <c r="CO94">
        <v>39597.251170277363</v>
      </c>
      <c r="CP94">
        <v>17.490036983562465</v>
      </c>
      <c r="CQ94">
        <v>41892.136583028812</v>
      </c>
      <c r="CR94">
        <v>20.408806781097788</v>
      </c>
      <c r="CS94">
        <v>48883.174002085419</v>
      </c>
      <c r="CT94">
        <v>14.391742735120376</v>
      </c>
      <c r="CU94">
        <v>34471.102199160319</v>
      </c>
    </row>
    <row r="95" spans="2:99" x14ac:dyDescent="0.2">
      <c r="B95" s="119" t="s">
        <v>132</v>
      </c>
      <c r="C95" s="119" t="s">
        <v>261</v>
      </c>
      <c r="D95">
        <v>17.421526597912077</v>
      </c>
      <c r="E95">
        <v>30188.021288862048</v>
      </c>
      <c r="F95">
        <v>17.447244841337511</v>
      </c>
      <c r="G95">
        <v>30232.585861069638</v>
      </c>
      <c r="H95">
        <v>17</v>
      </c>
      <c r="I95">
        <v>29457.599999999999</v>
      </c>
      <c r="J95">
        <v>17</v>
      </c>
      <c r="K95">
        <v>29457.599999999999</v>
      </c>
      <c r="L95">
        <v>19.94798132786449</v>
      </c>
      <c r="M95">
        <v>34565.86204492359</v>
      </c>
      <c r="N95">
        <v>21.435628573520258</v>
      </c>
      <c r="O95">
        <v>37143.657192195904</v>
      </c>
      <c r="P95">
        <v>22.333827865809422</v>
      </c>
      <c r="Q95">
        <v>38700.056925874567</v>
      </c>
      <c r="R95">
        <v>15.235179608166183</v>
      </c>
      <c r="S95">
        <v>26399.519225030363</v>
      </c>
      <c r="T95">
        <v>18.365954629783658</v>
      </c>
      <c r="U95">
        <v>31824.526182489124</v>
      </c>
      <c r="V95">
        <v>15.289580599948902</v>
      </c>
      <c r="W95">
        <v>26493.785263591457</v>
      </c>
      <c r="X95">
        <v>23.56899402876353</v>
      </c>
      <c r="Y95">
        <v>40840.352853041441</v>
      </c>
      <c r="Z95">
        <v>20.489986445607155</v>
      </c>
      <c r="AA95">
        <v>35505.04851294808</v>
      </c>
      <c r="AB95">
        <v>13.382110161050052</v>
      </c>
      <c r="AC95">
        <v>23188.52048706753</v>
      </c>
      <c r="AD95">
        <v>18.432171866208915</v>
      </c>
      <c r="AE95">
        <v>31939.267409766806</v>
      </c>
      <c r="AF95">
        <v>20.556910438443417</v>
      </c>
      <c r="AG95">
        <v>35621.01440773475</v>
      </c>
      <c r="AH95">
        <v>12.366591393919798</v>
      </c>
      <c r="AI95">
        <v>21428.829567384226</v>
      </c>
      <c r="AJ95">
        <v>18.335098902707891</v>
      </c>
      <c r="AK95">
        <v>31771.059378612234</v>
      </c>
      <c r="AL95">
        <v>16</v>
      </c>
      <c r="AM95">
        <v>27724.799999999999</v>
      </c>
      <c r="AN95">
        <v>11.685822235126539</v>
      </c>
      <c r="AO95">
        <v>20249.192769027264</v>
      </c>
      <c r="AP95">
        <v>15.362838597142396</v>
      </c>
      <c r="AQ95">
        <v>26620.726721128343</v>
      </c>
      <c r="AR95">
        <v>20.32624633306613</v>
      </c>
      <c r="AS95">
        <v>35221.319645936986</v>
      </c>
      <c r="AT95">
        <v>21.305675424190209</v>
      </c>
      <c r="AU95">
        <v>36918.474375036792</v>
      </c>
      <c r="AV95">
        <v>15.378954398803399</v>
      </c>
      <c r="AW95">
        <v>26648.652182246529</v>
      </c>
      <c r="AX95">
        <v>20.483307180212925</v>
      </c>
      <c r="AY95">
        <v>35493.474681872955</v>
      </c>
      <c r="AZ95">
        <v>19</v>
      </c>
      <c r="BA95">
        <v>32923.199999999997</v>
      </c>
      <c r="BB95">
        <v>20.731999894838896</v>
      </c>
      <c r="BC95">
        <v>35924.409417776842</v>
      </c>
      <c r="BD95">
        <v>23.460155111887357</v>
      </c>
      <c r="BE95">
        <v>40651.756777878407</v>
      </c>
      <c r="BF95">
        <v>20.397706943719928</v>
      </c>
      <c r="BG95">
        <v>35345.146592077894</v>
      </c>
      <c r="BH95">
        <v>15.356162405457459</v>
      </c>
      <c r="BI95">
        <v>26609.158216176686</v>
      </c>
      <c r="BJ95">
        <v>22.349804060433907</v>
      </c>
      <c r="BK95">
        <v>38727.740475919876</v>
      </c>
      <c r="BL95">
        <v>18.517815427232005</v>
      </c>
      <c r="BM95">
        <v>32087.670572307616</v>
      </c>
      <c r="BN95">
        <v>20.264584713674694</v>
      </c>
      <c r="BO95">
        <v>35114.47239185551</v>
      </c>
      <c r="BP95">
        <v>18.368878658973269</v>
      </c>
      <c r="BQ95">
        <v>31829.592940268882</v>
      </c>
      <c r="BR95">
        <v>18.300351346071412</v>
      </c>
      <c r="BS95">
        <v>31710.848812472541</v>
      </c>
      <c r="BT95">
        <v>13.371193147471931</v>
      </c>
      <c r="BU95">
        <v>23169.603485939362</v>
      </c>
      <c r="BV95">
        <v>20.422453838260225</v>
      </c>
      <c r="BW95">
        <v>35388.02801093732</v>
      </c>
      <c r="BX95">
        <v>25.35590624276028</v>
      </c>
      <c r="BY95">
        <v>43936.714337455014</v>
      </c>
      <c r="BZ95">
        <v>13.336552097911738</v>
      </c>
      <c r="CA95">
        <v>23109.57747526146</v>
      </c>
      <c r="CB95">
        <v>22.090899707775531</v>
      </c>
      <c r="CC95">
        <v>38279.111013633439</v>
      </c>
      <c r="CD95">
        <v>16.524786882783513</v>
      </c>
      <c r="CE95">
        <v>28634.150710487269</v>
      </c>
      <c r="CF95">
        <v>14.426449148240279</v>
      </c>
      <c r="CG95">
        <v>24998.151084070752</v>
      </c>
      <c r="CH95">
        <v>21.439348641647705</v>
      </c>
      <c r="CI95">
        <v>37150.103326247139</v>
      </c>
      <c r="CJ95">
        <v>16.317365000370486</v>
      </c>
      <c r="CK95">
        <v>28274.730072641978</v>
      </c>
      <c r="CL95">
        <v>18.430886675521485</v>
      </c>
      <c r="CM95">
        <v>31937.04043134363</v>
      </c>
      <c r="CN95">
        <v>26.483562264786151</v>
      </c>
      <c r="CO95">
        <v>45890.71669242144</v>
      </c>
      <c r="CP95">
        <v>23.299467045510397</v>
      </c>
      <c r="CQ95">
        <v>40373.316496460415</v>
      </c>
      <c r="CR95">
        <v>21.45990762873501</v>
      </c>
      <c r="CS95">
        <v>37185.727939072021</v>
      </c>
      <c r="CT95">
        <v>15.342774893230329</v>
      </c>
      <c r="CU95">
        <v>26585.960334989515</v>
      </c>
    </row>
    <row r="96" spans="2:99" x14ac:dyDescent="0.2">
      <c r="C96" s="119" t="s">
        <v>262</v>
      </c>
      <c r="D96">
        <v>19.421526597912077</v>
      </c>
      <c r="E96">
        <v>15987.80069540122</v>
      </c>
      <c r="F96">
        <v>17.447244841337511</v>
      </c>
      <c r="G96">
        <v>14362.571953389039</v>
      </c>
      <c r="H96">
        <v>18</v>
      </c>
      <c r="I96">
        <v>14817.599999999999</v>
      </c>
      <c r="J96">
        <v>19</v>
      </c>
      <c r="K96">
        <v>15640.8</v>
      </c>
      <c r="L96">
        <v>20.898087573766357</v>
      </c>
      <c r="M96">
        <v>17203.305690724465</v>
      </c>
      <c r="N96">
        <v>23.402118683249469</v>
      </c>
      <c r="O96">
        <v>19264.624100050962</v>
      </c>
      <c r="P96">
        <v>21.333827865809422</v>
      </c>
      <c r="Q96">
        <v>17562.007099134316</v>
      </c>
      <c r="R96">
        <v>18.313572810888243</v>
      </c>
      <c r="S96">
        <v>15075.7331379232</v>
      </c>
      <c r="T96">
        <v>19.426947068080938</v>
      </c>
      <c r="U96">
        <v>15992.262826444226</v>
      </c>
      <c r="V96">
        <v>18.313712316611308</v>
      </c>
      <c r="W96">
        <v>15075.847979034428</v>
      </c>
      <c r="X96">
        <v>24.537383249387776</v>
      </c>
      <c r="Y96">
        <v>20199.173890896014</v>
      </c>
      <c r="Z96">
        <v>21.547631909796234</v>
      </c>
      <c r="AA96">
        <v>17738.010588144258</v>
      </c>
      <c r="AB96">
        <v>14.382110161050052</v>
      </c>
      <c r="AC96">
        <v>11839.353084576402</v>
      </c>
      <c r="AD96">
        <v>20.508437489657545</v>
      </c>
      <c r="AE96">
        <v>16882.54574148609</v>
      </c>
      <c r="AF96">
        <v>21.556910438443417</v>
      </c>
      <c r="AG96">
        <v>17745.648672926618</v>
      </c>
      <c r="AH96">
        <v>14.366591393919798</v>
      </c>
      <c r="AI96">
        <v>11826.578035474777</v>
      </c>
      <c r="AJ96">
        <v>19.335098902707891</v>
      </c>
      <c r="AK96">
        <v>15916.653416709134</v>
      </c>
      <c r="AL96">
        <v>18</v>
      </c>
      <c r="AM96">
        <v>14817.599999999999</v>
      </c>
      <c r="AN96">
        <v>13.64010075278477</v>
      </c>
      <c r="AO96">
        <v>11228.530939692422</v>
      </c>
      <c r="AP96">
        <v>14.362838597142396</v>
      </c>
      <c r="AQ96">
        <v>11823.48873316762</v>
      </c>
      <c r="AR96">
        <v>20.372852952075579</v>
      </c>
      <c r="AS96">
        <v>16770.932550148616</v>
      </c>
      <c r="AT96">
        <v>21.333464099116593</v>
      </c>
      <c r="AU96">
        <v>17561.707646392777</v>
      </c>
      <c r="AV96">
        <v>18.378954398803401</v>
      </c>
      <c r="AW96">
        <v>15129.555261094958</v>
      </c>
      <c r="AX96">
        <v>21.456456781312205</v>
      </c>
      <c r="AY96">
        <v>17662.955222376208</v>
      </c>
      <c r="AZ96">
        <v>19</v>
      </c>
      <c r="BA96">
        <v>15640.8</v>
      </c>
      <c r="BB96">
        <v>23.772666555663278</v>
      </c>
      <c r="BC96">
        <v>19569.659108622011</v>
      </c>
      <c r="BD96">
        <v>28.460155111887357</v>
      </c>
      <c r="BE96">
        <v>23428.39968810567</v>
      </c>
      <c r="BF96">
        <v>19.450734536215919</v>
      </c>
      <c r="BG96">
        <v>16011.844670212942</v>
      </c>
      <c r="BH96">
        <v>15.356162405457459</v>
      </c>
      <c r="BI96">
        <v>12641.192892172579</v>
      </c>
      <c r="BJ96">
        <v>29.320653722064414</v>
      </c>
      <c r="BK96">
        <v>24136.762144003424</v>
      </c>
      <c r="BL96">
        <v>17.517815427232005</v>
      </c>
      <c r="BM96">
        <v>14420.665659697386</v>
      </c>
      <c r="BN96">
        <v>25.264584713674694</v>
      </c>
      <c r="BO96">
        <v>20797.806136297007</v>
      </c>
      <c r="BP96">
        <v>20.368878658973269</v>
      </c>
      <c r="BQ96">
        <v>16767.660912066793</v>
      </c>
      <c r="BR96">
        <v>17.300351346071412</v>
      </c>
      <c r="BS96">
        <v>14241.649228085986</v>
      </c>
      <c r="BT96">
        <v>13.397706943719927</v>
      </c>
      <c r="BU96">
        <v>11028.992356070243</v>
      </c>
      <c r="BV96">
        <v>22.475260568042756</v>
      </c>
      <c r="BW96">
        <v>18501.634499612795</v>
      </c>
      <c r="BX96">
        <v>25.457593740691792</v>
      </c>
      <c r="BY96">
        <v>20956.691167337482</v>
      </c>
      <c r="BZ96">
        <v>15.336552097911738</v>
      </c>
      <c r="CA96">
        <v>12625.049687000943</v>
      </c>
      <c r="CB96">
        <v>27.119144657835665</v>
      </c>
      <c r="CC96">
        <v>22324.479882330317</v>
      </c>
      <c r="CD96">
        <v>18.577265571061865</v>
      </c>
      <c r="CE96">
        <v>15292.805018098126</v>
      </c>
      <c r="CF96">
        <v>15.50640836353533</v>
      </c>
      <c r="CG96">
        <v>12764.875364862282</v>
      </c>
      <c r="CH96">
        <v>20.56487682497562</v>
      </c>
      <c r="CI96">
        <v>16929.006602319929</v>
      </c>
      <c r="CJ96">
        <v>18.366190385042866</v>
      </c>
      <c r="CK96">
        <v>15119.047924967286</v>
      </c>
      <c r="CL96">
        <v>22.430886675521485</v>
      </c>
      <c r="CM96">
        <v>18465.105911289284</v>
      </c>
      <c r="CN96">
        <v>24.556096604504074</v>
      </c>
      <c r="CO96">
        <v>20214.578724827752</v>
      </c>
      <c r="CP96">
        <v>24.299467045510397</v>
      </c>
      <c r="CQ96">
        <v>20003.321271864159</v>
      </c>
      <c r="CR96">
        <v>26.511008476372233</v>
      </c>
      <c r="CS96">
        <v>21823.862177749619</v>
      </c>
      <c r="CT96">
        <v>18.367258814175351</v>
      </c>
      <c r="CU96">
        <v>15119.927455829147</v>
      </c>
    </row>
    <row r="97" spans="2:99" x14ac:dyDescent="0.2">
      <c r="C97" s="119" t="s">
        <v>263</v>
      </c>
      <c r="D97">
        <v>19.421526597912077</v>
      </c>
      <c r="E97">
        <v>35518.087842261608</v>
      </c>
      <c r="F97">
        <v>16.447244841337511</v>
      </c>
      <c r="G97">
        <v>30078.721365838039</v>
      </c>
      <c r="H97">
        <v>16</v>
      </c>
      <c r="I97">
        <v>29260.799999999999</v>
      </c>
      <c r="J97">
        <v>17</v>
      </c>
      <c r="K97">
        <v>31089.599999999999</v>
      </c>
      <c r="L97">
        <v>18.848193819668225</v>
      </c>
      <c r="M97">
        <v>34469.576857409251</v>
      </c>
      <c r="N97">
        <v>19.402118683249469</v>
      </c>
      <c r="O97">
        <v>35482.594647926628</v>
      </c>
      <c r="P97">
        <v>22.306008876991967</v>
      </c>
      <c r="Q97">
        <v>40793.229034242911</v>
      </c>
      <c r="R97">
        <v>17.287441743314222</v>
      </c>
      <c r="S97">
        <v>31615.273460173048</v>
      </c>
      <c r="T97">
        <v>18.304962191486382</v>
      </c>
      <c r="U97">
        <v>33476.114855790292</v>
      </c>
      <c r="V97">
        <v>15.265448883286494</v>
      </c>
      <c r="W97">
        <v>27917.452917754341</v>
      </c>
      <c r="X97">
        <v>22.474161690636276</v>
      </c>
      <c r="Y97">
        <v>41100.74689983562</v>
      </c>
      <c r="Z97">
        <v>19.518809177701694</v>
      </c>
      <c r="AA97">
        <v>35695.998224180861</v>
      </c>
      <c r="AB97">
        <v>13.382110161050052</v>
      </c>
      <c r="AC97">
        <v>24473.203062528337</v>
      </c>
      <c r="AD97">
        <v>18.406749991726038</v>
      </c>
      <c r="AE97">
        <v>33662.264384868577</v>
      </c>
      <c r="AF97">
        <v>20.491391563332428</v>
      </c>
      <c r="AG97">
        <v>37474.656891022343</v>
      </c>
      <c r="AH97">
        <v>14.314221194788399</v>
      </c>
      <c r="AI97">
        <v>26177.847721029022</v>
      </c>
      <c r="AJ97">
        <v>17.335098902707891</v>
      </c>
      <c r="AK97">
        <v>31702.428873272191</v>
      </c>
      <c r="AL97">
        <v>14</v>
      </c>
      <c r="AM97">
        <v>25603.200000000001</v>
      </c>
      <c r="AN97">
        <v>13.64010075278477</v>
      </c>
      <c r="AO97">
        <v>24945.016256692787</v>
      </c>
      <c r="AP97">
        <v>14.362838597142396</v>
      </c>
      <c r="AQ97">
        <v>26266.759226454014</v>
      </c>
      <c r="AR97">
        <v>21.302943023561408</v>
      </c>
      <c r="AS97">
        <v>38958.8222014891</v>
      </c>
      <c r="AT97">
        <v>19.277886749263828</v>
      </c>
      <c r="AU97">
        <v>35255.399287053689</v>
      </c>
      <c r="AV97">
        <v>15.378954398803399</v>
      </c>
      <c r="AW97">
        <v>28125.031804531656</v>
      </c>
      <c r="AX97">
        <v>21.429606382411489</v>
      </c>
      <c r="AY97">
        <v>39190.464152154127</v>
      </c>
      <c r="AZ97">
        <v>18</v>
      </c>
      <c r="BA97">
        <v>32918.400000000001</v>
      </c>
      <c r="BB97">
        <v>22.691333234014511</v>
      </c>
      <c r="BC97">
        <v>41497.910218365738</v>
      </c>
      <c r="BD97">
        <v>24.429478104428203</v>
      </c>
      <c r="BE97">
        <v>44676.629557378299</v>
      </c>
      <c r="BF97">
        <v>17.450734536215919</v>
      </c>
      <c r="BG97">
        <v>31913.903319831672</v>
      </c>
      <c r="BH97">
        <v>15.308674084729798</v>
      </c>
      <c r="BI97">
        <v>27996.503166153856</v>
      </c>
      <c r="BJ97">
        <v>26.291503383694923</v>
      </c>
      <c r="BK97">
        <v>48081.901388101272</v>
      </c>
      <c r="BL97">
        <v>17.463308540154951</v>
      </c>
      <c r="BM97">
        <v>31936.898658235375</v>
      </c>
      <c r="BN97">
        <v>19.264584713674694</v>
      </c>
      <c r="BO97">
        <v>35231.072524368275</v>
      </c>
      <c r="BP97">
        <v>19.395227134614217</v>
      </c>
      <c r="BQ97">
        <v>35469.991383782479</v>
      </c>
      <c r="BR97">
        <v>17.300351346071412</v>
      </c>
      <c r="BS97">
        <v>31638.882541695399</v>
      </c>
      <c r="BT97">
        <v>13.371193147471931</v>
      </c>
      <c r="BU97">
        <v>24453.238028096668</v>
      </c>
      <c r="BV97">
        <v>20.422453838260225</v>
      </c>
      <c r="BW97">
        <v>37348.583579410297</v>
      </c>
      <c r="BX97">
        <v>23.406749991726038</v>
      </c>
      <c r="BY97">
        <v>42806.264384868577</v>
      </c>
      <c r="BZ97">
        <v>14.336552097911738</v>
      </c>
      <c r="CA97">
        <v>26218.686476660987</v>
      </c>
      <c r="CB97">
        <v>21.129754814415588</v>
      </c>
      <c r="CC97">
        <v>38642.095604603222</v>
      </c>
      <c r="CD97">
        <v>17.472308194505164</v>
      </c>
      <c r="CE97">
        <v>31953.357226111042</v>
      </c>
      <c r="CF97">
        <v>15.453102220005295</v>
      </c>
      <c r="CG97">
        <v>28260.633339945682</v>
      </c>
      <c r="CH97">
        <v>21.470730687479683</v>
      </c>
      <c r="CI97">
        <v>39265.672281262843</v>
      </c>
      <c r="CJ97">
        <v>17.341777692706678</v>
      </c>
      <c r="CK97">
        <v>31714.643044421973</v>
      </c>
      <c r="CL97">
        <v>19.488338232257686</v>
      </c>
      <c r="CM97">
        <v>35640.272959152855</v>
      </c>
      <c r="CN97">
        <v>21.483562264786151</v>
      </c>
      <c r="CO97">
        <v>39289.138669840911</v>
      </c>
      <c r="CP97">
        <v>23.272242768645814</v>
      </c>
      <c r="CQ97">
        <v>42560.277575299464</v>
      </c>
      <c r="CR97">
        <v>23.45990762873501</v>
      </c>
      <c r="CS97">
        <v>42903.479071430585</v>
      </c>
      <c r="CT97">
        <v>17.342774893230327</v>
      </c>
      <c r="CU97">
        <v>31716.466724739621</v>
      </c>
    </row>
    <row r="98" spans="2:99" x14ac:dyDescent="0.2">
      <c r="C98" s="119" t="s">
        <v>264</v>
      </c>
      <c r="D98">
        <v>20.386399381419405</v>
      </c>
      <c r="E98">
        <v>25760.254258361558</v>
      </c>
      <c r="F98">
        <v>17.499861881494866</v>
      </c>
      <c r="G98">
        <v>22112.825473456909</v>
      </c>
      <c r="H98">
        <v>16</v>
      </c>
      <c r="I98">
        <v>20217.599999999999</v>
      </c>
      <c r="J98">
        <v>19</v>
      </c>
      <c r="K98">
        <v>24008.399999999998</v>
      </c>
      <c r="L98">
        <v>18.898087573766357</v>
      </c>
      <c r="M98">
        <v>23879.623458211168</v>
      </c>
      <c r="N98">
        <v>21.402118683249469</v>
      </c>
      <c r="O98">
        <v>27043.717168154028</v>
      </c>
      <c r="P98">
        <v>21.306008876991967</v>
      </c>
      <c r="Q98">
        <v>26922.272816967048</v>
      </c>
      <c r="R98">
        <v>17.287441743314222</v>
      </c>
      <c r="S98">
        <v>21844.411386851851</v>
      </c>
      <c r="T98">
        <v>19.396450848932297</v>
      </c>
      <c r="U98">
        <v>24509.355292710847</v>
      </c>
      <c r="V98">
        <v>16.289580599948902</v>
      </c>
      <c r="W98">
        <v>20583.514046095432</v>
      </c>
      <c r="X98">
        <v>21.537383249387776</v>
      </c>
      <c r="Y98">
        <v>27214.637473926392</v>
      </c>
      <c r="Z98">
        <v>22.547631909796234</v>
      </c>
      <c r="AA98">
        <v>28491.187681218518</v>
      </c>
      <c r="AB98">
        <v>15.41395267447089</v>
      </c>
      <c r="AC98">
        <v>19477.070599461415</v>
      </c>
      <c r="AD98">
        <v>21.483015615174669</v>
      </c>
      <c r="AE98">
        <v>27145.938531334708</v>
      </c>
      <c r="AF98">
        <v>20.524151000887922</v>
      </c>
      <c r="AG98">
        <v>25934.317204721978</v>
      </c>
      <c r="AH98">
        <v>14.314221194788399</v>
      </c>
      <c r="AI98">
        <v>18087.449901734621</v>
      </c>
      <c r="AJ98">
        <v>18.36860879297868</v>
      </c>
      <c r="AK98">
        <v>23210.574070807859</v>
      </c>
      <c r="AL98">
        <v>17</v>
      </c>
      <c r="AM98">
        <v>21481.199999999997</v>
      </c>
      <c r="AN98">
        <v>12.731543717468307</v>
      </c>
      <c r="AO98">
        <v>16087.578641392953</v>
      </c>
      <c r="AP98">
        <v>14.362838597142396</v>
      </c>
      <c r="AQ98">
        <v>18148.882851349132</v>
      </c>
      <c r="AR98">
        <v>21.349549642570857</v>
      </c>
      <c r="AS98">
        <v>26977.290928352533</v>
      </c>
      <c r="AT98">
        <v>19.333464099116593</v>
      </c>
      <c r="AU98">
        <v>24429.765235643725</v>
      </c>
      <c r="AV98">
        <v>18.408104737172891</v>
      </c>
      <c r="AW98">
        <v>23260.481145891663</v>
      </c>
      <c r="AX98">
        <v>24.510157579113642</v>
      </c>
      <c r="AY98">
        <v>30971.035116967996</v>
      </c>
      <c r="AZ98">
        <v>22</v>
      </c>
      <c r="BA98">
        <v>27799.199999999997</v>
      </c>
      <c r="BB98">
        <v>23.81333321648766</v>
      </c>
      <c r="BC98">
        <v>30090.527852353804</v>
      </c>
      <c r="BD98">
        <v>26.429478104428203</v>
      </c>
      <c r="BE98">
        <v>33396.288532755476</v>
      </c>
      <c r="BF98">
        <v>19.424220739967922</v>
      </c>
      <c r="BG98">
        <v>24544.445327023463</v>
      </c>
      <c r="BH98">
        <v>15.308674084729798</v>
      </c>
      <c r="BI98">
        <v>19344.040573464572</v>
      </c>
      <c r="BJ98">
        <v>25.349804060433907</v>
      </c>
      <c r="BK98">
        <v>32032.012410764284</v>
      </c>
      <c r="BL98">
        <v>18.572322314309059</v>
      </c>
      <c r="BM98">
        <v>23467.986476360926</v>
      </c>
      <c r="BN98">
        <v>23.291043185042163</v>
      </c>
      <c r="BO98">
        <v>29430.562168619275</v>
      </c>
      <c r="BP98">
        <v>19.395227134614217</v>
      </c>
      <c r="BQ98">
        <v>24507.809007298521</v>
      </c>
      <c r="BR98">
        <v>18.300351346071412</v>
      </c>
      <c r="BS98">
        <v>23124.323960895836</v>
      </c>
      <c r="BT98">
        <v>14.397706943719927</v>
      </c>
      <c r="BU98">
        <v>18192.942494084498</v>
      </c>
      <c r="BV98">
        <v>21.475260568042756</v>
      </c>
      <c r="BW98">
        <v>27136.139253778823</v>
      </c>
      <c r="BX98">
        <v>25.432171866208915</v>
      </c>
      <c r="BY98">
        <v>32136.092370141581</v>
      </c>
      <c r="BZ98">
        <v>15.288473226781489</v>
      </c>
      <c r="CA98">
        <v>19318.514769361089</v>
      </c>
      <c r="CB98">
        <v>23.079859661543026</v>
      </c>
      <c r="CC98">
        <v>29163.710668325766</v>
      </c>
      <c r="CD98">
        <v>17.551026226922691</v>
      </c>
      <c r="CE98">
        <v>22177.476740339509</v>
      </c>
      <c r="CF98">
        <v>17.506408363535332</v>
      </c>
      <c r="CG98">
        <v>22121.097608163243</v>
      </c>
      <c r="CH98">
        <v>22.439348641647705</v>
      </c>
      <c r="CI98">
        <v>28354.360943586038</v>
      </c>
      <c r="CJ98">
        <v>18.366190385042866</v>
      </c>
      <c r="CK98">
        <v>23207.518170540163</v>
      </c>
      <c r="CL98">
        <v>21.517064010625784</v>
      </c>
      <c r="CM98">
        <v>27188.96208382674</v>
      </c>
      <c r="CN98">
        <v>23.483562264786151</v>
      </c>
      <c r="CO98">
        <v>29673.829277783778</v>
      </c>
      <c r="CP98">
        <v>25.272242768645814</v>
      </c>
      <c r="CQ98">
        <v>31934.005962460848</v>
      </c>
      <c r="CR98">
        <v>23.485458052553621</v>
      </c>
      <c r="CS98">
        <v>29676.224795206756</v>
      </c>
      <c r="CT98">
        <v>18.342774893230327</v>
      </c>
      <c r="CU98">
        <v>23177.930355085839</v>
      </c>
    </row>
    <row r="99" spans="2:99" x14ac:dyDescent="0.2">
      <c r="C99" s="119" t="s">
        <v>265</v>
      </c>
      <c r="D99">
        <v>12.31614494843406</v>
      </c>
      <c r="E99">
        <v>67512.180149336142</v>
      </c>
      <c r="F99">
        <v>10.342010761022804</v>
      </c>
      <c r="G99">
        <v>56690.766187622597</v>
      </c>
      <c r="H99">
        <v>11</v>
      </c>
      <c r="I99">
        <v>60297.599999999991</v>
      </c>
      <c r="J99">
        <v>11</v>
      </c>
      <c r="K99">
        <v>60297.599999999991</v>
      </c>
      <c r="L99">
        <v>13.748406311471964</v>
      </c>
      <c r="M99">
        <v>75363.264036964712</v>
      </c>
      <c r="N99">
        <v>15.335098902707891</v>
      </c>
      <c r="O99">
        <v>84060.878145083567</v>
      </c>
      <c r="P99">
        <v>14.250370899357065</v>
      </c>
      <c r="Q99">
        <v>78114.833121915683</v>
      </c>
      <c r="R99">
        <v>11.182917473018142</v>
      </c>
      <c r="S99">
        <v>61300.280420096242</v>
      </c>
      <c r="T99">
        <v>14.274465972337746</v>
      </c>
      <c r="U99">
        <v>78246.912673966581</v>
      </c>
      <c r="V99">
        <v>11.193053733299267</v>
      </c>
      <c r="W99">
        <v>61355.843344453257</v>
      </c>
      <c r="X99">
        <v>15.410940131884772</v>
      </c>
      <c r="Y99">
        <v>84476.609426939554</v>
      </c>
      <c r="Z99">
        <v>15.345872785134464</v>
      </c>
      <c r="AA99">
        <v>84119.936258993068</v>
      </c>
      <c r="AB99">
        <v>10.28658262078754</v>
      </c>
      <c r="AC99">
        <v>56386.931294108974</v>
      </c>
      <c r="AD99">
        <v>14.305062493794527</v>
      </c>
      <c r="AE99">
        <v>78414.630565984073</v>
      </c>
      <c r="AF99">
        <v>12.393113250665941</v>
      </c>
      <c r="AG99">
        <v>67934.089594850419</v>
      </c>
      <c r="AH99">
        <v>8.2356658960912981</v>
      </c>
      <c r="AI99">
        <v>45144.626176014055</v>
      </c>
      <c r="AJ99">
        <v>11.234569231895524</v>
      </c>
      <c r="AK99">
        <v>61583.414701558497</v>
      </c>
      <c r="AL99">
        <v>11</v>
      </c>
      <c r="AM99">
        <v>60297.599999999991</v>
      </c>
      <c r="AN99">
        <v>9.5029363057594622</v>
      </c>
      <c r="AO99">
        <v>52091.295653651061</v>
      </c>
      <c r="AP99">
        <v>9.2332533838772548</v>
      </c>
      <c r="AQ99">
        <v>50613.001749061557</v>
      </c>
      <c r="AR99">
        <v>14.233033095047237</v>
      </c>
      <c r="AS99">
        <v>78019.794213810921</v>
      </c>
      <c r="AT99">
        <v>13.250098074337444</v>
      </c>
      <c r="AU99">
        <v>72631.737604288122</v>
      </c>
      <c r="AV99">
        <v>10.291503383694923</v>
      </c>
      <c r="AW99">
        <v>56413.904948062089</v>
      </c>
      <c r="AX99">
        <v>15.322204786808616</v>
      </c>
      <c r="AY99">
        <v>83990.197759370101</v>
      </c>
      <c r="AZ99">
        <v>14</v>
      </c>
      <c r="BA99">
        <v>76742.399999999994</v>
      </c>
      <c r="BB99">
        <v>14.609999912365746</v>
      </c>
      <c r="BC99">
        <v>80086.17551962407</v>
      </c>
      <c r="BD99">
        <v>17.33744708205073</v>
      </c>
      <c r="BE99">
        <v>95036.949924969274</v>
      </c>
      <c r="BF99">
        <v>12.318165554975941</v>
      </c>
      <c r="BG99">
        <v>67523.256306156109</v>
      </c>
      <c r="BH99">
        <v>10.261185764002137</v>
      </c>
      <c r="BI99">
        <v>56247.715883954108</v>
      </c>
      <c r="BJ99">
        <v>17.26235304532543</v>
      </c>
      <c r="BK99">
        <v>94625.314453255865</v>
      </c>
      <c r="BL99">
        <v>12.354294766000846</v>
      </c>
      <c r="BM99">
        <v>67721.302189310227</v>
      </c>
      <c r="BN99">
        <v>13.211667770939757</v>
      </c>
      <c r="BO99">
        <v>72421.078053183359</v>
      </c>
      <c r="BP99">
        <v>14.289833232050425</v>
      </c>
      <c r="BQ99">
        <v>78331.149844807602</v>
      </c>
      <c r="BR99">
        <v>12.210245942249989</v>
      </c>
      <c r="BS99">
        <v>66931.684157037525</v>
      </c>
      <c r="BT99">
        <v>9.265137962479951</v>
      </c>
      <c r="BU99">
        <v>50787.780255130092</v>
      </c>
      <c r="BV99">
        <v>14.343243743586434</v>
      </c>
      <c r="BW99">
        <v>78623.924904843385</v>
      </c>
      <c r="BX99">
        <v>17.27964061931165</v>
      </c>
      <c r="BY99">
        <v>94720.078018818735</v>
      </c>
      <c r="BZ99">
        <v>9.240394355651242</v>
      </c>
      <c r="CA99">
        <v>50652.145699937842</v>
      </c>
      <c r="CB99">
        <v>16.101509864355457</v>
      </c>
      <c r="CC99">
        <v>88262.036472450869</v>
      </c>
      <c r="CD99">
        <v>12.341111473809285</v>
      </c>
      <c r="CE99">
        <v>67649.036654832962</v>
      </c>
      <c r="CF99">
        <v>10.319836861180208</v>
      </c>
      <c r="CG99">
        <v>56569.217738245425</v>
      </c>
      <c r="CH99">
        <v>14.376584549983747</v>
      </c>
      <c r="CI99">
        <v>78806.6858691909</v>
      </c>
      <c r="CJ99">
        <v>11.244126923361913</v>
      </c>
      <c r="CK99">
        <v>61635.806143100657</v>
      </c>
      <c r="CL99">
        <v>12.315983562049091</v>
      </c>
      <c r="CM99">
        <v>67511.295493728292</v>
      </c>
      <c r="CN99">
        <v>17.338493585350303</v>
      </c>
      <c r="CO99">
        <v>95042.686437456214</v>
      </c>
      <c r="CP99">
        <v>15.217794214916651</v>
      </c>
      <c r="CQ99">
        <v>83417.860768487109</v>
      </c>
      <c r="CR99">
        <v>16.357705933460565</v>
      </c>
      <c r="CS99">
        <v>89666.400844857431</v>
      </c>
      <c r="CT99">
        <v>12.244839209450236</v>
      </c>
      <c r="CU99">
        <v>67121.3106105224</v>
      </c>
    </row>
    <row r="100" spans="2:99" x14ac:dyDescent="0.2">
      <c r="C100" s="119" t="s">
        <v>266</v>
      </c>
      <c r="D100">
        <v>19.456653814404753</v>
      </c>
      <c r="E100">
        <v>31566.47514849027</v>
      </c>
      <c r="F100">
        <v>16.420936321258836</v>
      </c>
      <c r="G100">
        <v>26641.327087610334</v>
      </c>
      <c r="H100">
        <v>15</v>
      </c>
      <c r="I100">
        <v>24335.999999999996</v>
      </c>
      <c r="J100">
        <v>19</v>
      </c>
      <c r="K100">
        <v>30825.599999999999</v>
      </c>
      <c r="L100">
        <v>17.94798132786449</v>
      </c>
      <c r="M100">
        <v>29118.804906327347</v>
      </c>
      <c r="N100">
        <v>20.402118683249469</v>
      </c>
      <c r="O100">
        <v>33100.397351703934</v>
      </c>
      <c r="P100">
        <v>22.306008876991967</v>
      </c>
      <c r="Q100">
        <v>36189.268802031766</v>
      </c>
      <c r="R100">
        <v>15.287441743314222</v>
      </c>
      <c r="S100">
        <v>24802.345484352991</v>
      </c>
      <c r="T100">
        <v>19.365954629783658</v>
      </c>
      <c r="U100">
        <v>31419.324791361003</v>
      </c>
      <c r="V100">
        <v>16.289580599948902</v>
      </c>
      <c r="W100">
        <v>26428.215565357095</v>
      </c>
      <c r="X100">
        <v>22.537383249387776</v>
      </c>
      <c r="Y100">
        <v>36564.650583806724</v>
      </c>
      <c r="Z100">
        <v>19.518809177701694</v>
      </c>
      <c r="AA100">
        <v>31667.316009903225</v>
      </c>
      <c r="AB100">
        <v>13.382110161050052</v>
      </c>
      <c r="AC100">
        <v>21711.135525287602</v>
      </c>
      <c r="AD100">
        <v>20.432171866208915</v>
      </c>
      <c r="AE100">
        <v>33149.155635737341</v>
      </c>
      <c r="AF100">
        <v>18.524151000887922</v>
      </c>
      <c r="AG100">
        <v>30053.582583840562</v>
      </c>
      <c r="AH100">
        <v>14.366591393919798</v>
      </c>
      <c r="AI100">
        <v>23308.357877495477</v>
      </c>
      <c r="AJ100">
        <v>17.335098902707891</v>
      </c>
      <c r="AK100">
        <v>28124.464459753279</v>
      </c>
      <c r="AL100">
        <v>15</v>
      </c>
      <c r="AM100">
        <v>24335.999999999996</v>
      </c>
      <c r="AN100">
        <v>13.64010075278477</v>
      </c>
      <c r="AO100">
        <v>22129.69946131801</v>
      </c>
      <c r="AP100">
        <v>14.336921554489367</v>
      </c>
      <c r="AQ100">
        <v>23260.221530003546</v>
      </c>
      <c r="AR100">
        <v>19.302943023561408</v>
      </c>
      <c r="AS100">
        <v>31317.094761426026</v>
      </c>
      <c r="AT100">
        <v>19.277886749263828</v>
      </c>
      <c r="AU100">
        <v>31276.443462005631</v>
      </c>
      <c r="AV100">
        <v>15.349804060433907</v>
      </c>
      <c r="AW100">
        <v>24903.522107647968</v>
      </c>
      <c r="AX100">
        <v>23.483307180212925</v>
      </c>
      <c r="AY100">
        <v>38099.317569177445</v>
      </c>
      <c r="AZ100">
        <v>18</v>
      </c>
      <c r="BA100">
        <v>29203.199999999997</v>
      </c>
      <c r="BB100">
        <v>21.81333321648766</v>
      </c>
      <c r="BC100">
        <v>35389.951810429578</v>
      </c>
      <c r="BD100">
        <v>25.429478104428203</v>
      </c>
      <c r="BE100">
        <v>41256.785276624316</v>
      </c>
      <c r="BF100">
        <v>19.450734536215919</v>
      </c>
      <c r="BG100">
        <v>31556.871711556705</v>
      </c>
      <c r="BH100">
        <v>15.308674084729798</v>
      </c>
      <c r="BI100">
        <v>24836.792835065622</v>
      </c>
      <c r="BJ100">
        <v>25.320653722064414</v>
      </c>
      <c r="BK100">
        <v>41080.228598677299</v>
      </c>
      <c r="BL100">
        <v>17.490561983693478</v>
      </c>
      <c r="BM100">
        <v>28376.687762344296</v>
      </c>
      <c r="BN100">
        <v>23.264584713674694</v>
      </c>
      <c r="BO100">
        <v>37744.462239465822</v>
      </c>
      <c r="BP100">
        <v>18.368878658973269</v>
      </c>
      <c r="BQ100">
        <v>29801.668736318228</v>
      </c>
      <c r="BR100">
        <v>19.300351346071412</v>
      </c>
      <c r="BS100">
        <v>31312.890023866257</v>
      </c>
      <c r="BT100">
        <v>13.371193147471931</v>
      </c>
      <c r="BU100">
        <v>21693.42376245846</v>
      </c>
      <c r="BV100">
        <v>22.475260568042756</v>
      </c>
      <c r="BW100">
        <v>36463.862745592567</v>
      </c>
      <c r="BX100">
        <v>22.432171866208915</v>
      </c>
      <c r="BY100">
        <v>36393.955635737337</v>
      </c>
      <c r="BZ100">
        <v>14.288473226781489</v>
      </c>
      <c r="CA100">
        <v>23181.618963130288</v>
      </c>
      <c r="CB100">
        <v>21.157569874823142</v>
      </c>
      <c r="CC100">
        <v>34326.041364913064</v>
      </c>
      <c r="CD100">
        <v>18.524786882783513</v>
      </c>
      <c r="CE100">
        <v>30054.614238627968</v>
      </c>
      <c r="CF100">
        <v>14.453102220005295</v>
      </c>
      <c r="CG100">
        <v>23448.713041736588</v>
      </c>
      <c r="CH100">
        <v>20.439348641647705</v>
      </c>
      <c r="CI100">
        <v>33160.799236209234</v>
      </c>
      <c r="CJ100">
        <v>18.317365000370486</v>
      </c>
      <c r="CK100">
        <v>29718.092976601074</v>
      </c>
      <c r="CL100">
        <v>20.430886675521485</v>
      </c>
      <c r="CM100">
        <v>33147.070542366055</v>
      </c>
      <c r="CN100">
        <v>22.507740378025456</v>
      </c>
      <c r="CO100">
        <v>36516.557989308494</v>
      </c>
      <c r="CP100">
        <v>23.299467045510397</v>
      </c>
      <c r="CQ100">
        <v>37801.055334636068</v>
      </c>
      <c r="CR100">
        <v>22.45990762873501</v>
      </c>
      <c r="CS100">
        <v>36438.954136859677</v>
      </c>
      <c r="CT100">
        <v>16.293807051340281</v>
      </c>
      <c r="CU100">
        <v>26435.072560094468</v>
      </c>
    </row>
    <row r="101" spans="2:99" x14ac:dyDescent="0.2">
      <c r="C101" s="119" t="s">
        <v>267</v>
      </c>
      <c r="D101">
        <v>18.421526597912077</v>
      </c>
      <c r="E101">
        <v>21928.985262154536</v>
      </c>
      <c r="F101">
        <v>17.499861881494866</v>
      </c>
      <c r="G101">
        <v>20831.835583731485</v>
      </c>
      <c r="H101">
        <v>17</v>
      </c>
      <c r="I101">
        <v>20236.8</v>
      </c>
      <c r="J101">
        <v>20</v>
      </c>
      <c r="K101">
        <v>23807.999999999996</v>
      </c>
      <c r="L101">
        <v>18.898087573766357</v>
      </c>
      <c r="M101">
        <v>22496.283447811471</v>
      </c>
      <c r="N101">
        <v>23.402118683249469</v>
      </c>
      <c r="O101">
        <v>27857.882080540166</v>
      </c>
      <c r="P101">
        <v>23.333827865809422</v>
      </c>
      <c r="Q101">
        <v>27776.588691459532</v>
      </c>
      <c r="R101">
        <v>18.287441743314222</v>
      </c>
      <c r="S101">
        <v>21769.370651241246</v>
      </c>
      <c r="T101">
        <v>19.365954629783658</v>
      </c>
      <c r="U101">
        <v>23053.232391294463</v>
      </c>
      <c r="V101">
        <v>16.265448883286492</v>
      </c>
      <c r="W101">
        <v>19362.390350664238</v>
      </c>
      <c r="X101">
        <v>21.537383249387776</v>
      </c>
      <c r="Y101">
        <v>25638.101020071204</v>
      </c>
      <c r="Z101">
        <v>21.518809177701694</v>
      </c>
      <c r="AA101">
        <v>25615.990445136093</v>
      </c>
      <c r="AB101">
        <v>15.445795187891727</v>
      </c>
      <c r="AC101">
        <v>18386.674591666309</v>
      </c>
      <c r="AD101">
        <v>22.483015615174669</v>
      </c>
      <c r="AE101">
        <v>26763.781788303921</v>
      </c>
      <c r="AF101">
        <v>19.589669875998911</v>
      </c>
      <c r="AG101">
        <v>23319.543020389101</v>
      </c>
      <c r="AH101">
        <v>13.314221194788399</v>
      </c>
      <c r="AI101">
        <v>15849.248910276108</v>
      </c>
      <c r="AJ101">
        <v>18.335098902707891</v>
      </c>
      <c r="AK101">
        <v>21826.101733783471</v>
      </c>
      <c r="AL101">
        <v>17</v>
      </c>
      <c r="AM101">
        <v>20236.8</v>
      </c>
      <c r="AN101">
        <v>14.685822235126539</v>
      </c>
      <c r="AO101">
        <v>17482.00278869463</v>
      </c>
      <c r="AP101">
        <v>14.362838597142396</v>
      </c>
      <c r="AQ101">
        <v>17097.523066038306</v>
      </c>
      <c r="AR101">
        <v>22.302943023561408</v>
      </c>
      <c r="AS101">
        <v>26549.423375247497</v>
      </c>
      <c r="AT101">
        <v>20.333464099116593</v>
      </c>
      <c r="AU101">
        <v>24204.955663588389</v>
      </c>
      <c r="AV101">
        <v>18.378954398803401</v>
      </c>
      <c r="AW101">
        <v>21878.307316335566</v>
      </c>
      <c r="AX101">
        <v>23.429606382411489</v>
      </c>
      <c r="AY101">
        <v>27890.603437622634</v>
      </c>
      <c r="AZ101">
        <v>21</v>
      </c>
      <c r="BA101">
        <v>24998.399999999998</v>
      </c>
      <c r="BB101">
        <v>20.853999877312045</v>
      </c>
      <c r="BC101">
        <v>24824.601453952255</v>
      </c>
      <c r="BD101">
        <v>27.460155111887357</v>
      </c>
      <c r="BE101">
        <v>32688.568645190706</v>
      </c>
      <c r="BF101">
        <v>21.397706943719928</v>
      </c>
      <c r="BG101">
        <v>25471.830345804199</v>
      </c>
      <c r="BH101">
        <v>16.356162405457461</v>
      </c>
      <c r="BI101">
        <v>19470.375727456558</v>
      </c>
      <c r="BJ101">
        <v>23.349804060433907</v>
      </c>
      <c r="BK101">
        <v>27795.60675354052</v>
      </c>
      <c r="BL101">
        <v>17.517815427232005</v>
      </c>
      <c r="BM101">
        <v>20853.207484576975</v>
      </c>
      <c r="BN101">
        <v>23.291043185042163</v>
      </c>
      <c r="BO101">
        <v>27725.657807474188</v>
      </c>
      <c r="BP101">
        <v>21.447924085896112</v>
      </c>
      <c r="BQ101">
        <v>25531.608831850728</v>
      </c>
      <c r="BR101">
        <v>16.300351346071412</v>
      </c>
      <c r="BS101">
        <v>19403.938242363409</v>
      </c>
      <c r="BT101">
        <v>15.344679351223936</v>
      </c>
      <c r="BU101">
        <v>18266.306299696971</v>
      </c>
      <c r="BV101">
        <v>21.448857203151491</v>
      </c>
      <c r="BW101">
        <v>25532.719614631533</v>
      </c>
      <c r="BX101">
        <v>24.432171866208915</v>
      </c>
      <c r="BY101">
        <v>29084.05738953509</v>
      </c>
      <c r="BZ101">
        <v>16.336552097911738</v>
      </c>
      <c r="CA101">
        <v>19447.031617354132</v>
      </c>
      <c r="CB101">
        <v>26.046739522845513</v>
      </c>
      <c r="CC101">
        <v>31006.038727995296</v>
      </c>
      <c r="CD101">
        <v>18.498547538644338</v>
      </c>
      <c r="CE101">
        <v>22020.670990002218</v>
      </c>
      <c r="CF101">
        <v>17.506408363535332</v>
      </c>
      <c r="CG101">
        <v>20839.628515952456</v>
      </c>
      <c r="CH101">
        <v>22.502112733311662</v>
      </c>
      <c r="CI101">
        <v>26786.514997734201</v>
      </c>
      <c r="CJ101">
        <v>18.366190385042866</v>
      </c>
      <c r="CK101">
        <v>21863.113034355025</v>
      </c>
      <c r="CL101">
        <v>19.517064010625784</v>
      </c>
      <c r="CM101">
        <v>23233.112998248929</v>
      </c>
      <c r="CN101">
        <v>26.459384151546843</v>
      </c>
      <c r="CO101">
        <v>31497.250894001358</v>
      </c>
      <c r="CP101">
        <v>26.326691322374977</v>
      </c>
      <c r="CQ101">
        <v>31339.293350155167</v>
      </c>
      <c r="CR101">
        <v>25.536558900190848</v>
      </c>
      <c r="CS101">
        <v>30398.719714787181</v>
      </c>
      <c r="CT101">
        <v>16.342774893230327</v>
      </c>
      <c r="CU101">
        <v>19454.439232901379</v>
      </c>
    </row>
    <row r="102" spans="2:99" x14ac:dyDescent="0.2">
      <c r="C102" s="119" t="s">
        <v>268</v>
      </c>
      <c r="D102">
        <v>18.386399381419405</v>
      </c>
      <c r="E102">
        <v>35654.905680448508</v>
      </c>
      <c r="F102">
        <v>14.420936321258836</v>
      </c>
      <c r="G102">
        <v>27965.079714185133</v>
      </c>
      <c r="H102">
        <v>17</v>
      </c>
      <c r="I102">
        <v>32966.399999999994</v>
      </c>
      <c r="J102">
        <v>18</v>
      </c>
      <c r="K102">
        <v>34905.599999999999</v>
      </c>
      <c r="L102">
        <v>17.798300065570096</v>
      </c>
      <c r="M102">
        <v>34514.463487153531</v>
      </c>
      <c r="N102">
        <v>19.36860879297868</v>
      </c>
      <c r="O102">
        <v>37559.606171344254</v>
      </c>
      <c r="P102">
        <v>21.306008876991967</v>
      </c>
      <c r="Q102">
        <v>41316.612414262818</v>
      </c>
      <c r="R102">
        <v>15.235179608166183</v>
      </c>
      <c r="S102">
        <v>29544.060296155858</v>
      </c>
      <c r="T102">
        <v>20.304962191486382</v>
      </c>
      <c r="U102">
        <v>39375.382681730385</v>
      </c>
      <c r="V102">
        <v>15.241317166624084</v>
      </c>
      <c r="W102">
        <v>29555.962249517419</v>
      </c>
      <c r="X102">
        <v>22.56899402876353</v>
      </c>
      <c r="Y102">
        <v>43765.793220578234</v>
      </c>
      <c r="Z102">
        <v>21.518809177701694</v>
      </c>
      <c r="AA102">
        <v>41729.274757399122</v>
      </c>
      <c r="AB102">
        <v>13.350267647629215</v>
      </c>
      <c r="AC102">
        <v>25888.839022282569</v>
      </c>
      <c r="AD102">
        <v>20.406749991726038</v>
      </c>
      <c r="AE102">
        <v>39572.769583955131</v>
      </c>
      <c r="AF102">
        <v>20.491391563332428</v>
      </c>
      <c r="AG102">
        <v>39736.90651961424</v>
      </c>
      <c r="AH102">
        <v>13.340406294354098</v>
      </c>
      <c r="AI102">
        <v>25869.715886011465</v>
      </c>
      <c r="AJ102">
        <v>16.36860879297868</v>
      </c>
      <c r="AK102">
        <v>31742.006171344252</v>
      </c>
      <c r="AL102">
        <v>14</v>
      </c>
      <c r="AM102">
        <v>27148.799999999996</v>
      </c>
      <c r="AN102">
        <v>13.64010075278477</v>
      </c>
      <c r="AO102">
        <v>26450.883379800223</v>
      </c>
      <c r="AP102">
        <v>12.362838597142396</v>
      </c>
      <c r="AQ102">
        <v>23974.016607578531</v>
      </c>
      <c r="AR102">
        <v>18.302943023561408</v>
      </c>
      <c r="AS102">
        <v>35493.067111290278</v>
      </c>
      <c r="AT102">
        <v>19.277886749263828</v>
      </c>
      <c r="AU102">
        <v>37383.677984172413</v>
      </c>
      <c r="AV102">
        <v>17.408104737172891</v>
      </c>
      <c r="AW102">
        <v>33757.796706325666</v>
      </c>
      <c r="AX102">
        <v>22.483307180212925</v>
      </c>
      <c r="AY102">
        <v>43599.629283868904</v>
      </c>
      <c r="AZ102">
        <v>17</v>
      </c>
      <c r="BA102">
        <v>32966.399999999994</v>
      </c>
      <c r="BB102">
        <v>22.691333234014511</v>
      </c>
      <c r="BC102">
        <v>44003.033407400937</v>
      </c>
      <c r="BD102">
        <v>24.429478104428203</v>
      </c>
      <c r="BE102">
        <v>47373.643940107169</v>
      </c>
      <c r="BF102">
        <v>19.424220739967922</v>
      </c>
      <c r="BG102">
        <v>37667.448858945791</v>
      </c>
      <c r="BH102">
        <v>15.284929924365967</v>
      </c>
      <c r="BI102">
        <v>29640.536109330482</v>
      </c>
      <c r="BJ102">
        <v>22.320653722064414</v>
      </c>
      <c r="BK102">
        <v>43284.211697827304</v>
      </c>
      <c r="BL102">
        <v>17.517815427232005</v>
      </c>
      <c r="BM102">
        <v>33970.547676488299</v>
      </c>
      <c r="BN102">
        <v>22.238126242307224</v>
      </c>
      <c r="BO102">
        <v>43124.174409082167</v>
      </c>
      <c r="BP102">
        <v>18.342530183332322</v>
      </c>
      <c r="BQ102">
        <v>35569.834531518034</v>
      </c>
      <c r="BR102">
        <v>16.300351346071412</v>
      </c>
      <c r="BS102">
        <v>31609.641330301682</v>
      </c>
      <c r="BT102">
        <v>12.344679351223936</v>
      </c>
      <c r="BU102">
        <v>23938.802197893456</v>
      </c>
      <c r="BV102">
        <v>21.448857203151491</v>
      </c>
      <c r="BW102">
        <v>41593.623888351365</v>
      </c>
      <c r="BX102">
        <v>23.406749991726038</v>
      </c>
      <c r="BY102">
        <v>45390.369583955129</v>
      </c>
      <c r="BZ102">
        <v>14.312512662346615</v>
      </c>
      <c r="CA102">
        <v>27754.824554822553</v>
      </c>
      <c r="CB102">
        <v>22.118714768183086</v>
      </c>
      <c r="CC102">
        <v>42892.611678460635</v>
      </c>
      <c r="CD102">
        <v>16.498547538644338</v>
      </c>
      <c r="CE102">
        <v>31993.983386939097</v>
      </c>
      <c r="CF102">
        <v>15.39979607647526</v>
      </c>
      <c r="CG102">
        <v>29863.284551500823</v>
      </c>
      <c r="CH102">
        <v>20.407966595815726</v>
      </c>
      <c r="CI102">
        <v>39575.128822605853</v>
      </c>
      <c r="CJ102">
        <v>15.317365000370486</v>
      </c>
      <c r="CK102">
        <v>29703.434208718445</v>
      </c>
      <c r="CL102">
        <v>18.488338232257686</v>
      </c>
      <c r="CM102">
        <v>35852.5854999941</v>
      </c>
      <c r="CN102">
        <v>24.459384151546843</v>
      </c>
      <c r="CO102">
        <v>47431.637746679633</v>
      </c>
      <c r="CP102">
        <v>21.299467045510397</v>
      </c>
      <c r="CQ102">
        <v>41303.926494653759</v>
      </c>
      <c r="CR102">
        <v>21.511008476372233</v>
      </c>
      <c r="CS102">
        <v>41714.147637381029</v>
      </c>
      <c r="CT102">
        <v>16.293807051340281</v>
      </c>
      <c r="CU102">
        <v>31596.95063395907</v>
      </c>
    </row>
    <row r="103" spans="2:99" x14ac:dyDescent="0.2">
      <c r="C103" s="119" t="s">
        <v>269</v>
      </c>
      <c r="D103">
        <v>17.421526597912077</v>
      </c>
      <c r="E103">
        <v>35330.855940565692</v>
      </c>
      <c r="F103">
        <v>16.447244841337511</v>
      </c>
      <c r="G103">
        <v>33355.01253823247</v>
      </c>
      <c r="H103">
        <v>16</v>
      </c>
      <c r="I103">
        <v>32448</v>
      </c>
      <c r="J103">
        <v>18</v>
      </c>
      <c r="K103">
        <v>36504</v>
      </c>
      <c r="L103">
        <v>15.898087573766357</v>
      </c>
      <c r="M103">
        <v>32241.321599598174</v>
      </c>
      <c r="N103">
        <v>21.402118683249469</v>
      </c>
      <c r="O103">
        <v>43403.496689629923</v>
      </c>
      <c r="P103">
        <v>20.333827865809422</v>
      </c>
      <c r="Q103">
        <v>41237.002911861506</v>
      </c>
      <c r="R103">
        <v>16.261310675740202</v>
      </c>
      <c r="S103">
        <v>32977.938050401128</v>
      </c>
      <c r="T103">
        <v>18.365954629783658</v>
      </c>
      <c r="U103">
        <v>37246.155989201259</v>
      </c>
      <c r="V103">
        <v>15.265448883286494</v>
      </c>
      <c r="W103">
        <v>30958.330335305011</v>
      </c>
      <c r="X103">
        <v>19.505772470012026</v>
      </c>
      <c r="Y103">
        <v>39557.706569184389</v>
      </c>
      <c r="Z103">
        <v>19.461163713512619</v>
      </c>
      <c r="AA103">
        <v>39467.240011003589</v>
      </c>
      <c r="AB103">
        <v>13.350267647629215</v>
      </c>
      <c r="AC103">
        <v>27074.342789392049</v>
      </c>
      <c r="AD103">
        <v>19.381328117243161</v>
      </c>
      <c r="AE103">
        <v>39305.33342176913</v>
      </c>
      <c r="AF103">
        <v>20.524151000887922</v>
      </c>
      <c r="AG103">
        <v>41622.978229800705</v>
      </c>
      <c r="AH103">
        <v>12.340406294354098</v>
      </c>
      <c r="AI103">
        <v>25026.343964950112</v>
      </c>
      <c r="AJ103">
        <v>18.335098902707891</v>
      </c>
      <c r="AK103">
        <v>37183.580574691601</v>
      </c>
      <c r="AL103">
        <v>15</v>
      </c>
      <c r="AM103">
        <v>30420</v>
      </c>
      <c r="AN103">
        <v>13.64010075278477</v>
      </c>
      <c r="AO103">
        <v>27662.124326647514</v>
      </c>
      <c r="AP103">
        <v>13.311004511836339</v>
      </c>
      <c r="AQ103">
        <v>26994.717150004097</v>
      </c>
      <c r="AR103">
        <v>19.302943023561408</v>
      </c>
      <c r="AS103">
        <v>39146.368451782539</v>
      </c>
      <c r="AT103">
        <v>21.333464099116593</v>
      </c>
      <c r="AU103">
        <v>43264.265193008454</v>
      </c>
      <c r="AV103">
        <v>15.349804060433907</v>
      </c>
      <c r="AW103">
        <v>31129.402634559963</v>
      </c>
      <c r="AX103">
        <v>21.456456781312205</v>
      </c>
      <c r="AY103">
        <v>43513.694352501152</v>
      </c>
      <c r="AZ103">
        <v>18</v>
      </c>
      <c r="BA103">
        <v>36504</v>
      </c>
      <c r="BB103">
        <v>19.731999894838896</v>
      </c>
      <c r="BC103">
        <v>40016.495786733285</v>
      </c>
      <c r="BD103">
        <v>25.429478104428203</v>
      </c>
      <c r="BE103">
        <v>51570.981595780395</v>
      </c>
      <c r="BF103">
        <v>19.397706943719928</v>
      </c>
      <c r="BG103">
        <v>39338.549681864017</v>
      </c>
      <c r="BH103">
        <v>16.308674084729798</v>
      </c>
      <c r="BI103">
        <v>33073.991043832029</v>
      </c>
      <c r="BJ103">
        <v>24.320653722064414</v>
      </c>
      <c r="BK103">
        <v>49322.285748346629</v>
      </c>
      <c r="BL103">
        <v>17.436055096616425</v>
      </c>
      <c r="BM103">
        <v>35360.319735938108</v>
      </c>
      <c r="BN103">
        <v>20.291043185042163</v>
      </c>
      <c r="BO103">
        <v>41150.235579265507</v>
      </c>
      <c r="BP103">
        <v>18.395227134614217</v>
      </c>
      <c r="BQ103">
        <v>37305.520628997634</v>
      </c>
      <c r="BR103">
        <v>15.270316211464271</v>
      </c>
      <c r="BS103">
        <v>30968.201276849541</v>
      </c>
      <c r="BT103">
        <v>11.371193147471931</v>
      </c>
      <c r="BU103">
        <v>23060.779703073076</v>
      </c>
      <c r="BV103">
        <v>21.422453838260225</v>
      </c>
      <c r="BW103">
        <v>43444.736383991738</v>
      </c>
      <c r="BX103">
        <v>24.432171866208915</v>
      </c>
      <c r="BY103">
        <v>49548.444544671678</v>
      </c>
      <c r="BZ103">
        <v>13.264433791216366</v>
      </c>
      <c r="CA103">
        <v>26900.271728586791</v>
      </c>
      <c r="CB103">
        <v>22.118714768183086</v>
      </c>
      <c r="CC103">
        <v>44856.753549875299</v>
      </c>
      <c r="CD103">
        <v>16.498547538644338</v>
      </c>
      <c r="CE103">
        <v>33459.054408370721</v>
      </c>
      <c r="CF103">
        <v>15.453102220005295</v>
      </c>
      <c r="CG103">
        <v>31338.891302170738</v>
      </c>
      <c r="CH103">
        <v>17.407966595815726</v>
      </c>
      <c r="CI103">
        <v>35303.356256314291</v>
      </c>
      <c r="CJ103">
        <v>16.317365000370486</v>
      </c>
      <c r="CK103">
        <v>33091.616220751348</v>
      </c>
      <c r="CL103">
        <v>17.430886675521485</v>
      </c>
      <c r="CM103">
        <v>35349.838177957572</v>
      </c>
      <c r="CN103">
        <v>23.459384151546843</v>
      </c>
      <c r="CO103">
        <v>47575.631059337</v>
      </c>
      <c r="CP103">
        <v>23.299467045510397</v>
      </c>
      <c r="CQ103">
        <v>47251.319168295086</v>
      </c>
      <c r="CR103">
        <v>22.485458052553621</v>
      </c>
      <c r="CS103">
        <v>45600.508930578748</v>
      </c>
      <c r="CT103">
        <v>16.293807051340281</v>
      </c>
      <c r="CU103">
        <v>33043.840700118089</v>
      </c>
    </row>
    <row r="104" spans="2:99" x14ac:dyDescent="0.2">
      <c r="C104" s="119" t="s">
        <v>270</v>
      </c>
      <c r="D104">
        <v>19.386399381419405</v>
      </c>
      <c r="E104">
        <v>40176.374078053581</v>
      </c>
      <c r="F104">
        <v>15.394627801180158</v>
      </c>
      <c r="G104">
        <v>31903.826655165762</v>
      </c>
      <c r="H104">
        <v>16</v>
      </c>
      <c r="I104">
        <v>33158.400000000001</v>
      </c>
      <c r="J104">
        <v>19</v>
      </c>
      <c r="K104">
        <v>39375.599999999999</v>
      </c>
      <c r="L104">
        <v>16.898087573766357</v>
      </c>
      <c r="M104">
        <v>35019.596687873403</v>
      </c>
      <c r="N104">
        <v>20.36860879297868</v>
      </c>
      <c r="O104">
        <v>42211.904862569019</v>
      </c>
      <c r="P104">
        <v>20.333827865809422</v>
      </c>
      <c r="Q104">
        <v>42139.824869103446</v>
      </c>
      <c r="R104">
        <v>15.287441743314222</v>
      </c>
      <c r="S104">
        <v>31681.694268844396</v>
      </c>
      <c r="T104">
        <v>18.33545841063502</v>
      </c>
      <c r="U104">
        <v>37998.404010200014</v>
      </c>
      <c r="V104">
        <v>15.265448883286494</v>
      </c>
      <c r="W104">
        <v>31636.116265722932</v>
      </c>
      <c r="X104">
        <v>18.537383249387776</v>
      </c>
      <c r="Y104">
        <v>38416.873046031229</v>
      </c>
      <c r="Z104">
        <v>20.489986445607155</v>
      </c>
      <c r="AA104">
        <v>42463.447909876268</v>
      </c>
      <c r="AB104">
        <v>14.382110161050052</v>
      </c>
      <c r="AC104">
        <v>29805.485097760131</v>
      </c>
      <c r="AD104">
        <v>17.381328117243161</v>
      </c>
      <c r="AE104">
        <v>36021.064390174732</v>
      </c>
      <c r="AF104">
        <v>17.524151000887922</v>
      </c>
      <c r="AG104">
        <v>36317.05053424013</v>
      </c>
      <c r="AH104">
        <v>13.340406294354098</v>
      </c>
      <c r="AI104">
        <v>27646.658004419434</v>
      </c>
      <c r="AJ104">
        <v>17.335098902707891</v>
      </c>
      <c r="AK104">
        <v>35925.258965971836</v>
      </c>
      <c r="AL104">
        <v>15</v>
      </c>
      <c r="AM104">
        <v>31086</v>
      </c>
      <c r="AN104">
        <v>12.64010075278477</v>
      </c>
      <c r="AO104">
        <v>26195.344800071158</v>
      </c>
      <c r="AP104">
        <v>14.311004511836339</v>
      </c>
      <c r="AQ104">
        <v>29658.125750329629</v>
      </c>
      <c r="AR104">
        <v>20.349549642570857</v>
      </c>
      <c r="AS104">
        <v>42172.406679263848</v>
      </c>
      <c r="AT104">
        <v>19.277886749263828</v>
      </c>
      <c r="AU104">
        <v>39951.492499174361</v>
      </c>
      <c r="AV104">
        <v>15.408104737172891</v>
      </c>
      <c r="AW104">
        <v>31931.756257317102</v>
      </c>
      <c r="AX104">
        <v>20.483307180212925</v>
      </c>
      <c r="AY104">
        <v>42449.605800273268</v>
      </c>
      <c r="AZ104">
        <v>19</v>
      </c>
      <c r="BA104">
        <v>39375.599999999999</v>
      </c>
      <c r="BB104">
        <v>19.772666555663278</v>
      </c>
      <c r="BC104">
        <v>40976.87416995658</v>
      </c>
      <c r="BD104">
        <v>24.398801096969045</v>
      </c>
      <c r="BE104">
        <v>50564.075393358653</v>
      </c>
      <c r="BF104">
        <v>19.424220739967922</v>
      </c>
      <c r="BG104">
        <v>40254.755061509524</v>
      </c>
      <c r="BH104">
        <v>15.308674084729798</v>
      </c>
      <c r="BI104">
        <v>31725.696173194036</v>
      </c>
      <c r="BJ104">
        <v>21.349804060433907</v>
      </c>
      <c r="BK104">
        <v>44245.333934843235</v>
      </c>
      <c r="BL104">
        <v>18.463308540154951</v>
      </c>
      <c r="BM104">
        <v>38263.360618617124</v>
      </c>
      <c r="BN104">
        <v>21.238126242307224</v>
      </c>
      <c r="BO104">
        <v>44013.892824557493</v>
      </c>
      <c r="BP104">
        <v>17.395227134614217</v>
      </c>
      <c r="BQ104">
        <v>36049.868713774507</v>
      </c>
      <c r="BR104">
        <v>16.270316211464269</v>
      </c>
      <c r="BS104">
        <v>33718.603316638553</v>
      </c>
      <c r="BT104">
        <v>12.344679351223936</v>
      </c>
      <c r="BU104">
        <v>25583.113487476487</v>
      </c>
      <c r="BV104">
        <v>20.396050473368962</v>
      </c>
      <c r="BW104">
        <v>42268.775001009839</v>
      </c>
      <c r="BX104">
        <v>23.406749991726038</v>
      </c>
      <c r="BY104">
        <v>48508.14868285304</v>
      </c>
      <c r="BZ104">
        <v>14.312512662346615</v>
      </c>
      <c r="CA104">
        <v>29661.251241447128</v>
      </c>
      <c r="CB104">
        <v>23.079859661543026</v>
      </c>
      <c r="CC104">
        <v>47830.701162581769</v>
      </c>
      <c r="CD104">
        <v>15.446068850365986</v>
      </c>
      <c r="CE104">
        <v>32010.433085498469</v>
      </c>
      <c r="CF104">
        <v>14.453102220005295</v>
      </c>
      <c r="CG104">
        <v>29952.609040738975</v>
      </c>
      <c r="CH104">
        <v>17.470730687479683</v>
      </c>
      <c r="CI104">
        <v>36206.342276732896</v>
      </c>
      <c r="CJ104">
        <v>14.317365000370486</v>
      </c>
      <c r="CK104">
        <v>29671.307226767796</v>
      </c>
      <c r="CL104">
        <v>17.402160897153387</v>
      </c>
      <c r="CM104">
        <v>36064.238243260683</v>
      </c>
      <c r="CN104">
        <v>23.483562264786151</v>
      </c>
      <c r="CO104">
        <v>48667.334437542821</v>
      </c>
      <c r="CP104">
        <v>25.299467045510397</v>
      </c>
      <c r="CQ104">
        <v>52430.615505115748</v>
      </c>
      <c r="CR104">
        <v>21.485458052553621</v>
      </c>
      <c r="CS104">
        <v>44526.463268112129</v>
      </c>
      <c r="CT104">
        <v>17.342774893230327</v>
      </c>
      <c r="CU104">
        <v>35941.166688730533</v>
      </c>
    </row>
    <row r="105" spans="2:99" x14ac:dyDescent="0.2">
      <c r="C105" s="119" t="s">
        <v>271</v>
      </c>
      <c r="D105">
        <v>17.386399381419405</v>
      </c>
      <c r="E105">
        <v>34738.025964075969</v>
      </c>
      <c r="F105">
        <v>16.447244841337511</v>
      </c>
      <c r="G105">
        <v>32861.595192992347</v>
      </c>
      <c r="H105">
        <v>15</v>
      </c>
      <c r="I105">
        <v>29970</v>
      </c>
      <c r="J105">
        <v>16</v>
      </c>
      <c r="K105">
        <v>31968</v>
      </c>
      <c r="L105">
        <v>16.898087573766357</v>
      </c>
      <c r="M105">
        <v>33762.378972385181</v>
      </c>
      <c r="N105">
        <v>19.36860879297868</v>
      </c>
      <c r="O105">
        <v>38698.480368371405</v>
      </c>
      <c r="P105">
        <v>21.333827865809422</v>
      </c>
      <c r="Q105">
        <v>42624.988075887224</v>
      </c>
      <c r="R105">
        <v>14.261310675740203</v>
      </c>
      <c r="S105">
        <v>28494.098730128928</v>
      </c>
      <c r="T105">
        <v>19.365954629783658</v>
      </c>
      <c r="U105">
        <v>38693.177350307749</v>
      </c>
      <c r="V105">
        <v>14.289580599948902</v>
      </c>
      <c r="W105">
        <v>28550.582038697907</v>
      </c>
      <c r="X105">
        <v>20.474161690636276</v>
      </c>
      <c r="Y105">
        <v>40907.37505789128</v>
      </c>
      <c r="Z105">
        <v>21.489986445607155</v>
      </c>
      <c r="AA105">
        <v>42936.992918323092</v>
      </c>
      <c r="AB105">
        <v>13.350267647629215</v>
      </c>
      <c r="AC105">
        <v>26673.834759963171</v>
      </c>
      <c r="AD105">
        <v>18.432171866208915</v>
      </c>
      <c r="AE105">
        <v>36827.47938868541</v>
      </c>
      <c r="AF105">
        <v>19.556910438443417</v>
      </c>
      <c r="AG105">
        <v>39074.707056009946</v>
      </c>
      <c r="AH105">
        <v>13.314221194788399</v>
      </c>
      <c r="AI105">
        <v>26601.81394718722</v>
      </c>
      <c r="AJ105">
        <v>15.335098902707891</v>
      </c>
      <c r="AK105">
        <v>30639.527607610366</v>
      </c>
      <c r="AL105">
        <v>16</v>
      </c>
      <c r="AM105">
        <v>31968</v>
      </c>
      <c r="AN105">
        <v>13.685822235126539</v>
      </c>
      <c r="AO105">
        <v>27344.272825782824</v>
      </c>
      <c r="AP105">
        <v>14.336921554489367</v>
      </c>
      <c r="AQ105">
        <v>28645.169265869754</v>
      </c>
      <c r="AR105">
        <v>19.302943023561408</v>
      </c>
      <c r="AS105">
        <v>38567.280161075694</v>
      </c>
      <c r="AT105">
        <v>20.277886749263828</v>
      </c>
      <c r="AU105">
        <v>40515.217725029128</v>
      </c>
      <c r="AV105">
        <v>15.349804060433907</v>
      </c>
      <c r="AW105">
        <v>30668.908512746948</v>
      </c>
      <c r="AX105">
        <v>21.483307180212925</v>
      </c>
      <c r="AY105">
        <v>42923.647746065428</v>
      </c>
      <c r="AZ105">
        <v>19</v>
      </c>
      <c r="BA105">
        <v>37962</v>
      </c>
      <c r="BB105">
        <v>18.731999894838896</v>
      </c>
      <c r="BC105">
        <v>37426.535789888112</v>
      </c>
      <c r="BD105">
        <v>21.398801096969045</v>
      </c>
      <c r="BE105">
        <v>42754.804591744149</v>
      </c>
      <c r="BF105">
        <v>17.371193147471931</v>
      </c>
      <c r="BG105">
        <v>34707.643908648919</v>
      </c>
      <c r="BH105">
        <v>14.284929924365967</v>
      </c>
      <c r="BI105">
        <v>28541.289988883203</v>
      </c>
      <c r="BJ105">
        <v>23.320653722064414</v>
      </c>
      <c r="BK105">
        <v>46594.666136684697</v>
      </c>
      <c r="BL105">
        <v>16.517815427232005</v>
      </c>
      <c r="BM105">
        <v>33002.595223609547</v>
      </c>
      <c r="BN105">
        <v>21.264584713674694</v>
      </c>
      <c r="BO105">
        <v>42486.640257922038</v>
      </c>
      <c r="BP105">
        <v>20.421575610255164</v>
      </c>
      <c r="BQ105">
        <v>40802.308069289822</v>
      </c>
      <c r="BR105">
        <v>17.300351346071412</v>
      </c>
      <c r="BS105">
        <v>34566.101989450683</v>
      </c>
      <c r="BT105">
        <v>13.344679351223936</v>
      </c>
      <c r="BU105">
        <v>26662.669343745423</v>
      </c>
      <c r="BV105">
        <v>19.422453838260225</v>
      </c>
      <c r="BW105">
        <v>38806.062768843927</v>
      </c>
      <c r="BX105">
        <v>20.432171866208915</v>
      </c>
      <c r="BY105">
        <v>40823.47938868541</v>
      </c>
      <c r="BZ105">
        <v>13.288473226781489</v>
      </c>
      <c r="CA105">
        <v>26550.369507109415</v>
      </c>
      <c r="CB105">
        <v>24.096634675718075</v>
      </c>
      <c r="CC105">
        <v>48145.076082084714</v>
      </c>
      <c r="CD105">
        <v>15.524786882783514</v>
      </c>
      <c r="CE105">
        <v>31018.524191801462</v>
      </c>
      <c r="CF105">
        <v>15.426449148240279</v>
      </c>
      <c r="CG105">
        <v>30822.045398184076</v>
      </c>
      <c r="CH105">
        <v>18.470730687479683</v>
      </c>
      <c r="CI105">
        <v>36904.519913584409</v>
      </c>
      <c r="CJ105">
        <v>16.341777692706678</v>
      </c>
      <c r="CK105">
        <v>32650.871830027943</v>
      </c>
      <c r="CL105">
        <v>17.430886675521485</v>
      </c>
      <c r="CM105">
        <v>34826.911577691928</v>
      </c>
      <c r="CN105">
        <v>23.459384151546843</v>
      </c>
      <c r="CO105">
        <v>46871.849534790592</v>
      </c>
      <c r="CP105">
        <v>23.299467045510397</v>
      </c>
      <c r="CQ105">
        <v>46552.335156929774</v>
      </c>
      <c r="CR105">
        <v>22.45990762873501</v>
      </c>
      <c r="CS105">
        <v>44874.895442212553</v>
      </c>
      <c r="CT105">
        <v>17.318290972285304</v>
      </c>
      <c r="CU105">
        <v>34601.945362626037</v>
      </c>
    </row>
    <row r="107" spans="2:99" x14ac:dyDescent="0.2">
      <c r="B107" s="122" t="s">
        <v>276</v>
      </c>
    </row>
    <row r="108" spans="2:99" x14ac:dyDescent="0.2">
      <c r="C108" s="119" t="s">
        <v>277</v>
      </c>
      <c r="D108" s="119" t="s">
        <v>92</v>
      </c>
      <c r="E108" s="119" t="s">
        <v>93</v>
      </c>
      <c r="F108" s="119" t="s">
        <v>94</v>
      </c>
      <c r="G108" s="119" t="s">
        <v>95</v>
      </c>
      <c r="H108" s="119" t="s">
        <v>96</v>
      </c>
      <c r="I108" s="119" t="s">
        <v>97</v>
      </c>
      <c r="J108" s="119" t="s">
        <v>98</v>
      </c>
      <c r="K108" s="119" t="s">
        <v>99</v>
      </c>
      <c r="L108" s="119" t="s">
        <v>100</v>
      </c>
      <c r="M108" s="119" t="s">
        <v>101</v>
      </c>
      <c r="N108" s="119" t="s">
        <v>102</v>
      </c>
      <c r="O108" s="119" t="s">
        <v>103</v>
      </c>
    </row>
    <row r="109" spans="2:99" x14ac:dyDescent="0.2">
      <c r="C109" s="119" t="s">
        <v>126</v>
      </c>
      <c r="D109">
        <f>SUM(D$6:D$19)+SUM(F$6:F$19)+SUM(H$6:H$19)+SUM(J$6:J$19)</f>
        <v>1224.8256549269795</v>
      </c>
      <c r="E109">
        <f>SUM(L$6:L$19)+SUM(N$6:N$19)+SUM(P$6:P$19)+SUM(R$6:R$19)</f>
        <v>1070</v>
      </c>
      <c r="F109">
        <f>SUM(T$6:T$19)+SUM(V$6:V$19)+SUM(X$6:X$19)+SUM(Z$6:Z$19)</f>
        <v>1465</v>
      </c>
      <c r="G109">
        <f>SUM(AB$6:AB$19)+SUM(AD$6:AD$19)+SUM(AF$6:AF$19)+SUM(AH$6:AH$19)</f>
        <v>1129</v>
      </c>
      <c r="H109">
        <f>SUM(AJ$6:AJ$19)+SUM(AL$6:AL$19)+SUM(AN$6:AN$19)+SUM(AP$6:AP$19)</f>
        <v>1279</v>
      </c>
      <c r="I109">
        <f>SUM(AR$6:AR$19)+SUM(AT$6:AT$19)+SUM(AV$6:AV$19)+SUM(AX$6:AX$19)</f>
        <v>1344</v>
      </c>
      <c r="J109">
        <f>SUM(AZ$6:AZ$19)+SUM(BB$6:BB$19)+SUM(BD$6:BD$19)+SUM(BF$6:BF$19)</f>
        <v>1317</v>
      </c>
      <c r="K109">
        <f>SUM(BH$6:BH$19)+SUM(BJ$6:BJ$19)+SUM(BL$6:BL$19)+SUM(BN$6:BN$19)</f>
        <v>1557</v>
      </c>
      <c r="L109">
        <f>SUM(BP$6:BP$19)+SUM(BR$6:BR$19)+SUM(BT$6:BT$19)+SUM(BV$6:BV$19)</f>
        <v>1222</v>
      </c>
      <c r="M109">
        <f>SUM(BX$6:BX$19)+SUM(BZ$6:BZ$19)+SUM(CB$6:CB$19)+SUM(CD$6:CD$19)</f>
        <v>1533</v>
      </c>
      <c r="N109">
        <f>SUM(CF$6:CF$19)+SUM(CH$6:CH$19)+SUM(CJ$6:CJ$19)+SUM(CL$6:CL$19)</f>
        <v>1060</v>
      </c>
      <c r="O109">
        <f>SUM(CN$6:CN$19)+SUM(CP$6:CP$19)+SUM(CR$6:CR$19)+SUM(CT$6:CT$19)</f>
        <v>1359</v>
      </c>
    </row>
    <row r="110" spans="2:99" x14ac:dyDescent="0.2">
      <c r="C110" s="119" t="s">
        <v>127</v>
      </c>
      <c r="D110">
        <f>SUM(D$20:D$36)+SUM(F$20:F$36)+SUM(H$20:H$36)+SUM(J$20:J$36)</f>
        <v>859.18149111904074</v>
      </c>
      <c r="E110">
        <f>SUM(L$20:L$36)+SUM(N$20:N$36)+SUM(P$20:P$36)+SUM(R$20:R$36)</f>
        <v>931</v>
      </c>
      <c r="F110">
        <f>SUM(T$20:T$36)+SUM(V$20:V$36)+SUM(X$20:X$36)+SUM(Z$20:Z$36)</f>
        <v>995</v>
      </c>
      <c r="G110">
        <f>SUM(AB$20:AB$36)+SUM(AD$20:AD$36)+SUM(AF$20:AF$36)+SUM(AH$20:AH$36)</f>
        <v>1116</v>
      </c>
      <c r="H110">
        <f>SUM(AJ$20:AJ$36)+SUM(AL$20:AL$36)+SUM(AN$20:AN$36)+SUM(AP$20:AP$36)</f>
        <v>1108</v>
      </c>
      <c r="I110">
        <f>SUM(AR$20:AR$36)+SUM(AT$20:AT$36)+SUM(AV$20:AV$36)+SUM(AX$20:AX$36)</f>
        <v>847</v>
      </c>
      <c r="J110">
        <f>SUM(AZ$20:AZ$36)+SUM(BB$20:BB$36)+SUM(BD$20:BD$36)+SUM(BF$20:BF$36)</f>
        <v>915</v>
      </c>
      <c r="K110">
        <f>SUM(BH$20:BH$36)+SUM(BJ$20:BJ$36)+SUM(BL$20:BL$36)+SUM(BN$20:BN$36)</f>
        <v>1159</v>
      </c>
      <c r="L110">
        <f>SUM(BP$20:BP$36)+SUM(BR$20:BR$36)+SUM(BT$20:BT$36)+SUM(BV$20:BV$36)</f>
        <v>1003</v>
      </c>
      <c r="M110">
        <f>SUM(BX$20:BX$36)+SUM(BZ$20:BZ$36)+SUM(CB$20:CB$36)+SUM(CD$20:CD$36)</f>
        <v>1229</v>
      </c>
      <c r="N110">
        <f>SUM(CF$20:CF$36)+SUM(CH$20:CH$36)+SUM(CJ$20:CJ$36)+SUM(CL$20:CL$36)</f>
        <v>1380</v>
      </c>
      <c r="O110">
        <f>SUM(CN$20:CN$36)+SUM(CP$20:CP$36)+SUM(CR$20:CR$36)+SUM(CT$20:CT$36)</f>
        <v>1262</v>
      </c>
    </row>
    <row r="111" spans="2:99" x14ac:dyDescent="0.2">
      <c r="C111" s="119" t="s">
        <v>128</v>
      </c>
      <c r="D111">
        <f>SUM(D$37:D$48)+SUM(F$37:F$48)+SUM(H$37:H$48)+SUM(J$37:J$48)</f>
        <v>1330.0691778977025</v>
      </c>
      <c r="E111">
        <f>SUM(L$37:L$48)+SUM(N$37:N$48)+SUM(P$37:P$48)+SUM(R$37:R$48)</f>
        <v>1192</v>
      </c>
      <c r="F111">
        <f>SUM(T$37:T$48)+SUM(V$37:V$48)+SUM(X$37:X$48)+SUM(Z$37:Z$48)</f>
        <v>1324</v>
      </c>
      <c r="G111">
        <f>SUM(AB$37:AB$48)+SUM(AD$37:AD$48)+SUM(AF$37:AF$48)+SUM(AH$37:AH$48)</f>
        <v>1219</v>
      </c>
      <c r="H111">
        <f>SUM(AJ$37:AJ$48)+SUM(AL$37:AL$48)+SUM(AN$37:AN$48)+SUM(AP$37:AP$48)</f>
        <v>1313</v>
      </c>
      <c r="I111">
        <f>SUM(AR$37:AR$48)+SUM(AT$37:AT$48)+SUM(AV$37:AV$48)+SUM(AX$37:AX$48)</f>
        <v>1406</v>
      </c>
      <c r="J111">
        <f>SUM(AZ$37:AZ$48)+SUM(BB$37:BB$48)+SUM(BD$37:BD$48)+SUM(BF$37:BF$48)</f>
        <v>1491</v>
      </c>
      <c r="K111">
        <f>SUM(BH$37:BH$48)+SUM(BJ$37:BJ$48)+SUM(BL$37:BL$48)+SUM(BN$37:BN$48)</f>
        <v>1478</v>
      </c>
      <c r="L111">
        <f>SUM(BP$37:BP$48)+SUM(BR$37:BR$48)+SUM(BT$37:BT$48)+SUM(BV$37:BV$48)</f>
        <v>1420</v>
      </c>
      <c r="M111">
        <f>SUM(BX$37:BX$48)+SUM(BZ$37:BZ$48)+SUM(CB$37:CB$48)+SUM(CD$37:CD$48)</f>
        <v>1161</v>
      </c>
      <c r="N111">
        <f>SUM(CF$37:CF$48)+SUM(CH$37:CH$48)+SUM(CJ$37:CJ$48)+SUM(CL$37:CL$48)</f>
        <v>1583</v>
      </c>
      <c r="O111">
        <f>SUM(CN$37:CN$48)+SUM(CP$37:CP$48)+SUM(CR$37:CR$48)+SUM(CT$37:CT$48)</f>
        <v>1366</v>
      </c>
    </row>
    <row r="112" spans="2:99" x14ac:dyDescent="0.2">
      <c r="C112" s="119" t="s">
        <v>129</v>
      </c>
      <c r="D112">
        <f>SUM(D$49:D$70)+SUM(F$49:F$70)+SUM(H$49:H$70)+SUM(J$49:J$70)</f>
        <v>1170.1505572551227</v>
      </c>
      <c r="E112">
        <f>SUM(L$49:L$70)+SUM(N$49:N$70)+SUM(P$49:P$70)+SUM(R$49:R$70)</f>
        <v>1451.0737913819223</v>
      </c>
      <c r="F112">
        <f>SUM(T$49:T$70)+SUM(V$49:V$70)+SUM(X$49:X$70)+SUM(Z$49:Z$70)</f>
        <v>1199.6622207074747</v>
      </c>
      <c r="G112">
        <f>SUM(AB$49:AB$70)+SUM(AD$49:AD$70)+SUM(AF$49:AF$70)+SUM(AH$49:AH$70)</f>
        <v>1475.3640752363904</v>
      </c>
      <c r="H112">
        <f>SUM(AJ$49:AJ$70)+SUM(AL$49:AL$70)+SUM(AN$49:AN$70)+SUM(AP$49:AP$70)</f>
        <v>1273.8325855181292</v>
      </c>
      <c r="I112">
        <f>SUM(AR$49:AR$70)+SUM(AT$49:AT$70)+SUM(AV$49:AV$70)+SUM(AX$49:AX$70)</f>
        <v>1468.9185663658213</v>
      </c>
      <c r="J112">
        <f>SUM(AZ$49:AZ$70)+SUM(BB$49:BB$70)+SUM(BD$49:BD$70)+SUM(BF$49:BF$70)</f>
        <v>1109.2694823936981</v>
      </c>
      <c r="K112">
        <f>SUM(BH$49:BH$70)+SUM(BJ$49:BJ$70)+SUM(BL$49:BL$70)+SUM(BN$49:BN$70)</f>
        <v>1349.0891009212946</v>
      </c>
      <c r="L112">
        <f>SUM(BP$49:BP$70)+SUM(BR$49:BR$70)+SUM(BT$49:BT$70)+SUM(BV$49:BV$70)</f>
        <v>1131.3726130139244</v>
      </c>
      <c r="M112">
        <f>SUM(BX$49:BX$70)+SUM(BZ$49:BZ$70)+SUM(CB$49:CB$70)+SUM(CD$49:CD$70)</f>
        <v>1125.9548125039662</v>
      </c>
      <c r="N112">
        <f>SUM(CF$49:CF$70)+SUM(CH$49:CH$70)+SUM(CJ$49:CJ$70)+SUM(CL$49:CL$70)</f>
        <v>1276.0686982076452</v>
      </c>
      <c r="O112">
        <f>SUM(CN$49:CN$70)+SUM(CP$49:CP$70)+SUM(CR$49:CR$70)+SUM(CT$49:CT$70)</f>
        <v>1157.1285470144712</v>
      </c>
    </row>
    <row r="113" spans="2:15" x14ac:dyDescent="0.2">
      <c r="C113" s="119" t="s">
        <v>130</v>
      </c>
      <c r="D113">
        <f>SUM(D$71:D$86)+SUM(F$71:F$86)+SUM(H$71:H$86)+SUM(J$71:J$86)</f>
        <v>1128.402423380425</v>
      </c>
      <c r="E113">
        <f>SUM(L$71:L$86)+SUM(N$71:N$86)+SUM(P$71:P$86)+SUM(R$71:R$86)</f>
        <v>1194.51608192873</v>
      </c>
      <c r="F113">
        <f>SUM(T$71:T$86)+SUM(V$71:V$86)+SUM(X$71:X$86)+SUM(Z$71:Z$86)</f>
        <v>1286.3611999694958</v>
      </c>
      <c r="G113">
        <f>SUM(AB$71:AB$86)+SUM(AD$71:AD$86)+SUM(AF$71:AF$86)+SUM(AH$71:AH$86)</f>
        <v>1160.6452048313167</v>
      </c>
      <c r="H113">
        <f>SUM(AJ$71:AJ$86)+SUM(AL$71:AL$86)+SUM(AN$71:AN$86)+SUM(AP$71:AP$86)</f>
        <v>1151.7110396237119</v>
      </c>
      <c r="I113">
        <f>SUM(AR$71:AR$86)+SUM(AT$71:AT$86)+SUM(AV$71:AV$86)+SUM(AX$71:AX$86)</f>
        <v>1511.9582732305387</v>
      </c>
      <c r="J113">
        <f>SUM(AZ$71:AZ$86)+SUM(BB$71:BB$86)+SUM(BD$71:BD$86)+SUM(BF$71:BF$86)</f>
        <v>1356.5177191533669</v>
      </c>
      <c r="K113">
        <f>SUM(BH$71:BH$86)+SUM(BJ$71:BJ$86)+SUM(BL$71:BL$86)+SUM(BN$71:BN$86)</f>
        <v>1370.1456628385665</v>
      </c>
      <c r="L113">
        <f>SUM(BP$71:BP$86)+SUM(BR$71:BR$86)+SUM(BT$71:BT$86)+SUM(BV$71:BV$86)</f>
        <v>1320.7987384276323</v>
      </c>
      <c r="M113">
        <f>SUM(BX$71:BX$86)+SUM(BZ$71:BZ$86)+SUM(CB$71:CB$86)+SUM(CD$71:CD$86)</f>
        <v>1471.7467809338989</v>
      </c>
      <c r="N113">
        <f>SUM(CF$71:CF$86)+SUM(CH$71:CH$86)+SUM(CJ$71:CJ$86)+SUM(CL$71:CL$86)</f>
        <v>1166.0565257527662</v>
      </c>
      <c r="O113">
        <f>SUM(CN$71:CN$86)+SUM(CP$71:CP$86)+SUM(CR$71:CR$86)+SUM(CT$71:CT$86)</f>
        <v>1149.3704817675682</v>
      </c>
    </row>
    <row r="114" spans="2:15" x14ac:dyDescent="0.2">
      <c r="C114" s="119" t="s">
        <v>131</v>
      </c>
      <c r="D114">
        <f>SUM(D$87:D$94)+SUM(F$87:F$94)+SUM(H$87:H$94)+SUM(J$87:J$94)</f>
        <v>464.49438421325544</v>
      </c>
      <c r="E114">
        <f>SUM(L$87:L$94)+SUM(N$87:N$94)+SUM(P$87:P$94)+SUM(R$87:R$94)</f>
        <v>493.55618190645453</v>
      </c>
      <c r="F114">
        <f>SUM(T$87:T$94)+SUM(V$87:V$94)+SUM(X$87:X$94)+SUM(Z$87:Z$94)</f>
        <v>428.7909534726943</v>
      </c>
      <c r="G114">
        <f>SUM(AB$87:AB$94)+SUM(AD$87:AD$94)+SUM(AF$87:AF$94)+SUM(AH$87:AH$94)</f>
        <v>446.43246595438433</v>
      </c>
      <c r="H114">
        <f>SUM(AJ$87:AJ$94)+SUM(AL$87:AL$94)+SUM(AN$87:AN$94)+SUM(AP$87:AP$94)</f>
        <v>468.60619528257445</v>
      </c>
      <c r="I114">
        <f>SUM(AR$87:AR$94)+SUM(AT$87:AT$94)+SUM(AV$87:AV$94)+SUM(AX$87:AX$94)</f>
        <v>516.58302009649231</v>
      </c>
      <c r="J114">
        <f>SUM(AZ$87:AZ$94)+SUM(BB$87:BB$94)+SUM(BD$87:BD$94)+SUM(BF$87:BF$94)</f>
        <v>466.35830140809156</v>
      </c>
      <c r="K114">
        <f>SUM(BH$87:BH$94)+SUM(BJ$87:BJ$94)+SUM(BL$87:BL$94)+SUM(BN$87:BN$94)</f>
        <v>473.89672953452396</v>
      </c>
      <c r="L114">
        <f>SUM(BP$87:BP$94)+SUM(BR$87:BR$94)+SUM(BT$87:BT$94)+SUM(BV$87:BV$94)</f>
        <v>590.71463851481269</v>
      </c>
      <c r="M114">
        <f>SUM(BX$87:BX$94)+SUM(BZ$87:BZ$94)+SUM(CB$87:CB$94)+SUM(CD$87:CD$94)</f>
        <v>551.56484453102428</v>
      </c>
      <c r="N114">
        <f>SUM(CF$87:CF$94)+SUM(CH$87:CH$94)+SUM(CJ$87:CJ$94)+SUM(CL$87:CL$94)</f>
        <v>561.01301739631504</v>
      </c>
      <c r="O114">
        <f>SUM(CN$87:CN$94)+SUM(CP$87:CP$94)+SUM(CR$87:CR$94)+SUM(CT$87:CT$94)</f>
        <v>577.71924775197499</v>
      </c>
    </row>
    <row r="115" spans="2:15" x14ac:dyDescent="0.2">
      <c r="C115" s="119" t="s">
        <v>132</v>
      </c>
      <c r="D115">
        <f>SUM(D$95:D$105)+SUM(F$95:F$105)+SUM(H$95:H$105)+SUM(J$95:J$105)</f>
        <v>742.24048845247478</v>
      </c>
      <c r="E115">
        <f>SUM(L$95:L$105)+SUM(N$95:N$105)+SUM(P$95:P$105)+SUM(R$95:R$105)</f>
        <v>826.37270742017006</v>
      </c>
      <c r="F115">
        <f>SUM(T$95:T$105)+SUM(V$95:V$105)+SUM(X$95:X$105)+SUM(Z$95:Z$105)</f>
        <v>829.9786576348564</v>
      </c>
      <c r="G115">
        <f>SUM(AB$95:AB$105)+SUM(AD$95:AD$105)+SUM(AF$95:AF$105)+SUM(AH$95:AH$105)</f>
        <v>717.10633257393283</v>
      </c>
      <c r="H115">
        <f>SUM(AJ$95:AJ$105)+SUM(AL$95:AL$105)+SUM(AN$95:AN$105)+SUM(AP$95:AP$105)</f>
        <v>649.49126638421512</v>
      </c>
      <c r="I115">
        <f>SUM(AR$95:AR$105)+SUM(AT$95:AT$105)+SUM(AV$95:AV$105)+SUM(AX$95:AX$105)</f>
        <v>841.83002541417545</v>
      </c>
      <c r="J115">
        <f>SUM(AZ$95:AZ$105)+SUM(BB$95:BB$105)+SUM(BD$95:BD$105)+SUM(BF$95:BF$105)</f>
        <v>907.38491598247651</v>
      </c>
      <c r="K115">
        <f>SUM(BH$95:BH$105)+SUM(BJ$95:BJ$105)+SUM(BL$95:BL$105)+SUM(BN$95:BN$105)</f>
        <v>847.25214628997742</v>
      </c>
      <c r="L115">
        <f>SUM(BP$95:BP$105)+SUM(BR$95:BR$105)+SUM(BT$95:BT$105)+SUM(BV$95:BV$105)</f>
        <v>758.01974428579126</v>
      </c>
      <c r="M115">
        <f>SUM(BX$95:BX$105)+SUM(BZ$95:BZ$105)+SUM(CB$95:CB$105)+SUM(CD$95:CD$105)</f>
        <v>840.41291701070838</v>
      </c>
      <c r="N115">
        <f>SUM(CF$95:CF$105)+SUM(CH$95:CH$105)+SUM(CJ$95:CJ$105)+SUM(CL$95:CL$105)</f>
        <v>768.39037128038103</v>
      </c>
      <c r="O115">
        <f>SUM(CN$95:CN$105)+SUM(CP$95:CP$105)+SUM(CR$95:CR$105)+SUM(CT$95:CT$105)</f>
        <v>940.09732770144797</v>
      </c>
    </row>
    <row r="116" spans="2:15" x14ac:dyDescent="0.2">
      <c r="C116" s="119" t="s">
        <v>278</v>
      </c>
      <c r="D116">
        <f t="shared" ref="D116:O116" si="0">SUM(D$109:D$115)</f>
        <v>6919.3641772450001</v>
      </c>
      <c r="E116">
        <f t="shared" si="0"/>
        <v>7158.5187626372763</v>
      </c>
      <c r="F116">
        <f t="shared" si="0"/>
        <v>7528.7930317845203</v>
      </c>
      <c r="G116">
        <f t="shared" si="0"/>
        <v>7263.5480785960244</v>
      </c>
      <c r="H116">
        <f t="shared" si="0"/>
        <v>7243.6410868086314</v>
      </c>
      <c r="I116">
        <f t="shared" si="0"/>
        <v>7936.2898851070277</v>
      </c>
      <c r="J116">
        <f t="shared" si="0"/>
        <v>7562.5304189376329</v>
      </c>
      <c r="K116">
        <f t="shared" si="0"/>
        <v>8234.3836395843628</v>
      </c>
      <c r="L116">
        <f t="shared" si="0"/>
        <v>7445.9057342421602</v>
      </c>
      <c r="M116">
        <f t="shared" si="0"/>
        <v>7912.6793549795975</v>
      </c>
      <c r="N116">
        <f t="shared" si="0"/>
        <v>7794.5286126371075</v>
      </c>
      <c r="O116">
        <f t="shared" si="0"/>
        <v>7811.3156042354622</v>
      </c>
    </row>
    <row r="118" spans="2:15" x14ac:dyDescent="0.2">
      <c r="B118" s="121" t="s">
        <v>279</v>
      </c>
    </row>
    <row r="119" spans="2:15" x14ac:dyDescent="0.2">
      <c r="C119" s="119" t="s">
        <v>277</v>
      </c>
      <c r="D119" s="119" t="s">
        <v>92</v>
      </c>
      <c r="E119" s="119" t="s">
        <v>93</v>
      </c>
      <c r="F119" s="119" t="s">
        <v>94</v>
      </c>
      <c r="G119" s="119" t="s">
        <v>95</v>
      </c>
      <c r="H119" s="119" t="s">
        <v>96</v>
      </c>
      <c r="I119" s="119" t="s">
        <v>97</v>
      </c>
      <c r="J119" s="119" t="s">
        <v>98</v>
      </c>
      <c r="K119" s="119" t="s">
        <v>99</v>
      </c>
      <c r="L119" s="119" t="s">
        <v>100</v>
      </c>
      <c r="M119" s="119" t="s">
        <v>101</v>
      </c>
      <c r="N119" s="119" t="s">
        <v>102</v>
      </c>
      <c r="O119" s="119" t="s">
        <v>103</v>
      </c>
    </row>
    <row r="120" spans="2:15" x14ac:dyDescent="0.2">
      <c r="C120" s="119" t="s">
        <v>126</v>
      </c>
      <c r="D120">
        <f>D109*pricing!D33*2000</f>
        <v>4451633.6940165758</v>
      </c>
      <c r="E120">
        <f>E109*pricing!E33*2000</f>
        <v>3888919.2379642855</v>
      </c>
      <c r="F120">
        <f>F109*pricing!F33*2000</f>
        <v>5324548.3024464287</v>
      </c>
      <c r="G120">
        <f>G109*pricing!G33*2000</f>
        <v>4103354.9716464286</v>
      </c>
      <c r="H120">
        <f>H109*pricing!H33*2000</f>
        <v>4648530.5657535708</v>
      </c>
      <c r="I120">
        <f>I109*pricing!I33*2000</f>
        <v>4884773.3232000005</v>
      </c>
      <c r="J120">
        <f>J109*pricing!J33*2000</f>
        <v>4786641.7162607145</v>
      </c>
      <c r="K120">
        <f>K109*pricing!K33*2000</f>
        <v>5658922.6668321425</v>
      </c>
      <c r="L120">
        <f>L109*pricing!L33*2000</f>
        <v>4441363.8399928566</v>
      </c>
      <c r="M120">
        <f>M109*pricing!M33*2000</f>
        <v>5571694.5717749996</v>
      </c>
      <c r="N120">
        <f>N109*pricing!N33*2000</f>
        <v>3852574.1983571425</v>
      </c>
      <c r="O120">
        <f>O109*pricing!O33*2000</f>
        <v>4939290.8826107141</v>
      </c>
    </row>
    <row r="121" spans="2:15" x14ac:dyDescent="0.2">
      <c r="C121" s="119" t="s">
        <v>127</v>
      </c>
      <c r="D121">
        <f>D110*pricing!D34*2000</f>
        <v>3372634.2901283489</v>
      </c>
      <c r="E121">
        <f>E110*pricing!E34*2000</f>
        <v>3654550.9378</v>
      </c>
      <c r="F121">
        <f>F110*pricing!F34*2000</f>
        <v>3905776.781</v>
      </c>
      <c r="G121">
        <f>G110*pricing!G34*2000</f>
        <v>4380750.6408000002</v>
      </c>
      <c r="H121">
        <f>H110*pricing!H34*2000</f>
        <v>4349347.4104000004</v>
      </c>
      <c r="I121">
        <f>I110*pricing!I34*2000</f>
        <v>3324817.0186000001</v>
      </c>
      <c r="J121">
        <f>J110*pricing!J34*2000</f>
        <v>3591744.477</v>
      </c>
      <c r="K121">
        <f>K110*pricing!K34*2000</f>
        <v>4549543.0041999994</v>
      </c>
      <c r="L121">
        <f>L110*pricing!L34*2000</f>
        <v>3937180.0114000002</v>
      </c>
      <c r="M121">
        <f>M110*pricing!M34*2000</f>
        <v>4824321.2702000001</v>
      </c>
      <c r="N121">
        <f>N110*pricing!N34*2000</f>
        <v>5417057.2440000009</v>
      </c>
      <c r="O121">
        <f>O110*pricing!O34*2000</f>
        <v>4953859.5955999997</v>
      </c>
    </row>
    <row r="122" spans="2:15" x14ac:dyDescent="0.2">
      <c r="C122" s="119" t="s">
        <v>128</v>
      </c>
      <c r="D122">
        <f>D111*pricing!D35*2000</f>
        <v>4943602.2121752966</v>
      </c>
      <c r="E122">
        <f>E111*pricing!E35*2000</f>
        <v>4430426.578433333</v>
      </c>
      <c r="F122">
        <f>F111*pricing!F35*2000</f>
        <v>4921044.2867833329</v>
      </c>
      <c r="G122">
        <f>G111*pricing!G35*2000</f>
        <v>4530780.2005958324</v>
      </c>
      <c r="H122">
        <f>H111*pricing!H35*2000</f>
        <v>4880159.4777541663</v>
      </c>
      <c r="I122">
        <f>I111*pricing!I35*2000</f>
        <v>5225821.9540916663</v>
      </c>
      <c r="J122">
        <f>J111*pricing!J35*2000</f>
        <v>5541750.0238624997</v>
      </c>
      <c r="K122">
        <f>K111*pricing!K35*2000</f>
        <v>5493431.6131916661</v>
      </c>
      <c r="L122">
        <f>L111*pricing!L35*2000</f>
        <v>5277857.165583333</v>
      </c>
      <c r="M122">
        <f>M111*pricing!M35*2000</f>
        <v>4315205.7529874993</v>
      </c>
      <c r="N122">
        <f>N111*pricing!N35*2000</f>
        <v>5883695.6993791666</v>
      </c>
      <c r="O122">
        <f>O111*pricing!O35*2000</f>
        <v>5077149.9212583331</v>
      </c>
    </row>
    <row r="123" spans="2:15" x14ac:dyDescent="0.2">
      <c r="C123" s="119" t="s">
        <v>129</v>
      </c>
      <c r="D123">
        <f>D112*pricing!D36*2000</f>
        <v>5009605.3153603747</v>
      </c>
      <c r="E123">
        <f>E112*pricing!E36*2000</f>
        <v>6212283.4819982182</v>
      </c>
      <c r="F123">
        <f>F112*pricing!F36*2000</f>
        <v>5135949.5581412595</v>
      </c>
      <c r="G123">
        <f>G112*pricing!G36*2000</f>
        <v>6316274.1474339524</v>
      </c>
      <c r="H123">
        <f>H112*pricing!H36*2000</f>
        <v>5453484.9825308081</v>
      </c>
      <c r="I123">
        <f>I112*pricing!I36*2000</f>
        <v>6288679.8730920693</v>
      </c>
      <c r="J123">
        <f>J112*pricing!J36*2000</f>
        <v>4748963.5079111904</v>
      </c>
      <c r="K123">
        <f>K112*pricing!K36*2000</f>
        <v>5775670.3946914086</v>
      </c>
      <c r="L123">
        <f>L112*pricing!L36*2000</f>
        <v>4843590.6137606548</v>
      </c>
      <c r="M123">
        <f>M112*pricing!M36*2000</f>
        <v>4820396.1264667157</v>
      </c>
      <c r="N123">
        <f>N112*pricing!N36*2000</f>
        <v>5463058.1455273908</v>
      </c>
      <c r="O123">
        <f>O112*pricing!O36*2000</f>
        <v>4953855.9664293537</v>
      </c>
    </row>
    <row r="124" spans="2:15" x14ac:dyDescent="0.2">
      <c r="C124" s="119" t="s">
        <v>130</v>
      </c>
      <c r="D124">
        <f>D113*pricing!D37*2000</f>
        <v>4039095.5849403683</v>
      </c>
      <c r="E124">
        <f>E113*pricing!E37*2000</f>
        <v>4275748.2017849218</v>
      </c>
      <c r="F124">
        <f>F113*pricing!F37*2000</f>
        <v>4604506.1015290944</v>
      </c>
      <c r="G124">
        <f>G113*pricing!G37*2000</f>
        <v>4154508.0242493432</v>
      </c>
      <c r="H124">
        <f>H113*pricing!H37*2000</f>
        <v>4122528.345282455</v>
      </c>
      <c r="I124">
        <f>I113*pricing!I37*2000</f>
        <v>5412026.6489011794</v>
      </c>
      <c r="J124">
        <f>J113*pricing!J37*2000</f>
        <v>4855630.0631752005</v>
      </c>
      <c r="K124">
        <f>K113*pricing!K37*2000</f>
        <v>4904411.0353090642</v>
      </c>
      <c r="L124">
        <f>L113*pricing!L37*2000</f>
        <v>4727774.6329150638</v>
      </c>
      <c r="M124">
        <f>M113*pricing!M37*2000</f>
        <v>5268090.356640608</v>
      </c>
      <c r="N124">
        <f>N113*pricing!N37*2000</f>
        <v>4173877.7473105928</v>
      </c>
      <c r="O124">
        <f>O113*pricing!O37*2000</f>
        <v>4114150.3617659663</v>
      </c>
    </row>
    <row r="125" spans="2:15" x14ac:dyDescent="0.2">
      <c r="C125" s="119" t="s">
        <v>131</v>
      </c>
      <c r="D125">
        <f>D114*pricing!D38*2000</f>
        <v>1811259.5713250926</v>
      </c>
      <c r="E125">
        <f>E114*pricing!E38*2000</f>
        <v>1924583.7815216864</v>
      </c>
      <c r="F125">
        <f>F114*pricing!F38*2000</f>
        <v>1672036.8318133617</v>
      </c>
      <c r="G125">
        <f>G114*pricing!G38*2000</f>
        <v>1740828.5318233278</v>
      </c>
      <c r="H125">
        <f>H114*pricing!H38*2000</f>
        <v>1827293.2574317588</v>
      </c>
      <c r="I125">
        <f>I114*pricing!I38*2000</f>
        <v>2014375.1385037582</v>
      </c>
      <c r="J125">
        <f>J114*pricing!J38*2000</f>
        <v>1818527.7708427736</v>
      </c>
      <c r="K125">
        <f>K114*pricing!K38*2000</f>
        <v>1847923.2825234449</v>
      </c>
      <c r="L125">
        <f>L114*pricing!L38*2000</f>
        <v>2303445.5943832775</v>
      </c>
      <c r="M125">
        <f>M114*pricing!M38*2000</f>
        <v>2150784.0305870911</v>
      </c>
      <c r="N125">
        <f>N114*pricing!N38*2000</f>
        <v>2187626.4427139405</v>
      </c>
      <c r="O125">
        <f>O114*pricing!O38*2000</f>
        <v>2252771.0831248318</v>
      </c>
    </row>
    <row r="126" spans="2:15" x14ac:dyDescent="0.2">
      <c r="C126" s="119" t="s">
        <v>132</v>
      </c>
      <c r="D126">
        <f>D115*pricing!D39*2000</f>
        <v>2950535.3798388545</v>
      </c>
      <c r="E126">
        <f>E115*pricing!E39*2000</f>
        <v>3284975.6219308604</v>
      </c>
      <c r="F126">
        <f>F115*pricing!F39*2000</f>
        <v>3299309.9028706569</v>
      </c>
      <c r="G126">
        <f>G115*pricing!G39*2000</f>
        <v>2850622.7271127277</v>
      </c>
      <c r="H126">
        <f>H115*pricing!H39*2000</f>
        <v>2581841.0477154553</v>
      </c>
      <c r="I126">
        <f>I115*pricing!I39*2000</f>
        <v>3346421.1565362564</v>
      </c>
      <c r="J126">
        <f>J115*pricing!J39*2000</f>
        <v>3607013.2785673649</v>
      </c>
      <c r="K126">
        <f>K115*pricing!K39*2000</f>
        <v>3367975.0325733502</v>
      </c>
      <c r="L126">
        <f>L115*pricing!L39*2000</f>
        <v>3013260.673497784</v>
      </c>
      <c r="M126">
        <f>M115*pricing!M39*2000</f>
        <v>3340787.9035049994</v>
      </c>
      <c r="N126">
        <f>N115*pricing!N39*2000</f>
        <v>3054485.7243198506</v>
      </c>
      <c r="O126">
        <f>O115*pricing!O39*2000</f>
        <v>3737050.8198202234</v>
      </c>
    </row>
    <row r="127" spans="2:15" x14ac:dyDescent="0.2">
      <c r="C127" s="119" t="s">
        <v>278</v>
      </c>
      <c r="D127">
        <f>SUM(D$120:D$126)</f>
        <v>26578366.04778491</v>
      </c>
      <c r="E127">
        <f t="shared" ref="E127:O127" si="1">SUM(E$120:E$126)</f>
        <v>27671487.841433302</v>
      </c>
      <c r="F127">
        <f t="shared" si="1"/>
        <v>28863171.764584132</v>
      </c>
      <c r="G127">
        <f t="shared" si="1"/>
        <v>28077119.243661616</v>
      </c>
      <c r="H127">
        <f t="shared" si="1"/>
        <v>27863185.086868215</v>
      </c>
      <c r="I127">
        <f t="shared" si="1"/>
        <v>30496915.11292493</v>
      </c>
      <c r="J127">
        <f t="shared" si="1"/>
        <v>28950270.837619744</v>
      </c>
      <c r="K127">
        <f t="shared" si="1"/>
        <v>31597877.029321078</v>
      </c>
      <c r="L127">
        <f t="shared" si="1"/>
        <v>28544472.531532969</v>
      </c>
      <c r="M127">
        <f t="shared" si="1"/>
        <v>30291280.012161911</v>
      </c>
      <c r="N127">
        <f t="shared" si="1"/>
        <v>30032375.20160808</v>
      </c>
      <c r="O127">
        <f t="shared" si="1"/>
        <v>30028128.630609423</v>
      </c>
    </row>
    <row r="129" spans="2:15" x14ac:dyDescent="0.2">
      <c r="B129" s="121" t="s">
        <v>280</v>
      </c>
    </row>
    <row r="130" spans="2:15" x14ac:dyDescent="0.2">
      <c r="C130" s="123" t="s">
        <v>277</v>
      </c>
      <c r="D130" s="123" t="s">
        <v>92</v>
      </c>
      <c r="E130" s="123" t="s">
        <v>93</v>
      </c>
      <c r="F130" s="123" t="s">
        <v>94</v>
      </c>
      <c r="G130" s="123" t="s">
        <v>95</v>
      </c>
      <c r="H130" s="123" t="s">
        <v>96</v>
      </c>
      <c r="I130" s="123" t="s">
        <v>97</v>
      </c>
      <c r="J130" s="123" t="s">
        <v>98</v>
      </c>
      <c r="K130" s="123" t="s">
        <v>99</v>
      </c>
      <c r="L130" s="123" t="s">
        <v>100</v>
      </c>
      <c r="M130" s="123" t="s">
        <v>101</v>
      </c>
      <c r="N130" s="123" t="s">
        <v>102</v>
      </c>
      <c r="O130" s="123" t="s">
        <v>103</v>
      </c>
    </row>
    <row r="131" spans="2:15" x14ac:dyDescent="0.2">
      <c r="C131" s="123" t="s">
        <v>126</v>
      </c>
      <c r="D131" s="124">
        <f>SUM(E$6:E$19)+SUM(G$6:G$19)+SUM(I$6:I$19)+SUM(K$6:K$19)</f>
        <v>613731.58513422601</v>
      </c>
      <c r="E131" s="124">
        <f>SUM(M$6:M$19)+SUM(O$6:O$19)+SUM(Q$6:Q$19)+SUM(S$6:S$19)</f>
        <v>539143.19999999995</v>
      </c>
      <c r="F131" s="124">
        <f>SUM(U$6:U$19)+SUM(W$6:W$19)+SUM(Y$6:Y$19)+SUM(AA$6:AA$19)</f>
        <v>737522.39999999991</v>
      </c>
      <c r="G131" s="124">
        <f>SUM(AC$6:AC$19)+SUM(AE$6:AE$19)+SUM(AG$6:AG$19)+SUM(AI$6:AI$19)</f>
        <v>569802</v>
      </c>
      <c r="H131" s="124">
        <f>SUM(AK$6:AK$19)+SUM(AM$6:AM$19)+SUM(AO$6:AO$19)+SUM(AQ$6:AQ$19)</f>
        <v>643818</v>
      </c>
      <c r="I131" s="124">
        <f>SUM(AS$6:AS$19)+SUM(AU$6:AU$19)+SUM(AW$6:AW$19)+SUM(AY$6:AY$19)</f>
        <v>674805.6</v>
      </c>
      <c r="J131" s="124">
        <f>SUM(BA$6:BA$19)+SUM(BC$6:BC$19)+SUM(BE$6:BE$19)+SUM(BG$6:BG$19)</f>
        <v>663201.6</v>
      </c>
      <c r="K131" s="124">
        <f>SUM(BI$6:BI$19)+SUM(BK$6:BK$19)+SUM(BM$6:BM$19)+SUM(BO$6:BO$19)</f>
        <v>782696.39999999991</v>
      </c>
      <c r="L131" s="124">
        <f>SUM(BQ$6:BQ$19)+SUM(BS$6:BS$19)+SUM(BU$6:BU$19)+SUM(BW$6:BW$19)</f>
        <v>611560.79999999993</v>
      </c>
      <c r="M131" s="124">
        <f>SUM(BY$6:BY$19)+SUM(CA$6:CA$19)+SUM(CC$6:CC$19)+SUM(CE$6:CE$19)</f>
        <v>771760.79999999993</v>
      </c>
      <c r="N131" s="124">
        <f>SUM(CG$6:CG$19)+SUM(CI$6:CI$19)+SUM(CK$6:CK$19)+SUM(CM$6:CM$19)</f>
        <v>531926.39999999991</v>
      </c>
      <c r="O131" s="124">
        <f>SUM(CO$6:CO$19)+SUM(CQ$6:CQ$19)+SUM(CS$6:CS$19)+SUM(CU$6:CU$19)</f>
        <v>680922</v>
      </c>
    </row>
    <row r="132" spans="2:15" x14ac:dyDescent="0.2">
      <c r="C132" s="123" t="s">
        <v>127</v>
      </c>
      <c r="D132" s="124">
        <f>SUM(E$20:E$36)+SUM(G$20:G$36)+SUM(I$20:I$36)+SUM(K$20:K$36)</f>
        <v>366708.20737843984</v>
      </c>
      <c r="E132" s="124">
        <f>SUM(M$20:M$36)+SUM(O$20:O$36)+SUM(Q$20:Q$36)+SUM(S$20:S$36)</f>
        <v>395011.2</v>
      </c>
      <c r="F132" s="124">
        <f>SUM(U$20:U$36)+SUM(W$20:W$36)+SUM(Y$20:Y$36)+SUM(AA$20:AA$36)</f>
        <v>419812.8</v>
      </c>
      <c r="G132" s="124">
        <f>SUM(AC$20:AC$36)+SUM(AE$20:AE$36)+SUM(AG$20:AG$36)+SUM(AI$20:AI$36)</f>
        <v>473676</v>
      </c>
      <c r="H132" s="124">
        <f>SUM(AK$20:AK$36)+SUM(AM$20:AM$36)+SUM(AO$20:AO$36)+SUM(AQ$20:AQ$36)</f>
        <v>470767.19999999995</v>
      </c>
      <c r="I132" s="124">
        <f>SUM(AS$20:AS$36)+SUM(AU$20:AU$36)+SUM(AW$20:AW$36)+SUM(AY$20:AY$36)</f>
        <v>361815.6</v>
      </c>
      <c r="J132" s="124">
        <f>SUM(BA$20:BA$36)+SUM(BC$20:BC$36)+SUM(BE$20:BE$36)+SUM(BG$20:BG$36)</f>
        <v>388376.39999999997</v>
      </c>
      <c r="K132" s="124">
        <f>SUM(BI$20:BI$36)+SUM(BK$20:BK$36)+SUM(BM$20:BM$36)+SUM(BO$20:BO$36)</f>
        <v>494966.40000000008</v>
      </c>
      <c r="L132" s="124">
        <f>SUM(BQ$20:BQ$36)+SUM(BS$20:BS$36)+SUM(BU$20:BU$36)+SUM(BW$20:BW$36)</f>
        <v>426097.19999999995</v>
      </c>
      <c r="M132" s="124">
        <f>SUM(BY$20:BY$36)+SUM(CA$20:CA$36)+SUM(CC$20:CC$36)+SUM(CE$20:CE$36)</f>
        <v>522574.8</v>
      </c>
      <c r="N132" s="124">
        <f>SUM(CG$20:CG$36)+SUM(CI$20:CI$36)+SUM(CK$20:CK$36)+SUM(CM$20:CM$36)</f>
        <v>586918.80000000005</v>
      </c>
      <c r="O132" s="124">
        <f>SUM(CO$20:CO$36)+SUM(CQ$20:CQ$36)+SUM(CS$20:CS$36)+SUM(CU$20:CU$36)</f>
        <v>535092</v>
      </c>
    </row>
    <row r="133" spans="2:15" x14ac:dyDescent="0.2">
      <c r="C133" s="123" t="s">
        <v>128</v>
      </c>
      <c r="D133" s="124">
        <f>SUM(E$37:E$48)+SUM(G$37:G$48)+SUM(I$37:I$48)+SUM(K$37:K$48)</f>
        <v>1389805.7113495492</v>
      </c>
      <c r="E133" s="124">
        <f>SUM(M$37:M$48)+SUM(O$37:O$48)+SUM(Q$37:Q$48)+SUM(S$37:S$48)</f>
        <v>1245990</v>
      </c>
      <c r="F133" s="124">
        <f>SUM(U$37:U$48)+SUM(W$37:W$48)+SUM(Y$37:Y$48)+SUM(AA$37:AA$48)</f>
        <v>1378458</v>
      </c>
      <c r="G133" s="124">
        <f>SUM(AC$37:AC$48)+SUM(AE$37:AE$48)+SUM(AG$37:AG$48)+SUM(AI$37:AI$48)</f>
        <v>1272463.2000000002</v>
      </c>
      <c r="H133" s="124">
        <f>SUM(AK$37:AK$48)+SUM(AM$37:AM$48)+SUM(AO$37:AO$48)+SUM(AQ$37:AQ$48)</f>
        <v>1373434.8000000003</v>
      </c>
      <c r="I133" s="124">
        <f>SUM(AS$37:AS$48)+SUM(AU$37:AU$48)+SUM(AW$37:AW$48)+SUM(AY$37:AY$48)</f>
        <v>1476866.3999999997</v>
      </c>
      <c r="J133" s="124">
        <f>SUM(BA$37:BA$48)+SUM(BC$37:BC$48)+SUM(BE$37:BE$48)+SUM(BG$37:BG$48)</f>
        <v>1558178.4</v>
      </c>
      <c r="K133" s="124">
        <f>SUM(BI$37:BI$48)+SUM(BK$37:BK$48)+SUM(BM$37:BM$48)+SUM(BO$37:BO$48)</f>
        <v>1543941.6</v>
      </c>
      <c r="L133" s="124">
        <f>SUM(BQ$37:BQ$48)+SUM(BS$37:BS$48)+SUM(BU$37:BU$48)+SUM(BW$37:BW$48)</f>
        <v>1485685.2</v>
      </c>
      <c r="M133" s="124">
        <f>SUM(BY$37:BY$48)+SUM(CA$37:CA$48)+SUM(CC$37:CC$48)+SUM(CE$37:CE$48)</f>
        <v>1222527.6000000001</v>
      </c>
      <c r="N133" s="124">
        <f>SUM(CG$37:CG$48)+SUM(CI$37:CI$48)+SUM(CK$37:CK$48)+SUM(CM$37:CM$48)</f>
        <v>1653618</v>
      </c>
      <c r="O133" s="124">
        <f>SUM(CO$37:CO$48)+SUM(CQ$37:CQ$48)+SUM(CS$37:CS$48)+SUM(CU$37:CU$48)</f>
        <v>1427994</v>
      </c>
    </row>
    <row r="134" spans="2:15" x14ac:dyDescent="0.2">
      <c r="C134" s="123" t="s">
        <v>129</v>
      </c>
      <c r="D134" s="124">
        <f>SUM(E$49:E$70)+SUM(G$49:G$70)+SUM(I$49:I$70)+SUM(K$49:K$70)</f>
        <v>990849.51717750845</v>
      </c>
      <c r="E134" s="124">
        <f>SUM(M$49:M$70)+SUM(O$49:O$70)+SUM(Q$49:Q$70)+SUM(S$49:S$70)</f>
        <v>1225427.4471702273</v>
      </c>
      <c r="F134" s="124">
        <f>SUM(U$49:U$70)+SUM(W$49:W$70)+SUM(Y$49:Y$70)+SUM(AA$49:AA$70)</f>
        <v>1019358.0530679927</v>
      </c>
      <c r="G134" s="124">
        <f>SUM(AC$49:AC$70)+SUM(AE$49:AE$70)+SUM(AG$49:AG$70)+SUM(AI$49:AI$70)</f>
        <v>1248458.1123240667</v>
      </c>
      <c r="H134" s="124">
        <f>SUM(AK$49:AK$70)+SUM(AM$49:AM$70)+SUM(AO$49:AO$70)+SUM(AQ$49:AQ$70)</f>
        <v>1076557.6238012891</v>
      </c>
      <c r="I134" s="124">
        <f>SUM(AS$49:AS$70)+SUM(AU$49:AU$70)+SUM(AW$49:AW$70)+SUM(AY$49:AY$70)</f>
        <v>1246075.9194567786</v>
      </c>
      <c r="J134" s="124">
        <f>SUM(BA$49:BA$70)+SUM(BC$49:BC$70)+SUM(BE$49:BE$70)+SUM(BG$49:BG$70)</f>
        <v>940626.34077584383</v>
      </c>
      <c r="K134" s="124">
        <f>SUM(BI$49:BI$70)+SUM(BK$49:BK$70)+SUM(BM$49:BM$70)+SUM(BO$49:BO$70)</f>
        <v>1143646.7000724552</v>
      </c>
      <c r="L134" s="124">
        <f>SUM(BQ$49:BQ$70)+SUM(BS$49:BS$70)+SUM(BU$49:BU$70)+SUM(BW$49:BW$70)</f>
        <v>958188.73239071679</v>
      </c>
      <c r="M134" s="124">
        <f>SUM(BY$49:BY$70)+SUM(CA$49:CA$70)+SUM(CC$49:CC$70)+SUM(CE$49:CE$70)</f>
        <v>956820.72800421121</v>
      </c>
      <c r="N134" s="124">
        <f>SUM(CG$49:CG$70)+SUM(CI$49:CI$70)+SUM(CK$49:CK$70)+SUM(CM$49:CM$70)</f>
        <v>1076625.4000482319</v>
      </c>
      <c r="O134" s="124">
        <f>SUM(CO$49:CO$70)+SUM(CQ$49:CQ$70)+SUM(CS$49:CS$70)+SUM(CU$49:CU$70)</f>
        <v>978509.68019077019</v>
      </c>
    </row>
    <row r="135" spans="2:15" x14ac:dyDescent="0.2">
      <c r="C135" s="123" t="s">
        <v>130</v>
      </c>
      <c r="D135" s="124">
        <f>SUM(E$71:E$86)+SUM(G$71:G$86)+SUM(I$71:I$86)+SUM(K$71:K$86)</f>
        <v>629921.94911502558</v>
      </c>
      <c r="E135" s="124">
        <f>SUM(M$71:M$86)+SUM(O$71:O$86)+SUM(Q$71:Q$86)+SUM(S$71:S$86)</f>
        <v>668117.08550917218</v>
      </c>
      <c r="F135" s="124">
        <f>SUM(U$71:U$86)+SUM(W$71:W$86)+SUM(Y$71:Y$86)+SUM(AA$71:AA$86)</f>
        <v>713896.28183382261</v>
      </c>
      <c r="G135" s="124">
        <f>SUM(AC$71:AC$86)+SUM(AE$71:AE$86)+SUM(AG$71:AG$86)+SUM(AI$71:AI$86)</f>
        <v>642249.29902933957</v>
      </c>
      <c r="H135" s="124">
        <f>SUM(AK$71:AK$86)+SUM(AM$71:AM$86)+SUM(AO$71:AO$86)+SUM(AQ$71:AQ$86)</f>
        <v>639852.97776136443</v>
      </c>
      <c r="I135" s="124">
        <f>SUM(AS$71:AS$86)+SUM(AU$71:AU$86)+SUM(AW$71:AW$86)+SUM(AY$71:AY$86)</f>
        <v>837223.85958982003</v>
      </c>
      <c r="J135" s="124">
        <f>SUM(BA$71:BA$86)+SUM(BC$71:BC$86)+SUM(BE$71:BE$86)+SUM(BG$71:BG$86)</f>
        <v>749509.65555382764</v>
      </c>
      <c r="K135" s="124">
        <f>SUM(BI$71:BI$86)+SUM(BK$71:BK$86)+SUM(BM$71:BM$86)+SUM(BO$71:BO$86)</f>
        <v>762851.02066225465</v>
      </c>
      <c r="L135" s="124">
        <f>SUM(BQ$71:BQ$86)+SUM(BS$71:BS$86)+SUM(BU$71:BU$86)+SUM(BW$71:BW$86)</f>
        <v>733886.00707220077</v>
      </c>
      <c r="M135" s="124">
        <f>SUM(BY$71:BY$86)+SUM(CA$71:CA$86)+SUM(CC$71:CC$86)+SUM(CE$71:CE$86)</f>
        <v>818474.58169089677</v>
      </c>
      <c r="N135" s="124">
        <f>SUM(CG$71:CG$86)+SUM(CI$71:CI$86)+SUM(CK$71:CK$86)+SUM(CM$71:CM$86)</f>
        <v>653498.74743939005</v>
      </c>
      <c r="O135" s="124">
        <f>SUM(CO$71:CO$86)+SUM(CQ$71:CQ$86)+SUM(CS$71:CS$86)+SUM(CU$71:CU$86)</f>
        <v>640158.63837298565</v>
      </c>
    </row>
    <row r="136" spans="2:15" x14ac:dyDescent="0.2">
      <c r="C136" s="123" t="s">
        <v>131</v>
      </c>
      <c r="D136" s="124">
        <f>SUM(E$87:E$94)+SUM(G$87:G$94)+SUM(I$87:I$94)+SUM(K$87:K$94)</f>
        <v>940322.75760090281</v>
      </c>
      <c r="E136" s="124">
        <f>SUM(M$87:M$94)+SUM(O$87:O$94)+SUM(Q$87:Q$94)+SUM(S$87:S$94)</f>
        <v>1002512.7327561706</v>
      </c>
      <c r="F136" s="124">
        <f>SUM(U$87:U$94)+SUM(W$87:W$94)+SUM(Y$87:Y$94)+SUM(AA$87:AA$94)</f>
        <v>868006.83141579782</v>
      </c>
      <c r="G136" s="124">
        <f>SUM(AC$87:AC$94)+SUM(AE$87:AE$94)+SUM(AG$87:AG$94)+SUM(AI$87:AI$94)</f>
        <v>903831.37001809722</v>
      </c>
      <c r="H136" s="124">
        <f>SUM(AK$87:AK$94)+SUM(AM$87:AM$94)+SUM(AO$87:AO$94)+SUM(AQ$87:AQ$94)</f>
        <v>950330.83464185637</v>
      </c>
      <c r="I136" s="124">
        <f>SUM(AS$87:AS$94)+SUM(AU$87:AU$94)+SUM(AW$87:AW$94)+SUM(AY$87:AY$94)</f>
        <v>1047360.0211348704</v>
      </c>
      <c r="J136" s="124">
        <f>SUM(BA$87:BA$94)+SUM(BC$87:BC$94)+SUM(BE$87:BE$94)+SUM(BG$87:BG$94)</f>
        <v>945484.56319888751</v>
      </c>
      <c r="K136" s="124">
        <f>SUM(BI$87:BI$94)+SUM(BK$87:BK$94)+SUM(BM$87:BM$94)+SUM(BO$87:BO$94)</f>
        <v>962286.21478632395</v>
      </c>
      <c r="L136" s="124">
        <f>SUM(BQ$87:BQ$94)+SUM(BS$87:BS$94)+SUM(BU$87:BU$94)+SUM(BW$87:BW$94)</f>
        <v>1198786.3562014264</v>
      </c>
      <c r="M136" s="124">
        <f>SUM(BY$87:BY$94)+SUM(CA$87:CA$94)+SUM(CC$87:CC$94)+SUM(CE$87:CE$94)</f>
        <v>1117573.4634752749</v>
      </c>
      <c r="N136" s="124">
        <f>SUM(CG$87:CG$94)+SUM(CI$87:CI$94)+SUM(CK$87:CK$94)+SUM(CM$87:CM$94)</f>
        <v>1137132.5403630256</v>
      </c>
      <c r="O136" s="124">
        <f>SUM(CO$87:CO$94)+SUM(CQ$87:CQ$94)+SUM(CS$87:CS$94)+SUM(CU$87:CU$94)</f>
        <v>1168651.979493489</v>
      </c>
    </row>
    <row r="137" spans="2:15" x14ac:dyDescent="0.2">
      <c r="C137" s="123" t="s">
        <v>132</v>
      </c>
      <c r="D137" s="124">
        <f>SUM(E$95:E$105)+SUM(G$95:G$105)+SUM(I$95:I$105)+SUM(K$95:K$105)</f>
        <v>1386445.713921305</v>
      </c>
      <c r="E137" s="124">
        <f>SUM(M$95:M$105)+SUM(O$95:O$105)+SUM(Q$95:Q$105)+SUM(S$95:S$105)</f>
        <v>1557343.1298408918</v>
      </c>
      <c r="F137" s="124">
        <f>SUM(U$95:U$105)+SUM(W$95:W$105)+SUM(Y$95:Y$105)+SUM(AA$95:AA$105)</f>
        <v>1573865.3527610176</v>
      </c>
      <c r="G137" s="124">
        <f>SUM(AC$95:AC$105)+SUM(AE$95:AE$105)+SUM(AG$95:AG$105)+SUM(AI$95:AI$105)</f>
        <v>1346391.585863288</v>
      </c>
      <c r="H137" s="124">
        <f>SUM(AK$95:AK$105)+SUM(AM$95:AM$105)+SUM(AO$95:AO$105)+SUM(AQ$95:AQ$105)</f>
        <v>1219713.6444478701</v>
      </c>
      <c r="I137" s="124">
        <f>SUM(AS$95:AS$105)+SUM(AU$95:AU$105)+SUM(AW$95:AW$105)+SUM(AY$95:AY$105)</f>
        <v>1582218.8807542278</v>
      </c>
      <c r="J137" s="124">
        <f>SUM(BA$95:BA$105)+SUM(BC$95:BC$105)+SUM(BE$95:BE$105)+SUM(BG$95:BG$105)</f>
        <v>1704574.3542426268</v>
      </c>
      <c r="K137" s="124">
        <f>SUM(BI$95:BI$105)+SUM(BK$95:BK$105)+SUM(BM$95:BM$105)+SUM(BO$95:BO$105)</f>
        <v>1588754.6528012247</v>
      </c>
      <c r="L137" s="124">
        <f>SUM(BQ$95:BQ$105)+SUM(BS$95:BS$105)+SUM(BU$95:BU$105)+SUM(BW$95:BW$105)</f>
        <v>1433139.5205442989</v>
      </c>
      <c r="M137" s="124">
        <f>SUM(BY$95:BY$105)+SUM(CA$95:CA$105)+SUM(CC$95:CC$105)+SUM(CE$95:CE$105)</f>
        <v>1581716.4000830948</v>
      </c>
      <c r="N137" s="124">
        <f>SUM(CG$95:CG$105)+SUM(CI$95:CI$105)+SUM(CK$95:CK$105)+SUM(CM$95:CM$105)</f>
        <v>1435288.2522831126</v>
      </c>
      <c r="O137" s="124">
        <f>SUM(CO$95:CO$105)+SUM(CQ$95:CQ$105)+SUM(CS$95:CS$105)+SUM(CU$95:CU$105)</f>
        <v>1773242.9331661917</v>
      </c>
    </row>
    <row r="138" spans="2:15" x14ac:dyDescent="0.2">
      <c r="C138" s="123" t="s">
        <v>278</v>
      </c>
      <c r="D138">
        <f t="shared" ref="D138:O138" si="2">SUM(D$131:D$137)</f>
        <v>6317785.4416769566</v>
      </c>
      <c r="E138">
        <f t="shared" si="2"/>
        <v>6633544.7952764621</v>
      </c>
      <c r="F138">
        <f t="shared" si="2"/>
        <v>6710919.7190786302</v>
      </c>
      <c r="G138">
        <f t="shared" si="2"/>
        <v>6456871.5672347918</v>
      </c>
      <c r="H138">
        <f t="shared" si="2"/>
        <v>6374475.0806523804</v>
      </c>
      <c r="I138">
        <f t="shared" si="2"/>
        <v>7226366.2809356963</v>
      </c>
      <c r="J138">
        <f t="shared" si="2"/>
        <v>6949951.3137711855</v>
      </c>
      <c r="K138">
        <f t="shared" si="2"/>
        <v>7279142.9883222589</v>
      </c>
      <c r="L138">
        <f t="shared" si="2"/>
        <v>6847343.816208642</v>
      </c>
      <c r="M138">
        <f t="shared" si="2"/>
        <v>6991448.3732534777</v>
      </c>
      <c r="N138">
        <f t="shared" si="2"/>
        <v>7075008.1401337609</v>
      </c>
      <c r="O138">
        <f t="shared" si="2"/>
        <v>7204571.231223437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19" t="s">
        <v>167</v>
      </c>
      <c r="B1" s="119" t="s">
        <v>168</v>
      </c>
      <c r="C1" s="119" t="s">
        <v>169</v>
      </c>
      <c r="D1" s="119" t="s">
        <v>170</v>
      </c>
      <c r="E1" s="119" t="s">
        <v>171</v>
      </c>
    </row>
    <row r="2" spans="1:5" x14ac:dyDescent="0.2">
      <c r="A2" s="119" t="s">
        <v>126</v>
      </c>
      <c r="B2" s="119" t="s">
        <v>172</v>
      </c>
      <c r="C2" t="s">
        <v>59</v>
      </c>
      <c r="D2">
        <v>482</v>
      </c>
      <c r="E2">
        <v>578.4</v>
      </c>
    </row>
    <row r="3" spans="1:5" x14ac:dyDescent="0.2">
      <c r="B3" s="119" t="s">
        <v>173</v>
      </c>
      <c r="C3" t="s">
        <v>59</v>
      </c>
      <c r="D3">
        <v>657</v>
      </c>
      <c r="E3">
        <v>788.4</v>
      </c>
    </row>
    <row r="4" spans="1:5" x14ac:dyDescent="0.2">
      <c r="B4" s="119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19" t="s">
        <v>175</v>
      </c>
      <c r="C5" t="s">
        <v>59</v>
      </c>
      <c r="D5">
        <v>585</v>
      </c>
      <c r="E5">
        <v>702</v>
      </c>
    </row>
    <row r="6" spans="1:5" x14ac:dyDescent="0.2">
      <c r="B6" s="119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19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19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19" t="s">
        <v>179</v>
      </c>
      <c r="C9" t="s">
        <v>59</v>
      </c>
      <c r="D9">
        <v>71</v>
      </c>
      <c r="E9">
        <v>85.2</v>
      </c>
    </row>
    <row r="10" spans="1:5" x14ac:dyDescent="0.2">
      <c r="B10" s="119" t="s">
        <v>180</v>
      </c>
      <c r="C10" t="s">
        <v>59</v>
      </c>
      <c r="D10">
        <v>407</v>
      </c>
      <c r="E10">
        <v>488.4</v>
      </c>
    </row>
    <row r="11" spans="1:5" x14ac:dyDescent="0.2">
      <c r="B11" s="119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19" t="s">
        <v>182</v>
      </c>
      <c r="C12" t="s">
        <v>59</v>
      </c>
      <c r="D12">
        <v>284</v>
      </c>
      <c r="E12">
        <v>340.8</v>
      </c>
    </row>
    <row r="13" spans="1:5" x14ac:dyDescent="0.2">
      <c r="B13" s="119" t="s">
        <v>183</v>
      </c>
      <c r="C13" t="s">
        <v>59</v>
      </c>
      <c r="D13">
        <v>352</v>
      </c>
      <c r="E13">
        <v>422.4</v>
      </c>
    </row>
    <row r="14" spans="1:5" x14ac:dyDescent="0.2">
      <c r="B14" s="119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19" t="s">
        <v>185</v>
      </c>
      <c r="C15" t="s">
        <v>59</v>
      </c>
      <c r="D15">
        <v>275</v>
      </c>
      <c r="E15">
        <v>330</v>
      </c>
    </row>
    <row r="16" spans="1:5" x14ac:dyDescent="0.2">
      <c r="A16" s="119" t="s">
        <v>127</v>
      </c>
      <c r="B16" s="119" t="s">
        <v>186</v>
      </c>
      <c r="C16" t="s">
        <v>59</v>
      </c>
      <c r="D16">
        <v>239</v>
      </c>
      <c r="E16">
        <v>286.8</v>
      </c>
    </row>
    <row r="17" spans="2:5" x14ac:dyDescent="0.2">
      <c r="B17" s="119" t="s">
        <v>187</v>
      </c>
      <c r="C17" t="s">
        <v>59</v>
      </c>
      <c r="D17">
        <v>52</v>
      </c>
      <c r="E17">
        <v>62.4</v>
      </c>
    </row>
    <row r="18" spans="2:5" x14ac:dyDescent="0.2">
      <c r="B18" s="119" t="s">
        <v>188</v>
      </c>
      <c r="C18" t="s">
        <v>59</v>
      </c>
      <c r="D18">
        <v>156</v>
      </c>
      <c r="E18">
        <v>187.2</v>
      </c>
    </row>
    <row r="19" spans="2:5" x14ac:dyDescent="0.2">
      <c r="B19" s="119" t="s">
        <v>189</v>
      </c>
      <c r="C19" t="s">
        <v>59</v>
      </c>
      <c r="D19">
        <v>245</v>
      </c>
      <c r="E19">
        <v>294</v>
      </c>
    </row>
    <row r="20" spans="2:5" x14ac:dyDescent="0.2">
      <c r="B20" s="119" t="s">
        <v>190</v>
      </c>
      <c r="C20" t="s">
        <v>59</v>
      </c>
      <c r="D20">
        <v>306</v>
      </c>
      <c r="E20">
        <v>367.2</v>
      </c>
    </row>
    <row r="21" spans="2:5" x14ac:dyDescent="0.2">
      <c r="B21" s="119" t="s">
        <v>191</v>
      </c>
      <c r="C21" t="s">
        <v>59</v>
      </c>
      <c r="D21">
        <v>442</v>
      </c>
      <c r="E21">
        <v>530.4</v>
      </c>
    </row>
    <row r="22" spans="2:5" x14ac:dyDescent="0.2">
      <c r="B22" s="119" t="s">
        <v>192</v>
      </c>
      <c r="C22" t="s">
        <v>59</v>
      </c>
      <c r="D22">
        <v>405</v>
      </c>
      <c r="E22">
        <v>486</v>
      </c>
    </row>
    <row r="23" spans="2:5" x14ac:dyDescent="0.2">
      <c r="B23" s="119" t="s">
        <v>193</v>
      </c>
      <c r="C23" t="s">
        <v>59</v>
      </c>
      <c r="D23">
        <v>356</v>
      </c>
      <c r="E23">
        <v>427.2</v>
      </c>
    </row>
    <row r="24" spans="2:5" x14ac:dyDescent="0.2">
      <c r="B24" s="119" t="s">
        <v>194</v>
      </c>
      <c r="C24" t="s">
        <v>59</v>
      </c>
      <c r="D24">
        <v>615</v>
      </c>
      <c r="E24">
        <v>738</v>
      </c>
    </row>
    <row r="25" spans="2:5" x14ac:dyDescent="0.2">
      <c r="B25" s="119" t="s">
        <v>195</v>
      </c>
      <c r="C25" t="s">
        <v>59</v>
      </c>
      <c r="D25">
        <v>282</v>
      </c>
      <c r="E25">
        <v>338.4</v>
      </c>
    </row>
    <row r="26" spans="2:5" x14ac:dyDescent="0.2">
      <c r="B26" s="119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19" t="s">
        <v>197</v>
      </c>
      <c r="C27" t="s">
        <v>59</v>
      </c>
      <c r="D27">
        <v>284</v>
      </c>
      <c r="E27">
        <v>340.8</v>
      </c>
    </row>
    <row r="28" spans="2:5" x14ac:dyDescent="0.2">
      <c r="B28" s="119" t="s">
        <v>198</v>
      </c>
      <c r="C28" t="s">
        <v>59</v>
      </c>
      <c r="D28">
        <v>700</v>
      </c>
      <c r="E28">
        <v>840</v>
      </c>
    </row>
    <row r="29" spans="2:5" x14ac:dyDescent="0.2">
      <c r="B29" s="119" t="s">
        <v>199</v>
      </c>
      <c r="C29" t="s">
        <v>59</v>
      </c>
      <c r="D29">
        <v>395</v>
      </c>
      <c r="E29">
        <v>474</v>
      </c>
    </row>
    <row r="30" spans="2:5" x14ac:dyDescent="0.2">
      <c r="B30" s="119" t="s">
        <v>200</v>
      </c>
      <c r="C30" t="s">
        <v>59</v>
      </c>
      <c r="D30">
        <v>457</v>
      </c>
      <c r="E30">
        <v>548.4</v>
      </c>
    </row>
    <row r="31" spans="2:5" x14ac:dyDescent="0.2">
      <c r="B31" s="119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19" t="s">
        <v>202</v>
      </c>
      <c r="C32" t="s">
        <v>59</v>
      </c>
      <c r="D32">
        <v>634</v>
      </c>
      <c r="E32">
        <v>760.8</v>
      </c>
    </row>
    <row r="33" spans="1:5" x14ac:dyDescent="0.2">
      <c r="A33" s="119" t="s">
        <v>128</v>
      </c>
      <c r="B33" s="119" t="s">
        <v>203</v>
      </c>
      <c r="C33" t="s">
        <v>59</v>
      </c>
      <c r="D33">
        <v>717</v>
      </c>
      <c r="E33">
        <v>860.4</v>
      </c>
    </row>
    <row r="34" spans="1:5" x14ac:dyDescent="0.2">
      <c r="B34" s="119" t="s">
        <v>204</v>
      </c>
      <c r="C34" t="s">
        <v>59</v>
      </c>
      <c r="D34">
        <v>1035</v>
      </c>
      <c r="E34">
        <v>1242</v>
      </c>
    </row>
    <row r="35" spans="1:5" x14ac:dyDescent="0.2">
      <c r="B35" s="119" t="s">
        <v>205</v>
      </c>
      <c r="C35" t="s">
        <v>59</v>
      </c>
      <c r="D35">
        <v>1186</v>
      </c>
      <c r="E35">
        <v>1423.2</v>
      </c>
    </row>
    <row r="36" spans="1:5" x14ac:dyDescent="0.2">
      <c r="B36" s="119" t="s">
        <v>206</v>
      </c>
      <c r="C36" t="s">
        <v>59</v>
      </c>
      <c r="D36">
        <v>604</v>
      </c>
      <c r="E36">
        <v>724.8</v>
      </c>
    </row>
    <row r="37" spans="1:5" x14ac:dyDescent="0.2">
      <c r="B37" s="119" t="s">
        <v>207</v>
      </c>
      <c r="C37" t="s">
        <v>59</v>
      </c>
      <c r="D37">
        <v>550</v>
      </c>
      <c r="E37">
        <v>660</v>
      </c>
    </row>
    <row r="38" spans="1:5" x14ac:dyDescent="0.2">
      <c r="B38" s="119" t="s">
        <v>208</v>
      </c>
      <c r="C38" t="s">
        <v>59</v>
      </c>
      <c r="D38">
        <v>705</v>
      </c>
      <c r="E38">
        <v>846</v>
      </c>
    </row>
    <row r="39" spans="1:5" x14ac:dyDescent="0.2">
      <c r="B39" s="119" t="s">
        <v>209</v>
      </c>
      <c r="C39" t="s">
        <v>59</v>
      </c>
      <c r="D39">
        <v>852</v>
      </c>
      <c r="E39">
        <v>1022.4</v>
      </c>
    </row>
    <row r="40" spans="1:5" x14ac:dyDescent="0.2">
      <c r="B40" s="119" t="s">
        <v>210</v>
      </c>
      <c r="C40" t="s">
        <v>59</v>
      </c>
      <c r="D40">
        <v>852</v>
      </c>
      <c r="E40">
        <v>1022.4</v>
      </c>
    </row>
    <row r="41" spans="1:5" x14ac:dyDescent="0.2">
      <c r="B41" s="119" t="s">
        <v>211</v>
      </c>
      <c r="C41" t="s">
        <v>59</v>
      </c>
      <c r="D41">
        <v>1041</v>
      </c>
      <c r="E41">
        <v>1249.2</v>
      </c>
    </row>
    <row r="42" spans="1:5" x14ac:dyDescent="0.2">
      <c r="B42" s="119" t="s">
        <v>212</v>
      </c>
      <c r="C42" t="s">
        <v>59</v>
      </c>
      <c r="D42">
        <v>1010</v>
      </c>
      <c r="E42">
        <v>1212</v>
      </c>
    </row>
    <row r="43" spans="1:5" x14ac:dyDescent="0.2">
      <c r="B43" s="119" t="s">
        <v>213</v>
      </c>
      <c r="C43" t="s">
        <v>59</v>
      </c>
      <c r="D43">
        <v>1273</v>
      </c>
      <c r="E43">
        <v>1527.6</v>
      </c>
    </row>
    <row r="44" spans="1:5" x14ac:dyDescent="0.2">
      <c r="B44" s="119" t="s">
        <v>214</v>
      </c>
      <c r="C44" t="s">
        <v>59</v>
      </c>
      <c r="D44">
        <v>723</v>
      </c>
      <c r="E44">
        <v>867.6</v>
      </c>
    </row>
    <row r="45" spans="1:5" x14ac:dyDescent="0.2">
      <c r="A45" s="119" t="s">
        <v>129</v>
      </c>
      <c r="B45" s="119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19" t="s">
        <v>216</v>
      </c>
      <c r="C46" t="s">
        <v>59</v>
      </c>
      <c r="D46">
        <v>235</v>
      </c>
      <c r="E46">
        <v>282</v>
      </c>
    </row>
    <row r="47" spans="1:5" x14ac:dyDescent="0.2">
      <c r="B47" s="119" t="s">
        <v>217</v>
      </c>
      <c r="C47" t="s">
        <v>59</v>
      </c>
      <c r="D47">
        <v>712</v>
      </c>
      <c r="E47">
        <v>854.4</v>
      </c>
    </row>
    <row r="48" spans="1:5" x14ac:dyDescent="0.2">
      <c r="B48" s="119" t="s">
        <v>218</v>
      </c>
      <c r="C48" t="s">
        <v>59</v>
      </c>
      <c r="D48">
        <v>450</v>
      </c>
      <c r="E48">
        <v>540</v>
      </c>
    </row>
    <row r="49" spans="2:5" x14ac:dyDescent="0.2">
      <c r="B49" s="119" t="s">
        <v>219</v>
      </c>
      <c r="C49" t="s">
        <v>59</v>
      </c>
      <c r="D49">
        <v>339</v>
      </c>
      <c r="E49">
        <v>406.8</v>
      </c>
    </row>
    <row r="50" spans="2:5" x14ac:dyDescent="0.2">
      <c r="B50" s="119" t="s">
        <v>220</v>
      </c>
      <c r="C50" t="s">
        <v>59</v>
      </c>
      <c r="D50">
        <v>279</v>
      </c>
      <c r="E50">
        <v>334.8</v>
      </c>
    </row>
    <row r="51" spans="2:5" x14ac:dyDescent="0.2">
      <c r="B51" s="119" t="s">
        <v>221</v>
      </c>
      <c r="C51" t="s">
        <v>59</v>
      </c>
      <c r="D51">
        <v>553</v>
      </c>
      <c r="E51">
        <v>663.6</v>
      </c>
    </row>
    <row r="52" spans="2:5" x14ac:dyDescent="0.2">
      <c r="B52" s="119" t="s">
        <v>222</v>
      </c>
      <c r="C52" t="s">
        <v>22</v>
      </c>
      <c r="D52">
        <v>959</v>
      </c>
      <c r="E52">
        <v>1150.8</v>
      </c>
    </row>
    <row r="53" spans="2:5" x14ac:dyDescent="0.2">
      <c r="B53" s="119" t="s">
        <v>223</v>
      </c>
      <c r="C53" t="s">
        <v>59</v>
      </c>
      <c r="D53">
        <v>1176</v>
      </c>
      <c r="E53">
        <v>1411.2</v>
      </c>
    </row>
    <row r="54" spans="2:5" x14ac:dyDescent="0.2">
      <c r="B54" s="119" t="s">
        <v>224</v>
      </c>
      <c r="C54" t="s">
        <v>22</v>
      </c>
      <c r="D54">
        <v>981</v>
      </c>
      <c r="E54">
        <v>1177.2</v>
      </c>
    </row>
    <row r="55" spans="2:5" x14ac:dyDescent="0.2">
      <c r="B55" s="119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19" t="s">
        <v>226</v>
      </c>
      <c r="C56" t="s">
        <v>59</v>
      </c>
      <c r="D56">
        <v>543</v>
      </c>
      <c r="E56">
        <v>651.6</v>
      </c>
    </row>
    <row r="57" spans="2:5" x14ac:dyDescent="0.2">
      <c r="B57" s="119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19" t="s">
        <v>228</v>
      </c>
      <c r="C58" t="s">
        <v>59</v>
      </c>
      <c r="D58">
        <v>1421</v>
      </c>
      <c r="E58">
        <v>1705.2</v>
      </c>
    </row>
    <row r="59" spans="2:5" x14ac:dyDescent="0.2">
      <c r="B59" s="119" t="s">
        <v>229</v>
      </c>
      <c r="C59" t="s">
        <v>59</v>
      </c>
      <c r="D59">
        <v>663</v>
      </c>
      <c r="E59">
        <v>795.6</v>
      </c>
    </row>
    <row r="60" spans="2:5" x14ac:dyDescent="0.2">
      <c r="B60" s="119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19" t="s">
        <v>231</v>
      </c>
      <c r="C61" t="s">
        <v>59</v>
      </c>
      <c r="D61">
        <v>855</v>
      </c>
      <c r="E61">
        <v>1026</v>
      </c>
    </row>
    <row r="62" spans="2:5" x14ac:dyDescent="0.2">
      <c r="B62" s="119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19" t="s">
        <v>233</v>
      </c>
      <c r="C63" t="s">
        <v>59</v>
      </c>
      <c r="D63">
        <v>936</v>
      </c>
      <c r="E63">
        <v>1123.2</v>
      </c>
    </row>
    <row r="64" spans="2:5" x14ac:dyDescent="0.2">
      <c r="B64" s="119" t="s">
        <v>234</v>
      </c>
      <c r="C64" t="s">
        <v>59</v>
      </c>
      <c r="D64">
        <v>861</v>
      </c>
      <c r="E64">
        <v>1033.2</v>
      </c>
    </row>
    <row r="65" spans="1:5" x14ac:dyDescent="0.2">
      <c r="B65" s="119" t="s">
        <v>235</v>
      </c>
      <c r="C65" t="s">
        <v>59</v>
      </c>
      <c r="D65">
        <v>632</v>
      </c>
      <c r="E65">
        <v>758.4</v>
      </c>
    </row>
    <row r="66" spans="1:5" x14ac:dyDescent="0.2">
      <c r="B66" s="119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19" t="s">
        <v>130</v>
      </c>
      <c r="B67" s="119" t="s">
        <v>237</v>
      </c>
      <c r="C67" t="s">
        <v>22</v>
      </c>
      <c r="D67">
        <v>470</v>
      </c>
      <c r="E67">
        <v>564</v>
      </c>
    </row>
    <row r="68" spans="1:5" x14ac:dyDescent="0.2">
      <c r="B68" s="119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19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19" t="s">
        <v>240</v>
      </c>
      <c r="C70" t="s">
        <v>22</v>
      </c>
      <c r="D70">
        <v>336</v>
      </c>
      <c r="E70">
        <v>403.2</v>
      </c>
    </row>
    <row r="71" spans="1:5" x14ac:dyDescent="0.2">
      <c r="B71" s="119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19" t="s">
        <v>242</v>
      </c>
      <c r="C72" t="s">
        <v>22</v>
      </c>
      <c r="D72">
        <v>649</v>
      </c>
      <c r="E72">
        <v>778.8</v>
      </c>
    </row>
    <row r="73" spans="1:5" x14ac:dyDescent="0.2">
      <c r="B73" s="119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19" t="s">
        <v>244</v>
      </c>
      <c r="C74" t="s">
        <v>22</v>
      </c>
      <c r="D74">
        <v>460</v>
      </c>
      <c r="E74">
        <v>552</v>
      </c>
    </row>
    <row r="75" spans="1:5" x14ac:dyDescent="0.2">
      <c r="B75" s="119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19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19" t="s">
        <v>247</v>
      </c>
      <c r="C77" t="s">
        <v>22</v>
      </c>
      <c r="D77">
        <v>628</v>
      </c>
      <c r="E77">
        <v>753.6</v>
      </c>
    </row>
    <row r="78" spans="1:5" x14ac:dyDescent="0.2">
      <c r="B78" s="119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19" t="s">
        <v>249</v>
      </c>
      <c r="C79" t="s">
        <v>22</v>
      </c>
      <c r="D79">
        <v>717</v>
      </c>
      <c r="E79">
        <v>860.4</v>
      </c>
    </row>
    <row r="80" spans="1:5" x14ac:dyDescent="0.2">
      <c r="B80" s="119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19" t="s">
        <v>251</v>
      </c>
      <c r="C81" t="s">
        <v>22</v>
      </c>
      <c r="D81">
        <v>125</v>
      </c>
      <c r="E81">
        <v>150</v>
      </c>
    </row>
    <row r="82" spans="1:5" x14ac:dyDescent="0.2">
      <c r="B82" s="119" t="s">
        <v>252</v>
      </c>
      <c r="C82" t="s">
        <v>22</v>
      </c>
      <c r="D82">
        <v>450</v>
      </c>
      <c r="E82">
        <v>540</v>
      </c>
    </row>
    <row r="83" spans="1:5" x14ac:dyDescent="0.2">
      <c r="A83" s="119" t="s">
        <v>131</v>
      </c>
      <c r="B83" s="119" t="s">
        <v>253</v>
      </c>
      <c r="C83" t="s">
        <v>22</v>
      </c>
      <c r="D83">
        <v>1629</v>
      </c>
      <c r="E83">
        <v>1954.8</v>
      </c>
    </row>
    <row r="84" spans="1:5" x14ac:dyDescent="0.2">
      <c r="B84" s="119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19" t="s">
        <v>255</v>
      </c>
      <c r="C85" t="s">
        <v>22</v>
      </c>
      <c r="D85">
        <v>1998</v>
      </c>
      <c r="E85">
        <v>2397.6</v>
      </c>
    </row>
    <row r="86" spans="1:5" x14ac:dyDescent="0.2">
      <c r="B86" s="119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19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19" t="s">
        <v>258</v>
      </c>
      <c r="C88" t="s">
        <v>22</v>
      </c>
      <c r="D88">
        <v>1184</v>
      </c>
      <c r="E88">
        <v>1420.8</v>
      </c>
    </row>
    <row r="89" spans="1:5" x14ac:dyDescent="0.2">
      <c r="B89" s="119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19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19" t="s">
        <v>132</v>
      </c>
      <c r="B91" s="119" t="s">
        <v>261</v>
      </c>
      <c r="C91" t="s">
        <v>22</v>
      </c>
      <c r="D91">
        <v>1444</v>
      </c>
      <c r="E91">
        <v>1732.8</v>
      </c>
    </row>
    <row r="92" spans="1:5" x14ac:dyDescent="0.2">
      <c r="B92" s="119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19" t="s">
        <v>263</v>
      </c>
      <c r="C93" t="s">
        <v>22</v>
      </c>
      <c r="D93">
        <v>1524</v>
      </c>
      <c r="E93">
        <v>1828.8</v>
      </c>
    </row>
    <row r="94" spans="1:5" x14ac:dyDescent="0.2">
      <c r="B94" s="119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19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19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19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19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19" t="s">
        <v>269</v>
      </c>
      <c r="C99" t="s">
        <v>22</v>
      </c>
      <c r="D99">
        <v>1690</v>
      </c>
      <c r="E99">
        <v>2028</v>
      </c>
    </row>
    <row r="100" spans="2:5" x14ac:dyDescent="0.2">
      <c r="B100" s="119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19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2015-09-29T20:10:21Z</dcterms:modified>
</cp:coreProperties>
</file>